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6"/>
  <workbookPr defaultThemeVersion="124226"/>
  <mc:AlternateContent xmlns:mc="http://schemas.openxmlformats.org/markup-compatibility/2006">
    <mc:Choice Requires="x15">
      <x15ac:absPath xmlns:x15ac="http://schemas.microsoft.com/office/spreadsheetml/2010/11/ac" url="/private/var/mobile/Containers/Shared/AppGroup/D01EE297-B6D4-4F4C-A78D-A49375CC3CB2/File Provider Storage/Automated BOM/"/>
    </mc:Choice>
  </mc:AlternateContent>
  <xr:revisionPtr revIDLastSave="0" documentId="11_D17A0919B308AB07BB80A52E79B3B3ABC4E92E5D" xr6:coauthVersionLast="47" xr6:coauthVersionMax="47" xr10:uidLastSave="{00000000-0000-0000-0000-000000000000}"/>
  <bookViews>
    <workbookView xWindow="120" yWindow="105" windowWidth="19035" windowHeight="9210" firstSheet="1" activeTab="6" xr2:uid="{00000000-000D-0000-FFFF-FFFF00000000}"/>
  </bookViews>
  <sheets>
    <sheet name="ITEM 100" sheetId="1" r:id="rId1"/>
    <sheet name="ITEM 200" sheetId="2" r:id="rId2"/>
    <sheet name="ITEM 300" sheetId="3" r:id="rId3"/>
    <sheet name="ITEM 400" sheetId="4" r:id="rId4"/>
    <sheet name="ITEM 500" sheetId="5" r:id="rId5"/>
    <sheet name="ITEM 600" sheetId="6" r:id="rId6"/>
    <sheet name="Summary (All Pay Items) madi" sheetId="8" r:id="rId7"/>
    <sheet name="not included" sheetId="7" r:id="rId8"/>
  </sheets>
  <externalReferences>
    <externalReference r:id="rId9"/>
  </externalReferences>
  <definedNames>
    <definedName name="_xlnm.Print_Area" localSheetId="0">'ITEM 100'!$A$1:$R$1612</definedName>
    <definedName name="_xlnm.Print_Area" localSheetId="1">'ITEM 200'!$A$1:$R$310</definedName>
    <definedName name="_xlnm.Print_Area" localSheetId="2">'ITEM 300'!$A$1:$AA$1364</definedName>
    <definedName name="_xlnm.Print_Area" localSheetId="3">'ITEM 400'!$A$1:$I$124</definedName>
    <definedName name="_xlnm.Print_Area" localSheetId="4">'ITEM 500'!$A$1:$R$1674</definedName>
    <definedName name="_xlnm.Print_Area" localSheetId="5">'ITEM 600'!$A$1:$R$1736</definedName>
    <definedName name="_xlnm.Print_Area" localSheetId="7">'not included'!$A$1:$R$124</definedName>
    <definedName name="_xlnm.Print_Area" localSheetId="6">'Summary (All Pay Items) madi'!$A$1:$D$335</definedName>
    <definedName name="_xlnm.Print_Titles" localSheetId="6">'Summary (All Pay Items) madi'!$1:$1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91" i="5" l="1"/>
  <c r="R666" i="6"/>
  <c r="R664" i="6"/>
  <c r="R677" i="6"/>
  <c r="K658" i="6"/>
  <c r="R645" i="6"/>
  <c r="R644" i="6"/>
  <c r="R643" i="6"/>
  <c r="R632" i="6"/>
  <c r="R631" i="6"/>
  <c r="B410" i="5"/>
  <c r="B286" i="5"/>
  <c r="B224" i="5"/>
  <c r="B100" i="5"/>
  <c r="K1588" i="6"/>
  <c r="P695" i="6"/>
  <c r="P694" i="6"/>
  <c r="I1410" i="6"/>
  <c r="G1286" i="6"/>
  <c r="B1278" i="6"/>
  <c r="B1216" i="6"/>
  <c r="I111" i="6"/>
  <c r="K1278" i="5"/>
  <c r="P1232" i="5"/>
  <c r="R1232" i="5"/>
  <c r="P1233" i="5"/>
  <c r="R1233" i="5"/>
  <c r="P1234" i="5"/>
  <c r="R1234" i="5"/>
  <c r="R1229" i="5"/>
  <c r="R1226" i="5"/>
  <c r="R1225" i="5"/>
  <c r="R1224" i="5"/>
  <c r="R1223" i="5"/>
  <c r="R1222" i="5"/>
  <c r="R1228" i="5"/>
  <c r="R1221" i="5"/>
  <c r="K1216" i="5"/>
  <c r="R1207" i="5"/>
  <c r="R1208" i="5"/>
  <c r="R1209" i="5"/>
  <c r="R1210" i="5"/>
  <c r="R1211" i="5"/>
  <c r="K1154" i="5"/>
  <c r="Q767" i="5"/>
  <c r="Q705" i="5"/>
  <c r="B1650" i="5"/>
  <c r="B1588" i="5"/>
  <c r="B1526" i="5"/>
  <c r="I1327" i="5"/>
  <c r="I1326" i="5"/>
  <c r="I1325" i="5"/>
  <c r="I1315" i="5"/>
  <c r="I1314" i="5"/>
  <c r="I1313" i="5"/>
  <c r="I1265" i="5"/>
  <c r="I1264" i="5"/>
  <c r="I1263" i="5"/>
  <c r="I1253" i="5"/>
  <c r="I1252" i="5"/>
  <c r="I1251" i="5"/>
  <c r="I1376" i="5"/>
  <c r="I1387" i="5"/>
  <c r="I1388" i="5"/>
  <c r="I1389" i="5"/>
  <c r="I1203" i="5"/>
  <c r="I1202" i="5"/>
  <c r="I1201" i="5"/>
  <c r="I1191" i="5"/>
  <c r="I1190" i="5"/>
  <c r="I1189" i="5"/>
  <c r="I1141" i="5"/>
  <c r="I1140" i="5"/>
  <c r="I1139" i="5"/>
  <c r="I1129" i="5"/>
  <c r="I1128" i="5"/>
  <c r="I1127" i="5"/>
  <c r="I1079" i="5"/>
  <c r="I1078" i="5"/>
  <c r="I1077" i="5"/>
  <c r="I1017" i="5"/>
  <c r="I1016" i="5"/>
  <c r="I1015" i="5"/>
  <c r="AA770" i="3"/>
  <c r="AA793" i="3"/>
  <c r="Y805" i="3"/>
  <c r="AA792" i="3"/>
  <c r="AA791" i="3"/>
  <c r="Z790" i="3"/>
  <c r="AA790" i="3"/>
  <c r="AA789" i="3"/>
  <c r="AA788" i="3"/>
  <c r="T782" i="3"/>
  <c r="AA769" i="3"/>
  <c r="AA768" i="3"/>
  <c r="AA767" i="3"/>
  <c r="AA757" i="3"/>
  <c r="AA756" i="3"/>
  <c r="AA755" i="3"/>
  <c r="AA762" i="3"/>
  <c r="AA771" i="3"/>
  <c r="AA645" i="3"/>
  <c r="AA644" i="3"/>
  <c r="AA671" i="3"/>
  <c r="AA670" i="3"/>
  <c r="AA669" i="3"/>
  <c r="AA668" i="3"/>
  <c r="AA667" i="3"/>
  <c r="Z666" i="3"/>
  <c r="AA666" i="3"/>
  <c r="AA665" i="3"/>
  <c r="AA664" i="3"/>
  <c r="T658" i="3"/>
  <c r="AA643" i="3"/>
  <c r="AA633" i="3"/>
  <c r="AA632" i="3"/>
  <c r="AA631" i="3"/>
  <c r="Y681" i="3"/>
  <c r="AA522" i="3"/>
  <c r="AA521" i="3"/>
  <c r="AA520" i="3"/>
  <c r="AA519" i="3"/>
  <c r="AA509" i="3"/>
  <c r="AA508" i="3"/>
  <c r="AA507" i="3"/>
  <c r="AA398" i="3"/>
  <c r="AA397" i="3"/>
  <c r="AA396" i="3"/>
  <c r="AA395" i="3"/>
  <c r="AA385" i="3"/>
  <c r="AA384" i="3"/>
  <c r="AA383" i="3"/>
  <c r="AA546" i="3"/>
  <c r="AA545" i="3"/>
  <c r="AA544" i="3"/>
  <c r="AA543" i="3"/>
  <c r="Z542" i="3"/>
  <c r="AA542" i="3"/>
  <c r="AA541" i="3"/>
  <c r="AA540" i="3"/>
  <c r="T534" i="3"/>
  <c r="AA274" i="3"/>
  <c r="AA273" i="3"/>
  <c r="AA272" i="3"/>
  <c r="AA271" i="3"/>
  <c r="AA261" i="3"/>
  <c r="AA260" i="3"/>
  <c r="AA259" i="3"/>
  <c r="AA422" i="3"/>
  <c r="AA421" i="3"/>
  <c r="AA420" i="3"/>
  <c r="AA419" i="3"/>
  <c r="Z418" i="3"/>
  <c r="AA418" i="3"/>
  <c r="AA417" i="3"/>
  <c r="AA416" i="3"/>
  <c r="T410" i="3"/>
  <c r="AA340" i="3"/>
  <c r="AA339" i="3"/>
  <c r="AA338" i="3"/>
  <c r="AA337" i="3"/>
  <c r="AA336" i="3"/>
  <c r="AA335" i="3"/>
  <c r="AA334" i="3"/>
  <c r="AA333" i="3"/>
  <c r="AA323" i="3"/>
  <c r="AA322" i="3"/>
  <c r="AA321" i="3"/>
  <c r="AA298" i="3"/>
  <c r="AA297" i="3"/>
  <c r="AA296" i="3"/>
  <c r="AA295" i="3"/>
  <c r="Z294" i="3"/>
  <c r="AA294" i="3"/>
  <c r="AA293" i="3"/>
  <c r="AA292" i="3"/>
  <c r="T286" i="3"/>
  <c r="AA216" i="3"/>
  <c r="AA215" i="3"/>
  <c r="AA214" i="3"/>
  <c r="AA213" i="3"/>
  <c r="AA212" i="3"/>
  <c r="AA211" i="3"/>
  <c r="AA210" i="3"/>
  <c r="AA209" i="3"/>
  <c r="AA199" i="3"/>
  <c r="AA198" i="3"/>
  <c r="AA197" i="3"/>
  <c r="AA174" i="3"/>
  <c r="AA173" i="3"/>
  <c r="AA172" i="3"/>
  <c r="AA171" i="3"/>
  <c r="Z170" i="3"/>
  <c r="AA170" i="3"/>
  <c r="AA169" i="3"/>
  <c r="AA168" i="3"/>
  <c r="T162" i="3"/>
  <c r="AA150" i="3"/>
  <c r="AA149" i="3"/>
  <c r="AA148" i="3"/>
  <c r="AA147" i="3"/>
  <c r="AA137" i="3"/>
  <c r="AA136" i="3"/>
  <c r="AA135" i="3"/>
  <c r="Y61" i="3"/>
  <c r="AA51" i="3"/>
  <c r="AA50" i="3"/>
  <c r="AA49" i="3"/>
  <c r="AA48" i="3"/>
  <c r="AA47" i="3"/>
  <c r="Z46" i="3"/>
  <c r="AA46" i="3"/>
  <c r="AA45" i="3"/>
  <c r="AA44" i="3"/>
  <c r="T38" i="3"/>
  <c r="AA26" i="3"/>
  <c r="AA25" i="3"/>
  <c r="AA24" i="3"/>
  <c r="AA23" i="3"/>
  <c r="AA13" i="3"/>
  <c r="AA12" i="3"/>
  <c r="AA11" i="3"/>
  <c r="P1301" i="3"/>
  <c r="R1291" i="3"/>
  <c r="R1290" i="3"/>
  <c r="R1289" i="3"/>
  <c r="R1288" i="3"/>
  <c r="R1287" i="3"/>
  <c r="Q1286" i="3"/>
  <c r="R1286" i="3"/>
  <c r="R1285" i="3"/>
  <c r="R1284" i="3"/>
  <c r="K1278" i="3"/>
  <c r="R1266" i="3"/>
  <c r="R1265" i="3"/>
  <c r="R1264" i="3"/>
  <c r="R1263" i="3"/>
  <c r="R1253" i="3"/>
  <c r="R1252" i="3"/>
  <c r="R1251" i="3"/>
  <c r="P1177" i="3"/>
  <c r="R1167" i="3"/>
  <c r="R1166" i="3"/>
  <c r="R1165" i="3"/>
  <c r="R1164" i="3"/>
  <c r="R1163" i="3"/>
  <c r="Q1162" i="3"/>
  <c r="R1162" i="3"/>
  <c r="R1161" i="3"/>
  <c r="R1160" i="3"/>
  <c r="K1154" i="3"/>
  <c r="R1142" i="3"/>
  <c r="R1141" i="3"/>
  <c r="R1140" i="3"/>
  <c r="R1139" i="3"/>
  <c r="R1129" i="3"/>
  <c r="R1128" i="3"/>
  <c r="R1127" i="3"/>
  <c r="P1053" i="3"/>
  <c r="R1043" i="3"/>
  <c r="R1042" i="3"/>
  <c r="R1041" i="3"/>
  <c r="R1040" i="3"/>
  <c r="R1039" i="3"/>
  <c r="Q1038" i="3"/>
  <c r="R1038" i="3"/>
  <c r="R1037" i="3"/>
  <c r="R1036" i="3"/>
  <c r="K1030" i="3"/>
  <c r="R1018" i="3"/>
  <c r="R1017" i="3"/>
  <c r="R1016" i="3"/>
  <c r="R1015" i="3"/>
  <c r="R1005" i="3"/>
  <c r="R1004" i="3"/>
  <c r="R1003" i="3"/>
  <c r="P929" i="3"/>
  <c r="R919" i="3"/>
  <c r="R918" i="3"/>
  <c r="R917" i="3"/>
  <c r="R916" i="3"/>
  <c r="R915" i="3"/>
  <c r="Q914" i="3"/>
  <c r="R914" i="3"/>
  <c r="R913" i="3"/>
  <c r="R912" i="3"/>
  <c r="K906" i="3"/>
  <c r="R894" i="3"/>
  <c r="R893" i="3"/>
  <c r="R892" i="3"/>
  <c r="R891" i="3"/>
  <c r="R881" i="3"/>
  <c r="R880" i="3"/>
  <c r="R879" i="3"/>
  <c r="R795" i="3"/>
  <c r="R794" i="3"/>
  <c r="R793" i="3"/>
  <c r="P805" i="3"/>
  <c r="R792" i="3"/>
  <c r="R791" i="3"/>
  <c r="Q790" i="3"/>
  <c r="R790" i="3"/>
  <c r="R789" i="3"/>
  <c r="R788" i="3"/>
  <c r="K782" i="3"/>
  <c r="R770" i="3"/>
  <c r="R769" i="3"/>
  <c r="R768" i="3"/>
  <c r="R767" i="3"/>
  <c r="R757" i="3"/>
  <c r="R756" i="3"/>
  <c r="R755" i="3"/>
  <c r="R668" i="3"/>
  <c r="R667" i="3"/>
  <c r="R666" i="3"/>
  <c r="R665" i="3"/>
  <c r="R664" i="3"/>
  <c r="R649" i="3"/>
  <c r="R648" i="3"/>
  <c r="R647" i="3"/>
  <c r="R646" i="3"/>
  <c r="R645" i="3"/>
  <c r="R644" i="3"/>
  <c r="R643" i="3"/>
  <c r="R637" i="3"/>
  <c r="R636" i="3"/>
  <c r="R635" i="3"/>
  <c r="R634" i="3"/>
  <c r="R633" i="3"/>
  <c r="R632" i="3"/>
  <c r="R631" i="3"/>
  <c r="R630" i="3"/>
  <c r="R606" i="3"/>
  <c r="R605" i="3"/>
  <c r="R604" i="3"/>
  <c r="R603" i="3"/>
  <c r="R587" i="3"/>
  <c r="R586" i="3"/>
  <c r="R585" i="3"/>
  <c r="R584" i="3"/>
  <c r="R583" i="3"/>
  <c r="R582" i="3"/>
  <c r="R581" i="3"/>
  <c r="R575" i="3"/>
  <c r="R574" i="3"/>
  <c r="R573" i="3"/>
  <c r="R572" i="3"/>
  <c r="R571" i="3"/>
  <c r="R570" i="3"/>
  <c r="R569" i="3"/>
  <c r="R568" i="3"/>
  <c r="R544" i="3"/>
  <c r="R543" i="3"/>
  <c r="R542" i="3"/>
  <c r="R541" i="3"/>
  <c r="R540" i="3"/>
  <c r="R525" i="3"/>
  <c r="R524" i="3"/>
  <c r="R523" i="3"/>
  <c r="R522" i="3"/>
  <c r="R521" i="3"/>
  <c r="R520" i="3"/>
  <c r="R519" i="3"/>
  <c r="R513" i="3"/>
  <c r="R512" i="3"/>
  <c r="R511" i="3"/>
  <c r="R510" i="3"/>
  <c r="R509" i="3"/>
  <c r="R508" i="3"/>
  <c r="R507" i="3"/>
  <c r="R506" i="3"/>
  <c r="R296" i="3"/>
  <c r="R294" i="3"/>
  <c r="R295" i="3"/>
  <c r="R265" i="3"/>
  <c r="R264" i="3"/>
  <c r="R263" i="3"/>
  <c r="R262" i="3"/>
  <c r="R261" i="3"/>
  <c r="R260" i="3"/>
  <c r="R259" i="3"/>
  <c r="R258" i="3"/>
  <c r="R141" i="3"/>
  <c r="R140" i="3"/>
  <c r="R139" i="3"/>
  <c r="R138" i="3"/>
  <c r="R137" i="3"/>
  <c r="R136" i="3"/>
  <c r="R134" i="3"/>
  <c r="R203" i="3"/>
  <c r="R202" i="3"/>
  <c r="R201" i="3"/>
  <c r="R200" i="3"/>
  <c r="R199" i="3"/>
  <c r="R198" i="3"/>
  <c r="R197" i="3"/>
  <c r="R196" i="3"/>
  <c r="R204" i="3"/>
  <c r="R234" i="3"/>
  <c r="R232" i="3"/>
  <c r="R233" i="3"/>
  <c r="R215" i="3"/>
  <c r="R214" i="3"/>
  <c r="R213" i="3"/>
  <c r="R212" i="3"/>
  <c r="R211" i="3"/>
  <c r="R210" i="3"/>
  <c r="R209" i="3"/>
  <c r="K224" i="3"/>
  <c r="R230" i="3"/>
  <c r="R231" i="3"/>
  <c r="R172" i="3"/>
  <c r="R170" i="3"/>
  <c r="R171" i="3"/>
  <c r="R79" i="3"/>
  <c r="R78" i="3"/>
  <c r="R77" i="3"/>
  <c r="R76" i="3"/>
  <c r="R75" i="3"/>
  <c r="R74" i="3"/>
  <c r="R73" i="3"/>
  <c r="R72" i="3"/>
  <c r="R80" i="3"/>
  <c r="K1154" i="6"/>
  <c r="B162" i="6"/>
  <c r="I149" i="6"/>
  <c r="I148" i="6"/>
  <c r="I147" i="6"/>
  <c r="I137" i="6"/>
  <c r="I136" i="6"/>
  <c r="I135" i="6"/>
  <c r="B100" i="6"/>
  <c r="I87" i="6"/>
  <c r="I86" i="6"/>
  <c r="I85" i="6"/>
  <c r="I75" i="6"/>
  <c r="I74" i="6"/>
  <c r="I73" i="6"/>
  <c r="P1425" i="5"/>
  <c r="P1053" i="5"/>
  <c r="P991" i="5"/>
  <c r="Q953" i="5"/>
  <c r="P929" i="5"/>
  <c r="P681" i="5"/>
  <c r="P619" i="5"/>
  <c r="P557" i="5"/>
  <c r="P495" i="5"/>
  <c r="P433" i="5"/>
  <c r="P371" i="5"/>
  <c r="G867" i="5"/>
  <c r="G805" i="5"/>
  <c r="G743" i="5"/>
  <c r="G681" i="5"/>
  <c r="G619" i="5"/>
  <c r="G433" i="5"/>
  <c r="G371" i="5"/>
  <c r="G309" i="5"/>
  <c r="G247" i="5"/>
  <c r="G123" i="5"/>
  <c r="G61" i="5"/>
  <c r="G123" i="4"/>
  <c r="G61" i="4"/>
  <c r="Y619" i="3"/>
  <c r="P1363" i="3"/>
  <c r="P1239" i="3"/>
  <c r="P1115" i="3"/>
  <c r="P991" i="3"/>
  <c r="P743" i="3"/>
  <c r="P867" i="3"/>
  <c r="R836" i="3"/>
  <c r="R835" i="3"/>
  <c r="R834" i="3"/>
  <c r="R833" i="3"/>
  <c r="R832" i="3"/>
  <c r="R831" i="3"/>
  <c r="R830" i="3"/>
  <c r="R829" i="3"/>
  <c r="R706" i="3"/>
  <c r="R705" i="3"/>
  <c r="P495" i="3"/>
  <c r="P433" i="3"/>
  <c r="R383" i="3"/>
  <c r="R384" i="3"/>
  <c r="R385" i="3"/>
  <c r="P123" i="3"/>
  <c r="R110" i="3"/>
  <c r="R109" i="3"/>
  <c r="I1327" i="3"/>
  <c r="I1326" i="3"/>
  <c r="I1325" i="3"/>
  <c r="G1177" i="3"/>
  <c r="G929" i="3"/>
  <c r="G309" i="3"/>
  <c r="G247" i="3"/>
  <c r="G185" i="3"/>
  <c r="G123" i="3"/>
  <c r="G61" i="3"/>
  <c r="P247" i="2"/>
  <c r="P123" i="2"/>
  <c r="R86" i="2"/>
  <c r="R85" i="2"/>
  <c r="G309" i="2"/>
  <c r="I273" i="2"/>
  <c r="I272" i="2"/>
  <c r="I271" i="2"/>
  <c r="G247" i="2"/>
  <c r="G185" i="2"/>
  <c r="I212" i="2"/>
  <c r="I210" i="2"/>
  <c r="I209" i="2"/>
  <c r="G123" i="2"/>
  <c r="G61" i="2"/>
  <c r="P1611" i="1"/>
  <c r="P1549" i="1"/>
  <c r="P1487" i="1"/>
  <c r="P1425" i="1"/>
  <c r="P1363" i="1"/>
  <c r="P1301" i="1"/>
  <c r="P1239" i="1"/>
  <c r="R1189" i="1"/>
  <c r="R1190" i="1"/>
  <c r="P1177" i="1"/>
  <c r="R266" i="3"/>
  <c r="AA390" i="3"/>
  <c r="I1134" i="5"/>
  <c r="I1142" i="5"/>
  <c r="R638" i="6"/>
  <c r="R646" i="6"/>
  <c r="I80" i="6"/>
  <c r="I88" i="6"/>
  <c r="R638" i="3"/>
  <c r="R576" i="3"/>
  <c r="AA514" i="3"/>
  <c r="R656" i="6"/>
  <c r="R657" i="6"/>
  <c r="R659" i="6"/>
  <c r="R678" i="6"/>
  <c r="R679" i="6"/>
  <c r="AA638" i="3"/>
  <c r="AA646" i="3"/>
  <c r="AA656" i="3"/>
  <c r="AA657" i="3"/>
  <c r="AA659" i="3"/>
  <c r="I142" i="6"/>
  <c r="I150" i="6"/>
  <c r="I160" i="6"/>
  <c r="I161" i="6"/>
  <c r="R1230" i="5"/>
  <c r="R1227" i="5"/>
  <c r="R1235" i="5"/>
  <c r="I1258" i="5"/>
  <c r="I1266" i="5"/>
  <c r="I1320" i="5"/>
  <c r="I1328" i="5"/>
  <c r="I1377" i="5"/>
  <c r="I1375" i="5"/>
  <c r="I1196" i="5"/>
  <c r="I1204" i="5"/>
  <c r="AA780" i="3"/>
  <c r="AA781" i="3"/>
  <c r="AA783" i="3"/>
  <c r="AA801" i="3"/>
  <c r="AA328" i="3"/>
  <c r="AA677" i="3"/>
  <c r="AA532" i="3"/>
  <c r="AA533" i="3"/>
  <c r="AA535" i="3"/>
  <c r="AA266" i="3"/>
  <c r="AA553" i="3"/>
  <c r="AA408" i="3"/>
  <c r="AA409" i="3"/>
  <c r="AA411" i="3"/>
  <c r="AA204" i="3"/>
  <c r="AA429" i="3"/>
  <c r="AA284" i="3"/>
  <c r="AA305" i="3"/>
  <c r="AA142" i="3"/>
  <c r="AA160" i="3"/>
  <c r="AA181" i="3"/>
  <c r="AA18" i="3"/>
  <c r="AA27" i="3"/>
  <c r="AA36" i="3"/>
  <c r="AA37" i="3"/>
  <c r="AA39" i="3"/>
  <c r="AA57" i="3"/>
  <c r="R1258" i="3"/>
  <c r="R1267" i="3"/>
  <c r="R1276" i="3"/>
  <c r="R1277" i="3"/>
  <c r="R1279" i="3"/>
  <c r="R1297" i="3"/>
  <c r="R1010" i="3"/>
  <c r="R1019" i="3"/>
  <c r="R1028" i="3"/>
  <c r="R1029" i="3"/>
  <c r="R1031" i="3"/>
  <c r="R1134" i="3"/>
  <c r="R1143" i="3"/>
  <c r="R1152" i="3"/>
  <c r="R1153" i="3"/>
  <c r="R1155" i="3"/>
  <c r="R1173" i="3"/>
  <c r="R1049" i="3"/>
  <c r="R886" i="3"/>
  <c r="R895" i="3"/>
  <c r="R904" i="3"/>
  <c r="R905" i="3"/>
  <c r="R907" i="3"/>
  <c r="R925" i="3"/>
  <c r="R650" i="3"/>
  <c r="R762" i="3"/>
  <c r="R771" i="3"/>
  <c r="R780" i="3"/>
  <c r="R781" i="3"/>
  <c r="R783" i="3"/>
  <c r="R801" i="3"/>
  <c r="R216" i="3"/>
  <c r="R222" i="3"/>
  <c r="R223" i="3"/>
  <c r="R225" i="3"/>
  <c r="R514" i="3"/>
  <c r="R526" i="3"/>
  <c r="R588" i="3"/>
  <c r="P1115" i="1"/>
  <c r="P1053" i="1"/>
  <c r="P991" i="1"/>
  <c r="P929" i="1"/>
  <c r="P867" i="1"/>
  <c r="K906" i="1"/>
  <c r="R770" i="1"/>
  <c r="P805" i="1"/>
  <c r="R801" i="1"/>
  <c r="K782" i="1"/>
  <c r="R769" i="1"/>
  <c r="R768" i="1"/>
  <c r="R767" i="1"/>
  <c r="P755" i="1"/>
  <c r="P756" i="1"/>
  <c r="R756" i="1"/>
  <c r="R817" i="1"/>
  <c r="R818" i="1"/>
  <c r="R824" i="1"/>
  <c r="R831" i="1"/>
  <c r="R829" i="1"/>
  <c r="R830" i="1"/>
  <c r="K844" i="1"/>
  <c r="R850" i="1"/>
  <c r="R863" i="1"/>
  <c r="R879" i="1"/>
  <c r="R880" i="1"/>
  <c r="R891" i="1"/>
  <c r="R892" i="1"/>
  <c r="R925" i="1"/>
  <c r="K968" i="1"/>
  <c r="R1003" i="1"/>
  <c r="R1004" i="1"/>
  <c r="R1005" i="1"/>
  <c r="R1015" i="1"/>
  <c r="R1016" i="1"/>
  <c r="R1017" i="1"/>
  <c r="R1018" i="1"/>
  <c r="R1019" i="1"/>
  <c r="K1030" i="1"/>
  <c r="R1036" i="1"/>
  <c r="R1037" i="1"/>
  <c r="R1065" i="1"/>
  <c r="R1066" i="1"/>
  <c r="R1077" i="1"/>
  <c r="R1078" i="1"/>
  <c r="K1092" i="1"/>
  <c r="R1111" i="1"/>
  <c r="R1127" i="1"/>
  <c r="R1128" i="1"/>
  <c r="R1139" i="1"/>
  <c r="R1140" i="1"/>
  <c r="R1141" i="1"/>
  <c r="K1154" i="1"/>
  <c r="R1160" i="1"/>
  <c r="R1173" i="1"/>
  <c r="R1193" i="1"/>
  <c r="R1194" i="1"/>
  <c r="R1201" i="1"/>
  <c r="R1202" i="1"/>
  <c r="R1203" i="1"/>
  <c r="R1206" i="1"/>
  <c r="R1207" i="1"/>
  <c r="R1208" i="1"/>
  <c r="K1216" i="1"/>
  <c r="R1235" i="1"/>
  <c r="R1251" i="1"/>
  <c r="R1252" i="1"/>
  <c r="R1263" i="1"/>
  <c r="R1264" i="1"/>
  <c r="R1265" i="1"/>
  <c r="K1278" i="1"/>
  <c r="R1284" i="1"/>
  <c r="R1297" i="1"/>
  <c r="R1313" i="1"/>
  <c r="R1314" i="1"/>
  <c r="R1325" i="1"/>
  <c r="R1326" i="1"/>
  <c r="R1327" i="1"/>
  <c r="K1340" i="1"/>
  <c r="R1346" i="1"/>
  <c r="R1359" i="1"/>
  <c r="R1375" i="1"/>
  <c r="R1376" i="1"/>
  <c r="R1387" i="1"/>
  <c r="R1388" i="1"/>
  <c r="K1402" i="1"/>
  <c r="R1408" i="1"/>
  <c r="R1421" i="1"/>
  <c r="R1437" i="1"/>
  <c r="R1438" i="1"/>
  <c r="R1449" i="1"/>
  <c r="R1450" i="1"/>
  <c r="R1451" i="1"/>
  <c r="K1464" i="1"/>
  <c r="R1483" i="1"/>
  <c r="R1499" i="1"/>
  <c r="R1500" i="1"/>
  <c r="R1506" i="1"/>
  <c r="R1511" i="1"/>
  <c r="R1512" i="1"/>
  <c r="R1513" i="1"/>
  <c r="R1524" i="1"/>
  <c r="K1526" i="1"/>
  <c r="R1545" i="1"/>
  <c r="R1561" i="1"/>
  <c r="R1562" i="1"/>
  <c r="R1573" i="1"/>
  <c r="R1574" i="1"/>
  <c r="R1575" i="1"/>
  <c r="K1588" i="1"/>
  <c r="R1607" i="1"/>
  <c r="P743" i="1"/>
  <c r="P681" i="1"/>
  <c r="P619" i="1"/>
  <c r="P557" i="1"/>
  <c r="P495" i="1"/>
  <c r="P433" i="1"/>
  <c r="P371" i="1"/>
  <c r="P309" i="1"/>
  <c r="R272" i="1"/>
  <c r="R273" i="1"/>
  <c r="R274" i="1"/>
  <c r="R275" i="1"/>
  <c r="R276" i="1"/>
  <c r="R277" i="1"/>
  <c r="R278" i="1"/>
  <c r="P247" i="1"/>
  <c r="P185" i="1"/>
  <c r="P123" i="1"/>
  <c r="P61" i="1"/>
  <c r="G1549" i="1"/>
  <c r="G1425" i="1"/>
  <c r="G1301" i="1"/>
  <c r="G1239" i="1"/>
  <c r="I1016" i="1"/>
  <c r="I892" i="1"/>
  <c r="I891" i="1"/>
  <c r="G1177" i="1"/>
  <c r="G1115" i="1"/>
  <c r="G1053" i="1"/>
  <c r="G991" i="1"/>
  <c r="G929" i="1"/>
  <c r="G867" i="1"/>
  <c r="G805" i="1"/>
  <c r="G743" i="1"/>
  <c r="G681" i="1"/>
  <c r="G619" i="1"/>
  <c r="G557" i="1"/>
  <c r="G495" i="1"/>
  <c r="G433" i="1"/>
  <c r="G371" i="1"/>
  <c r="G309" i="1"/>
  <c r="G247" i="1"/>
  <c r="G185" i="1"/>
  <c r="G123" i="1"/>
  <c r="G61" i="1"/>
  <c r="I292" i="1"/>
  <c r="I273" i="1"/>
  <c r="I272" i="1"/>
  <c r="I271" i="1"/>
  <c r="G260" i="1"/>
  <c r="I260" i="1"/>
  <c r="I259" i="1"/>
  <c r="I230" i="1"/>
  <c r="I211" i="1"/>
  <c r="I210" i="1"/>
  <c r="I209" i="1"/>
  <c r="I199" i="1"/>
  <c r="I198" i="1"/>
  <c r="I197" i="1"/>
  <c r="I168" i="1"/>
  <c r="I149" i="1"/>
  <c r="I148" i="1"/>
  <c r="I147" i="1"/>
  <c r="I137" i="1"/>
  <c r="I136" i="1"/>
  <c r="I135" i="1"/>
  <c r="I106" i="1"/>
  <c r="R1525" i="1"/>
  <c r="R1527" i="1"/>
  <c r="R1546" i="1"/>
  <c r="R1196" i="1"/>
  <c r="R842" i="1"/>
  <c r="R843" i="1"/>
  <c r="R845" i="1"/>
  <c r="R680" i="6"/>
  <c r="R886" i="1"/>
  <c r="R893" i="1"/>
  <c r="R1214" i="1"/>
  <c r="R1215" i="1"/>
  <c r="R1217" i="1"/>
  <c r="R1236" i="1"/>
  <c r="G261" i="1"/>
  <c r="I261" i="1"/>
  <c r="R1462" i="1"/>
  <c r="R1444" i="1"/>
  <c r="R1338" i="1"/>
  <c r="R1152" i="1"/>
  <c r="R1072" i="1"/>
  <c r="R1079" i="1"/>
  <c r="R1010" i="1"/>
  <c r="R755" i="1"/>
  <c r="R681" i="6"/>
  <c r="R682" i="6"/>
  <c r="I1382" i="5"/>
  <c r="I1390" i="5"/>
  <c r="AA802" i="3"/>
  <c r="AA803" i="3"/>
  <c r="AA678" i="3"/>
  <c r="AA679" i="3"/>
  <c r="AA554" i="3"/>
  <c r="AA430" i="3"/>
  <c r="AA432" i="3"/>
  <c r="AA285" i="3"/>
  <c r="AA287" i="3"/>
  <c r="AA306" i="3"/>
  <c r="AA308" i="3"/>
  <c r="AA161" i="3"/>
  <c r="AA163" i="3"/>
  <c r="AA182" i="3"/>
  <c r="AA58" i="3"/>
  <c r="AA59" i="3"/>
  <c r="R1174" i="3"/>
  <c r="R1175" i="3"/>
  <c r="R1298" i="3"/>
  <c r="R1299" i="3"/>
  <c r="R1050" i="3"/>
  <c r="R1052" i="3"/>
  <c r="R926" i="3"/>
  <c r="R927" i="3"/>
  <c r="R802" i="3"/>
  <c r="R803" i="3"/>
  <c r="R1586" i="1"/>
  <c r="R1568" i="1"/>
  <c r="R1382" i="1"/>
  <c r="R1389" i="1"/>
  <c r="R1400" i="1"/>
  <c r="R1401" i="1"/>
  <c r="R1403" i="1"/>
  <c r="R1422" i="1"/>
  <c r="R1320" i="1"/>
  <c r="R1276" i="1"/>
  <c r="R1258" i="1"/>
  <c r="R1134" i="1"/>
  <c r="R1153" i="1"/>
  <c r="R1155" i="1"/>
  <c r="R1174" i="1"/>
  <c r="R1175" i="1"/>
  <c r="R1090" i="1"/>
  <c r="R1091" i="1"/>
  <c r="R1093" i="1"/>
  <c r="R1112" i="1"/>
  <c r="R1113" i="1"/>
  <c r="R1028" i="1"/>
  <c r="R1029" i="1"/>
  <c r="R1031" i="1"/>
  <c r="P757" i="1"/>
  <c r="R757" i="1"/>
  <c r="R1463" i="1"/>
  <c r="R1465" i="1"/>
  <c r="R1484" i="1"/>
  <c r="R864" i="1"/>
  <c r="R904" i="1"/>
  <c r="R905" i="1"/>
  <c r="R907" i="1"/>
  <c r="R926" i="1"/>
  <c r="R1038" i="1"/>
  <c r="R1049" i="1"/>
  <c r="P123" i="7"/>
  <c r="G123" i="7"/>
  <c r="I119" i="7"/>
  <c r="R107" i="7"/>
  <c r="R106" i="7"/>
  <c r="K100" i="7"/>
  <c r="B100" i="7"/>
  <c r="I88" i="7"/>
  <c r="I87" i="7"/>
  <c r="R86" i="7"/>
  <c r="R85" i="7"/>
  <c r="H85" i="7"/>
  <c r="I85" i="7"/>
  <c r="I75" i="7"/>
  <c r="R74" i="7"/>
  <c r="I74" i="7"/>
  <c r="R73" i="7"/>
  <c r="R80" i="7"/>
  <c r="R87" i="7"/>
  <c r="I73" i="7"/>
  <c r="I80" i="7"/>
  <c r="P61" i="7"/>
  <c r="G61" i="7"/>
  <c r="I57" i="7"/>
  <c r="R47" i="7"/>
  <c r="P46" i="7"/>
  <c r="R46" i="7"/>
  <c r="R45" i="7"/>
  <c r="R44" i="7"/>
  <c r="K38" i="7"/>
  <c r="B38" i="7"/>
  <c r="I25" i="7"/>
  <c r="R24" i="7"/>
  <c r="I24" i="7"/>
  <c r="R23" i="7"/>
  <c r="H23" i="7"/>
  <c r="I23" i="7"/>
  <c r="I13" i="7"/>
  <c r="R12" i="7"/>
  <c r="I12" i="7"/>
  <c r="R11" i="7"/>
  <c r="R18" i="7"/>
  <c r="R25" i="7"/>
  <c r="I11" i="7"/>
  <c r="I18" i="7"/>
  <c r="G1664" i="6"/>
  <c r="I1664" i="6"/>
  <c r="I1663" i="6"/>
  <c r="I1662" i="6"/>
  <c r="I1661" i="6"/>
  <c r="H1660" i="6"/>
  <c r="I1660" i="6"/>
  <c r="I1659" i="6"/>
  <c r="I1658" i="6"/>
  <c r="I1657" i="6"/>
  <c r="R1718" i="6"/>
  <c r="R1731" i="6"/>
  <c r="I1656" i="6"/>
  <c r="K1712" i="6"/>
  <c r="B1650" i="6"/>
  <c r="R1697" i="6"/>
  <c r="I1635" i="6"/>
  <c r="I1625" i="6"/>
  <c r="R1686" i="6"/>
  <c r="I1624" i="6"/>
  <c r="R1685" i="6"/>
  <c r="I1623" i="6"/>
  <c r="G1602" i="6"/>
  <c r="I1602" i="6"/>
  <c r="I1601" i="6"/>
  <c r="I1600" i="6"/>
  <c r="I1599" i="6"/>
  <c r="H1598" i="6"/>
  <c r="I1598" i="6"/>
  <c r="I1597" i="6"/>
  <c r="I1596" i="6"/>
  <c r="I1595" i="6"/>
  <c r="R1656" i="6"/>
  <c r="R1669" i="6"/>
  <c r="I1594" i="6"/>
  <c r="K1650" i="6"/>
  <c r="B1588" i="6"/>
  <c r="R1636" i="6"/>
  <c r="Q1635" i="6"/>
  <c r="R1635" i="6"/>
  <c r="I1573" i="6"/>
  <c r="I1563" i="6"/>
  <c r="R1624" i="6"/>
  <c r="I1562" i="6"/>
  <c r="R1623" i="6"/>
  <c r="I1561" i="6"/>
  <c r="G1540" i="6"/>
  <c r="I1540" i="6"/>
  <c r="I1539" i="6"/>
  <c r="I1538" i="6"/>
  <c r="I1537" i="6"/>
  <c r="H1536" i="6"/>
  <c r="I1536" i="6"/>
  <c r="I1535" i="6"/>
  <c r="I1534" i="6"/>
  <c r="I1533" i="6"/>
  <c r="R1594" i="6"/>
  <c r="R1607" i="6"/>
  <c r="I1532" i="6"/>
  <c r="B1526" i="6"/>
  <c r="I1511" i="6"/>
  <c r="I1501" i="6"/>
  <c r="R1562" i="6"/>
  <c r="I1500" i="6"/>
  <c r="R1561" i="6"/>
  <c r="I1499" i="6"/>
  <c r="G1478" i="6"/>
  <c r="I1478" i="6"/>
  <c r="I1477" i="6"/>
  <c r="I1476" i="6"/>
  <c r="I1475" i="6"/>
  <c r="H1474" i="6"/>
  <c r="I1474" i="6"/>
  <c r="I1473" i="6"/>
  <c r="I1472" i="6"/>
  <c r="I1471" i="6"/>
  <c r="R1532" i="6"/>
  <c r="R1545" i="6"/>
  <c r="I1470" i="6"/>
  <c r="K1526" i="6"/>
  <c r="B1464" i="6"/>
  <c r="I1449" i="6"/>
  <c r="I1439" i="6"/>
  <c r="R1500" i="6"/>
  <c r="I1438" i="6"/>
  <c r="R1499" i="6"/>
  <c r="I1437" i="6"/>
  <c r="H1409" i="6"/>
  <c r="I1409" i="6"/>
  <c r="R1470" i="6"/>
  <c r="R1483" i="6"/>
  <c r="I1408" i="6"/>
  <c r="I1411" i="6"/>
  <c r="K1464" i="6"/>
  <c r="B1402" i="6"/>
  <c r="R1449" i="6"/>
  <c r="I1387" i="6"/>
  <c r="I1377" i="6"/>
  <c r="R1438" i="6"/>
  <c r="I1376" i="6"/>
  <c r="R1437" i="6"/>
  <c r="I1375" i="6"/>
  <c r="I1352" i="6"/>
  <c r="I1353" i="6"/>
  <c r="I1351" i="6"/>
  <c r="I1349" i="6"/>
  <c r="I1350" i="6"/>
  <c r="I1348" i="6"/>
  <c r="I1347" i="6"/>
  <c r="R1408" i="6"/>
  <c r="R1421" i="6"/>
  <c r="I1346" i="6"/>
  <c r="K1402" i="6"/>
  <c r="B1340" i="6"/>
  <c r="I1328" i="6"/>
  <c r="I1327" i="6"/>
  <c r="I1326" i="6"/>
  <c r="R1387" i="6"/>
  <c r="I1325" i="6"/>
  <c r="I1315" i="6"/>
  <c r="R1376" i="6"/>
  <c r="I1314" i="6"/>
  <c r="R1375" i="6"/>
  <c r="I1313" i="6"/>
  <c r="P1355" i="6"/>
  <c r="R1355" i="6"/>
  <c r="R1354" i="6"/>
  <c r="R1353" i="6"/>
  <c r="R1352" i="6"/>
  <c r="R1351" i="6"/>
  <c r="Q1350" i="6"/>
  <c r="R1350" i="6"/>
  <c r="R1349" i="6"/>
  <c r="R1348" i="6"/>
  <c r="I1286" i="6"/>
  <c r="R1347" i="6"/>
  <c r="I1285" i="6"/>
  <c r="R1346" i="6"/>
  <c r="I1284" i="6"/>
  <c r="K1340" i="6"/>
  <c r="R1325" i="6"/>
  <c r="I1263" i="6"/>
  <c r="R1315" i="6"/>
  <c r="I1253" i="6"/>
  <c r="R1314" i="6"/>
  <c r="I1252" i="6"/>
  <c r="R1313" i="6"/>
  <c r="I1251" i="6"/>
  <c r="P1293" i="6"/>
  <c r="R1293" i="6"/>
  <c r="R1292" i="6"/>
  <c r="R1291" i="6"/>
  <c r="R1290" i="6"/>
  <c r="R1289" i="6"/>
  <c r="Q1288" i="6"/>
  <c r="R1288" i="6"/>
  <c r="R1287" i="6"/>
  <c r="R1286" i="6"/>
  <c r="I1224" i="6"/>
  <c r="R1285" i="6"/>
  <c r="I1223" i="6"/>
  <c r="R1284" i="6"/>
  <c r="I1222" i="6"/>
  <c r="K1278" i="6"/>
  <c r="R1263" i="6"/>
  <c r="I1201" i="6"/>
  <c r="R1253" i="6"/>
  <c r="I1191" i="6"/>
  <c r="R1252" i="6"/>
  <c r="I1190" i="6"/>
  <c r="R1251" i="6"/>
  <c r="I1189" i="6"/>
  <c r="I1162" i="6"/>
  <c r="I1161" i="6"/>
  <c r="R1222" i="6"/>
  <c r="I1160" i="6"/>
  <c r="K1216" i="6"/>
  <c r="B1154" i="6"/>
  <c r="R1201" i="6"/>
  <c r="I1139" i="6"/>
  <c r="I1129" i="6"/>
  <c r="R1190" i="6"/>
  <c r="I1128" i="6"/>
  <c r="R1189" i="6"/>
  <c r="I1127" i="6"/>
  <c r="R1165" i="6"/>
  <c r="R1164" i="6"/>
  <c r="R1163" i="6"/>
  <c r="R1162" i="6"/>
  <c r="R1161" i="6"/>
  <c r="R1160" i="6"/>
  <c r="I1098" i="6"/>
  <c r="I1111" i="6"/>
  <c r="B1092" i="6"/>
  <c r="R1141" i="6"/>
  <c r="R1140" i="6"/>
  <c r="R1139" i="6"/>
  <c r="I1077" i="6"/>
  <c r="R1129" i="6"/>
  <c r="I1067" i="6"/>
  <c r="R1128" i="6"/>
  <c r="I1066" i="6"/>
  <c r="R1127" i="6"/>
  <c r="I1065" i="6"/>
  <c r="I1046" i="6"/>
  <c r="I1045" i="6"/>
  <c r="G1044" i="6"/>
  <c r="I1044" i="6"/>
  <c r="G1043" i="6"/>
  <c r="I1043" i="6"/>
  <c r="I1042" i="6"/>
  <c r="R1103" i="6"/>
  <c r="I1041" i="6"/>
  <c r="R1102" i="6"/>
  <c r="I1040" i="6"/>
  <c r="R1101" i="6"/>
  <c r="I1039" i="6"/>
  <c r="R1100" i="6"/>
  <c r="I1038" i="6"/>
  <c r="R1099" i="6"/>
  <c r="I1037" i="6"/>
  <c r="R1098" i="6"/>
  <c r="I1036" i="6"/>
  <c r="K1092" i="6"/>
  <c r="B1030" i="6"/>
  <c r="I1018" i="6"/>
  <c r="R1079" i="6"/>
  <c r="I1017" i="6"/>
  <c r="R1078" i="6"/>
  <c r="I1016" i="6"/>
  <c r="R1077" i="6"/>
  <c r="I1015" i="6"/>
  <c r="R1067" i="6"/>
  <c r="I1005" i="6"/>
  <c r="R1066" i="6"/>
  <c r="I1004" i="6"/>
  <c r="R1065" i="6"/>
  <c r="I1003" i="6"/>
  <c r="G983" i="6"/>
  <c r="I983" i="6"/>
  <c r="G982" i="6"/>
  <c r="I982" i="6"/>
  <c r="G981" i="6"/>
  <c r="I981" i="6"/>
  <c r="G980" i="6"/>
  <c r="I980" i="6"/>
  <c r="G979" i="6"/>
  <c r="I979" i="6"/>
  <c r="G978" i="6"/>
  <c r="I978" i="6"/>
  <c r="R1039" i="6"/>
  <c r="G977" i="6"/>
  <c r="I977" i="6"/>
  <c r="R1038" i="6"/>
  <c r="G976" i="6"/>
  <c r="I976" i="6"/>
  <c r="R1037" i="6"/>
  <c r="G975" i="6"/>
  <c r="I975" i="6"/>
  <c r="R1036" i="6"/>
  <c r="G974" i="6"/>
  <c r="I974" i="6"/>
  <c r="K1030" i="6"/>
  <c r="B968" i="6"/>
  <c r="I956" i="6"/>
  <c r="R1017" i="6"/>
  <c r="I955" i="6"/>
  <c r="R1016" i="6"/>
  <c r="I954" i="6"/>
  <c r="R1015" i="6"/>
  <c r="I953" i="6"/>
  <c r="R1005" i="6"/>
  <c r="I943" i="6"/>
  <c r="R1004" i="6"/>
  <c r="I942" i="6"/>
  <c r="R1003" i="6"/>
  <c r="I941" i="6"/>
  <c r="R978" i="6"/>
  <c r="R977" i="6"/>
  <c r="R976" i="6"/>
  <c r="R975" i="6"/>
  <c r="I913" i="6"/>
  <c r="R974" i="6"/>
  <c r="I912" i="6"/>
  <c r="K968" i="6"/>
  <c r="B906" i="6"/>
  <c r="R955" i="6"/>
  <c r="R954" i="6"/>
  <c r="R953" i="6"/>
  <c r="R943" i="6"/>
  <c r="R942" i="6"/>
  <c r="I880" i="6"/>
  <c r="R941" i="6"/>
  <c r="I879" i="6"/>
  <c r="I852" i="6"/>
  <c r="I851" i="6"/>
  <c r="R912" i="6"/>
  <c r="R925" i="6"/>
  <c r="I850" i="6"/>
  <c r="K906" i="6"/>
  <c r="B844" i="6"/>
  <c r="I830" i="6"/>
  <c r="R891" i="6"/>
  <c r="I829" i="6"/>
  <c r="I819" i="6"/>
  <c r="I818" i="6"/>
  <c r="R880" i="6"/>
  <c r="I817" i="6"/>
  <c r="G796" i="6"/>
  <c r="I796" i="6"/>
  <c r="G795" i="6"/>
  <c r="I795" i="6"/>
  <c r="I794" i="6"/>
  <c r="I793" i="6"/>
  <c r="I792" i="6"/>
  <c r="I791" i="6"/>
  <c r="I790" i="6"/>
  <c r="Q851" i="6"/>
  <c r="R851" i="6"/>
  <c r="I789" i="6"/>
  <c r="R850" i="6"/>
  <c r="I788" i="6"/>
  <c r="K844" i="6"/>
  <c r="B782" i="6"/>
  <c r="I768" i="6"/>
  <c r="R829" i="6"/>
  <c r="I767" i="6"/>
  <c r="I757" i="6"/>
  <c r="I756" i="6"/>
  <c r="R819" i="6"/>
  <c r="I755" i="6"/>
  <c r="R801" i="6"/>
  <c r="I726" i="6"/>
  <c r="I739" i="6"/>
  <c r="K782" i="6"/>
  <c r="B720" i="6"/>
  <c r="P767" i="6"/>
  <c r="R767" i="6"/>
  <c r="I705" i="6"/>
  <c r="I695" i="6"/>
  <c r="I694" i="6"/>
  <c r="R757" i="6"/>
  <c r="I693" i="6"/>
  <c r="G670" i="6"/>
  <c r="I670" i="6"/>
  <c r="G669" i="6"/>
  <c r="I669" i="6"/>
  <c r="I668" i="6"/>
  <c r="I667" i="6"/>
  <c r="I666" i="6"/>
  <c r="I665" i="6"/>
  <c r="R726" i="6"/>
  <c r="R739" i="6"/>
  <c r="I664" i="6"/>
  <c r="K720" i="6"/>
  <c r="B658" i="6"/>
  <c r="I644" i="6"/>
  <c r="P705" i="6"/>
  <c r="R705" i="6"/>
  <c r="I643" i="6"/>
  <c r="I633" i="6"/>
  <c r="I632" i="6"/>
  <c r="P693" i="6"/>
  <c r="R693" i="6"/>
  <c r="I631" i="6"/>
  <c r="R604" i="6"/>
  <c r="R602" i="6"/>
  <c r="I602" i="6"/>
  <c r="I615" i="6"/>
  <c r="K596" i="6"/>
  <c r="B596" i="6"/>
  <c r="R583" i="6"/>
  <c r="R582" i="6"/>
  <c r="R581" i="6"/>
  <c r="I581" i="6"/>
  <c r="I571" i="6"/>
  <c r="R570" i="6"/>
  <c r="I570" i="6"/>
  <c r="R569" i="6"/>
  <c r="I569" i="6"/>
  <c r="G546" i="6"/>
  <c r="I546" i="6"/>
  <c r="G545" i="6"/>
  <c r="I545" i="6"/>
  <c r="I544" i="6"/>
  <c r="I543" i="6"/>
  <c r="I542" i="6"/>
  <c r="I541" i="6"/>
  <c r="R540" i="6"/>
  <c r="I540" i="6"/>
  <c r="K534" i="6"/>
  <c r="B534" i="6"/>
  <c r="I520" i="6"/>
  <c r="R519" i="6"/>
  <c r="I519" i="6"/>
  <c r="R509" i="6"/>
  <c r="I509" i="6"/>
  <c r="R508" i="6"/>
  <c r="I508" i="6"/>
  <c r="R507" i="6"/>
  <c r="I507" i="6"/>
  <c r="I483" i="6"/>
  <c r="I482" i="6"/>
  <c r="I481" i="6"/>
  <c r="I480" i="6"/>
  <c r="H479" i="6"/>
  <c r="I479" i="6"/>
  <c r="R478" i="6"/>
  <c r="R479" i="6"/>
  <c r="R491" i="6"/>
  <c r="I478" i="6"/>
  <c r="K472" i="6"/>
  <c r="B472" i="6"/>
  <c r="I460" i="6"/>
  <c r="I459" i="6"/>
  <c r="I458" i="6"/>
  <c r="R457" i="6"/>
  <c r="I457" i="6"/>
  <c r="R447" i="6"/>
  <c r="I447" i="6"/>
  <c r="R446" i="6"/>
  <c r="I446" i="6"/>
  <c r="R445" i="6"/>
  <c r="I445" i="6"/>
  <c r="I421" i="6"/>
  <c r="I420" i="6"/>
  <c r="I419" i="6"/>
  <c r="I418" i="6"/>
  <c r="H417" i="6"/>
  <c r="I417" i="6"/>
  <c r="R416" i="6"/>
  <c r="R417" i="6"/>
  <c r="R429" i="6"/>
  <c r="I416" i="6"/>
  <c r="K410" i="6"/>
  <c r="B410" i="6"/>
  <c r="I401" i="6"/>
  <c r="I400" i="6"/>
  <c r="I399" i="6"/>
  <c r="I398" i="6"/>
  <c r="I397" i="6"/>
  <c r="I396" i="6"/>
  <c r="R395" i="6"/>
  <c r="I395" i="6"/>
  <c r="R385" i="6"/>
  <c r="I385" i="6"/>
  <c r="R384" i="6"/>
  <c r="I384" i="6"/>
  <c r="R383" i="6"/>
  <c r="R390" i="6"/>
  <c r="R396" i="6"/>
  <c r="I383" i="6"/>
  <c r="P362" i="6"/>
  <c r="R362" i="6"/>
  <c r="R361" i="6"/>
  <c r="R360" i="6"/>
  <c r="R359" i="6"/>
  <c r="Q358" i="6"/>
  <c r="R358" i="6"/>
  <c r="R357" i="6"/>
  <c r="R356" i="6"/>
  <c r="R355" i="6"/>
  <c r="R354" i="6"/>
  <c r="I354" i="6"/>
  <c r="I355" i="6"/>
  <c r="K348" i="6"/>
  <c r="B348" i="6"/>
  <c r="R333" i="6"/>
  <c r="I333" i="6"/>
  <c r="R323" i="6"/>
  <c r="I323" i="6"/>
  <c r="R322" i="6"/>
  <c r="I322" i="6"/>
  <c r="R321" i="6"/>
  <c r="I321" i="6"/>
  <c r="P300" i="6"/>
  <c r="R300" i="6"/>
  <c r="R299" i="6"/>
  <c r="R298" i="6"/>
  <c r="R297" i="6"/>
  <c r="Q296" i="6"/>
  <c r="R296" i="6"/>
  <c r="R295" i="6"/>
  <c r="R294" i="6"/>
  <c r="R293" i="6"/>
  <c r="R292" i="6"/>
  <c r="I292" i="6"/>
  <c r="I293" i="6"/>
  <c r="I305" i="6"/>
  <c r="K286" i="6"/>
  <c r="B286" i="6"/>
  <c r="R271" i="6"/>
  <c r="I271" i="6"/>
  <c r="R261" i="6"/>
  <c r="I261" i="6"/>
  <c r="R260" i="6"/>
  <c r="I260" i="6"/>
  <c r="R259" i="6"/>
  <c r="I259" i="6"/>
  <c r="P238" i="6"/>
  <c r="R238" i="6"/>
  <c r="R237" i="6"/>
  <c r="R236" i="6"/>
  <c r="R235" i="6"/>
  <c r="Q234" i="6"/>
  <c r="R234" i="6"/>
  <c r="R233" i="6"/>
  <c r="R232" i="6"/>
  <c r="R231" i="6"/>
  <c r="R230" i="6"/>
  <c r="I230" i="6"/>
  <c r="I231" i="6"/>
  <c r="K224" i="6"/>
  <c r="B224" i="6"/>
  <c r="R209" i="6"/>
  <c r="I209" i="6"/>
  <c r="R199" i="6"/>
  <c r="I199" i="6"/>
  <c r="R198" i="6"/>
  <c r="I198" i="6"/>
  <c r="R197" i="6"/>
  <c r="I197" i="6"/>
  <c r="P176" i="6"/>
  <c r="R176" i="6"/>
  <c r="R175" i="6"/>
  <c r="R174" i="6"/>
  <c r="R173" i="6"/>
  <c r="G173" i="6"/>
  <c r="I173" i="6"/>
  <c r="Q172" i="6"/>
  <c r="R172" i="6"/>
  <c r="I172" i="6"/>
  <c r="R171" i="6"/>
  <c r="I171" i="6"/>
  <c r="R170" i="6"/>
  <c r="I170" i="6"/>
  <c r="R169" i="6"/>
  <c r="I169" i="6"/>
  <c r="R168" i="6"/>
  <c r="I168" i="6"/>
  <c r="K162" i="6"/>
  <c r="R147" i="6"/>
  <c r="R137" i="6"/>
  <c r="R136" i="6"/>
  <c r="R135" i="6"/>
  <c r="P114" i="6"/>
  <c r="R114" i="6"/>
  <c r="R113" i="6"/>
  <c r="R112" i="6"/>
  <c r="R111" i="6"/>
  <c r="Q110" i="6"/>
  <c r="R110" i="6"/>
  <c r="R109" i="6"/>
  <c r="I109" i="6"/>
  <c r="R108" i="6"/>
  <c r="I108" i="6"/>
  <c r="R107" i="6"/>
  <c r="I107" i="6"/>
  <c r="R106" i="6"/>
  <c r="I106" i="6"/>
  <c r="K100" i="6"/>
  <c r="R85" i="6"/>
  <c r="R75" i="6"/>
  <c r="R74" i="6"/>
  <c r="R73" i="6"/>
  <c r="P52" i="6"/>
  <c r="R52" i="6"/>
  <c r="R51" i="6"/>
  <c r="R50" i="6"/>
  <c r="R49" i="6"/>
  <c r="G49" i="6"/>
  <c r="I49" i="6"/>
  <c r="Q48" i="6"/>
  <c r="R48" i="6"/>
  <c r="I48" i="6"/>
  <c r="R47" i="6"/>
  <c r="I47" i="6"/>
  <c r="R46" i="6"/>
  <c r="I46" i="6"/>
  <c r="R45" i="6"/>
  <c r="I45" i="6"/>
  <c r="R44" i="6"/>
  <c r="I44" i="6"/>
  <c r="I57" i="6"/>
  <c r="K38" i="6"/>
  <c r="B38" i="6"/>
  <c r="I25" i="6"/>
  <c r="I24" i="6"/>
  <c r="R23" i="6"/>
  <c r="I23" i="6"/>
  <c r="R13" i="6"/>
  <c r="I13" i="6"/>
  <c r="R12" i="6"/>
  <c r="I12" i="6"/>
  <c r="R11" i="6"/>
  <c r="I11" i="6"/>
  <c r="I1669" i="5"/>
  <c r="I1637" i="5"/>
  <c r="I1636" i="5"/>
  <c r="I1635" i="5"/>
  <c r="I1625" i="5"/>
  <c r="I1624" i="5"/>
  <c r="I1623" i="5"/>
  <c r="I1607" i="5"/>
  <c r="R1532" i="5"/>
  <c r="K1526" i="5"/>
  <c r="I1575" i="5"/>
  <c r="I1574" i="5"/>
  <c r="R1511" i="5"/>
  <c r="R1524" i="5"/>
  <c r="I1573" i="5"/>
  <c r="I1563" i="5"/>
  <c r="I1562" i="5"/>
  <c r="R1499" i="5"/>
  <c r="R1501" i="5"/>
  <c r="I1561" i="5"/>
  <c r="I1535" i="5"/>
  <c r="R1472" i="5"/>
  <c r="I1534" i="5"/>
  <c r="I1533" i="5"/>
  <c r="R1470" i="5"/>
  <c r="R1462" i="5"/>
  <c r="I1513" i="5"/>
  <c r="I1512" i="5"/>
  <c r="I1511" i="5"/>
  <c r="R1439" i="5"/>
  <c r="R1438" i="5"/>
  <c r="R1437" i="5"/>
  <c r="I1500" i="5"/>
  <c r="N1431" i="5"/>
  <c r="K1464" i="5"/>
  <c r="I1473" i="5"/>
  <c r="R1410" i="5"/>
  <c r="I1472" i="5"/>
  <c r="I1471" i="5"/>
  <c r="R1408" i="5"/>
  <c r="R1400" i="5"/>
  <c r="I1451" i="5"/>
  <c r="I1450" i="5"/>
  <c r="I1449" i="5"/>
  <c r="R1377" i="5"/>
  <c r="R1376" i="5"/>
  <c r="R1375" i="5"/>
  <c r="I1438" i="5"/>
  <c r="N1369" i="5"/>
  <c r="K1402" i="5"/>
  <c r="E1431" i="5"/>
  <c r="B1464" i="5"/>
  <c r="P1355" i="5"/>
  <c r="R1355" i="5"/>
  <c r="P1354" i="5"/>
  <c r="R1354" i="5"/>
  <c r="R1353" i="5"/>
  <c r="R1352" i="5"/>
  <c r="R1351" i="5"/>
  <c r="R1350" i="5"/>
  <c r="R1349" i="5"/>
  <c r="I1411" i="5"/>
  <c r="R1348" i="5"/>
  <c r="I1410" i="5"/>
  <c r="Q1347" i="5"/>
  <c r="R1347" i="5"/>
  <c r="I1409" i="5"/>
  <c r="R1346" i="5"/>
  <c r="R1345" i="5"/>
  <c r="K1339" i="5"/>
  <c r="R1330" i="5"/>
  <c r="R1329" i="5"/>
  <c r="R1328" i="5"/>
  <c r="R1327" i="5"/>
  <c r="R1326" i="5"/>
  <c r="Q1325" i="5"/>
  <c r="R1325" i="5"/>
  <c r="R1318" i="5"/>
  <c r="R1317" i="5"/>
  <c r="R1315" i="5"/>
  <c r="R1314" i="5"/>
  <c r="R1313" i="5"/>
  <c r="E1369" i="5"/>
  <c r="B1402" i="5"/>
  <c r="I1349" i="5"/>
  <c r="I1348" i="5"/>
  <c r="I1347" i="5"/>
  <c r="R1284" i="5"/>
  <c r="R1297" i="5"/>
  <c r="R1263" i="5"/>
  <c r="R1252" i="5"/>
  <c r="R1251" i="5"/>
  <c r="B1340" i="5"/>
  <c r="I1287" i="5"/>
  <c r="I1286" i="5"/>
  <c r="I1285" i="5"/>
  <c r="R1206" i="5"/>
  <c r="R1205" i="5"/>
  <c r="R1204" i="5"/>
  <c r="R1203" i="5"/>
  <c r="R1202" i="5"/>
  <c r="R1201" i="5"/>
  <c r="R1191" i="5"/>
  <c r="R1190" i="5"/>
  <c r="R1189" i="5"/>
  <c r="B1278" i="5"/>
  <c r="I1235" i="5"/>
  <c r="B1216" i="5"/>
  <c r="I1173" i="5"/>
  <c r="R1160" i="5"/>
  <c r="R1161" i="5"/>
  <c r="R1173" i="5"/>
  <c r="R1142" i="5"/>
  <c r="R1141" i="5"/>
  <c r="R1140" i="5"/>
  <c r="R1139" i="5"/>
  <c r="R1129" i="5"/>
  <c r="R1128" i="5"/>
  <c r="R1127" i="5"/>
  <c r="B1154" i="5"/>
  <c r="I1111" i="5"/>
  <c r="R1101" i="5"/>
  <c r="R1100" i="5"/>
  <c r="R1099" i="5"/>
  <c r="R1098" i="5"/>
  <c r="K1092" i="5"/>
  <c r="R1078" i="5"/>
  <c r="R1077" i="5"/>
  <c r="R1067" i="5"/>
  <c r="R1066" i="5"/>
  <c r="I1066" i="5"/>
  <c r="R1065" i="5"/>
  <c r="I1065" i="5"/>
  <c r="I1067" i="5"/>
  <c r="B1092" i="5"/>
  <c r="I1049" i="5"/>
  <c r="R1036" i="5"/>
  <c r="R1049" i="5"/>
  <c r="K1030" i="5"/>
  <c r="R1005" i="5"/>
  <c r="R1004" i="5"/>
  <c r="R1003" i="5"/>
  <c r="I1004" i="5"/>
  <c r="B1030" i="5"/>
  <c r="I987" i="5"/>
  <c r="R980" i="5"/>
  <c r="R979" i="5"/>
  <c r="R978" i="5"/>
  <c r="Q977" i="5"/>
  <c r="R977" i="5"/>
  <c r="R976" i="5"/>
  <c r="R975" i="5"/>
  <c r="R974" i="5"/>
  <c r="K968" i="5"/>
  <c r="R955" i="5"/>
  <c r="I955" i="5"/>
  <c r="R954" i="5"/>
  <c r="I954" i="5"/>
  <c r="R953" i="5"/>
  <c r="I953" i="5"/>
  <c r="R943" i="5"/>
  <c r="R942" i="5"/>
  <c r="R941" i="5"/>
  <c r="I943" i="5"/>
  <c r="B968" i="5"/>
  <c r="R917" i="5"/>
  <c r="R916" i="5"/>
  <c r="R915" i="5"/>
  <c r="G915" i="5"/>
  <c r="I915" i="5"/>
  <c r="R914" i="5"/>
  <c r="I914" i="5"/>
  <c r="R913" i="5"/>
  <c r="I913" i="5"/>
  <c r="R912" i="5"/>
  <c r="I912" i="5"/>
  <c r="K906" i="5"/>
  <c r="B906" i="5"/>
  <c r="R893" i="5"/>
  <c r="R892" i="5"/>
  <c r="I892" i="5"/>
  <c r="Q891" i="5"/>
  <c r="R891" i="5"/>
  <c r="I891" i="5"/>
  <c r="R881" i="5"/>
  <c r="I881" i="5"/>
  <c r="R880" i="5"/>
  <c r="I880" i="5"/>
  <c r="R879" i="5"/>
  <c r="I879" i="5"/>
  <c r="G853" i="5"/>
  <c r="I853" i="5"/>
  <c r="I852" i="5"/>
  <c r="I851" i="5"/>
  <c r="R850" i="5"/>
  <c r="R863" i="5"/>
  <c r="I850" i="5"/>
  <c r="K844" i="5"/>
  <c r="B844" i="5"/>
  <c r="I830" i="5"/>
  <c r="I829" i="5"/>
  <c r="R819" i="5"/>
  <c r="I819" i="5"/>
  <c r="R818" i="5"/>
  <c r="I818" i="5"/>
  <c r="R817" i="5"/>
  <c r="I817" i="5"/>
  <c r="R793" i="5"/>
  <c r="R792" i="5"/>
  <c r="Q791" i="5"/>
  <c r="R791" i="5"/>
  <c r="R790" i="5"/>
  <c r="R789" i="5"/>
  <c r="R788" i="5"/>
  <c r="I788" i="5"/>
  <c r="I801" i="5"/>
  <c r="K782" i="5"/>
  <c r="B782" i="5"/>
  <c r="R769" i="5"/>
  <c r="R768" i="5"/>
  <c r="R767" i="5"/>
  <c r="R757" i="5"/>
  <c r="I757" i="5"/>
  <c r="R756" i="5"/>
  <c r="I756" i="5"/>
  <c r="R755" i="5"/>
  <c r="I755" i="5"/>
  <c r="R731" i="5"/>
  <c r="R730" i="5"/>
  <c r="Q729" i="5"/>
  <c r="R729" i="5"/>
  <c r="R728" i="5"/>
  <c r="R727" i="5"/>
  <c r="R726" i="5"/>
  <c r="I726" i="5"/>
  <c r="I739" i="5"/>
  <c r="K720" i="5"/>
  <c r="B720" i="5"/>
  <c r="R707" i="5"/>
  <c r="R706" i="5"/>
  <c r="R705" i="5"/>
  <c r="R695" i="5"/>
  <c r="I695" i="5"/>
  <c r="R694" i="5"/>
  <c r="I694" i="5"/>
  <c r="R693" i="5"/>
  <c r="I693" i="5"/>
  <c r="I673" i="5"/>
  <c r="I672" i="5"/>
  <c r="I671" i="5"/>
  <c r="I670" i="5"/>
  <c r="R669" i="5"/>
  <c r="G669" i="5"/>
  <c r="I669" i="5"/>
  <c r="R668" i="5"/>
  <c r="I668" i="5"/>
  <c r="Q667" i="5"/>
  <c r="R667" i="5"/>
  <c r="I667" i="5"/>
  <c r="R666" i="5"/>
  <c r="I666" i="5"/>
  <c r="R665" i="5"/>
  <c r="I665" i="5"/>
  <c r="R664" i="5"/>
  <c r="K658" i="5"/>
  <c r="B658" i="5"/>
  <c r="I647" i="5"/>
  <c r="I646" i="5"/>
  <c r="R645" i="5"/>
  <c r="I645" i="5"/>
  <c r="R644" i="5"/>
  <c r="I644" i="5"/>
  <c r="Q643" i="5"/>
  <c r="R643" i="5"/>
  <c r="H643" i="5"/>
  <c r="I643" i="5"/>
  <c r="R633" i="5"/>
  <c r="I633" i="5"/>
  <c r="R632" i="5"/>
  <c r="I632" i="5"/>
  <c r="R631" i="5"/>
  <c r="I631" i="5"/>
  <c r="R607" i="5"/>
  <c r="R606" i="5"/>
  <c r="Q605" i="5"/>
  <c r="R605" i="5"/>
  <c r="R604" i="5"/>
  <c r="R603" i="5"/>
  <c r="R602" i="5"/>
  <c r="B596" i="5"/>
  <c r="R582" i="5"/>
  <c r="Q581" i="5"/>
  <c r="R581" i="5"/>
  <c r="R571" i="5"/>
  <c r="R570" i="5"/>
  <c r="R569" i="5"/>
  <c r="N563" i="5"/>
  <c r="K596" i="5"/>
  <c r="R540" i="5"/>
  <c r="I540" i="5"/>
  <c r="I553" i="5"/>
  <c r="K534" i="5"/>
  <c r="B534" i="5"/>
  <c r="R519" i="5"/>
  <c r="I519" i="5"/>
  <c r="R509" i="5"/>
  <c r="R508" i="5"/>
  <c r="I508" i="5"/>
  <c r="R507" i="5"/>
  <c r="I507" i="5"/>
  <c r="I480" i="5"/>
  <c r="I479" i="5"/>
  <c r="R478" i="5"/>
  <c r="R479" i="5"/>
  <c r="R491" i="5"/>
  <c r="I478" i="5"/>
  <c r="K472" i="5"/>
  <c r="B472" i="5"/>
  <c r="R457" i="5"/>
  <c r="R447" i="5"/>
  <c r="R446" i="5"/>
  <c r="I446" i="5"/>
  <c r="R445" i="5"/>
  <c r="I445" i="5"/>
  <c r="I419" i="5"/>
  <c r="I418" i="5"/>
  <c r="I417" i="5"/>
  <c r="R416" i="5"/>
  <c r="I416" i="5"/>
  <c r="K410" i="5"/>
  <c r="R395" i="5"/>
  <c r="I395" i="5"/>
  <c r="R385" i="5"/>
  <c r="R384" i="5"/>
  <c r="I384" i="5"/>
  <c r="R383" i="5"/>
  <c r="I383" i="5"/>
  <c r="G357" i="5"/>
  <c r="I357" i="5"/>
  <c r="I356" i="5"/>
  <c r="G355" i="5"/>
  <c r="I355" i="5"/>
  <c r="R354" i="5"/>
  <c r="R355" i="5"/>
  <c r="G354" i="5"/>
  <c r="I354" i="5"/>
  <c r="K348" i="5"/>
  <c r="I334" i="5"/>
  <c r="I333" i="5"/>
  <c r="R323" i="5"/>
  <c r="I323" i="5"/>
  <c r="R322" i="5"/>
  <c r="I322" i="5"/>
  <c r="R321" i="5"/>
  <c r="I321" i="5"/>
  <c r="E315" i="5"/>
  <c r="B348" i="5"/>
  <c r="R305" i="5"/>
  <c r="G295" i="5"/>
  <c r="I295" i="5"/>
  <c r="I294" i="5"/>
  <c r="G293" i="5"/>
  <c r="I293" i="5"/>
  <c r="G292" i="5"/>
  <c r="I292" i="5"/>
  <c r="K286" i="5"/>
  <c r="R272" i="5"/>
  <c r="I272" i="5"/>
  <c r="R271" i="5"/>
  <c r="I271" i="5"/>
  <c r="R261" i="5"/>
  <c r="I261" i="5"/>
  <c r="R260" i="5"/>
  <c r="I260" i="5"/>
  <c r="R259" i="5"/>
  <c r="I259" i="5"/>
  <c r="R243" i="5"/>
  <c r="G233" i="5"/>
  <c r="I233" i="5"/>
  <c r="I232" i="5"/>
  <c r="G231" i="5"/>
  <c r="I231" i="5"/>
  <c r="G230" i="5"/>
  <c r="I230" i="5"/>
  <c r="I210" i="5"/>
  <c r="R209" i="5"/>
  <c r="I209" i="5"/>
  <c r="R199" i="5"/>
  <c r="I199" i="5"/>
  <c r="R198" i="5"/>
  <c r="I198" i="5"/>
  <c r="R197" i="5"/>
  <c r="I197" i="5"/>
  <c r="N191" i="5"/>
  <c r="K224" i="5"/>
  <c r="R181" i="5"/>
  <c r="G171" i="5"/>
  <c r="I171" i="5"/>
  <c r="I170" i="5"/>
  <c r="G169" i="5"/>
  <c r="I169" i="5"/>
  <c r="G168" i="5"/>
  <c r="I168" i="5"/>
  <c r="I148" i="5"/>
  <c r="R147" i="5"/>
  <c r="I147" i="5"/>
  <c r="R137" i="5"/>
  <c r="I137" i="5"/>
  <c r="R136" i="5"/>
  <c r="I136" i="5"/>
  <c r="R135" i="5"/>
  <c r="I135" i="5"/>
  <c r="N129" i="5"/>
  <c r="K162" i="5"/>
  <c r="B162" i="5"/>
  <c r="R119" i="5"/>
  <c r="G109" i="5"/>
  <c r="I109" i="5"/>
  <c r="I108" i="5"/>
  <c r="G107" i="5"/>
  <c r="I107" i="5"/>
  <c r="G106" i="5"/>
  <c r="I106" i="5"/>
  <c r="I86" i="5"/>
  <c r="R85" i="5"/>
  <c r="I85" i="5"/>
  <c r="R75" i="5"/>
  <c r="I75" i="5"/>
  <c r="R74" i="5"/>
  <c r="I74" i="5"/>
  <c r="R73" i="5"/>
  <c r="I73" i="5"/>
  <c r="N67" i="5"/>
  <c r="K100" i="5"/>
  <c r="R57" i="5"/>
  <c r="G47" i="5"/>
  <c r="I47" i="5"/>
  <c r="I46" i="5"/>
  <c r="G45" i="5"/>
  <c r="I45" i="5"/>
  <c r="G44" i="5"/>
  <c r="I44" i="5"/>
  <c r="I24" i="5"/>
  <c r="R23" i="5"/>
  <c r="I23" i="5"/>
  <c r="R13" i="5"/>
  <c r="I13" i="5"/>
  <c r="R12" i="5"/>
  <c r="I12" i="5"/>
  <c r="R11" i="5"/>
  <c r="I11" i="5"/>
  <c r="K38" i="5"/>
  <c r="B38" i="5"/>
  <c r="I111" i="4"/>
  <c r="I110" i="4"/>
  <c r="I109" i="4"/>
  <c r="I108" i="4"/>
  <c r="I107" i="4"/>
  <c r="I106" i="4"/>
  <c r="B100" i="4"/>
  <c r="I87" i="4"/>
  <c r="I86" i="4"/>
  <c r="I85" i="4"/>
  <c r="I79" i="4"/>
  <c r="I78" i="4"/>
  <c r="I75" i="4"/>
  <c r="I74" i="4"/>
  <c r="I73" i="4"/>
  <c r="I45" i="4"/>
  <c r="G44" i="4"/>
  <c r="I44" i="4"/>
  <c r="B38" i="4"/>
  <c r="I25" i="4"/>
  <c r="I24" i="4"/>
  <c r="I23" i="4"/>
  <c r="I13" i="4"/>
  <c r="I12" i="4"/>
  <c r="I11" i="4"/>
  <c r="AA611" i="3"/>
  <c r="AA610" i="3"/>
  <c r="AA609" i="3"/>
  <c r="AA608" i="3"/>
  <c r="AA607" i="3"/>
  <c r="AA606" i="3"/>
  <c r="AA605" i="3"/>
  <c r="Z604" i="3"/>
  <c r="AA604" i="3"/>
  <c r="AA603" i="3"/>
  <c r="AA602" i="3"/>
  <c r="H1346" i="3"/>
  <c r="I1346" i="3"/>
  <c r="I1359" i="3"/>
  <c r="T596" i="3"/>
  <c r="B1340" i="3"/>
  <c r="AA585" i="3"/>
  <c r="AA584" i="3"/>
  <c r="I1328" i="3"/>
  <c r="AA583" i="3"/>
  <c r="AA582" i="3"/>
  <c r="AA581" i="3"/>
  <c r="AA571" i="3"/>
  <c r="I1315" i="3"/>
  <c r="AA570" i="3"/>
  <c r="I1314" i="3"/>
  <c r="AA569" i="3"/>
  <c r="I1313" i="3"/>
  <c r="AA486" i="3"/>
  <c r="AA485" i="3"/>
  <c r="AA484" i="3"/>
  <c r="AA483" i="3"/>
  <c r="AA482" i="3"/>
  <c r="AA481" i="3"/>
  <c r="AA480" i="3"/>
  <c r="I1286" i="3"/>
  <c r="AA479" i="3"/>
  <c r="I1285" i="3"/>
  <c r="AA478" i="3"/>
  <c r="H1284" i="3"/>
  <c r="I1284" i="3"/>
  <c r="T472" i="3"/>
  <c r="B1278" i="3"/>
  <c r="AA464" i="3"/>
  <c r="AA463" i="3"/>
  <c r="AA462" i="3"/>
  <c r="AA461" i="3"/>
  <c r="I1267" i="3"/>
  <c r="AA460" i="3"/>
  <c r="I1266" i="3"/>
  <c r="AA459" i="3"/>
  <c r="I1265" i="3"/>
  <c r="AA458" i="3"/>
  <c r="I1264" i="3"/>
  <c r="AA457" i="3"/>
  <c r="I1263" i="3"/>
  <c r="AA447" i="3"/>
  <c r="I1253" i="3"/>
  <c r="AA446" i="3"/>
  <c r="I1252" i="3"/>
  <c r="AA445" i="3"/>
  <c r="I1251" i="3"/>
  <c r="AA362" i="3"/>
  <c r="AA361" i="3"/>
  <c r="AA360" i="3"/>
  <c r="AA359" i="3"/>
  <c r="AA358" i="3"/>
  <c r="AA357" i="3"/>
  <c r="AA356" i="3"/>
  <c r="I1224" i="3"/>
  <c r="AA355" i="3"/>
  <c r="I1223" i="3"/>
  <c r="AA354" i="3"/>
  <c r="H1222" i="3"/>
  <c r="I1222" i="3"/>
  <c r="T348" i="3"/>
  <c r="B1216" i="3"/>
  <c r="I1205" i="3"/>
  <c r="I1204" i="3"/>
  <c r="I1203" i="3"/>
  <c r="I1202" i="3"/>
  <c r="I1201" i="3"/>
  <c r="I1191" i="3"/>
  <c r="I1190" i="3"/>
  <c r="I1189" i="3"/>
  <c r="AA238" i="3"/>
  <c r="AA237" i="3"/>
  <c r="AA236" i="3"/>
  <c r="AA235" i="3"/>
  <c r="AA234" i="3"/>
  <c r="AA233" i="3"/>
  <c r="AA232" i="3"/>
  <c r="AA231" i="3"/>
  <c r="AA230" i="3"/>
  <c r="I1160" i="3"/>
  <c r="I1173" i="3"/>
  <c r="T224" i="3"/>
  <c r="B1154" i="3"/>
  <c r="I1140" i="3"/>
  <c r="I1139" i="3"/>
  <c r="I1128" i="3"/>
  <c r="I1127" i="3"/>
  <c r="AA114" i="3"/>
  <c r="AA113" i="3"/>
  <c r="AA112" i="3"/>
  <c r="AA111" i="3"/>
  <c r="AA110" i="3"/>
  <c r="AA109" i="3"/>
  <c r="AA108" i="3"/>
  <c r="AA107" i="3"/>
  <c r="AA106" i="3"/>
  <c r="I1098" i="3"/>
  <c r="I1111" i="3"/>
  <c r="T100" i="3"/>
  <c r="B1092" i="3"/>
  <c r="AA92" i="3"/>
  <c r="AA91" i="3"/>
  <c r="AA90" i="3"/>
  <c r="AA89" i="3"/>
  <c r="AA88" i="3"/>
  <c r="AA87" i="3"/>
  <c r="AA86" i="3"/>
  <c r="I1078" i="3"/>
  <c r="AA85" i="3"/>
  <c r="I1077" i="3"/>
  <c r="AA75" i="3"/>
  <c r="AA74" i="3"/>
  <c r="I1066" i="3"/>
  <c r="AA73" i="3"/>
  <c r="I1065" i="3"/>
  <c r="R1355" i="3"/>
  <c r="R1354" i="3"/>
  <c r="R1353" i="3"/>
  <c r="R1352" i="3"/>
  <c r="R1351" i="3"/>
  <c r="R1350" i="3"/>
  <c r="R1349" i="3"/>
  <c r="Q1348" i="3"/>
  <c r="R1348" i="3"/>
  <c r="R1347" i="3"/>
  <c r="R1346" i="3"/>
  <c r="H1036" i="3"/>
  <c r="I1036" i="3"/>
  <c r="I1049" i="3"/>
  <c r="K1340" i="3"/>
  <c r="B1030" i="3"/>
  <c r="R1332" i="3"/>
  <c r="R1331" i="3"/>
  <c r="R1330" i="3"/>
  <c r="R1329" i="3"/>
  <c r="R1328" i="3"/>
  <c r="R1327" i="3"/>
  <c r="R1326" i="3"/>
  <c r="I1016" i="3"/>
  <c r="R1325" i="3"/>
  <c r="I1015" i="3"/>
  <c r="R1315" i="3"/>
  <c r="R1314" i="3"/>
  <c r="I1004" i="3"/>
  <c r="R1313" i="3"/>
  <c r="I1003" i="3"/>
  <c r="R1231" i="3"/>
  <c r="R1230" i="3"/>
  <c r="R1229" i="3"/>
  <c r="R1228" i="3"/>
  <c r="R1227" i="3"/>
  <c r="R1226" i="3"/>
  <c r="R1225" i="3"/>
  <c r="Q1224" i="3"/>
  <c r="R1224" i="3"/>
  <c r="R1223" i="3"/>
  <c r="R1222" i="3"/>
  <c r="H974" i="3"/>
  <c r="I974" i="3"/>
  <c r="I987" i="3"/>
  <c r="K1216" i="3"/>
  <c r="B968" i="3"/>
  <c r="R1208" i="3"/>
  <c r="R1207" i="3"/>
  <c r="R1206" i="3"/>
  <c r="R1205" i="3"/>
  <c r="R1204" i="3"/>
  <c r="R1203" i="3"/>
  <c r="R1202" i="3"/>
  <c r="I954" i="3"/>
  <c r="R1201" i="3"/>
  <c r="I953" i="3"/>
  <c r="R1191" i="3"/>
  <c r="R1190" i="3"/>
  <c r="I942" i="3"/>
  <c r="R1189" i="3"/>
  <c r="I941" i="3"/>
  <c r="R1107" i="3"/>
  <c r="R1106" i="3"/>
  <c r="R1105" i="3"/>
  <c r="R1104" i="3"/>
  <c r="R1103" i="3"/>
  <c r="R1102" i="3"/>
  <c r="R1101" i="3"/>
  <c r="Q1100" i="3"/>
  <c r="R1100" i="3"/>
  <c r="R1099" i="3"/>
  <c r="R1098" i="3"/>
  <c r="I912" i="3"/>
  <c r="I925" i="3"/>
  <c r="K1092" i="3"/>
  <c r="B906" i="3"/>
  <c r="R1084" i="3"/>
  <c r="R1083" i="3"/>
  <c r="R1082" i="3"/>
  <c r="R1081" i="3"/>
  <c r="R1080" i="3"/>
  <c r="R1079" i="3"/>
  <c r="R1078" i="3"/>
  <c r="I892" i="3"/>
  <c r="R1077" i="3"/>
  <c r="I891" i="3"/>
  <c r="R1067" i="3"/>
  <c r="R1066" i="3"/>
  <c r="I880" i="3"/>
  <c r="R1065" i="3"/>
  <c r="I879" i="3"/>
  <c r="R983" i="3"/>
  <c r="R982" i="3"/>
  <c r="R981" i="3"/>
  <c r="R980" i="3"/>
  <c r="R979" i="3"/>
  <c r="R978" i="3"/>
  <c r="R977" i="3"/>
  <c r="Q976" i="3"/>
  <c r="R976" i="3"/>
  <c r="R975" i="3"/>
  <c r="R974" i="3"/>
  <c r="I850" i="3"/>
  <c r="I863" i="3"/>
  <c r="K968" i="3"/>
  <c r="B844" i="3"/>
  <c r="R960" i="3"/>
  <c r="R959" i="3"/>
  <c r="R958" i="3"/>
  <c r="R957" i="3"/>
  <c r="R956" i="3"/>
  <c r="R955" i="3"/>
  <c r="R954" i="3"/>
  <c r="I830" i="3"/>
  <c r="R953" i="3"/>
  <c r="I829" i="3"/>
  <c r="R943" i="3"/>
  <c r="R942" i="3"/>
  <c r="I818" i="3"/>
  <c r="R941" i="3"/>
  <c r="I817" i="3"/>
  <c r="R859" i="3"/>
  <c r="R858" i="3"/>
  <c r="R857" i="3"/>
  <c r="R856" i="3"/>
  <c r="R855" i="3"/>
  <c r="R854" i="3"/>
  <c r="R853" i="3"/>
  <c r="R852" i="3"/>
  <c r="R851" i="3"/>
  <c r="R850" i="3"/>
  <c r="I788" i="3"/>
  <c r="I801" i="3"/>
  <c r="K844" i="3"/>
  <c r="B782" i="3"/>
  <c r="I768" i="3"/>
  <c r="I767" i="3"/>
  <c r="R819" i="3"/>
  <c r="R818" i="3"/>
  <c r="I756" i="3"/>
  <c r="R817" i="3"/>
  <c r="I755" i="3"/>
  <c r="R735" i="3"/>
  <c r="R734" i="3"/>
  <c r="R733" i="3"/>
  <c r="R732" i="3"/>
  <c r="R731" i="3"/>
  <c r="R730" i="3"/>
  <c r="R729" i="3"/>
  <c r="Q728" i="3"/>
  <c r="R728" i="3"/>
  <c r="R727" i="3"/>
  <c r="R726" i="3"/>
  <c r="H726" i="3"/>
  <c r="I726" i="3"/>
  <c r="I739" i="3"/>
  <c r="K720" i="3"/>
  <c r="B720" i="3"/>
  <c r="R712" i="3"/>
  <c r="R711" i="3"/>
  <c r="R710" i="3"/>
  <c r="R709" i="3"/>
  <c r="R708" i="3"/>
  <c r="R707" i="3"/>
  <c r="I706" i="3"/>
  <c r="I705" i="3"/>
  <c r="R695" i="3"/>
  <c r="R694" i="3"/>
  <c r="I694" i="3"/>
  <c r="R693" i="3"/>
  <c r="I693" i="3"/>
  <c r="R677" i="3"/>
  <c r="H664" i="3"/>
  <c r="I664" i="3"/>
  <c r="I677" i="3"/>
  <c r="K658" i="3"/>
  <c r="B658" i="3"/>
  <c r="I644" i="3"/>
  <c r="I643" i="3"/>
  <c r="I632" i="3"/>
  <c r="I631" i="3"/>
  <c r="R602" i="3"/>
  <c r="R615" i="3"/>
  <c r="H602" i="3"/>
  <c r="I602" i="3"/>
  <c r="I615" i="3"/>
  <c r="K596" i="3"/>
  <c r="B596" i="3"/>
  <c r="I582" i="3"/>
  <c r="I581" i="3"/>
  <c r="I570" i="3"/>
  <c r="I569" i="3"/>
  <c r="R553" i="3"/>
  <c r="I540" i="3"/>
  <c r="I553" i="3"/>
  <c r="K534" i="3"/>
  <c r="B534" i="3"/>
  <c r="I520" i="3"/>
  <c r="I519" i="3"/>
  <c r="I508" i="3"/>
  <c r="I507" i="3"/>
  <c r="R478" i="3"/>
  <c r="R491" i="3"/>
  <c r="I478" i="3"/>
  <c r="I491" i="3"/>
  <c r="K472" i="3"/>
  <c r="B472" i="3"/>
  <c r="R460" i="3"/>
  <c r="R459" i="3"/>
  <c r="R458" i="3"/>
  <c r="I458" i="3"/>
  <c r="R457" i="3"/>
  <c r="I457" i="3"/>
  <c r="R447" i="3"/>
  <c r="R446" i="3"/>
  <c r="I446" i="3"/>
  <c r="R445" i="3"/>
  <c r="I445" i="3"/>
  <c r="R416" i="3"/>
  <c r="R429" i="3"/>
  <c r="H416" i="3"/>
  <c r="I416" i="3"/>
  <c r="I429" i="3"/>
  <c r="K410" i="3"/>
  <c r="B410" i="3"/>
  <c r="R398" i="3"/>
  <c r="R397" i="3"/>
  <c r="R396" i="3"/>
  <c r="I396" i="3"/>
  <c r="I408" i="3"/>
  <c r="R395" i="3"/>
  <c r="I384" i="3"/>
  <c r="I383" i="3"/>
  <c r="R354" i="3"/>
  <c r="R367" i="3"/>
  <c r="I354" i="3"/>
  <c r="I367" i="3"/>
  <c r="K348" i="3"/>
  <c r="B348" i="3"/>
  <c r="R336" i="3"/>
  <c r="R335" i="3"/>
  <c r="R334" i="3"/>
  <c r="I334" i="3"/>
  <c r="R333" i="3"/>
  <c r="I333" i="3"/>
  <c r="R323" i="3"/>
  <c r="R322" i="3"/>
  <c r="I322" i="3"/>
  <c r="R321" i="3"/>
  <c r="I321" i="3"/>
  <c r="R293" i="3"/>
  <c r="R292" i="3"/>
  <c r="I292" i="3"/>
  <c r="I305" i="3"/>
  <c r="K286" i="3"/>
  <c r="B286" i="3"/>
  <c r="R274" i="3"/>
  <c r="R273" i="3"/>
  <c r="R272" i="3"/>
  <c r="I272" i="3"/>
  <c r="R271" i="3"/>
  <c r="I271" i="3"/>
  <c r="I260" i="3"/>
  <c r="I259" i="3"/>
  <c r="R243" i="3"/>
  <c r="I230" i="3"/>
  <c r="I243" i="3"/>
  <c r="B224" i="3"/>
  <c r="I210" i="3"/>
  <c r="I209" i="3"/>
  <c r="I198" i="3"/>
  <c r="I197" i="3"/>
  <c r="R169" i="3"/>
  <c r="R168" i="3"/>
  <c r="I168" i="3"/>
  <c r="I181" i="3"/>
  <c r="K162" i="3"/>
  <c r="B162" i="3"/>
  <c r="R153" i="3"/>
  <c r="R152" i="3"/>
  <c r="R151" i="3"/>
  <c r="R150" i="3"/>
  <c r="R149" i="3"/>
  <c r="R148" i="3"/>
  <c r="I148" i="3"/>
  <c r="R147" i="3"/>
  <c r="I147" i="3"/>
  <c r="I136" i="3"/>
  <c r="R135" i="3"/>
  <c r="I135" i="3"/>
  <c r="R108" i="3"/>
  <c r="R107" i="3"/>
  <c r="R106" i="3"/>
  <c r="I106" i="3"/>
  <c r="I119" i="3"/>
  <c r="K100" i="3"/>
  <c r="R91" i="3"/>
  <c r="R90" i="3"/>
  <c r="R89" i="3"/>
  <c r="R88" i="3"/>
  <c r="R87" i="3"/>
  <c r="I87" i="3"/>
  <c r="R86" i="3"/>
  <c r="I86" i="3"/>
  <c r="R85" i="3"/>
  <c r="I85" i="3"/>
  <c r="I74" i="3"/>
  <c r="R92" i="3"/>
  <c r="I73" i="3"/>
  <c r="E67" i="3"/>
  <c r="B100" i="3"/>
  <c r="AA732" i="3"/>
  <c r="AA731" i="3"/>
  <c r="AA730" i="3"/>
  <c r="AA729" i="3"/>
  <c r="AA728" i="3"/>
  <c r="AA727" i="3"/>
  <c r="AA726" i="3"/>
  <c r="R44" i="3"/>
  <c r="R57" i="3"/>
  <c r="I44" i="3"/>
  <c r="I57" i="3"/>
  <c r="T720" i="3"/>
  <c r="K38" i="3"/>
  <c r="AA712" i="3"/>
  <c r="AA711" i="3"/>
  <c r="AA710" i="3"/>
  <c r="AA709" i="3"/>
  <c r="AA708" i="3"/>
  <c r="AA707" i="3"/>
  <c r="I25" i="3"/>
  <c r="AA706" i="3"/>
  <c r="I24" i="3"/>
  <c r="AA705" i="3"/>
  <c r="R23" i="3"/>
  <c r="R36" i="3"/>
  <c r="I23" i="3"/>
  <c r="AA695" i="3"/>
  <c r="R13" i="3"/>
  <c r="AA694" i="3"/>
  <c r="R12" i="3"/>
  <c r="I12" i="3"/>
  <c r="AA693" i="3"/>
  <c r="R11" i="3"/>
  <c r="I11" i="3"/>
  <c r="E5" i="3"/>
  <c r="B38" i="3"/>
  <c r="I292" i="2"/>
  <c r="I305" i="2"/>
  <c r="I260" i="2"/>
  <c r="I259" i="2"/>
  <c r="E253" i="2"/>
  <c r="B286" i="2"/>
  <c r="R232" i="2"/>
  <c r="R231" i="2"/>
  <c r="R230" i="2"/>
  <c r="I230" i="2"/>
  <c r="I243" i="2"/>
  <c r="K224" i="2"/>
  <c r="B224" i="2"/>
  <c r="R215" i="2"/>
  <c r="R214" i="2"/>
  <c r="R213" i="2"/>
  <c r="R212" i="2"/>
  <c r="R211" i="2"/>
  <c r="I211" i="2"/>
  <c r="R210" i="2"/>
  <c r="R209" i="2"/>
  <c r="R199" i="2"/>
  <c r="R198" i="2"/>
  <c r="I198" i="2"/>
  <c r="R197" i="2"/>
  <c r="I197" i="2"/>
  <c r="R169" i="2"/>
  <c r="R168" i="2"/>
  <c r="I168" i="2"/>
  <c r="I181" i="2"/>
  <c r="K162" i="2"/>
  <c r="R150" i="2"/>
  <c r="R149" i="2"/>
  <c r="I149" i="2"/>
  <c r="R148" i="2"/>
  <c r="I148" i="2"/>
  <c r="R147" i="2"/>
  <c r="I147" i="2"/>
  <c r="R136" i="2"/>
  <c r="I136" i="2"/>
  <c r="R135" i="2"/>
  <c r="I135" i="2"/>
  <c r="E129" i="2"/>
  <c r="B162" i="2"/>
  <c r="R107" i="2"/>
  <c r="R106" i="2"/>
  <c r="I106" i="2"/>
  <c r="I119" i="2"/>
  <c r="K100" i="2"/>
  <c r="B100" i="2"/>
  <c r="I88" i="2"/>
  <c r="R87" i="2"/>
  <c r="R98" i="2"/>
  <c r="I87" i="2"/>
  <c r="I86" i="2"/>
  <c r="I85" i="2"/>
  <c r="R74" i="2"/>
  <c r="I74" i="2"/>
  <c r="R73" i="2"/>
  <c r="I73" i="2"/>
  <c r="R45" i="2"/>
  <c r="R44" i="2"/>
  <c r="I44" i="2"/>
  <c r="I57" i="2"/>
  <c r="K38" i="2"/>
  <c r="R25" i="2"/>
  <c r="I25" i="2"/>
  <c r="R24" i="2"/>
  <c r="I24" i="2"/>
  <c r="R23" i="2"/>
  <c r="I23" i="2"/>
  <c r="R12" i="2"/>
  <c r="I12" i="2"/>
  <c r="R11" i="2"/>
  <c r="I11" i="2"/>
  <c r="E5" i="2"/>
  <c r="B38" i="2"/>
  <c r="I1545" i="1"/>
  <c r="B1526" i="1"/>
  <c r="I1514" i="1"/>
  <c r="I1513" i="1"/>
  <c r="I1512" i="1"/>
  <c r="I1511" i="1"/>
  <c r="I1500" i="1"/>
  <c r="I1499" i="1"/>
  <c r="I1483" i="1"/>
  <c r="B1464" i="1"/>
  <c r="I1451" i="1"/>
  <c r="I1450" i="1"/>
  <c r="I1449" i="1"/>
  <c r="I1438" i="1"/>
  <c r="I1437" i="1"/>
  <c r="I1421" i="1"/>
  <c r="B1402" i="1"/>
  <c r="I1389" i="1"/>
  <c r="I1388" i="1"/>
  <c r="I1387" i="1"/>
  <c r="I1376" i="1"/>
  <c r="I1375" i="1"/>
  <c r="I1359" i="1"/>
  <c r="B1340" i="1"/>
  <c r="I1327" i="1"/>
  <c r="I1326" i="1"/>
  <c r="I1325" i="1"/>
  <c r="I1314" i="1"/>
  <c r="I1313" i="1"/>
  <c r="I1297" i="1"/>
  <c r="B1278" i="1"/>
  <c r="I1265" i="1"/>
  <c r="I1264" i="1"/>
  <c r="I1263" i="1"/>
  <c r="I1252" i="1"/>
  <c r="I1251" i="1"/>
  <c r="I1235" i="1"/>
  <c r="B1216" i="1"/>
  <c r="I1203" i="1"/>
  <c r="I1202" i="1"/>
  <c r="I1201" i="1"/>
  <c r="I1190" i="1"/>
  <c r="I1189" i="1"/>
  <c r="I1160" i="1"/>
  <c r="I1173" i="1"/>
  <c r="B1154" i="1"/>
  <c r="I1142" i="1"/>
  <c r="I1141" i="1"/>
  <c r="I1140" i="1"/>
  <c r="I1139" i="1"/>
  <c r="I1128" i="1"/>
  <c r="I1127" i="1"/>
  <c r="I1111" i="1"/>
  <c r="I1079" i="1"/>
  <c r="I1078" i="1"/>
  <c r="I1077" i="1"/>
  <c r="I1066" i="1"/>
  <c r="I1065" i="1"/>
  <c r="I1049" i="1"/>
  <c r="B1030" i="1"/>
  <c r="I1015" i="1"/>
  <c r="G1003" i="1"/>
  <c r="I987" i="1"/>
  <c r="B968" i="1"/>
  <c r="I954" i="1"/>
  <c r="I953" i="1"/>
  <c r="I942" i="1"/>
  <c r="I941" i="1"/>
  <c r="I925" i="1"/>
  <c r="B906" i="1"/>
  <c r="I880" i="1"/>
  <c r="I879" i="1"/>
  <c r="I863" i="1"/>
  <c r="B844" i="1"/>
  <c r="I830" i="1"/>
  <c r="I829" i="1"/>
  <c r="I818" i="1"/>
  <c r="I817" i="1"/>
  <c r="I801" i="1"/>
  <c r="B782" i="1"/>
  <c r="I768" i="1"/>
  <c r="I767" i="1"/>
  <c r="I756" i="1"/>
  <c r="I755" i="1"/>
  <c r="R739" i="1"/>
  <c r="I739" i="1"/>
  <c r="K720" i="1"/>
  <c r="B720" i="1"/>
  <c r="R707" i="1"/>
  <c r="R706" i="1"/>
  <c r="I706" i="1"/>
  <c r="R705" i="1"/>
  <c r="I705" i="1"/>
  <c r="I694" i="1"/>
  <c r="P693" i="1"/>
  <c r="I693" i="1"/>
  <c r="R677" i="1"/>
  <c r="I677" i="1"/>
  <c r="K658" i="1"/>
  <c r="B658" i="1"/>
  <c r="P645" i="1"/>
  <c r="R645" i="1"/>
  <c r="R644" i="1"/>
  <c r="I644" i="1"/>
  <c r="R643" i="1"/>
  <c r="I643" i="1"/>
  <c r="I632" i="1"/>
  <c r="P631" i="1"/>
  <c r="P633" i="1"/>
  <c r="R633" i="1"/>
  <c r="I631" i="1"/>
  <c r="R615" i="1"/>
  <c r="I602" i="1"/>
  <c r="I615" i="1"/>
  <c r="K596" i="1"/>
  <c r="B596" i="1"/>
  <c r="I584" i="1"/>
  <c r="I583" i="1"/>
  <c r="P582" i="1"/>
  <c r="R582" i="1"/>
  <c r="I582" i="1"/>
  <c r="R581" i="1"/>
  <c r="I581" i="1"/>
  <c r="P569" i="1"/>
  <c r="R569" i="1"/>
  <c r="G569" i="1"/>
  <c r="I569" i="1"/>
  <c r="R553" i="1"/>
  <c r="I553" i="1"/>
  <c r="K534" i="1"/>
  <c r="B534" i="1"/>
  <c r="R521" i="1"/>
  <c r="I521" i="1"/>
  <c r="R520" i="1"/>
  <c r="I520" i="1"/>
  <c r="R519" i="1"/>
  <c r="I519" i="1"/>
  <c r="R508" i="1"/>
  <c r="R507" i="1"/>
  <c r="G507" i="1"/>
  <c r="I507" i="1"/>
  <c r="R491" i="1"/>
  <c r="G480" i="1"/>
  <c r="I480" i="1"/>
  <c r="G479" i="1"/>
  <c r="I479" i="1"/>
  <c r="G478" i="1"/>
  <c r="I478" i="1"/>
  <c r="K472" i="1"/>
  <c r="B472" i="1"/>
  <c r="I460" i="1"/>
  <c r="R459" i="1"/>
  <c r="I459" i="1"/>
  <c r="R458" i="1"/>
  <c r="I458" i="1"/>
  <c r="R457" i="1"/>
  <c r="I457" i="1"/>
  <c r="I447" i="1"/>
  <c r="R446" i="1"/>
  <c r="I446" i="1"/>
  <c r="R445" i="1"/>
  <c r="I445" i="1"/>
  <c r="R429" i="1"/>
  <c r="I416" i="1"/>
  <c r="I429" i="1"/>
  <c r="K410" i="1"/>
  <c r="B410" i="1"/>
  <c r="I401" i="1"/>
  <c r="I400" i="1"/>
  <c r="I399" i="1"/>
  <c r="I398" i="1"/>
  <c r="I397" i="1"/>
  <c r="R396" i="1"/>
  <c r="I396" i="1"/>
  <c r="R395" i="1"/>
  <c r="I395" i="1"/>
  <c r="I385" i="1"/>
  <c r="R384" i="1"/>
  <c r="I384" i="1"/>
  <c r="R383" i="1"/>
  <c r="I383" i="1"/>
  <c r="R367" i="1"/>
  <c r="I367" i="1"/>
  <c r="K348" i="1"/>
  <c r="B348" i="1"/>
  <c r="R336" i="1"/>
  <c r="R335" i="1"/>
  <c r="R334" i="1"/>
  <c r="I334" i="1"/>
  <c r="R333" i="1"/>
  <c r="I333" i="1"/>
  <c r="I323" i="1"/>
  <c r="R322" i="1"/>
  <c r="I322" i="1"/>
  <c r="R321" i="1"/>
  <c r="I321" i="1"/>
  <c r="R297" i="1"/>
  <c r="R296" i="1"/>
  <c r="R295" i="1"/>
  <c r="R294" i="1"/>
  <c r="R293" i="1"/>
  <c r="R292" i="1"/>
  <c r="I305" i="1"/>
  <c r="K286" i="1"/>
  <c r="B286" i="1"/>
  <c r="R271" i="1"/>
  <c r="R265" i="1"/>
  <c r="R264" i="1"/>
  <c r="R263" i="1"/>
  <c r="R262" i="1"/>
  <c r="R261" i="1"/>
  <c r="R260" i="1"/>
  <c r="R259" i="1"/>
  <c r="R258" i="1"/>
  <c r="R235" i="1"/>
  <c r="R234" i="1"/>
  <c r="R233" i="1"/>
  <c r="R232" i="1"/>
  <c r="R231" i="1"/>
  <c r="R230" i="1"/>
  <c r="I243" i="1"/>
  <c r="K224" i="1"/>
  <c r="B224" i="1"/>
  <c r="R214" i="1"/>
  <c r="R213" i="1"/>
  <c r="R212" i="1"/>
  <c r="R211" i="1"/>
  <c r="R210" i="1"/>
  <c r="R209" i="1"/>
  <c r="R203" i="1"/>
  <c r="R202" i="1"/>
  <c r="R201" i="1"/>
  <c r="R200" i="1"/>
  <c r="R199" i="1"/>
  <c r="R198" i="1"/>
  <c r="R197" i="1"/>
  <c r="R196" i="1"/>
  <c r="R181" i="1"/>
  <c r="I181" i="1"/>
  <c r="K162" i="1"/>
  <c r="B162" i="1"/>
  <c r="R150" i="1"/>
  <c r="R149" i="1"/>
  <c r="R148" i="1"/>
  <c r="R147" i="1"/>
  <c r="R136" i="1"/>
  <c r="R135" i="1"/>
  <c r="R119" i="1"/>
  <c r="I119" i="1"/>
  <c r="K100" i="1"/>
  <c r="B100" i="1"/>
  <c r="R89" i="1"/>
  <c r="R88" i="1"/>
  <c r="R87" i="1"/>
  <c r="I87" i="1"/>
  <c r="R86" i="1"/>
  <c r="I86" i="1"/>
  <c r="R85" i="1"/>
  <c r="I85" i="1"/>
  <c r="I75" i="1"/>
  <c r="R74" i="1"/>
  <c r="I74" i="1"/>
  <c r="R73" i="1"/>
  <c r="R80" i="1"/>
  <c r="I73" i="1"/>
  <c r="R57" i="1"/>
  <c r="I57" i="1"/>
  <c r="K38" i="1"/>
  <c r="B38" i="1"/>
  <c r="R27" i="1"/>
  <c r="R26" i="1"/>
  <c r="R25" i="1"/>
  <c r="I25" i="1"/>
  <c r="R24" i="1"/>
  <c r="I24" i="1"/>
  <c r="R23" i="1"/>
  <c r="I23" i="1"/>
  <c r="R12" i="1"/>
  <c r="I12" i="1"/>
  <c r="R11" i="1"/>
  <c r="I11" i="1"/>
  <c r="R1548" i="1"/>
  <c r="R1547" i="1"/>
  <c r="R18" i="2"/>
  <c r="I119" i="4"/>
  <c r="R57" i="2"/>
  <c r="I1421" i="5"/>
  <c r="R762" i="1"/>
  <c r="R771" i="1"/>
  <c r="R780" i="1"/>
  <c r="R781" i="1"/>
  <c r="R783" i="1"/>
  <c r="R802" i="1"/>
  <c r="R1339" i="1"/>
  <c r="R1341" i="1"/>
  <c r="R1360" i="1"/>
  <c r="I390" i="1"/>
  <c r="R142" i="2"/>
  <c r="R700" i="5"/>
  <c r="R708" i="5"/>
  <c r="I1630" i="6"/>
  <c r="I1636" i="6"/>
  <c r="R142" i="3"/>
  <c r="R154" i="3"/>
  <c r="R160" i="3"/>
  <c r="R161" i="3"/>
  <c r="R163" i="3"/>
  <c r="I174" i="6"/>
  <c r="R142" i="1"/>
  <c r="R181" i="2"/>
  <c r="I57" i="4"/>
  <c r="I57" i="5"/>
  <c r="I452" i="5"/>
  <c r="I457" i="5"/>
  <c r="I470" i="5"/>
  <c r="I471" i="5"/>
  <c r="I473" i="5"/>
  <c r="R1421" i="5"/>
  <c r="R57" i="7"/>
  <c r="R119" i="7"/>
  <c r="I1506" i="6"/>
  <c r="I1512" i="6"/>
  <c r="I1568" i="6"/>
  <c r="I1574" i="6"/>
  <c r="R181" i="6"/>
  <c r="R1444" i="6"/>
  <c r="R1450" i="6"/>
  <c r="R1462" i="6"/>
  <c r="R1463" i="6"/>
  <c r="R1465" i="6"/>
  <c r="R1484" i="6"/>
  <c r="I863" i="6"/>
  <c r="R948" i="6"/>
  <c r="R956" i="6"/>
  <c r="I1049" i="6"/>
  <c r="R1196" i="6"/>
  <c r="R1202" i="6"/>
  <c r="R1214" i="6"/>
  <c r="R1215" i="6"/>
  <c r="R1217" i="6"/>
  <c r="R1630" i="6"/>
  <c r="R1506" i="6"/>
  <c r="R1511" i="6"/>
  <c r="R1524" i="6"/>
  <c r="R1525" i="6"/>
  <c r="R1527" i="6"/>
  <c r="R266" i="6"/>
  <c r="R272" i="6"/>
  <c r="R284" i="6"/>
  <c r="R285" i="6"/>
  <c r="R287" i="6"/>
  <c r="R204" i="6"/>
  <c r="R210" i="6"/>
  <c r="R222" i="6"/>
  <c r="R223" i="6"/>
  <c r="R225" i="6"/>
  <c r="R142" i="6"/>
  <c r="R148" i="6"/>
  <c r="R80" i="6"/>
  <c r="R86" i="6"/>
  <c r="I1444" i="6"/>
  <c r="I1450" i="6"/>
  <c r="I1462" i="6"/>
  <c r="I1463" i="6"/>
  <c r="I1465" i="6"/>
  <c r="I1421" i="6"/>
  <c r="I1134" i="6"/>
  <c r="I1140" i="6"/>
  <c r="I1152" i="6"/>
  <c r="I1153" i="6"/>
  <c r="I1155" i="6"/>
  <c r="I948" i="6"/>
  <c r="I957" i="6"/>
  <c r="I966" i="6"/>
  <c r="I967" i="6"/>
  <c r="I969" i="6"/>
  <c r="I886" i="6"/>
  <c r="I891" i="6"/>
  <c r="I904" i="6"/>
  <c r="I905" i="6"/>
  <c r="I907" i="6"/>
  <c r="I925" i="5"/>
  <c r="R1320" i="5"/>
  <c r="R1331" i="5"/>
  <c r="R1337" i="5"/>
  <c r="R1338" i="5"/>
  <c r="R1340" i="5"/>
  <c r="R1483" i="5"/>
  <c r="I367" i="5"/>
  <c r="I429" i="5"/>
  <c r="I1297" i="5"/>
  <c r="I1359" i="5"/>
  <c r="I886" i="5"/>
  <c r="I514" i="5"/>
  <c r="I520" i="5"/>
  <c r="I532" i="5"/>
  <c r="I533" i="5"/>
  <c r="I535" i="5"/>
  <c r="I554" i="5"/>
  <c r="I556" i="5"/>
  <c r="AA680" i="3"/>
  <c r="AA681" i="3"/>
  <c r="AA682" i="3"/>
  <c r="AA804" i="3"/>
  <c r="AA805" i="3"/>
  <c r="AA806" i="3"/>
  <c r="R1051" i="3"/>
  <c r="R1053" i="3"/>
  <c r="R1054" i="3"/>
  <c r="AA555" i="3"/>
  <c r="AA556" i="3"/>
  <c r="AA431" i="3"/>
  <c r="AA433" i="3"/>
  <c r="AA184" i="3"/>
  <c r="AA183" i="3"/>
  <c r="AA307" i="3"/>
  <c r="AA60" i="3"/>
  <c r="AA61" i="3"/>
  <c r="AA62" i="3"/>
  <c r="R1176" i="3"/>
  <c r="R1177" i="3"/>
  <c r="R1178" i="3"/>
  <c r="R1300" i="3"/>
  <c r="R1301" i="3"/>
  <c r="AA222" i="3"/>
  <c r="I718" i="3"/>
  <c r="AA452" i="3"/>
  <c r="I1297" i="3"/>
  <c r="R928" i="3"/>
  <c r="R929" i="3"/>
  <c r="R930" i="3"/>
  <c r="I222" i="3"/>
  <c r="I142" i="3"/>
  <c r="AA700" i="3"/>
  <c r="AA713" i="3"/>
  <c r="AA718" i="3"/>
  <c r="AA719" i="3"/>
  <c r="AA721" i="3"/>
  <c r="R305" i="3"/>
  <c r="I266" i="3"/>
  <c r="I514" i="3"/>
  <c r="I1090" i="3"/>
  <c r="R804" i="3"/>
  <c r="R805" i="3"/>
  <c r="R806" i="3"/>
  <c r="I160" i="3"/>
  <c r="I390" i="3"/>
  <c r="I409" i="3"/>
  <c r="I411" i="3"/>
  <c r="I430" i="3"/>
  <c r="I431" i="3"/>
  <c r="R1196" i="3"/>
  <c r="R1209" i="3"/>
  <c r="R1320" i="3"/>
  <c r="R1333" i="3"/>
  <c r="R1338" i="3"/>
  <c r="R1339" i="3"/>
  <c r="R1341" i="3"/>
  <c r="AA80" i="3"/>
  <c r="AA119" i="3"/>
  <c r="I18" i="3"/>
  <c r="I576" i="3"/>
  <c r="I904" i="3"/>
  <c r="I452" i="6"/>
  <c r="I461" i="6"/>
  <c r="I470" i="6"/>
  <c r="I471" i="6"/>
  <c r="I473" i="6"/>
  <c r="I18" i="6"/>
  <c r="I26" i="6"/>
  <c r="I36" i="6"/>
  <c r="I37" i="6"/>
  <c r="I39" i="6"/>
  <c r="I58" i="6"/>
  <c r="R1382" i="5"/>
  <c r="R1401" i="5"/>
  <c r="R1403" i="5"/>
  <c r="R1422" i="5"/>
  <c r="R1134" i="5"/>
  <c r="R1072" i="5"/>
  <c r="R1079" i="5"/>
  <c r="R1090" i="5"/>
  <c r="R1091" i="5"/>
  <c r="R1093" i="5"/>
  <c r="R886" i="5"/>
  <c r="R894" i="5"/>
  <c r="R904" i="5"/>
  <c r="R905" i="5"/>
  <c r="R907" i="5"/>
  <c r="R514" i="5"/>
  <c r="R520" i="5"/>
  <c r="R532" i="5"/>
  <c r="R533" i="5"/>
  <c r="R535" i="5"/>
  <c r="R452" i="5"/>
  <c r="R458" i="5"/>
  <c r="R328" i="5"/>
  <c r="R333" i="5"/>
  <c r="R346" i="5"/>
  <c r="R347" i="5"/>
  <c r="R349" i="5"/>
  <c r="I824" i="5"/>
  <c r="I638" i="5"/>
  <c r="I648" i="5"/>
  <c r="I656" i="5"/>
  <c r="I657" i="5"/>
  <c r="I659" i="5"/>
  <c r="I390" i="5"/>
  <c r="I396" i="5"/>
  <c r="I266" i="5"/>
  <c r="I273" i="5"/>
  <c r="I284" i="5"/>
  <c r="I285" i="5"/>
  <c r="I287" i="5"/>
  <c r="I204" i="5"/>
  <c r="I211" i="5"/>
  <c r="I142" i="5"/>
  <c r="I149" i="5"/>
  <c r="R1072" i="3"/>
  <c r="R1085" i="3"/>
  <c r="R1090" i="3"/>
  <c r="R1091" i="3"/>
  <c r="R1093" i="3"/>
  <c r="R824" i="3"/>
  <c r="R700" i="3"/>
  <c r="R713" i="3"/>
  <c r="R718" i="3"/>
  <c r="R719" i="3"/>
  <c r="R721" i="3"/>
  <c r="R452" i="3"/>
  <c r="R461" i="3"/>
  <c r="R470" i="3"/>
  <c r="R471" i="3"/>
  <c r="R473" i="3"/>
  <c r="R492" i="3"/>
  <c r="I1134" i="3"/>
  <c r="I1028" i="3"/>
  <c r="I966" i="3"/>
  <c r="I886" i="3"/>
  <c r="I842" i="3"/>
  <c r="I824" i="3"/>
  <c r="I780" i="3"/>
  <c r="I762" i="3"/>
  <c r="I700" i="3"/>
  <c r="I532" i="3"/>
  <c r="I470" i="3"/>
  <c r="I346" i="3"/>
  <c r="I328" i="3"/>
  <c r="I284" i="3"/>
  <c r="I98" i="3"/>
  <c r="I80" i="3"/>
  <c r="R204" i="2"/>
  <c r="R160" i="2"/>
  <c r="R80" i="2"/>
  <c r="R36" i="2"/>
  <c r="R37" i="2"/>
  <c r="R39" i="2"/>
  <c r="R58" i="2"/>
  <c r="I142" i="2"/>
  <c r="I204" i="2"/>
  <c r="I160" i="2"/>
  <c r="I948" i="1"/>
  <c r="I955" i="1"/>
  <c r="I966" i="1"/>
  <c r="I967" i="1"/>
  <c r="I969" i="1"/>
  <c r="I988" i="1"/>
  <c r="I989" i="1"/>
  <c r="R1587" i="1"/>
  <c r="R1589" i="1"/>
  <c r="R1608" i="1"/>
  <c r="R1610" i="1"/>
  <c r="R1549" i="1"/>
  <c r="R1277" i="1"/>
  <c r="R1279" i="1"/>
  <c r="R1298" i="1"/>
  <c r="R1300" i="1"/>
  <c r="R1176" i="1"/>
  <c r="R1177" i="1"/>
  <c r="R1178" i="1"/>
  <c r="R1114" i="1"/>
  <c r="R1115" i="1"/>
  <c r="R1116" i="1"/>
  <c r="R804" i="1"/>
  <c r="R803" i="1"/>
  <c r="R1050" i="1"/>
  <c r="R1485" i="1"/>
  <c r="R1486" i="1"/>
  <c r="R1550" i="1"/>
  <c r="R1362" i="1"/>
  <c r="R1361" i="1"/>
  <c r="R928" i="1"/>
  <c r="R927" i="1"/>
  <c r="R929" i="1"/>
  <c r="R865" i="1"/>
  <c r="R866" i="1"/>
  <c r="R1424" i="1"/>
  <c r="R1423" i="1"/>
  <c r="R1238" i="1"/>
  <c r="R1237" i="1"/>
  <c r="R452" i="1"/>
  <c r="R460" i="1"/>
  <c r="R470" i="1"/>
  <c r="R471" i="1"/>
  <c r="R473" i="1"/>
  <c r="R492" i="1"/>
  <c r="R494" i="1"/>
  <c r="I1338" i="1"/>
  <c r="I532" i="1"/>
  <c r="R346" i="1"/>
  <c r="R631" i="1"/>
  <c r="R243" i="1"/>
  <c r="R390" i="1"/>
  <c r="R397" i="1"/>
  <c r="R408" i="1"/>
  <c r="R409" i="1"/>
  <c r="R411" i="1"/>
  <c r="R430" i="1"/>
  <c r="I1506" i="1"/>
  <c r="I1524" i="1"/>
  <c r="I638" i="1"/>
  <c r="I645" i="1"/>
  <c r="I656" i="1"/>
  <c r="I657" i="1"/>
  <c r="I659" i="1"/>
  <c r="I678" i="1"/>
  <c r="P632" i="1"/>
  <c r="R632" i="1"/>
  <c r="I824" i="1"/>
  <c r="I831" i="1"/>
  <c r="I1196" i="1"/>
  <c r="I1204" i="1"/>
  <c r="I1214" i="1"/>
  <c r="I1215" i="1"/>
  <c r="I1217" i="1"/>
  <c r="I1236" i="1"/>
  <c r="I1258" i="1"/>
  <c r="I328" i="1"/>
  <c r="I335" i="1"/>
  <c r="I346" i="1"/>
  <c r="I347" i="1"/>
  <c r="I349" i="1"/>
  <c r="I368" i="1"/>
  <c r="I80" i="1"/>
  <c r="I88" i="1"/>
  <c r="I98" i="1"/>
  <c r="I99" i="1"/>
  <c r="I101" i="1"/>
  <c r="I120" i="1"/>
  <c r="I1004" i="1"/>
  <c r="I284" i="2"/>
  <c r="R18" i="3"/>
  <c r="R37" i="3"/>
  <c r="R39" i="3"/>
  <c r="R58" i="3"/>
  <c r="I266" i="6"/>
  <c r="I272" i="6"/>
  <c r="I284" i="6"/>
  <c r="I285" i="6"/>
  <c r="I287" i="6"/>
  <c r="I306" i="6"/>
  <c r="R305" i="6"/>
  <c r="R615" i="6"/>
  <c r="I1225" i="6"/>
  <c r="I1524" i="6"/>
  <c r="I1525" i="6"/>
  <c r="I1527" i="6"/>
  <c r="R1648" i="6"/>
  <c r="R1649" i="6"/>
  <c r="R1651" i="6"/>
  <c r="R1670" i="6"/>
  <c r="R1671" i="6"/>
  <c r="R18" i="1"/>
  <c r="I142" i="1"/>
  <c r="I150" i="1"/>
  <c r="I160" i="1"/>
  <c r="I161" i="1"/>
  <c r="I163" i="1"/>
  <c r="I182" i="1"/>
  <c r="I491" i="1"/>
  <c r="I700" i="1"/>
  <c r="I707" i="1"/>
  <c r="I718" i="1"/>
  <c r="I719" i="1"/>
  <c r="I721" i="1"/>
  <c r="I740" i="1"/>
  <c r="I742" i="1"/>
  <c r="I886" i="1"/>
  <c r="I893" i="1"/>
  <c r="I904" i="1"/>
  <c r="I905" i="1"/>
  <c r="I907" i="1"/>
  <c r="I926" i="1"/>
  <c r="I1072" i="1"/>
  <c r="I1080" i="1"/>
  <c r="I1090" i="1"/>
  <c r="I1091" i="1"/>
  <c r="I1093" i="1"/>
  <c r="I1112" i="1"/>
  <c r="I1276" i="1"/>
  <c r="I1320" i="1"/>
  <c r="I1382" i="1"/>
  <c r="I18" i="2"/>
  <c r="I98" i="2"/>
  <c r="R222" i="2"/>
  <c r="R223" i="2"/>
  <c r="R225" i="2"/>
  <c r="I36" i="3"/>
  <c r="R275" i="3"/>
  <c r="R284" i="3"/>
  <c r="R285" i="3"/>
  <c r="R287" i="3"/>
  <c r="R390" i="3"/>
  <c r="R399" i="3"/>
  <c r="R408" i="3"/>
  <c r="R409" i="3"/>
  <c r="R411" i="3"/>
  <c r="R430" i="3"/>
  <c r="I594" i="3"/>
  <c r="AA367" i="3"/>
  <c r="AA576" i="3"/>
  <c r="AA586" i="3"/>
  <c r="AA594" i="3"/>
  <c r="AA595" i="3"/>
  <c r="AA597" i="3"/>
  <c r="I181" i="5"/>
  <c r="I700" i="5"/>
  <c r="I705" i="5"/>
  <c r="I718" i="5"/>
  <c r="I719" i="5"/>
  <c r="I721" i="5"/>
  <c r="I740" i="5"/>
  <c r="I741" i="5"/>
  <c r="I863" i="5"/>
  <c r="R1152" i="5"/>
  <c r="R142" i="5"/>
  <c r="R148" i="5"/>
  <c r="R160" i="5"/>
  <c r="R161" i="5"/>
  <c r="R163" i="5"/>
  <c r="R182" i="5"/>
  <c r="I1196" i="6"/>
  <c r="I1202" i="6"/>
  <c r="I1214" i="6"/>
  <c r="I1215" i="6"/>
  <c r="I1217" i="6"/>
  <c r="I1382" i="6"/>
  <c r="I1388" i="6"/>
  <c r="R98" i="1"/>
  <c r="R99" i="1"/>
  <c r="R101" i="1"/>
  <c r="R120" i="1"/>
  <c r="R121" i="1"/>
  <c r="R243" i="2"/>
  <c r="R1235" i="3"/>
  <c r="R1359" i="3"/>
  <c r="AA243" i="3"/>
  <c r="I80" i="4"/>
  <c r="I88" i="4"/>
  <c r="I98" i="4"/>
  <c r="I99" i="4"/>
  <c r="I101" i="4"/>
  <c r="I120" i="4"/>
  <c r="R80" i="5"/>
  <c r="R86" i="5"/>
  <c r="I222" i="5"/>
  <c r="I223" i="5"/>
  <c r="I225" i="5"/>
  <c r="I243" i="5"/>
  <c r="I408" i="5"/>
  <c r="I409" i="5"/>
  <c r="I411" i="5"/>
  <c r="I942" i="5"/>
  <c r="R1196" i="5"/>
  <c r="I1545" i="5"/>
  <c r="R119" i="6"/>
  <c r="G110" i="6"/>
  <c r="I110" i="6"/>
  <c r="I204" i="6"/>
  <c r="I210" i="6"/>
  <c r="R328" i="6"/>
  <c r="R334" i="6"/>
  <c r="R346" i="6"/>
  <c r="R347" i="6"/>
  <c r="R349" i="6"/>
  <c r="R514" i="6"/>
  <c r="R520" i="6"/>
  <c r="R532" i="6"/>
  <c r="R533" i="6"/>
  <c r="R535" i="6"/>
  <c r="R966" i="6"/>
  <c r="R967" i="6"/>
  <c r="R969" i="6"/>
  <c r="R1320" i="6"/>
  <c r="R1326" i="6"/>
  <c r="R1338" i="6"/>
  <c r="R1339" i="6"/>
  <c r="R1341" i="6"/>
  <c r="I1359" i="6"/>
  <c r="I1607" i="6"/>
  <c r="R36" i="1"/>
  <c r="I204" i="1"/>
  <c r="I266" i="1"/>
  <c r="R514" i="1"/>
  <c r="R522" i="1"/>
  <c r="R532" i="1"/>
  <c r="R533" i="1"/>
  <c r="R535" i="1"/>
  <c r="R554" i="1"/>
  <c r="I1400" i="1"/>
  <c r="I1444" i="1"/>
  <c r="I1452" i="1"/>
  <c r="I1462" i="1"/>
  <c r="I1463" i="1"/>
  <c r="I1465" i="1"/>
  <c r="I1484" i="1"/>
  <c r="I1486" i="1"/>
  <c r="I36" i="2"/>
  <c r="I37" i="2"/>
  <c r="I39" i="2"/>
  <c r="I58" i="2"/>
  <c r="I80" i="2"/>
  <c r="R98" i="3"/>
  <c r="R99" i="3"/>
  <c r="R101" i="3"/>
  <c r="R328" i="3"/>
  <c r="R337" i="3"/>
  <c r="R346" i="3"/>
  <c r="R347" i="3"/>
  <c r="R349" i="3"/>
  <c r="R368" i="3"/>
  <c r="I452" i="3"/>
  <c r="R532" i="3"/>
  <c r="R533" i="3"/>
  <c r="R535" i="3"/>
  <c r="R554" i="3"/>
  <c r="I656" i="3"/>
  <c r="R948" i="3"/>
  <c r="R961" i="3"/>
  <c r="R966" i="3"/>
  <c r="R967" i="3"/>
  <c r="R969" i="3"/>
  <c r="I948" i="3"/>
  <c r="I1010" i="3"/>
  <c r="I1072" i="3"/>
  <c r="I1091" i="3"/>
  <c r="I1093" i="3"/>
  <c r="I1112" i="3"/>
  <c r="I1196" i="3"/>
  <c r="I1206" i="3"/>
  <c r="I1214" i="3"/>
  <c r="I1215" i="3"/>
  <c r="I1217" i="3"/>
  <c r="I1258" i="3"/>
  <c r="I1268" i="3"/>
  <c r="I1276" i="3"/>
  <c r="I1277" i="3"/>
  <c r="I1279" i="3"/>
  <c r="I1298" i="3"/>
  <c r="I18" i="4"/>
  <c r="R18" i="5"/>
  <c r="R24" i="5"/>
  <c r="R36" i="5"/>
  <c r="R37" i="5"/>
  <c r="R39" i="5"/>
  <c r="R58" i="5"/>
  <c r="I80" i="5"/>
  <c r="I87" i="5"/>
  <c r="I328" i="5"/>
  <c r="I335" i="5"/>
  <c r="R390" i="5"/>
  <c r="R396" i="5"/>
  <c r="R408" i="5"/>
  <c r="R409" i="5"/>
  <c r="R411" i="5"/>
  <c r="R732" i="5"/>
  <c r="R739" i="5"/>
  <c r="R762" i="5"/>
  <c r="R770" i="5"/>
  <c r="R780" i="5"/>
  <c r="R781" i="5"/>
  <c r="R783" i="5"/>
  <c r="I842" i="5"/>
  <c r="R948" i="5"/>
  <c r="R956" i="5"/>
  <c r="R966" i="5"/>
  <c r="R967" i="5"/>
  <c r="R969" i="5"/>
  <c r="R1444" i="5"/>
  <c r="R1463" i="5"/>
  <c r="R1465" i="5"/>
  <c r="R1484" i="5"/>
  <c r="I98" i="6"/>
  <c r="I99" i="6"/>
  <c r="I101" i="6"/>
  <c r="R243" i="6"/>
  <c r="I390" i="6"/>
  <c r="I402" i="6"/>
  <c r="I408" i="6"/>
  <c r="I409" i="6"/>
  <c r="I411" i="6"/>
  <c r="I429" i="6"/>
  <c r="I514" i="6"/>
  <c r="I521" i="6"/>
  <c r="I532" i="6"/>
  <c r="I533" i="6"/>
  <c r="I535" i="6"/>
  <c r="I553" i="6"/>
  <c r="R863" i="6"/>
  <c r="R1072" i="6"/>
  <c r="R1080" i="6"/>
  <c r="R1090" i="6"/>
  <c r="R1091" i="6"/>
  <c r="R1093" i="6"/>
  <c r="R1134" i="6"/>
  <c r="R1142" i="6"/>
  <c r="I1258" i="6"/>
  <c r="I1264" i="6"/>
  <c r="I1320" i="6"/>
  <c r="I1329" i="6"/>
  <c r="I1338" i="6"/>
  <c r="I1339" i="6"/>
  <c r="I1341" i="6"/>
  <c r="R1568" i="6"/>
  <c r="R1573" i="6"/>
  <c r="R1586" i="6"/>
  <c r="R1587" i="6"/>
  <c r="R1589" i="6"/>
  <c r="R1608" i="6"/>
  <c r="I1669" i="6"/>
  <c r="I18" i="1"/>
  <c r="I36" i="1"/>
  <c r="R160" i="1"/>
  <c r="R161" i="1"/>
  <c r="R163" i="1"/>
  <c r="R182" i="1"/>
  <c r="R204" i="1"/>
  <c r="R284" i="1"/>
  <c r="R305" i="1"/>
  <c r="R328" i="1"/>
  <c r="I408" i="1"/>
  <c r="I409" i="1"/>
  <c r="I411" i="1"/>
  <c r="I430" i="1"/>
  <c r="I431" i="1"/>
  <c r="I452" i="1"/>
  <c r="I461" i="1"/>
  <c r="I470" i="1"/>
  <c r="I471" i="1"/>
  <c r="I473" i="1"/>
  <c r="I492" i="1"/>
  <c r="G508" i="1"/>
  <c r="I508" i="1"/>
  <c r="I514" i="1"/>
  <c r="I762" i="1"/>
  <c r="I769" i="1"/>
  <c r="I780" i="1"/>
  <c r="I781" i="1"/>
  <c r="I783" i="1"/>
  <c r="I802" i="1"/>
  <c r="I804" i="1"/>
  <c r="I1003" i="1"/>
  <c r="I1134" i="1"/>
  <c r="I1143" i="1"/>
  <c r="I1152" i="1"/>
  <c r="I1153" i="1"/>
  <c r="I1155" i="1"/>
  <c r="I1174" i="1"/>
  <c r="I1175" i="1"/>
  <c r="R119" i="2"/>
  <c r="I222" i="2"/>
  <c r="I223" i="2"/>
  <c r="I225" i="2"/>
  <c r="I244" i="2"/>
  <c r="I245" i="2"/>
  <c r="I266" i="2"/>
  <c r="R119" i="3"/>
  <c r="I204" i="3"/>
  <c r="I638" i="3"/>
  <c r="R656" i="3"/>
  <c r="R657" i="3"/>
  <c r="R659" i="3"/>
  <c r="R678" i="3"/>
  <c r="R739" i="3"/>
  <c r="R987" i="3"/>
  <c r="AA98" i="3"/>
  <c r="I1152" i="3"/>
  <c r="I1235" i="3"/>
  <c r="AA470" i="3"/>
  <c r="AA491" i="3"/>
  <c r="I1320" i="3"/>
  <c r="I1329" i="3"/>
  <c r="I1338" i="3"/>
  <c r="I1339" i="3"/>
  <c r="I1341" i="3"/>
  <c r="I1360" i="3"/>
  <c r="I36" i="4"/>
  <c r="I18" i="5"/>
  <c r="I25" i="5"/>
  <c r="I98" i="5"/>
  <c r="I99" i="5"/>
  <c r="I101" i="5"/>
  <c r="I119" i="5"/>
  <c r="I120" i="5"/>
  <c r="I122" i="5"/>
  <c r="R204" i="5"/>
  <c r="R210" i="5"/>
  <c r="R222" i="5"/>
  <c r="R223" i="5"/>
  <c r="R225" i="5"/>
  <c r="R244" i="5"/>
  <c r="R266" i="5"/>
  <c r="R273" i="5"/>
  <c r="R284" i="5"/>
  <c r="R285" i="5"/>
  <c r="R287" i="5"/>
  <c r="R306" i="5"/>
  <c r="I305" i="5"/>
  <c r="I491" i="5"/>
  <c r="R576" i="5"/>
  <c r="R583" i="5"/>
  <c r="R594" i="5"/>
  <c r="R595" i="5"/>
  <c r="R597" i="5"/>
  <c r="R608" i="5"/>
  <c r="R615" i="5"/>
  <c r="R638" i="5"/>
  <c r="R646" i="5"/>
  <c r="I762" i="5"/>
  <c r="I767" i="5"/>
  <c r="I780" i="5"/>
  <c r="I781" i="5"/>
  <c r="I783" i="5"/>
  <c r="I802" i="5"/>
  <c r="I803" i="5"/>
  <c r="R824" i="5"/>
  <c r="R829" i="5"/>
  <c r="R842" i="5"/>
  <c r="R843" i="5"/>
  <c r="R845" i="5"/>
  <c r="R864" i="5"/>
  <c r="I904" i="5"/>
  <c r="I941" i="5"/>
  <c r="R1010" i="5"/>
  <c r="R1016" i="5"/>
  <c r="R1028" i="5"/>
  <c r="R1029" i="5"/>
  <c r="R1031" i="5"/>
  <c r="R1050" i="5"/>
  <c r="R1052" i="5"/>
  <c r="R1111" i="5"/>
  <c r="R1258" i="5"/>
  <c r="R1264" i="5"/>
  <c r="R1276" i="5"/>
  <c r="R1277" i="5"/>
  <c r="R1279" i="5"/>
  <c r="R1298" i="5"/>
  <c r="I1483" i="5"/>
  <c r="I1568" i="5"/>
  <c r="I1576" i="5"/>
  <c r="I1586" i="5"/>
  <c r="I1587" i="5"/>
  <c r="I1589" i="5"/>
  <c r="I1608" i="5"/>
  <c r="R18" i="6"/>
  <c r="R24" i="6"/>
  <c r="R36" i="6"/>
  <c r="R37" i="6"/>
  <c r="R39" i="6"/>
  <c r="R57" i="6"/>
  <c r="R367" i="6"/>
  <c r="R452" i="6"/>
  <c r="R458" i="6"/>
  <c r="I491" i="6"/>
  <c r="R576" i="6"/>
  <c r="R584" i="6"/>
  <c r="I638" i="6"/>
  <c r="I645" i="6"/>
  <c r="I677" i="6"/>
  <c r="I762" i="6"/>
  <c r="I769" i="6"/>
  <c r="I780" i="6"/>
  <c r="I781" i="6"/>
  <c r="I783" i="6"/>
  <c r="I801" i="6"/>
  <c r="I802" i="6"/>
  <c r="R987" i="6"/>
  <c r="R1010" i="6"/>
  <c r="R1018" i="6"/>
  <c r="R1028" i="6"/>
  <c r="R1029" i="6"/>
  <c r="R1031" i="6"/>
  <c r="R1049" i="6"/>
  <c r="I1010" i="6"/>
  <c r="I1019" i="6"/>
  <c r="I1028" i="6"/>
  <c r="I1029" i="6"/>
  <c r="I1031" i="6"/>
  <c r="I1072" i="6"/>
  <c r="I1078" i="6"/>
  <c r="R1258" i="6"/>
  <c r="R1264" i="6"/>
  <c r="R1276" i="6"/>
  <c r="R1277" i="6"/>
  <c r="R1279" i="6"/>
  <c r="I1276" i="6"/>
  <c r="I1277" i="6"/>
  <c r="I1279" i="6"/>
  <c r="R1382" i="6"/>
  <c r="R1388" i="6"/>
  <c r="I1586" i="6"/>
  <c r="I1587" i="6"/>
  <c r="I1589" i="6"/>
  <c r="R1692" i="6"/>
  <c r="R1698" i="6"/>
  <c r="R1710" i="6"/>
  <c r="R1711" i="6"/>
  <c r="R1713" i="6"/>
  <c r="R1732" i="6"/>
  <c r="I36" i="7"/>
  <c r="I37" i="7"/>
  <c r="I39" i="7"/>
  <c r="I58" i="7"/>
  <c r="I59" i="7"/>
  <c r="I98" i="7"/>
  <c r="I99" i="7"/>
  <c r="I101" i="7"/>
  <c r="I120" i="7"/>
  <c r="I121" i="7"/>
  <c r="R36" i="7"/>
  <c r="R37" i="7"/>
  <c r="R39" i="7"/>
  <c r="R58" i="7"/>
  <c r="R98" i="7"/>
  <c r="R99" i="7"/>
  <c r="R101" i="7"/>
  <c r="R120" i="7"/>
  <c r="I60" i="7"/>
  <c r="I122" i="7"/>
  <c r="I119" i="6"/>
  <c r="R160" i="6"/>
  <c r="R161" i="6"/>
  <c r="R163" i="6"/>
  <c r="I328" i="6"/>
  <c r="I334" i="6"/>
  <c r="I346" i="6"/>
  <c r="I347" i="6"/>
  <c r="I349" i="6"/>
  <c r="R98" i="6"/>
  <c r="R99" i="6"/>
  <c r="R101" i="6"/>
  <c r="I163" i="6"/>
  <c r="I222" i="6"/>
  <c r="I223" i="6"/>
  <c r="I225" i="6"/>
  <c r="R408" i="6"/>
  <c r="R409" i="6"/>
  <c r="R411" i="6"/>
  <c r="R430" i="6"/>
  <c r="R470" i="6"/>
  <c r="R471" i="6"/>
  <c r="R473" i="6"/>
  <c r="R492" i="6"/>
  <c r="R594" i="6"/>
  <c r="R595" i="6"/>
  <c r="R597" i="6"/>
  <c r="I984" i="6"/>
  <c r="I986" i="6"/>
  <c r="I181" i="6"/>
  <c r="I243" i="6"/>
  <c r="I367" i="6"/>
  <c r="R541" i="6"/>
  <c r="R553" i="6"/>
  <c r="I576" i="6"/>
  <c r="I582" i="6"/>
  <c r="I594" i="6"/>
  <c r="I595" i="6"/>
  <c r="I597" i="6"/>
  <c r="I616" i="6"/>
  <c r="I700" i="6"/>
  <c r="I706" i="6"/>
  <c r="I718" i="6"/>
  <c r="I719" i="6"/>
  <c r="I721" i="6"/>
  <c r="I740" i="6"/>
  <c r="I824" i="6"/>
  <c r="I831" i="6"/>
  <c r="I842" i="6"/>
  <c r="I843" i="6"/>
  <c r="I845" i="6"/>
  <c r="I864" i="6"/>
  <c r="R1152" i="6"/>
  <c r="R1153" i="6"/>
  <c r="R1155" i="6"/>
  <c r="I1400" i="6"/>
  <c r="I1401" i="6"/>
  <c r="I1403" i="6"/>
  <c r="R1546" i="6"/>
  <c r="I1483" i="6"/>
  <c r="I1545" i="6"/>
  <c r="I1546" i="6"/>
  <c r="I1648" i="6"/>
  <c r="I1649" i="6"/>
  <c r="I1651" i="6"/>
  <c r="R694" i="6"/>
  <c r="R695" i="6"/>
  <c r="I656" i="6"/>
  <c r="I657" i="6"/>
  <c r="I659" i="6"/>
  <c r="I1090" i="6"/>
  <c r="I1091" i="6"/>
  <c r="I1093" i="6"/>
  <c r="I1112" i="6"/>
  <c r="R1400" i="6"/>
  <c r="R1401" i="6"/>
  <c r="R1403" i="6"/>
  <c r="R1422" i="6"/>
  <c r="R755" i="6"/>
  <c r="R817" i="6"/>
  <c r="R879" i="6"/>
  <c r="R886" i="6"/>
  <c r="R892" i="6"/>
  <c r="R904" i="6"/>
  <c r="R905" i="6"/>
  <c r="R907" i="6"/>
  <c r="R926" i="6"/>
  <c r="R1223" i="6"/>
  <c r="R1235" i="6"/>
  <c r="I1163" i="6"/>
  <c r="I1173" i="6"/>
  <c r="I1235" i="6"/>
  <c r="I1297" i="6"/>
  <c r="R756" i="6"/>
  <c r="R818" i="6"/>
  <c r="I914" i="6"/>
  <c r="I925" i="6"/>
  <c r="R1104" i="6"/>
  <c r="R1111" i="6"/>
  <c r="R1166" i="6"/>
  <c r="R1173" i="6"/>
  <c r="R1294" i="6"/>
  <c r="R1297" i="6"/>
  <c r="R1356" i="6"/>
  <c r="R1359" i="6"/>
  <c r="R1360" i="6"/>
  <c r="R98" i="5"/>
  <c r="R99" i="5"/>
  <c r="R101" i="5"/>
  <c r="R120" i="5"/>
  <c r="I742" i="5"/>
  <c r="I36" i="5"/>
  <c r="I37" i="5"/>
  <c r="I39" i="5"/>
  <c r="I58" i="5"/>
  <c r="I160" i="5"/>
  <c r="I161" i="5"/>
  <c r="I163" i="5"/>
  <c r="I346" i="5"/>
  <c r="I347" i="5"/>
  <c r="I349" i="5"/>
  <c r="I492" i="5"/>
  <c r="R470" i="5"/>
  <c r="R471" i="5"/>
  <c r="R473" i="5"/>
  <c r="R492" i="5"/>
  <c r="R670" i="5"/>
  <c r="R677" i="5"/>
  <c r="R794" i="5"/>
  <c r="R801" i="5"/>
  <c r="R1051" i="5"/>
  <c r="R367" i="5"/>
  <c r="R417" i="5"/>
  <c r="R429" i="5"/>
  <c r="R718" i="5"/>
  <c r="R719" i="5"/>
  <c r="R721" i="5"/>
  <c r="R541" i="5"/>
  <c r="R553" i="5"/>
  <c r="R656" i="5"/>
  <c r="R657" i="5"/>
  <c r="R659" i="5"/>
  <c r="G674" i="5"/>
  <c r="I674" i="5"/>
  <c r="I677" i="5"/>
  <c r="I1072" i="5"/>
  <c r="I1080" i="5"/>
  <c r="I1090" i="5"/>
  <c r="I1091" i="5"/>
  <c r="I1093" i="5"/>
  <c r="I1112" i="5"/>
  <c r="I1152" i="5"/>
  <c r="I1153" i="5"/>
  <c r="I1155" i="5"/>
  <c r="I1174" i="5"/>
  <c r="I1338" i="5"/>
  <c r="I1339" i="5"/>
  <c r="I1341" i="5"/>
  <c r="I1360" i="5"/>
  <c r="R1358" i="5"/>
  <c r="I1630" i="5"/>
  <c r="I1638" i="5"/>
  <c r="I1648" i="5"/>
  <c r="I1649" i="5"/>
  <c r="I1651" i="5"/>
  <c r="I1670" i="5"/>
  <c r="R981" i="5"/>
  <c r="R987" i="5"/>
  <c r="I1005" i="5"/>
  <c r="I1439" i="5"/>
  <c r="I1501" i="5"/>
  <c r="R918" i="5"/>
  <c r="R925" i="5"/>
  <c r="I1003" i="5"/>
  <c r="I1214" i="5"/>
  <c r="I1215" i="5"/>
  <c r="I1217" i="5"/>
  <c r="I1236" i="5"/>
  <c r="I1400" i="5"/>
  <c r="I1401" i="5"/>
  <c r="I1403" i="5"/>
  <c r="I1422" i="5"/>
  <c r="I1437" i="5"/>
  <c r="I1499" i="5"/>
  <c r="R1500" i="5"/>
  <c r="R1506" i="5"/>
  <c r="R1525" i="5"/>
  <c r="R1527" i="5"/>
  <c r="R1533" i="5"/>
  <c r="R1545" i="5"/>
  <c r="R244" i="3"/>
  <c r="R594" i="3"/>
  <c r="R595" i="3"/>
  <c r="R597" i="3"/>
  <c r="R616" i="3"/>
  <c r="R1214" i="3"/>
  <c r="R1215" i="3"/>
  <c r="R1217" i="3"/>
  <c r="Y733" i="3"/>
  <c r="AA733" i="3"/>
  <c r="AA739" i="3"/>
  <c r="R181" i="3"/>
  <c r="R863" i="3"/>
  <c r="R1111" i="3"/>
  <c r="AA346" i="3"/>
  <c r="AA615" i="3"/>
  <c r="R161" i="2"/>
  <c r="R163" i="2"/>
  <c r="R182" i="2"/>
  <c r="R99" i="2"/>
  <c r="R101" i="2"/>
  <c r="I285" i="2"/>
  <c r="I287" i="2"/>
  <c r="I306" i="2"/>
  <c r="R432" i="1"/>
  <c r="R431" i="1"/>
  <c r="R122" i="1"/>
  <c r="I432" i="1"/>
  <c r="I842" i="1"/>
  <c r="I843" i="1"/>
  <c r="I845" i="1"/>
  <c r="I864" i="1"/>
  <c r="G570" i="1"/>
  <c r="I570" i="1"/>
  <c r="G571" i="1"/>
  <c r="I571" i="1"/>
  <c r="P695" i="1"/>
  <c r="R695" i="1"/>
  <c r="P694" i="1"/>
  <c r="R694" i="1"/>
  <c r="R693" i="1"/>
  <c r="R222" i="1"/>
  <c r="R266" i="1"/>
  <c r="P570" i="1"/>
  <c r="R570" i="1"/>
  <c r="P571" i="1"/>
  <c r="R571" i="1"/>
  <c r="I594" i="1"/>
  <c r="I1010" i="1"/>
  <c r="I1525" i="1"/>
  <c r="I1527" i="1"/>
  <c r="I1546" i="1"/>
  <c r="I1444" i="5"/>
  <c r="I1452" i="5"/>
  <c r="I1462" i="5"/>
  <c r="I1463" i="5"/>
  <c r="I1465" i="5"/>
  <c r="I1484" i="5"/>
  <c r="R867" i="1"/>
  <c r="I430" i="6"/>
  <c r="I37" i="4"/>
  <c r="I39" i="4"/>
  <c r="I58" i="4"/>
  <c r="I99" i="2"/>
  <c r="I101" i="2"/>
  <c r="I120" i="2"/>
  <c r="R1363" i="1"/>
  <c r="R1487" i="1"/>
  <c r="I161" i="2"/>
  <c r="I163" i="2"/>
  <c r="I182" i="2"/>
  <c r="I843" i="5"/>
  <c r="I845" i="5"/>
  <c r="R58" i="6"/>
  <c r="R368" i="6"/>
  <c r="R244" i="2"/>
  <c r="R1112" i="5"/>
  <c r="R306" i="6"/>
  <c r="I1298" i="6"/>
  <c r="I1299" i="6"/>
  <c r="R182" i="6"/>
  <c r="R183" i="6"/>
  <c r="I1050" i="6"/>
  <c r="I368" i="6"/>
  <c r="I1608" i="6"/>
  <c r="I1609" i="6"/>
  <c r="R1050" i="6"/>
  <c r="R1051" i="6"/>
  <c r="I554" i="6"/>
  <c r="I555" i="6"/>
  <c r="R1212" i="5"/>
  <c r="R1214" i="5"/>
  <c r="R1215" i="5"/>
  <c r="R1217" i="5"/>
  <c r="R1236" i="5"/>
  <c r="R1672" i="6"/>
  <c r="R824" i="6"/>
  <c r="R830" i="6"/>
  <c r="R842" i="6"/>
  <c r="R843" i="6"/>
  <c r="R845" i="6"/>
  <c r="R864" i="6"/>
  <c r="R865" i="6"/>
  <c r="R307" i="6"/>
  <c r="R308" i="6"/>
  <c r="I1484" i="6"/>
  <c r="I1485" i="6"/>
  <c r="I1422" i="6"/>
  <c r="I1423" i="6"/>
  <c r="I987" i="6"/>
  <c r="I988" i="6"/>
  <c r="I926" i="6"/>
  <c r="I928" i="6"/>
  <c r="I306" i="5"/>
  <c r="I308" i="5"/>
  <c r="I905" i="5"/>
  <c r="I907" i="5"/>
  <c r="I926" i="5"/>
  <c r="I927" i="5"/>
  <c r="R368" i="5"/>
  <c r="I430" i="5"/>
  <c r="I431" i="5"/>
  <c r="I948" i="5"/>
  <c r="I956" i="5"/>
  <c r="I966" i="5"/>
  <c r="I967" i="5"/>
  <c r="I969" i="5"/>
  <c r="I988" i="5"/>
  <c r="I990" i="5"/>
  <c r="I864" i="5"/>
  <c r="I368" i="5"/>
  <c r="R616" i="5"/>
  <c r="R59" i="5"/>
  <c r="R60" i="5"/>
  <c r="I1506" i="5"/>
  <c r="I1514" i="5"/>
  <c r="I1524" i="5"/>
  <c r="I1525" i="5"/>
  <c r="I1527" i="5"/>
  <c r="I1546" i="5"/>
  <c r="I1548" i="5"/>
  <c r="I1010" i="5"/>
  <c r="I1018" i="5"/>
  <c r="I1028" i="5"/>
  <c r="I1029" i="5"/>
  <c r="I1031" i="5"/>
  <c r="I1050" i="5"/>
  <c r="I1051" i="5"/>
  <c r="AA471" i="3"/>
  <c r="AA473" i="3"/>
  <c r="AA492" i="3"/>
  <c r="AA493" i="3"/>
  <c r="AA557" i="3"/>
  <c r="AA558" i="3"/>
  <c r="AA434" i="3"/>
  <c r="AA185" i="3"/>
  <c r="AA186" i="3"/>
  <c r="AA309" i="3"/>
  <c r="AA310" i="3"/>
  <c r="I223" i="3"/>
  <c r="I225" i="3"/>
  <c r="I244" i="3"/>
  <c r="I245" i="3"/>
  <c r="I905" i="3"/>
  <c r="I907" i="3"/>
  <c r="I926" i="3"/>
  <c r="I928" i="3"/>
  <c r="R1302" i="3"/>
  <c r="I719" i="3"/>
  <c r="I721" i="3"/>
  <c r="I740" i="3"/>
  <c r="I742" i="3"/>
  <c r="AA347" i="3"/>
  <c r="AA349" i="3"/>
  <c r="AA368" i="3"/>
  <c r="AA369" i="3"/>
  <c r="AA223" i="3"/>
  <c r="AA225" i="3"/>
  <c r="AA244" i="3"/>
  <c r="I99" i="3"/>
  <c r="I101" i="3"/>
  <c r="I120" i="3"/>
  <c r="I121" i="3"/>
  <c r="I533" i="3"/>
  <c r="I535" i="3"/>
  <c r="I554" i="3"/>
  <c r="I556" i="3"/>
  <c r="R1360" i="3"/>
  <c r="R1362" i="3"/>
  <c r="I161" i="3"/>
  <c r="I163" i="3"/>
  <c r="I182" i="3"/>
  <c r="I184" i="3"/>
  <c r="I471" i="3"/>
  <c r="I473" i="3"/>
  <c r="I492" i="3"/>
  <c r="I494" i="3"/>
  <c r="I432" i="3"/>
  <c r="R306" i="3"/>
  <c r="AA616" i="3"/>
  <c r="AA617" i="3"/>
  <c r="R1236" i="3"/>
  <c r="R1237" i="3"/>
  <c r="I595" i="3"/>
  <c r="I597" i="3"/>
  <c r="I616" i="3"/>
  <c r="I617" i="3"/>
  <c r="I285" i="3"/>
  <c r="I287" i="3"/>
  <c r="I306" i="3"/>
  <c r="I308" i="3"/>
  <c r="R740" i="3"/>
  <c r="R742" i="3"/>
  <c r="I1236" i="3"/>
  <c r="I1237" i="3"/>
  <c r="I37" i="3"/>
  <c r="I39" i="3"/>
  <c r="I58" i="3"/>
  <c r="I59" i="3"/>
  <c r="I1153" i="3"/>
  <c r="I1155" i="3"/>
  <c r="I1174" i="3"/>
  <c r="I1175" i="3"/>
  <c r="AA740" i="3"/>
  <c r="AA741" i="3"/>
  <c r="AA99" i="3"/>
  <c r="AA101" i="3"/>
  <c r="AA120" i="3"/>
  <c r="I657" i="3"/>
  <c r="I659" i="3"/>
  <c r="I678" i="3"/>
  <c r="I679" i="3"/>
  <c r="I967" i="3"/>
  <c r="I969" i="3"/>
  <c r="I988" i="3"/>
  <c r="I990" i="3"/>
  <c r="I843" i="3"/>
  <c r="I845" i="3"/>
  <c r="I864" i="3"/>
  <c r="I866" i="3"/>
  <c r="R370" i="3"/>
  <c r="R369" i="3"/>
  <c r="R1112" i="6"/>
  <c r="R1114" i="6"/>
  <c r="R1153" i="5"/>
  <c r="R1155" i="5"/>
  <c r="R1174" i="5"/>
  <c r="R1176" i="5"/>
  <c r="R554" i="5"/>
  <c r="R556" i="5"/>
  <c r="I432" i="5"/>
  <c r="I121" i="5"/>
  <c r="I123" i="5"/>
  <c r="I124" i="5"/>
  <c r="R837" i="3"/>
  <c r="R842" i="3"/>
  <c r="R843" i="3"/>
  <c r="R845" i="3"/>
  <c r="R864" i="3"/>
  <c r="R120" i="3"/>
  <c r="R60" i="3"/>
  <c r="R59" i="3"/>
  <c r="I1029" i="3"/>
  <c r="I1031" i="3"/>
  <c r="I1050" i="3"/>
  <c r="I1052" i="3"/>
  <c r="I781" i="3"/>
  <c r="I783" i="3"/>
  <c r="I802" i="3"/>
  <c r="I803" i="3"/>
  <c r="I347" i="3"/>
  <c r="I349" i="3"/>
  <c r="I368" i="3"/>
  <c r="I370" i="3"/>
  <c r="I246" i="2"/>
  <c r="I1017" i="1"/>
  <c r="I1028" i="1"/>
  <c r="I1029" i="1"/>
  <c r="I1031" i="1"/>
  <c r="I1050" i="1"/>
  <c r="I1052" i="1"/>
  <c r="I741" i="1"/>
  <c r="I743" i="1"/>
  <c r="I744" i="1"/>
  <c r="R1609" i="1"/>
  <c r="R1611" i="1"/>
  <c r="R1612" i="1"/>
  <c r="R1364" i="1"/>
  <c r="R1299" i="1"/>
  <c r="R1301" i="1"/>
  <c r="R1239" i="1"/>
  <c r="R1240" i="1"/>
  <c r="R930" i="1"/>
  <c r="S805" i="1"/>
  <c r="R805" i="1"/>
  <c r="R806" i="1"/>
  <c r="R1425" i="1"/>
  <c r="R1426" i="1"/>
  <c r="R868" i="1"/>
  <c r="R1488" i="1"/>
  <c r="R1051" i="1"/>
  <c r="R1052" i="1"/>
  <c r="R37" i="1"/>
  <c r="R39" i="1"/>
  <c r="R58" i="1"/>
  <c r="R59" i="1"/>
  <c r="I1339" i="1"/>
  <c r="I1341" i="1"/>
  <c r="I1360" i="1"/>
  <c r="I1277" i="1"/>
  <c r="I1279" i="1"/>
  <c r="I1298" i="1"/>
  <c r="I1299" i="1"/>
  <c r="I1237" i="1"/>
  <c r="I1238" i="1"/>
  <c r="R493" i="1"/>
  <c r="I1401" i="1"/>
  <c r="I1403" i="1"/>
  <c r="I1422" i="1"/>
  <c r="I1423" i="1"/>
  <c r="R638" i="1"/>
  <c r="R646" i="1"/>
  <c r="R656" i="1"/>
  <c r="R657" i="1"/>
  <c r="R659" i="1"/>
  <c r="R678" i="1"/>
  <c r="R680" i="1"/>
  <c r="I803" i="1"/>
  <c r="I37" i="1"/>
  <c r="I39" i="1"/>
  <c r="I58" i="1"/>
  <c r="I1176" i="1"/>
  <c r="I1177" i="1"/>
  <c r="I1178" i="1"/>
  <c r="R123" i="1"/>
  <c r="R124" i="1"/>
  <c r="I533" i="1"/>
  <c r="I535" i="1"/>
  <c r="I554" i="1"/>
  <c r="I556" i="1"/>
  <c r="R347" i="1"/>
  <c r="R349" i="1"/>
  <c r="R368" i="1"/>
  <c r="R369" i="1"/>
  <c r="I274" i="1"/>
  <c r="I284" i="1"/>
  <c r="I285" i="1"/>
  <c r="I287" i="1"/>
  <c r="I306" i="1"/>
  <c r="I307" i="1"/>
  <c r="I576" i="1"/>
  <c r="I595" i="1"/>
  <c r="I597" i="1"/>
  <c r="I616" i="1"/>
  <c r="I1485" i="1"/>
  <c r="I990" i="1"/>
  <c r="I991" i="1"/>
  <c r="I992" i="1"/>
  <c r="I805" i="1"/>
  <c r="I806" i="1"/>
  <c r="I369" i="1"/>
  <c r="I370" i="1"/>
  <c r="I212" i="1"/>
  <c r="I222" i="1"/>
  <c r="I223" i="1"/>
  <c r="I225" i="1"/>
  <c r="I244" i="1"/>
  <c r="I245" i="1"/>
  <c r="I121" i="4"/>
  <c r="I122" i="4"/>
  <c r="R184" i="5"/>
  <c r="R183" i="5"/>
  <c r="R61" i="5"/>
  <c r="R62" i="5"/>
  <c r="R988" i="3"/>
  <c r="R223" i="1"/>
  <c r="R225" i="1"/>
  <c r="R244" i="1"/>
  <c r="R246" i="1"/>
  <c r="R433" i="1"/>
  <c r="I804" i="5"/>
  <c r="I678" i="6"/>
  <c r="I1610" i="6"/>
  <c r="I1611" i="6"/>
  <c r="I1612" i="6"/>
  <c r="I244" i="6"/>
  <c r="I246" i="6"/>
  <c r="R285" i="1"/>
  <c r="R287" i="1"/>
  <c r="R306" i="1"/>
  <c r="R576" i="1"/>
  <c r="R583" i="1"/>
  <c r="R594" i="1"/>
  <c r="R595" i="1"/>
  <c r="R597" i="1"/>
  <c r="R616" i="1"/>
  <c r="R618" i="1"/>
  <c r="I433" i="1"/>
  <c r="I434" i="1"/>
  <c r="R120" i="2"/>
  <c r="R122" i="2"/>
  <c r="R1546" i="5"/>
  <c r="R1548" i="5"/>
  <c r="R926" i="5"/>
  <c r="R927" i="5"/>
  <c r="R1053" i="5"/>
  <c r="R1054" i="5"/>
  <c r="I743" i="5"/>
  <c r="I744" i="5"/>
  <c r="I555" i="5"/>
  <c r="R700" i="6"/>
  <c r="R706" i="6"/>
  <c r="R718" i="6"/>
  <c r="R719" i="6"/>
  <c r="R721" i="6"/>
  <c r="R740" i="6"/>
  <c r="R742" i="6"/>
  <c r="I1360" i="6"/>
  <c r="I1361" i="6"/>
  <c r="R120" i="6"/>
  <c r="R121" i="6"/>
  <c r="I244" i="5"/>
  <c r="I1236" i="6"/>
  <c r="I1238" i="6"/>
  <c r="I247" i="2"/>
  <c r="I182" i="5"/>
  <c r="I183" i="5"/>
  <c r="I1670" i="6"/>
  <c r="I1671" i="6"/>
  <c r="R616" i="6"/>
  <c r="R618" i="6"/>
  <c r="I433" i="3"/>
  <c r="I434" i="3"/>
  <c r="R430" i="5"/>
  <c r="R431" i="5"/>
  <c r="R802" i="5"/>
  <c r="R804" i="5"/>
  <c r="I492" i="6"/>
  <c r="I494" i="6"/>
  <c r="R244" i="6"/>
  <c r="R246" i="6"/>
  <c r="R988" i="6"/>
  <c r="R60" i="7"/>
  <c r="R59" i="7"/>
  <c r="I123" i="7"/>
  <c r="I124" i="7"/>
  <c r="I61" i="7"/>
  <c r="I62" i="7"/>
  <c r="R122" i="7"/>
  <c r="R121" i="7"/>
  <c r="R1362" i="6"/>
  <c r="R1361" i="6"/>
  <c r="R1363" i="6"/>
  <c r="I742" i="6"/>
  <c r="I741" i="6"/>
  <c r="I989" i="6"/>
  <c r="I370" i="6"/>
  <c r="I369" i="6"/>
  <c r="R1236" i="6"/>
  <c r="I1548" i="6"/>
  <c r="I1547" i="6"/>
  <c r="R1486" i="6"/>
  <c r="R1485" i="6"/>
  <c r="R1424" i="6"/>
  <c r="R1423" i="6"/>
  <c r="I804" i="6"/>
  <c r="I803" i="6"/>
  <c r="I680" i="6"/>
  <c r="I679" i="6"/>
  <c r="I618" i="6"/>
  <c r="I617" i="6"/>
  <c r="I1424" i="6"/>
  <c r="R1052" i="6"/>
  <c r="I866" i="6"/>
  <c r="I865" i="6"/>
  <c r="R494" i="6"/>
  <c r="R493" i="6"/>
  <c r="I432" i="6"/>
  <c r="I431" i="6"/>
  <c r="R184" i="6"/>
  <c r="I60" i="6"/>
  <c r="I59" i="6"/>
  <c r="R1673" i="6"/>
  <c r="R1674" i="6"/>
  <c r="R1298" i="6"/>
  <c r="I1174" i="6"/>
  <c r="R1174" i="6"/>
  <c r="R554" i="6"/>
  <c r="R928" i="6"/>
  <c r="R927" i="6"/>
  <c r="R1734" i="6"/>
  <c r="R1733" i="6"/>
  <c r="I1114" i="6"/>
  <c r="I1113" i="6"/>
  <c r="I1052" i="6"/>
  <c r="I1051" i="6"/>
  <c r="I556" i="6"/>
  <c r="I1672" i="6"/>
  <c r="R1610" i="6"/>
  <c r="R1609" i="6"/>
  <c r="R1548" i="6"/>
  <c r="R1547" i="6"/>
  <c r="R432" i="6"/>
  <c r="R431" i="6"/>
  <c r="R370" i="6"/>
  <c r="R369" i="6"/>
  <c r="R60" i="6"/>
  <c r="R59" i="6"/>
  <c r="I308" i="6"/>
  <c r="I307" i="6"/>
  <c r="R762" i="6"/>
  <c r="R768" i="6"/>
  <c r="R780" i="6"/>
  <c r="R781" i="6"/>
  <c r="R783" i="6"/>
  <c r="R802" i="6"/>
  <c r="I182" i="6"/>
  <c r="I120" i="6"/>
  <c r="I1486" i="5"/>
  <c r="I1485" i="5"/>
  <c r="I1238" i="5"/>
  <c r="I1237" i="5"/>
  <c r="R928" i="5"/>
  <c r="I1176" i="5"/>
  <c r="I1175" i="5"/>
  <c r="I1114" i="5"/>
  <c r="I1113" i="5"/>
  <c r="R370" i="5"/>
  <c r="R369" i="5"/>
  <c r="I1424" i="5"/>
  <c r="I1423" i="5"/>
  <c r="I1672" i="5"/>
  <c r="I1671" i="5"/>
  <c r="R432" i="5"/>
  <c r="R1486" i="5"/>
  <c r="R1485" i="5"/>
  <c r="R1424" i="5"/>
  <c r="R1423" i="5"/>
  <c r="I1362" i="5"/>
  <c r="I1361" i="5"/>
  <c r="R1114" i="5"/>
  <c r="R1113" i="5"/>
  <c r="R1115" i="5"/>
  <c r="I989" i="5"/>
  <c r="R866" i="5"/>
  <c r="R865" i="5"/>
  <c r="I1610" i="5"/>
  <c r="I1609" i="5"/>
  <c r="R617" i="5"/>
  <c r="R618" i="5"/>
  <c r="R494" i="5"/>
  <c r="R493" i="5"/>
  <c r="I370" i="5"/>
  <c r="I369" i="5"/>
  <c r="R246" i="5"/>
  <c r="R245" i="5"/>
  <c r="R122" i="5"/>
  <c r="R121" i="5"/>
  <c r="I678" i="5"/>
  <c r="I866" i="5"/>
  <c r="I865" i="5"/>
  <c r="R1300" i="5"/>
  <c r="R1299" i="5"/>
  <c r="I928" i="5"/>
  <c r="I494" i="5"/>
  <c r="I493" i="5"/>
  <c r="R308" i="5"/>
  <c r="R307" i="5"/>
  <c r="I60" i="5"/>
  <c r="I59" i="5"/>
  <c r="I1276" i="5"/>
  <c r="I1277" i="5"/>
  <c r="I1279" i="5"/>
  <c r="I1298" i="5"/>
  <c r="R1359" i="5"/>
  <c r="R988" i="5"/>
  <c r="R678" i="5"/>
  <c r="R740" i="5"/>
  <c r="I59" i="4"/>
  <c r="I60" i="4"/>
  <c r="I1114" i="3"/>
  <c r="I1113" i="3"/>
  <c r="R618" i="3"/>
  <c r="R617" i="3"/>
  <c r="R246" i="3"/>
  <c r="R245" i="3"/>
  <c r="I1362" i="3"/>
  <c r="I1361" i="3"/>
  <c r="R555" i="3"/>
  <c r="R556" i="3"/>
  <c r="R431" i="3"/>
  <c r="R432" i="3"/>
  <c r="I1299" i="3"/>
  <c r="I1300" i="3"/>
  <c r="R494" i="3"/>
  <c r="R493" i="3"/>
  <c r="R679" i="3"/>
  <c r="R680" i="3"/>
  <c r="R182" i="3"/>
  <c r="R1112" i="3"/>
  <c r="I184" i="2"/>
  <c r="I183" i="2"/>
  <c r="I60" i="2"/>
  <c r="I59" i="2"/>
  <c r="I308" i="2"/>
  <c r="I307" i="2"/>
  <c r="R60" i="2"/>
  <c r="R59" i="2"/>
  <c r="R246" i="2"/>
  <c r="R245" i="2"/>
  <c r="R184" i="2"/>
  <c r="R183" i="2"/>
  <c r="I122" i="2"/>
  <c r="I121" i="2"/>
  <c r="I555" i="1"/>
  <c r="R307" i="1"/>
  <c r="I1548" i="1"/>
  <c r="I1547" i="1"/>
  <c r="R556" i="1"/>
  <c r="R555" i="1"/>
  <c r="R245" i="1"/>
  <c r="I122" i="1"/>
  <c r="I121" i="1"/>
  <c r="I494" i="1"/>
  <c r="I493" i="1"/>
  <c r="R183" i="1"/>
  <c r="R184" i="1"/>
  <c r="I927" i="1"/>
  <c r="I928" i="1"/>
  <c r="I60" i="1"/>
  <c r="I59" i="1"/>
  <c r="I865" i="1"/>
  <c r="I866" i="1"/>
  <c r="I184" i="1"/>
  <c r="I183" i="1"/>
  <c r="I680" i="1"/>
  <c r="I679" i="1"/>
  <c r="I1113" i="1"/>
  <c r="I1114" i="1"/>
  <c r="R60" i="1"/>
  <c r="R434" i="1"/>
  <c r="R700" i="1"/>
  <c r="R708" i="1"/>
  <c r="R718" i="1"/>
  <c r="R719" i="1"/>
  <c r="R721" i="1"/>
  <c r="R740" i="1"/>
  <c r="R495" i="1"/>
  <c r="R496" i="1"/>
  <c r="R495" i="6"/>
  <c r="R496" i="6"/>
  <c r="R123" i="7"/>
  <c r="R619" i="5"/>
  <c r="R245" i="6"/>
  <c r="R247" i="6"/>
  <c r="R248" i="6"/>
  <c r="I1300" i="6"/>
  <c r="I1301" i="6"/>
  <c r="I1302" i="6"/>
  <c r="I927" i="6"/>
  <c r="R309" i="6"/>
  <c r="R310" i="6"/>
  <c r="R1735" i="6"/>
  <c r="R1736" i="6"/>
  <c r="R1549" i="6"/>
  <c r="R1550" i="6"/>
  <c r="R1425" i="6"/>
  <c r="R1426" i="6"/>
  <c r="R1053" i="6"/>
  <c r="R1054" i="6"/>
  <c r="R866" i="6"/>
  <c r="R867" i="6"/>
  <c r="R868" i="6"/>
  <c r="R741" i="6"/>
  <c r="R743" i="6"/>
  <c r="R617" i="6"/>
  <c r="R619" i="6"/>
  <c r="R620" i="6"/>
  <c r="R122" i="6"/>
  <c r="R123" i="6"/>
  <c r="R124" i="6"/>
  <c r="I1486" i="6"/>
  <c r="I1487" i="6"/>
  <c r="I1488" i="6"/>
  <c r="I1425" i="6"/>
  <c r="I1237" i="6"/>
  <c r="I1239" i="6"/>
  <c r="I1240" i="6"/>
  <c r="I867" i="6"/>
  <c r="I743" i="6"/>
  <c r="I744" i="6"/>
  <c r="I619" i="6"/>
  <c r="I620" i="6"/>
  <c r="I371" i="6"/>
  <c r="I372" i="6"/>
  <c r="I245" i="6"/>
  <c r="I247" i="6"/>
  <c r="I248" i="6"/>
  <c r="I307" i="5"/>
  <c r="I309" i="5"/>
  <c r="I310" i="5"/>
  <c r="R1301" i="5"/>
  <c r="R1302" i="5"/>
  <c r="R1487" i="5"/>
  <c r="R803" i="5"/>
  <c r="R805" i="5"/>
  <c r="R806" i="5"/>
  <c r="I1052" i="5"/>
  <c r="I1053" i="5"/>
  <c r="I1054" i="5"/>
  <c r="I991" i="5"/>
  <c r="I992" i="5"/>
  <c r="I927" i="3"/>
  <c r="I929" i="3"/>
  <c r="I930" i="3"/>
  <c r="I183" i="3"/>
  <c r="I185" i="3"/>
  <c r="I307" i="3"/>
  <c r="I309" i="3"/>
  <c r="I310" i="3"/>
  <c r="I989" i="3"/>
  <c r="I991" i="3"/>
  <c r="I992" i="3"/>
  <c r="AA494" i="3"/>
  <c r="AA495" i="3"/>
  <c r="AA496" i="3"/>
  <c r="I618" i="3"/>
  <c r="AA370" i="3"/>
  <c r="AA371" i="3"/>
  <c r="AA372" i="3"/>
  <c r="I246" i="3"/>
  <c r="I247" i="3"/>
  <c r="I248" i="3"/>
  <c r="AA742" i="3"/>
  <c r="I865" i="3"/>
  <c r="I867" i="3"/>
  <c r="I868" i="3"/>
  <c r="AA245" i="3"/>
  <c r="AA246" i="3"/>
  <c r="I493" i="3"/>
  <c r="I495" i="3"/>
  <c r="I496" i="3"/>
  <c r="I122" i="3"/>
  <c r="I123" i="3"/>
  <c r="I741" i="3"/>
  <c r="I743" i="3"/>
  <c r="I744" i="3"/>
  <c r="R681" i="3"/>
  <c r="R682" i="3"/>
  <c r="AA743" i="3"/>
  <c r="AA744" i="3"/>
  <c r="I555" i="3"/>
  <c r="I557" i="3"/>
  <c r="I558" i="3"/>
  <c r="R1361" i="3"/>
  <c r="R1363" i="3"/>
  <c r="R1364" i="3"/>
  <c r="R1238" i="3"/>
  <c r="R1239" i="3"/>
  <c r="R1240" i="3"/>
  <c r="R741" i="3"/>
  <c r="R743" i="3"/>
  <c r="R744" i="3"/>
  <c r="AA618" i="3"/>
  <c r="AA619" i="3"/>
  <c r="AA620" i="3"/>
  <c r="R308" i="3"/>
  <c r="R307" i="3"/>
  <c r="I1238" i="3"/>
  <c r="I1239" i="3"/>
  <c r="I1240" i="3"/>
  <c r="I60" i="3"/>
  <c r="I61" i="3"/>
  <c r="I62" i="3"/>
  <c r="I680" i="3"/>
  <c r="I681" i="3"/>
  <c r="I682" i="3"/>
  <c r="I1176" i="3"/>
  <c r="I1177" i="3"/>
  <c r="I1178" i="3"/>
  <c r="AA122" i="3"/>
  <c r="AA121" i="3"/>
  <c r="R557" i="3"/>
  <c r="R558" i="3"/>
  <c r="R371" i="3"/>
  <c r="R372" i="3"/>
  <c r="R247" i="3"/>
  <c r="R248" i="3"/>
  <c r="R1113" i="6"/>
  <c r="R1115" i="6"/>
  <c r="R1116" i="6"/>
  <c r="I493" i="6"/>
  <c r="I495" i="6"/>
  <c r="R1175" i="5"/>
  <c r="R1177" i="5"/>
  <c r="R555" i="5"/>
  <c r="R557" i="5"/>
  <c r="R558" i="5"/>
  <c r="I805" i="5"/>
  <c r="I806" i="5"/>
  <c r="I433" i="5"/>
  <c r="I434" i="5"/>
  <c r="I371" i="5"/>
  <c r="I372" i="5"/>
  <c r="I184" i="5"/>
  <c r="I185" i="5"/>
  <c r="I186" i="5"/>
  <c r="I123" i="4"/>
  <c r="I124" i="4"/>
  <c r="R495" i="3"/>
  <c r="R496" i="3"/>
  <c r="R121" i="3"/>
  <c r="R122" i="3"/>
  <c r="R61" i="3"/>
  <c r="R62" i="3"/>
  <c r="I1301" i="3"/>
  <c r="I1302" i="3"/>
  <c r="I1051" i="3"/>
  <c r="I1053" i="3"/>
  <c r="I1054" i="3"/>
  <c r="I804" i="3"/>
  <c r="I805" i="3"/>
  <c r="I806" i="3"/>
  <c r="I369" i="3"/>
  <c r="R121" i="2"/>
  <c r="I248" i="2"/>
  <c r="I123" i="2"/>
  <c r="I124" i="2"/>
  <c r="I1239" i="1"/>
  <c r="I1240" i="1"/>
  <c r="I1051" i="1"/>
  <c r="I1053" i="1"/>
  <c r="I1054" i="1"/>
  <c r="R1302" i="1"/>
  <c r="R1053" i="1"/>
  <c r="R1054" i="1"/>
  <c r="R679" i="1"/>
  <c r="I1362" i="1"/>
  <c r="I1361" i="1"/>
  <c r="I1300" i="1"/>
  <c r="I1301" i="1"/>
  <c r="I1302" i="1"/>
  <c r="R557" i="1"/>
  <c r="R558" i="1"/>
  <c r="I1549" i="1"/>
  <c r="I371" i="1"/>
  <c r="I372" i="1"/>
  <c r="I1424" i="1"/>
  <c r="I1425" i="1"/>
  <c r="I1426" i="1"/>
  <c r="R370" i="1"/>
  <c r="R371" i="1"/>
  <c r="R372" i="1"/>
  <c r="I308" i="1"/>
  <c r="I309" i="1"/>
  <c r="I310" i="1"/>
  <c r="R617" i="1"/>
  <c r="I1487" i="1"/>
  <c r="I1488" i="1"/>
  <c r="I867" i="1"/>
  <c r="R681" i="1"/>
  <c r="R682" i="1"/>
  <c r="I557" i="1"/>
  <c r="I558" i="1"/>
  <c r="I246" i="1"/>
  <c r="I123" i="1"/>
  <c r="I124" i="1"/>
  <c r="I371" i="3"/>
  <c r="I372" i="3"/>
  <c r="I309" i="2"/>
  <c r="I310" i="2"/>
  <c r="I1115" i="3"/>
  <c r="I1116" i="3"/>
  <c r="R1116" i="5"/>
  <c r="I1115" i="5"/>
  <c r="I1116" i="5"/>
  <c r="I1362" i="6"/>
  <c r="I1363" i="6"/>
  <c r="I1364" i="6"/>
  <c r="R1487" i="6"/>
  <c r="R1488" i="6"/>
  <c r="R61" i="1"/>
  <c r="R62" i="1"/>
  <c r="I868" i="1"/>
  <c r="I495" i="1"/>
  <c r="I496" i="1"/>
  <c r="R247" i="1"/>
  <c r="R248" i="1"/>
  <c r="R619" i="1"/>
  <c r="R620" i="1"/>
  <c r="R185" i="2"/>
  <c r="I681" i="1"/>
  <c r="I682" i="1"/>
  <c r="I185" i="1"/>
  <c r="I186" i="1"/>
  <c r="R308" i="1"/>
  <c r="R309" i="1"/>
  <c r="R310" i="1"/>
  <c r="R123" i="2"/>
  <c r="R124" i="2"/>
  <c r="I619" i="3"/>
  <c r="I620" i="3"/>
  <c r="I1363" i="3"/>
  <c r="I1364" i="3"/>
  <c r="I61" i="5"/>
  <c r="I62" i="5"/>
  <c r="I1363" i="5"/>
  <c r="R1488" i="5"/>
  <c r="R433" i="5"/>
  <c r="I1547" i="5"/>
  <c r="I1549" i="5"/>
  <c r="I1177" i="5"/>
  <c r="I1178" i="5"/>
  <c r="I1239" i="5"/>
  <c r="I1240" i="5"/>
  <c r="R1547" i="5"/>
  <c r="R1549" i="5"/>
  <c r="I681" i="6"/>
  <c r="I682" i="6"/>
  <c r="R1364" i="6"/>
  <c r="R185" i="5"/>
  <c r="R186" i="5"/>
  <c r="I557" i="5"/>
  <c r="I558" i="5"/>
  <c r="R990" i="6"/>
  <c r="R989" i="6"/>
  <c r="I246" i="5"/>
  <c r="I245" i="5"/>
  <c r="R990" i="3"/>
  <c r="R989" i="3"/>
  <c r="I61" i="1"/>
  <c r="I62" i="1"/>
  <c r="I61" i="2"/>
  <c r="I62" i="2"/>
  <c r="I495" i="5"/>
  <c r="I496" i="5"/>
  <c r="R620" i="5"/>
  <c r="I1425" i="5"/>
  <c r="I1426" i="5"/>
  <c r="R371" i="5"/>
  <c r="R372" i="5"/>
  <c r="R929" i="5"/>
  <c r="R930" i="5"/>
  <c r="I1487" i="5"/>
  <c r="I1488" i="5"/>
  <c r="I805" i="6"/>
  <c r="I806" i="6"/>
  <c r="R124" i="7"/>
  <c r="I929" i="1"/>
  <c r="I930" i="1"/>
  <c r="I1550" i="1"/>
  <c r="I185" i="2"/>
  <c r="I186" i="2"/>
  <c r="R1425" i="5"/>
  <c r="R1426" i="5"/>
  <c r="I929" i="5"/>
  <c r="I930" i="5"/>
  <c r="I867" i="5"/>
  <c r="I868" i="5"/>
  <c r="I309" i="6"/>
  <c r="I310" i="6"/>
  <c r="R61" i="6"/>
  <c r="R62" i="6"/>
  <c r="R433" i="6"/>
  <c r="R434" i="6"/>
  <c r="R1611" i="6"/>
  <c r="R1612" i="6"/>
  <c r="R929" i="6"/>
  <c r="R930" i="6"/>
  <c r="R185" i="6"/>
  <c r="R186" i="6"/>
  <c r="I990" i="6"/>
  <c r="I991" i="6"/>
  <c r="I929" i="6"/>
  <c r="I930" i="6"/>
  <c r="R61" i="7"/>
  <c r="R62" i="7"/>
  <c r="I868" i="6"/>
  <c r="I1176" i="6"/>
  <c r="I1175" i="6"/>
  <c r="R1238" i="6"/>
  <c r="R1237" i="6"/>
  <c r="R371" i="6"/>
  <c r="R372" i="6"/>
  <c r="I1673" i="6"/>
  <c r="I1674" i="6"/>
  <c r="I557" i="6"/>
  <c r="I558" i="6"/>
  <c r="I1053" i="6"/>
  <c r="I1054" i="6"/>
  <c r="I1115" i="6"/>
  <c r="I1116" i="6"/>
  <c r="I61" i="6"/>
  <c r="I62" i="6"/>
  <c r="I433" i="6"/>
  <c r="I434" i="6"/>
  <c r="I1426" i="6"/>
  <c r="I1549" i="6"/>
  <c r="I1550" i="6"/>
  <c r="I122" i="6"/>
  <c r="I121" i="6"/>
  <c r="I184" i="6"/>
  <c r="I183" i="6"/>
  <c r="R804" i="6"/>
  <c r="R803" i="6"/>
  <c r="R556" i="6"/>
  <c r="R555" i="6"/>
  <c r="R1176" i="6"/>
  <c r="R1175" i="6"/>
  <c r="R1300" i="6"/>
  <c r="R1299" i="6"/>
  <c r="R434" i="5"/>
  <c r="R742" i="5"/>
  <c r="R741" i="5"/>
  <c r="R680" i="5"/>
  <c r="R679" i="5"/>
  <c r="R1361" i="5"/>
  <c r="R1360" i="5"/>
  <c r="R309" i="5"/>
  <c r="R310" i="5"/>
  <c r="R123" i="5"/>
  <c r="R124" i="5"/>
  <c r="R247" i="5"/>
  <c r="R248" i="5"/>
  <c r="R495" i="5"/>
  <c r="R496" i="5"/>
  <c r="R867" i="5"/>
  <c r="R868" i="5"/>
  <c r="I1364" i="5"/>
  <c r="R1238" i="5"/>
  <c r="R1237" i="5"/>
  <c r="R990" i="5"/>
  <c r="R989" i="5"/>
  <c r="I1300" i="5"/>
  <c r="I1299" i="5"/>
  <c r="I680" i="5"/>
  <c r="I679" i="5"/>
  <c r="I1611" i="5"/>
  <c r="I1612" i="5"/>
  <c r="I1673" i="5"/>
  <c r="I1674" i="5"/>
  <c r="I61" i="4"/>
  <c r="I62" i="4"/>
  <c r="R1114" i="3"/>
  <c r="R1113" i="3"/>
  <c r="R866" i="3"/>
  <c r="R865" i="3"/>
  <c r="R184" i="3"/>
  <c r="R183" i="3"/>
  <c r="R433" i="3"/>
  <c r="R434" i="3"/>
  <c r="R619" i="3"/>
  <c r="R620" i="3"/>
  <c r="R186" i="2"/>
  <c r="R61" i="2"/>
  <c r="R62" i="2"/>
  <c r="R247" i="2"/>
  <c r="R248" i="2"/>
  <c r="I618" i="1"/>
  <c r="I617" i="1"/>
  <c r="R742" i="1"/>
  <c r="R741" i="1"/>
  <c r="I1115" i="1"/>
  <c r="I1116" i="1"/>
  <c r="R185" i="1"/>
  <c r="R186" i="1"/>
  <c r="I185" i="6"/>
  <c r="I186" i="6"/>
  <c r="R1301" i="6"/>
  <c r="R1302" i="6"/>
  <c r="R991" i="6"/>
  <c r="R992" i="6"/>
  <c r="R744" i="6"/>
  <c r="I1177" i="6"/>
  <c r="I1178" i="6"/>
  <c r="R1362" i="5"/>
  <c r="R1363" i="5"/>
  <c r="I1550" i="5"/>
  <c r="I1301" i="5"/>
  <c r="I1302" i="5"/>
  <c r="I681" i="5"/>
  <c r="I682" i="5"/>
  <c r="I186" i="3"/>
  <c r="I124" i="3"/>
  <c r="AA247" i="3"/>
  <c r="AA248" i="3"/>
  <c r="R123" i="3"/>
  <c r="R124" i="3"/>
  <c r="R309" i="3"/>
  <c r="R310" i="3"/>
  <c r="AA123" i="3"/>
  <c r="AA124" i="3"/>
  <c r="R185" i="3"/>
  <c r="R186" i="3"/>
  <c r="I496" i="6"/>
  <c r="R1178" i="5"/>
  <c r="R681" i="5"/>
  <c r="R682" i="5"/>
  <c r="I1363" i="1"/>
  <c r="I1364" i="1"/>
  <c r="I247" i="1"/>
  <c r="I248" i="1"/>
  <c r="I247" i="5"/>
  <c r="I248" i="5"/>
  <c r="R743" i="5"/>
  <c r="R744" i="5"/>
  <c r="R1177" i="6"/>
  <c r="R1178" i="6"/>
  <c r="I123" i="6"/>
  <c r="I124" i="6"/>
  <c r="R1239" i="5"/>
  <c r="R1240" i="5"/>
  <c r="R743" i="1"/>
  <c r="R744" i="1"/>
  <c r="R1115" i="3"/>
  <c r="R1116" i="3"/>
  <c r="R1550" i="5"/>
  <c r="R557" i="6"/>
  <c r="R558" i="6"/>
  <c r="R805" i="6"/>
  <c r="R806" i="6"/>
  <c r="R867" i="3"/>
  <c r="R868" i="3"/>
  <c r="R1239" i="6"/>
  <c r="R1240" i="6"/>
  <c r="R991" i="3"/>
  <c r="R992" i="3"/>
  <c r="R991" i="5"/>
  <c r="R992" i="5"/>
  <c r="I619" i="1"/>
  <c r="I620" i="1"/>
</calcChain>
</file>

<file path=xl/sharedStrings.xml><?xml version="1.0" encoding="utf-8"?>
<sst xmlns="http://schemas.openxmlformats.org/spreadsheetml/2006/main" count="15931" uniqueCount="1319">
  <si>
    <t>DETAILED UNIT PRICE ANALYSIS (DUPA)</t>
  </si>
  <si>
    <t>Item No./Description</t>
  </si>
  <si>
    <t>:</t>
  </si>
  <si>
    <t>100(1)</t>
  </si>
  <si>
    <t>Clearing &amp; Grubbing (with Stripping)</t>
  </si>
  <si>
    <t>102(2)b</t>
  </si>
  <si>
    <t>Roadway Excavation (Surplus Common)</t>
  </si>
  <si>
    <t>Unit of Measurement</t>
  </si>
  <si>
    <t>sq.m.</t>
  </si>
  <si>
    <t>cu.m.</t>
  </si>
  <si>
    <t>Output per hour</t>
  </si>
  <si>
    <t>Designation</t>
  </si>
  <si>
    <t>No. of Person</t>
  </si>
  <si>
    <t>No. of Hours</t>
  </si>
  <si>
    <t>Hourly Rate</t>
  </si>
  <si>
    <t>Amount</t>
  </si>
  <si>
    <t>A.</t>
  </si>
  <si>
    <t>Labor</t>
  </si>
  <si>
    <t>a. Construction Foreman</t>
  </si>
  <si>
    <t>b. Laborer</t>
  </si>
  <si>
    <t>Sub - Total for A</t>
  </si>
  <si>
    <t>Name and Capacity</t>
  </si>
  <si>
    <t>No of Units</t>
  </si>
  <si>
    <t>B.</t>
  </si>
  <si>
    <t>Equipment</t>
  </si>
  <si>
    <t>b. Payloader (1.50 cu.m.)</t>
  </si>
  <si>
    <t>c. Payloader (1.50 cu.m.) - at disposal area</t>
  </si>
  <si>
    <t>(Hauling Distance - within three (3) km.)</t>
  </si>
  <si>
    <t>e. Backhoe (0.80 cu.m.)</t>
  </si>
  <si>
    <t>Assumed 150mm cut</t>
  </si>
  <si>
    <t>Sub - Total for B</t>
  </si>
  <si>
    <t>C.</t>
  </si>
  <si>
    <t>Total (A + B)</t>
  </si>
  <si>
    <t>D.</t>
  </si>
  <si>
    <t>E.</t>
  </si>
  <si>
    <t>Direct Unit Cost (C ÷ D)</t>
  </si>
  <si>
    <t>Name and Specification</t>
  </si>
  <si>
    <t>Unit</t>
  </si>
  <si>
    <t>Quantity</t>
  </si>
  <si>
    <t>Unit Cost</t>
  </si>
  <si>
    <t>F.</t>
  </si>
  <si>
    <t>Materials</t>
  </si>
  <si>
    <t>Sub - Total for F</t>
  </si>
  <si>
    <t>G.</t>
  </si>
  <si>
    <t>Direct Unit Cost (E + F)</t>
  </si>
  <si>
    <t>H.</t>
  </si>
  <si>
    <t>Overhead, Contingencies &amp; Miscellaneous (OCM)</t>
  </si>
  <si>
    <t>of G</t>
  </si>
  <si>
    <t>I.</t>
  </si>
  <si>
    <t>Contractor's Profit (CP)</t>
  </si>
  <si>
    <t>J.</t>
  </si>
  <si>
    <t>Value Added Tax (VAT)</t>
  </si>
  <si>
    <t>of (G + H + I)</t>
  </si>
  <si>
    <t>K.</t>
  </si>
  <si>
    <t>Total Unit Cost</t>
  </si>
  <si>
    <t>(G + H + I + J)</t>
  </si>
  <si>
    <t>100(2)a</t>
  </si>
  <si>
    <t>102(3)a</t>
  </si>
  <si>
    <t>Roadway Excavation (Surplus Soft Rock)</t>
  </si>
  <si>
    <t>ea.</t>
  </si>
  <si>
    <t>b. Skilled Laborer</t>
  </si>
  <si>
    <t>c. Laborer</t>
  </si>
  <si>
    <t>a. Backhoe (0.80 cu.m.)</t>
  </si>
  <si>
    <t>c. Chain Saw</t>
  </si>
  <si>
    <t>e. Backhoe (0.80 cu.m.) w/ attachment</t>
  </si>
  <si>
    <t xml:space="preserve">* Boom Truck - if necessary for trimming in Urban Areas </t>
  </si>
  <si>
    <t>m.</t>
  </si>
  <si>
    <t>100(2)b</t>
  </si>
  <si>
    <t>102(3)b</t>
  </si>
  <si>
    <t>100(3)a</t>
  </si>
  <si>
    <t>102(3)c</t>
  </si>
  <si>
    <t>Roadway Excavation (Surplus Hard Rock) - Blasting</t>
  </si>
  <si>
    <t>(Drilling)</t>
  </si>
  <si>
    <t>(Blasting)</t>
  </si>
  <si>
    <t>(Disposal)</t>
  </si>
  <si>
    <t>e. Pneumatic Drilling Machine</t>
  </si>
  <si>
    <t>a. Dynamite</t>
  </si>
  <si>
    <t>kg.</t>
  </si>
  <si>
    <t>b. Detonation Cord</t>
  </si>
  <si>
    <t>c. Detonator</t>
  </si>
  <si>
    <t>pc.</t>
  </si>
  <si>
    <t>d. Ammonium Sulfate</t>
  </si>
  <si>
    <t>e. Blasting Cap</t>
  </si>
  <si>
    <t>f.  Safety Fuse</t>
  </si>
  <si>
    <t>100(3)b</t>
  </si>
  <si>
    <t>102(3)d</t>
  </si>
  <si>
    <t>Roadway Excavation (Surplus Hard Rock) - Blasting (Tunnel Excavation)</t>
  </si>
  <si>
    <t>e. Payloader (1.50 cu.m.)</t>
  </si>
  <si>
    <t>101(1)</t>
  </si>
  <si>
    <t>Removal of Structures and Obstruction (other than concrete)</t>
  </si>
  <si>
    <t>102(4)</t>
  </si>
  <si>
    <t>Roadway Excavation (Unclassified)</t>
  </si>
  <si>
    <t>Minor Tools (10% of Labor)</t>
  </si>
  <si>
    <t>101(2)</t>
  </si>
  <si>
    <t>Removal of Concrete Bridge Structures</t>
  </si>
  <si>
    <t>103(1)a</t>
  </si>
  <si>
    <t>Structure Excavation (Common Soil)</t>
  </si>
  <si>
    <t>a. Backhoe w/ Breaker (0.80 cu.m.)</t>
  </si>
  <si>
    <t xml:space="preserve">b. Jackhammer </t>
  </si>
  <si>
    <t>b. Backhoe (0.80 cu.m.)</t>
  </si>
  <si>
    <t>g. Cutting Outfit</t>
  </si>
  <si>
    <t>* Disposal area (within three (3) km.)</t>
  </si>
  <si>
    <t>a. Oxy/Acytelene</t>
  </si>
  <si>
    <t>set</t>
  </si>
  <si>
    <t>Removal of Steel Bridge Structures</t>
  </si>
  <si>
    <t>103(1)b</t>
  </si>
  <si>
    <t>Structure Excavation (Soft Rock)</t>
  </si>
  <si>
    <t>c. Backhoe w/ Breaker (0.80 cu.m.)</t>
  </si>
  <si>
    <t>d. Cutting Outfit</t>
  </si>
  <si>
    <t>b. Welding Rod</t>
  </si>
  <si>
    <t>c. Rope 1" dia.</t>
  </si>
  <si>
    <t>* Include shoring materials if needed based on actual field condition</t>
  </si>
  <si>
    <t>Removal of Stone Masonry Lined Drainage Structures</t>
  </si>
  <si>
    <t>103(1)c</t>
  </si>
  <si>
    <t>Structure Excavation (Solid Rock)</t>
  </si>
  <si>
    <t>Removal of Concrete Drainage Structures</t>
  </si>
  <si>
    <t>103(2)a</t>
  </si>
  <si>
    <t>Bridge Excavation (Common Soil)</t>
  </si>
  <si>
    <t>a. Oxy/Acetylene</t>
  </si>
  <si>
    <t>101(2)a</t>
  </si>
  <si>
    <t>Removal of RCPC (24" dia.) - 610mm</t>
  </si>
  <si>
    <t>103(2)b</t>
  </si>
  <si>
    <t>Bridge Excavation (Soft Rock)</t>
  </si>
  <si>
    <t>l.m.</t>
  </si>
  <si>
    <t>b. Backhoe w/ Breaker (0.80 cu.m.)</t>
  </si>
  <si>
    <t>Minor Tools (10 % of Labor)</t>
  </si>
  <si>
    <t xml:space="preserve">   Note: Exclude Excavation Works</t>
  </si>
  <si>
    <t>101(2)b</t>
  </si>
  <si>
    <t>Removal of RCPC (30" dia.) - 760mm</t>
  </si>
  <si>
    <t>103(2)c</t>
  </si>
  <si>
    <t>Bridge Excavation (Solid Rock)</t>
  </si>
  <si>
    <t>101(2)c</t>
  </si>
  <si>
    <t>Removal of RCPC (36" dia.) - 910mm</t>
  </si>
  <si>
    <t>103(3)</t>
  </si>
  <si>
    <t>Foundation Fill</t>
  </si>
  <si>
    <t>a. Plate Compactor (5 Hp)</t>
  </si>
  <si>
    <t>b. Water Truck (1000 gal.)</t>
  </si>
  <si>
    <t>a. Filling Materials</t>
  </si>
  <si>
    <t>101(2)d</t>
  </si>
  <si>
    <t>Removal of RCPC (42" dia.) - 1070mm</t>
  </si>
  <si>
    <t>103(4)</t>
  </si>
  <si>
    <t>Excavation ordered below Plan Elevation</t>
  </si>
  <si>
    <t>101(2)e</t>
  </si>
  <si>
    <t>Removal of RCPC (48" dia.) - 1220mm</t>
  </si>
  <si>
    <t>103(5)a</t>
  </si>
  <si>
    <t>Shoring</t>
  </si>
  <si>
    <t>l.s.</t>
  </si>
  <si>
    <t>Output</t>
  </si>
  <si>
    <t>Note:</t>
  </si>
  <si>
    <t xml:space="preserve">         *)  The component quantity of items of work involved such as item 404/405/509 shall be based on the</t>
  </si>
  <si>
    <t xml:space="preserve">               actual design of the shoring.</t>
  </si>
  <si>
    <t xml:space="preserve">       **)  Costing of this item shall be based on the standard Detailed Unit Price Analysis (DUPA) of item 404/405/509</t>
  </si>
  <si>
    <t xml:space="preserve">               as processed component pay item.</t>
  </si>
  <si>
    <t>Direct             Unit Cost</t>
  </si>
  <si>
    <t>Direct Cost</t>
  </si>
  <si>
    <t>Materials/Processed Component Pay Item</t>
  </si>
  <si>
    <t>a. 404 - Reinforcing Steel Bar</t>
  </si>
  <si>
    <t>*</t>
  </si>
  <si>
    <t>b. 405 - Structural Concrete</t>
  </si>
  <si>
    <t>c. 509 - Steel Sheet Pile</t>
  </si>
  <si>
    <t>101(2)f</t>
  </si>
  <si>
    <t>Removal of RCPC (60" dia.) - 1520mm</t>
  </si>
  <si>
    <t>103(5)b</t>
  </si>
  <si>
    <t>Cribbing/Cofferdamming</t>
  </si>
  <si>
    <t>a. Crawler  Crane (36 - 40 T)</t>
  </si>
  <si>
    <t>b. Vibro Hammer (Hydraulic Operated)</t>
  </si>
  <si>
    <t>e. Water Pump, 100mm suction diameter</t>
  </si>
  <si>
    <t>a. Steel Sheet Pile</t>
  </si>
  <si>
    <t>b. Walling, Bracing, Diagonal, etc.</t>
  </si>
  <si>
    <t>Miscellaneous (1% of Materials)</t>
  </si>
  <si>
    <t xml:space="preserve">          a.)  The assume dimesion of area to be provided with cofferdam is 12m x 12m square with</t>
  </si>
  <si>
    <t xml:space="preserve">                 Steel Sheet Piles depth of 9m at 48 kg./m.</t>
  </si>
  <si>
    <t xml:space="preserve">          b.)  The quantity of component materials requirement may vary depending on the actual</t>
  </si>
  <si>
    <t xml:space="preserve">                 design of Cribbing/Cofferdamming.</t>
  </si>
  <si>
    <t>101(2)g</t>
  </si>
  <si>
    <t>Removal of Pipes other than Pipe Culverts (PVC/GI/Asbestos, up to 200mm Ø), L=10 ft.</t>
  </si>
  <si>
    <t>103(6)</t>
  </si>
  <si>
    <t>Pipe Culvert and Drain Excavation</t>
  </si>
  <si>
    <t>101(3)a.1</t>
  </si>
  <si>
    <t>Removal of Existing Concrete Pavement (0.23m thk.)</t>
  </si>
  <si>
    <t>104(1)a</t>
  </si>
  <si>
    <t>Embankment (from Borrow)</t>
  </si>
  <si>
    <t>a. Backhoe w/ Pavement Breaker (0.80 cu.m.)</t>
  </si>
  <si>
    <t>b. Payloader (1.50 cu.m.), LX80-2C</t>
  </si>
  <si>
    <t>b. Vibratory Roller (10 m.t.), SP56</t>
  </si>
  <si>
    <t>c. Water Truck (1000 gal.)</t>
  </si>
  <si>
    <t>Output per hour  =  40.00 sq.m.</t>
  </si>
  <si>
    <t>a. Common Borrow (w/ 25% Shrinkage Factor)</t>
  </si>
  <si>
    <t>101(3)a.2</t>
  </si>
  <si>
    <t>Removal of Existing PCC Pavement, 0.23m thk. (for Reblocking at intermittent section)</t>
  </si>
  <si>
    <t>104(1)b</t>
  </si>
  <si>
    <t>Embankment from Roadway Excavation</t>
  </si>
  <si>
    <t>For Excavation Work:</t>
  </si>
  <si>
    <t>Spreading and Compaction:</t>
  </si>
  <si>
    <t>a. Concrete Saw (diamond blade 14")</t>
  </si>
  <si>
    <t>101(3)b</t>
  </si>
  <si>
    <t>Removal of Existing Asphalt Pavement (100mm thk.)</t>
  </si>
  <si>
    <t>104(2)</t>
  </si>
  <si>
    <t>Selected Borrow for topping , case 1</t>
  </si>
  <si>
    <t>a. Motorized Road Grader w/ Scarifier, G710A</t>
  </si>
  <si>
    <t>a. Selected Borrow (w/ 25% Shrinkage Factor)</t>
  </si>
  <si>
    <t>101(3)c</t>
  </si>
  <si>
    <t>Removal of Sidewalk</t>
  </si>
  <si>
    <t>104(3)</t>
  </si>
  <si>
    <t>Selected Borrow for topping , case 2</t>
  </si>
  <si>
    <t>101(4)a</t>
  </si>
  <si>
    <t>Removal of Curb</t>
  </si>
  <si>
    <t>104(4)</t>
  </si>
  <si>
    <t>Earth Berm</t>
  </si>
  <si>
    <t>101(4)b</t>
  </si>
  <si>
    <t>Removal of Curb &amp; Gutter</t>
  </si>
  <si>
    <t>105(1)</t>
  </si>
  <si>
    <t>Subgrade Preparation (Common Material)</t>
  </si>
  <si>
    <t>102(1)</t>
  </si>
  <si>
    <t>Roadway Excavation (Unsuitable)</t>
  </si>
  <si>
    <t>105(2)</t>
  </si>
  <si>
    <t>Subgrade Preparation (Existing Pavement)</t>
  </si>
  <si>
    <t>c. Payloader (1.50 cu.m.) at disposal site</t>
  </si>
  <si>
    <t>102(2)a</t>
  </si>
  <si>
    <t>105(3)</t>
  </si>
  <si>
    <t>Subgrade Preparation (Unsuitable Material)</t>
  </si>
  <si>
    <t xml:space="preserve">b. Payloader (1.50 cu.m.) </t>
  </si>
  <si>
    <t>Aggregate Subbase Course</t>
  </si>
  <si>
    <t>Lime Stabilized Road Mix Base Course</t>
  </si>
  <si>
    <t>cu.m</t>
  </si>
  <si>
    <t>a. Aggregate Subbase Course</t>
  </si>
  <si>
    <t>a. Hydrated Lime, Type N (Normal)</t>
  </si>
  <si>
    <t>bag</t>
  </si>
  <si>
    <t>(w/ 15% Shrinkage Factor)</t>
  </si>
  <si>
    <t>b. Aggregate Base Course</t>
  </si>
  <si>
    <t>200(1)</t>
  </si>
  <si>
    <t>Aggregate Subbase Course (for Intermittent Reblocking)</t>
  </si>
  <si>
    <t>Portland Cement Stabilized Road Mix Base Course</t>
  </si>
  <si>
    <t>c. Plate Compactor (5 Hp)</t>
  </si>
  <si>
    <t>a. Cement</t>
  </si>
  <si>
    <t>Aggregate Base Course</t>
  </si>
  <si>
    <t>Asphalt Stabilized Road Mix Base Course</t>
  </si>
  <si>
    <t>a. Aggregate Base Course</t>
  </si>
  <si>
    <t>a. Emulsified Asphalt SS-1</t>
  </si>
  <si>
    <t>m.t.</t>
  </si>
  <si>
    <t>201(1)</t>
  </si>
  <si>
    <t>Aggregate Base Course (for Reblocking)</t>
  </si>
  <si>
    <t>Portland Cement Treated Plant Mix Base Course</t>
  </si>
  <si>
    <t>e. Payloader (1.50 cu.m.), LX80-2C</t>
  </si>
  <si>
    <t xml:space="preserve">c. MC 70 Cut-back Asphalt </t>
  </si>
  <si>
    <t>Crushed Aggregate Base Course</t>
  </si>
  <si>
    <t>a. Crushed Aggregate Base Course</t>
  </si>
  <si>
    <t xml:space="preserve">   (w/ 15% Shrinkage Factor)</t>
  </si>
  <si>
    <t>300(1)</t>
  </si>
  <si>
    <t>Gravel Surface Course (Uncrushed)</t>
  </si>
  <si>
    <t>306(2)</t>
  </si>
  <si>
    <t>Bituminous Material for Bituminous Road Mix Surface Course</t>
  </si>
  <si>
    <t>311(2)</t>
  </si>
  <si>
    <t>PCC Pavement (Reinforced), 230mm thk.</t>
  </si>
  <si>
    <t>a. Asphalt Distributor, 10 ft. wide (5 tons)</t>
  </si>
  <si>
    <t>b. Concrete Screeder (5.5 Hp)</t>
  </si>
  <si>
    <t>c. Transit Mixer (5 cu.m.)</t>
  </si>
  <si>
    <t>d. Payloader (1.50 cu.m.), LX80-2C</t>
  </si>
  <si>
    <t>g. Bar Cutter, Single Phase</t>
  </si>
  <si>
    <t>h. Bar Bender</t>
  </si>
  <si>
    <t>Minor Tools (5% of Labor)</t>
  </si>
  <si>
    <t>a. Uncrushed Aggregate Surface Course</t>
  </si>
  <si>
    <t>a. MC Cut-back Asphalt</t>
  </si>
  <si>
    <t>a. Reinforcing Steel Bar</t>
  </si>
  <si>
    <t>b. Curing Compound</t>
  </si>
  <si>
    <t>lit.</t>
  </si>
  <si>
    <t>c. Asphalt Sealant</t>
  </si>
  <si>
    <t>d. Steel Forms (Rental)</t>
  </si>
  <si>
    <t>e. Sand</t>
  </si>
  <si>
    <t>f.  Gravel</t>
  </si>
  <si>
    <t>g. Cement</t>
  </si>
  <si>
    <t>h. # 16 GI Tie Wire (2% of RSB)</t>
  </si>
  <si>
    <t>300(2)</t>
  </si>
  <si>
    <t>Crushed Aggregate Surface Course</t>
  </si>
  <si>
    <t>Bituminous Plant Mix Surface Course-General (50mm thk.)</t>
  </si>
  <si>
    <t>a. Asphalt Paver (80 Hp), NF220BIIVDM</t>
  </si>
  <si>
    <t>b. Pneumatic Tire Roller (10 m.t.)</t>
  </si>
  <si>
    <t>c. Tandem Steel Roller (10.1 m.t.), CC421</t>
  </si>
  <si>
    <t>e. Asphalt Batch Plant ( 60-80 TPH)</t>
  </si>
  <si>
    <t>g. Payloader (1.50 cu.m.), LX80-2C</t>
  </si>
  <si>
    <t>a. Crushed Aggregate Surface Course</t>
  </si>
  <si>
    <t>a. Bituminous Material (8%)</t>
  </si>
  <si>
    <t>m.t</t>
  </si>
  <si>
    <t>(w/ 5% wastage)</t>
  </si>
  <si>
    <t>301(1)</t>
  </si>
  <si>
    <t>Bituminous Prime Coat (MC Cut-back Asphalt)</t>
  </si>
  <si>
    <t>308(a)</t>
  </si>
  <si>
    <t>Cold Asphalt Plant Mix (50mm thk.)</t>
  </si>
  <si>
    <t>b. Power Broom (20 m. wide)</t>
  </si>
  <si>
    <t xml:space="preserve">a. MC 70 Cut-back Asphalt </t>
  </si>
  <si>
    <t>a. Emulsified Asphalt (10%)</t>
  </si>
  <si>
    <t xml:space="preserve">    (w/ 5% wastage)</t>
  </si>
  <si>
    <t>301(2)</t>
  </si>
  <si>
    <t>Bituminous Prime Coat (RC Cut-back Asphalt)</t>
  </si>
  <si>
    <t>308(b)</t>
  </si>
  <si>
    <t xml:space="preserve">a. RC 70 Cut-back Asphalt </t>
  </si>
  <si>
    <t>a. MC - 70 Cut-back Asphalt (7%)</t>
  </si>
  <si>
    <t>302(1)</t>
  </si>
  <si>
    <t>Bituminous Tack Coat (RC Cut-back Asphalt)</t>
  </si>
  <si>
    <t>Bituminous Plant Mix (Stockpile Maintenance Mixture)</t>
  </si>
  <si>
    <t>b. Asphalt Batch Plant ( 60-80 TPH)</t>
  </si>
  <si>
    <t>a. RC 70 Cut-back Asphalt</t>
  </si>
  <si>
    <t>a. MC - 70 Cut-back Asphalt (10%)</t>
  </si>
  <si>
    <t>302(2)</t>
  </si>
  <si>
    <t>Bituminous Tack Coat (Emulsified Asphalt)</t>
  </si>
  <si>
    <t>310(a.1)</t>
  </si>
  <si>
    <t>Bituminous Concrete Surface Course (30mm thk.)</t>
  </si>
  <si>
    <t>a. Bituminous Concrete Surface Course</t>
  </si>
  <si>
    <t>thickness = 30mm (w/ 5% wastage)</t>
  </si>
  <si>
    <t>303(1)</t>
  </si>
  <si>
    <t>Bituminous Seal Coat (Cover Aggregate)</t>
  </si>
  <si>
    <t>310(a.2)</t>
  </si>
  <si>
    <t>Bituminous Concrete Surface Course (40mm thk.)</t>
  </si>
  <si>
    <t>a. Tandem Steel Roller (10.1 m.t.), CC421</t>
  </si>
  <si>
    <t>a. Cover Aggregate</t>
  </si>
  <si>
    <t>thickness = 40mm (w/ 5% wastage)</t>
  </si>
  <si>
    <t>Note: 1.60 m.t./cu.m.</t>
  </si>
  <si>
    <t>using unit wt. of 1,600 kg./m³</t>
  </si>
  <si>
    <t>303(2)</t>
  </si>
  <si>
    <t>Bituminous Seal Coat (MC Cut-back Asphalt)</t>
  </si>
  <si>
    <t>310(a.3)</t>
  </si>
  <si>
    <t>Bituminous Concrete Surface Course (50mm thk.)</t>
  </si>
  <si>
    <t>(w/ 5% Wastage)</t>
  </si>
  <si>
    <t>thickness = 50mm (w/ 5% wastage)</t>
  </si>
  <si>
    <t>303(3)</t>
  </si>
  <si>
    <t>Bituminous Seal Coat (RC Cut-back Asphalt)</t>
  </si>
  <si>
    <t>310(b.1)</t>
  </si>
  <si>
    <t>a. Asphalt Cement (8%)</t>
  </si>
  <si>
    <t>303(4)</t>
  </si>
  <si>
    <t>Bituminous Seal Coat (Asphalt Cement Penetration Grade 120-150)</t>
  </si>
  <si>
    <t>310(b.2)</t>
  </si>
  <si>
    <t>a. Asphalt Cement Penetration Grade 120-150</t>
  </si>
  <si>
    <t>304(1)</t>
  </si>
  <si>
    <t>Bituminous Surface Treatment (Aggregate Grading)</t>
  </si>
  <si>
    <t>310(b.3)</t>
  </si>
  <si>
    <t>a. Aggregates</t>
  </si>
  <si>
    <t>304(2)</t>
  </si>
  <si>
    <t>Bituminous Surface Treatment (Asphalt Cement Penetration Grade 120-150)</t>
  </si>
  <si>
    <t>311(1)a.1</t>
  </si>
  <si>
    <t>PCC Pavement (Plain) - Conventional Method, 150mm thk.</t>
  </si>
  <si>
    <t>a. Transit Mixer (5 cu.m.)</t>
  </si>
  <si>
    <t>b. Concrete Vibrator</t>
  </si>
  <si>
    <t>e. Concrete Screeder (5.5 Hp)</t>
  </si>
  <si>
    <t>h. Bar Cutter, Single Phase</t>
  </si>
  <si>
    <t>h. Concrete Saw (diamond blade 14")</t>
  </si>
  <si>
    <t>i.  Pipe Sleeve, 1" dia.</t>
  </si>
  <si>
    <t>j.  Grease/Tar</t>
  </si>
  <si>
    <t>304(3)</t>
  </si>
  <si>
    <t>Bituminous Surface Treatment (MC Cut-back Asphalt)</t>
  </si>
  <si>
    <t>311(1)a.2</t>
  </si>
  <si>
    <t>PCC Pavement (Plain) - Conventional Method, 200mm thk.</t>
  </si>
  <si>
    <t>i.  Pipe Sleeve, 1 1/2" dia.</t>
  </si>
  <si>
    <t>304(4)</t>
  </si>
  <si>
    <t>Bituminous Surface Treatment (RC Cut-back Asphalt)</t>
  </si>
  <si>
    <t>311(1)a.3</t>
  </si>
  <si>
    <t>PCC Pavement (Plain) - Conventional Method, 230mm thk.</t>
  </si>
  <si>
    <t>i.  Pipe Sleeve, 2" dia.</t>
  </si>
  <si>
    <t>304(5)</t>
  </si>
  <si>
    <t>Bituminous Surface Treatment (Emulsified Asphalt)</t>
  </si>
  <si>
    <t>311(1)a.4</t>
  </si>
  <si>
    <t>PCC Pavement (Plain) - Conventional Method, 250mm thk.</t>
  </si>
  <si>
    <t>305(1)</t>
  </si>
  <si>
    <t>Bituminous Penetration Macadam Pavement (Aggregates)</t>
  </si>
  <si>
    <t>311(1)a.5</t>
  </si>
  <si>
    <t>PCC Pavement (Plain) - Conventional Method, 280mm thk.</t>
  </si>
  <si>
    <t>305(2)</t>
  </si>
  <si>
    <t>Bituminous Penetration Macadam Pavement (Asphalt Cement)</t>
  </si>
  <si>
    <t>311(1)a.6</t>
  </si>
  <si>
    <t>PCC Pavement (Plain) - Conventional Method, 300mm thk.</t>
  </si>
  <si>
    <t>a. Asphalt Cement (w/ 5% Wastage)</t>
  </si>
  <si>
    <t>305(3)</t>
  </si>
  <si>
    <t>Bituminous Penetration Macadam Pavement (RC Cut-back Asphalt)</t>
  </si>
  <si>
    <t>311(1)b.1</t>
  </si>
  <si>
    <t>PCC Pavement (Plain) - Using Concrete Paver, 230mm thk.</t>
  </si>
  <si>
    <t>d. Sand</t>
  </si>
  <si>
    <t>e. Gravel</t>
  </si>
  <si>
    <t>f.  Cement</t>
  </si>
  <si>
    <t>g. Concrete Saw (diamond blade 14")</t>
  </si>
  <si>
    <t>h. Pipe Sleeve, 2" dia.</t>
  </si>
  <si>
    <t>i.  Grease/Tar</t>
  </si>
  <si>
    <t>305(4)</t>
  </si>
  <si>
    <t>Bituminous Penetration Macadam Pavement (Emulsified Asphalt)</t>
  </si>
  <si>
    <t>311(1)b.2</t>
  </si>
  <si>
    <t>PCC Pavement (Plain) - Using Concrete Paver, 250mm thk.</t>
  </si>
  <si>
    <t>306(a)</t>
  </si>
  <si>
    <t>Bituminous Road Mix Surface Course</t>
  </si>
  <si>
    <t>311(1)b.3</t>
  </si>
  <si>
    <t>PCC Pavement (Plain) - Using Concrete Paver, 280mm thk.</t>
  </si>
  <si>
    <t>b. Tandem Steel Roller (10.1 m.t.), CC421</t>
  </si>
  <si>
    <t>c. Pneumatic Tire Roller (10 m.t.)</t>
  </si>
  <si>
    <t xml:space="preserve">a. Crushed Gravel </t>
  </si>
  <si>
    <t>b. MC Cut-back Asphalt (7%)</t>
  </si>
  <si>
    <t>c. Hydrated Lime (0.75%)</t>
  </si>
  <si>
    <t>0.0575(2.335)(1.05) = 0.141</t>
  </si>
  <si>
    <t>0.0075(35.29) = 0.26, say 0.30</t>
  </si>
  <si>
    <t>306(b)</t>
  </si>
  <si>
    <t>311(1)b.4</t>
  </si>
  <si>
    <t>PCC Pavement (Plain) - Using Concrete Paver, 300mm thk.</t>
  </si>
  <si>
    <t>b. Emulsified Asphalt (10%)</t>
  </si>
  <si>
    <t>0.08(2.335)(1.05) = 0.196</t>
  </si>
  <si>
    <t>306(1)</t>
  </si>
  <si>
    <t>Aggregates for Bituminous Road Mix Surface Course</t>
  </si>
  <si>
    <t>311(1)c</t>
  </si>
  <si>
    <t>a. One Bagger Mixer</t>
  </si>
  <si>
    <t>d. Bar Cutter, Single Phase</t>
  </si>
  <si>
    <t>Reinforcing Steel Bar, Grade 40 (Minor Structures)</t>
  </si>
  <si>
    <t>a. Bar Cutter</t>
  </si>
  <si>
    <t>b. Bar Bender</t>
  </si>
  <si>
    <t>a. Tie Wire (2% of RSB)</t>
  </si>
  <si>
    <t>b. Reinforcing Steel Bar, Grade 40</t>
  </si>
  <si>
    <t>Structural Concrete Class A (Minor Structures)</t>
  </si>
  <si>
    <t>Installation/Removal of Formworks</t>
  </si>
  <si>
    <t>a. Lumber, Good - 4 uses</t>
  </si>
  <si>
    <t>bd.ft.</t>
  </si>
  <si>
    <t>b. Marine Plywood (1/2" x 4' x 8') - 4 uses</t>
  </si>
  <si>
    <t>c. Assorted CWN (1kg./100 bd.ft. of Lumber)</t>
  </si>
  <si>
    <t>d. Cement</t>
  </si>
  <si>
    <t xml:space="preserve">Note: </t>
  </si>
  <si>
    <t>*Quantities for lumber, plywood and CWN are dependent on the type of minor structure.</t>
  </si>
  <si>
    <t>The above-computed quantities are based on box culvert.</t>
  </si>
  <si>
    <t>500(1)a</t>
  </si>
  <si>
    <r>
      <t xml:space="preserve">Pipe Culverts, 610mm dia. (24" </t>
    </r>
    <r>
      <rPr>
        <sz val="11"/>
        <rFont val="Calibri"/>
        <family val="2"/>
      </rPr>
      <t>Ø</t>
    </r>
    <r>
      <rPr>
        <sz val="11"/>
        <rFont val="Arial"/>
        <family val="2"/>
      </rPr>
      <t>)</t>
    </r>
  </si>
  <si>
    <t>504(3)c</t>
  </si>
  <si>
    <t>Cleaning Culvert Pipe in place (910mm dia.) - Half Silted</t>
  </si>
  <si>
    <t>b. Plate Compactor (5 Hp)</t>
  </si>
  <si>
    <t>a. Portland Cement</t>
  </si>
  <si>
    <t>b. Sand</t>
  </si>
  <si>
    <t>c. R.C. Pipes (610mm dia.)</t>
  </si>
  <si>
    <t>d. Sand Bedding/Selected Sandy Soil</t>
  </si>
  <si>
    <t>500(1)b</t>
  </si>
  <si>
    <r>
      <t xml:space="preserve">Pipe Culverts, 760mm dia. (30" </t>
    </r>
    <r>
      <rPr>
        <sz val="11"/>
        <rFont val="Calibri"/>
        <family val="2"/>
      </rPr>
      <t>Ø</t>
    </r>
    <r>
      <rPr>
        <sz val="11"/>
        <rFont val="Arial"/>
        <family val="2"/>
      </rPr>
      <t>)</t>
    </r>
  </si>
  <si>
    <t>504(3)d</t>
  </si>
  <si>
    <t>Cleaning Culvert Pipe in place (1070mm dia.) - Half Silted</t>
  </si>
  <si>
    <t>c. R.C. Pipes (760mm dia.)</t>
  </si>
  <si>
    <t>500(1)c</t>
  </si>
  <si>
    <r>
      <t xml:space="preserve">Pipe Culverts, 910mm dia. (36" </t>
    </r>
    <r>
      <rPr>
        <sz val="11"/>
        <rFont val="Calibri"/>
        <family val="2"/>
      </rPr>
      <t>Ø</t>
    </r>
    <r>
      <rPr>
        <sz val="11"/>
        <rFont val="Arial"/>
        <family val="2"/>
      </rPr>
      <t>)</t>
    </r>
  </si>
  <si>
    <t>504(3)e</t>
  </si>
  <si>
    <t>Cleaning Culvert Pipe in place (1220mm dia.) - Half Silted</t>
  </si>
  <si>
    <t>c. R.C. Pipes (910mm dia.)</t>
  </si>
  <si>
    <t>500(1)d</t>
  </si>
  <si>
    <r>
      <t xml:space="preserve">Pipe Culverts, 1070mm dia. (42" </t>
    </r>
    <r>
      <rPr>
        <sz val="11"/>
        <rFont val="Calibri"/>
        <family val="2"/>
      </rPr>
      <t>Ø</t>
    </r>
    <r>
      <rPr>
        <sz val="11"/>
        <rFont val="Arial"/>
        <family val="2"/>
      </rPr>
      <t>)</t>
    </r>
  </si>
  <si>
    <t>504(3)f</t>
  </si>
  <si>
    <t>Cleaning Culvert Pipe in place (1520mm dia.) - Half Silted</t>
  </si>
  <si>
    <t>c. R.C. Pipes (1070mm dia.)</t>
  </si>
  <si>
    <t>500(1)e</t>
  </si>
  <si>
    <r>
      <t xml:space="preserve">Pipe Culverts, 1220mm dia. (48" </t>
    </r>
    <r>
      <rPr>
        <sz val="11"/>
        <rFont val="Calibri"/>
        <family val="2"/>
      </rPr>
      <t>Ø</t>
    </r>
    <r>
      <rPr>
        <sz val="11"/>
        <rFont val="Arial"/>
        <family val="2"/>
      </rPr>
      <t>)</t>
    </r>
  </si>
  <si>
    <t>504(4)</t>
  </si>
  <si>
    <t>Reconditioning Drainage Structures</t>
  </si>
  <si>
    <t>b. Bamboo with Bucket - 4 uses</t>
  </si>
  <si>
    <t>* If some repair is needed, component materials required and corresponding man-hour will be added to DUPA</t>
  </si>
  <si>
    <t>c. R.C. Pipes (1220mm dia.)</t>
  </si>
  <si>
    <t>500(1)f</t>
  </si>
  <si>
    <r>
      <t xml:space="preserve">Pipe Culverts, 1520mm dia. (60" </t>
    </r>
    <r>
      <rPr>
        <sz val="11"/>
        <rFont val="Calibri"/>
        <family val="2"/>
      </rPr>
      <t>Ø</t>
    </r>
    <r>
      <rPr>
        <sz val="11"/>
        <rFont val="Arial"/>
        <family val="2"/>
      </rPr>
      <t>)</t>
    </r>
  </si>
  <si>
    <t>505(1)</t>
  </si>
  <si>
    <t>Riprap (Class A)</t>
  </si>
  <si>
    <t>a. Boulders (15 - 25 kg.)</t>
  </si>
  <si>
    <t>c. R.C. Pipes (1520mm dia.)</t>
  </si>
  <si>
    <t>501(1)</t>
  </si>
  <si>
    <t>Underdrain</t>
  </si>
  <si>
    <t>505(2)</t>
  </si>
  <si>
    <t>Riprap (Class B)</t>
  </si>
  <si>
    <t>a. Backhoe (Wheel Type 0.28 cu.m.)</t>
  </si>
  <si>
    <t>a. Coarse Aggregates</t>
  </si>
  <si>
    <t>a. Boulders (30 - 70 kg.)</t>
  </si>
  <si>
    <t>b. Fine Aggregates</t>
  </si>
  <si>
    <t>c. Filter Cloth</t>
  </si>
  <si>
    <t>d. 150 mm. dia. Concrete Perforated Pipe</t>
  </si>
  <si>
    <t>501(2)</t>
  </si>
  <si>
    <t>Blind Drain</t>
  </si>
  <si>
    <t>505(3)</t>
  </si>
  <si>
    <t>Riprap (Class C)</t>
  </si>
  <si>
    <t>c. Backhoe (Wheel Type 0.28 cu.m.)</t>
  </si>
  <si>
    <t>a. Boulders (50 - 100 kg.)</t>
  </si>
  <si>
    <t>501(3)</t>
  </si>
  <si>
    <t>Granular Backfill filter material for  Underdrains</t>
  </si>
  <si>
    <t>505(4)</t>
  </si>
  <si>
    <t>Riprap (Class D)</t>
  </si>
  <si>
    <t>a. Coarse Aggregates (Granular Backfill Materials)</t>
  </si>
  <si>
    <t>a. Boulders (100 - 200 kg.)</t>
  </si>
  <si>
    <t>Manhole/Catch Basin/Inlet</t>
  </si>
  <si>
    <t>505(5)</t>
  </si>
  <si>
    <t>Grouted Riprap (Class A)</t>
  </si>
  <si>
    <t>a. 103(3) - Foundation Fill</t>
  </si>
  <si>
    <t>b. 404 - Reinforcing Steel Bar</t>
  </si>
  <si>
    <t>c. 405 - Structural Concrete</t>
  </si>
  <si>
    <t>c. Gravel Fill</t>
  </si>
  <si>
    <t>d. Weep Holes (PVC)</t>
  </si>
  <si>
    <t>e. Filter Cloth</t>
  </si>
  <si>
    <t>f. Boulders (15 - 25 kg.)</t>
  </si>
  <si>
    <t>502(4)</t>
  </si>
  <si>
    <t>Concrete Covers</t>
  </si>
  <si>
    <t>505(6)</t>
  </si>
  <si>
    <t>Grouted Riprap (Class B)</t>
  </si>
  <si>
    <t xml:space="preserve">Output </t>
  </si>
  <si>
    <t>b. Bar Cutter</t>
  </si>
  <si>
    <t>c. Concrete Vibrator</t>
  </si>
  <si>
    <t>c. Gravel</t>
  </si>
  <si>
    <t>d. Reinforcing Steel Bar</t>
  </si>
  <si>
    <t>e. #16 GI Tie Wire (2% of RSB)</t>
  </si>
  <si>
    <t>f. Boulders (30 - 70 kg.)</t>
  </si>
  <si>
    <t>f.  6mm thk. Steel Plate</t>
  </si>
  <si>
    <t>g. 16mm thk. Steel Plate</t>
  </si>
  <si>
    <t>h. 1/2" Ordinary Plywood - 2 uses</t>
  </si>
  <si>
    <t>i.  16mm dia. U-bolt &amp; Knot</t>
  </si>
  <si>
    <t>j.  Welding Rod (1 kg./2000 kg. of Steel)</t>
  </si>
  <si>
    <t>502(5)</t>
  </si>
  <si>
    <t>Metal Frames and Gratings</t>
  </si>
  <si>
    <t>505(7)</t>
  </si>
  <si>
    <t>Grouted Riprap (Class C)</t>
  </si>
  <si>
    <t>pair</t>
  </si>
  <si>
    <t>a. 410mmx660mmx60mm, C.I. Cover with Frame</t>
  </si>
  <si>
    <t>f. Boulders (60 - 100 kg.)</t>
  </si>
  <si>
    <t>502(6)</t>
  </si>
  <si>
    <t>Metal Frames and Covers (Circular)</t>
  </si>
  <si>
    <t>505(8)</t>
  </si>
  <si>
    <t>Grouted Riprap (Class D)</t>
  </si>
  <si>
    <t>a. 580mm dia. C.I. Manhole Cover with Frame</t>
  </si>
  <si>
    <t>f. Boulders (100 - 200 kg.)</t>
  </si>
  <si>
    <t>503(a)</t>
  </si>
  <si>
    <t>Drainage Steel Grating with Frame (675mm x 975mm Sump Grating)</t>
  </si>
  <si>
    <t>505(9)</t>
  </si>
  <si>
    <t>Filter Layer of Granular Material</t>
  </si>
  <si>
    <t>a. 65mm x 5mm Flat Bar</t>
  </si>
  <si>
    <t>a. Granular Materials</t>
  </si>
  <si>
    <t>b. 6mm dia. x 975mm Twisted Cross Rod</t>
  </si>
  <si>
    <t>c. 75mm x 75mm x 9mm Angle Bar</t>
  </si>
  <si>
    <t>d. Welding Rod (1 kg./2000 kg. of Steel)</t>
  </si>
  <si>
    <t>503(b)</t>
  </si>
  <si>
    <t>Drainage Steel Grating with Frame (715mm x 2000mm Trench Grating)</t>
  </si>
  <si>
    <t>Stone Masonry</t>
  </si>
  <si>
    <t>Minor Tools (10% Labor)</t>
  </si>
  <si>
    <t>f.  Boulders</t>
  </si>
  <si>
    <t>504(1)a</t>
  </si>
  <si>
    <t>Removing, Cleaning, Stockpiling Salvaged Culvert Pipe (24" dia) - 610mm</t>
  </si>
  <si>
    <t>Rubble Concrete</t>
  </si>
  <si>
    <t>g. Gravel</t>
  </si>
  <si>
    <t>Miscellaneous (2% of Materials)</t>
  </si>
  <si>
    <t xml:space="preserve">          60% Boulder</t>
  </si>
  <si>
    <t xml:space="preserve">          50% Class "B" Concrete (w/ side forms only)</t>
  </si>
  <si>
    <t>504(1)b</t>
  </si>
  <si>
    <t>Removing, Cleaning, Stockpiling Salvaged Culvert Pipe (30" dia.) - 760mm</t>
  </si>
  <si>
    <t>Hand Laid Rock Embankment</t>
  </si>
  <si>
    <t>a. Boulders</t>
  </si>
  <si>
    <t>504(1)c</t>
  </si>
  <si>
    <t>Removing, Cleaning, Stockpiling Salvaged Culvert Pipe (36" dia.) - 910mm</t>
  </si>
  <si>
    <t>509(a)</t>
  </si>
  <si>
    <t>Timber Sheet Pile</t>
  </si>
  <si>
    <t>b. Drop Hammer (15 T)</t>
  </si>
  <si>
    <t>a. Timber Sheet Piles, ave. dia. 395mm</t>
  </si>
  <si>
    <t>b. Coco Log - 2 uses</t>
  </si>
  <si>
    <t>c. Lumber (Falsework) - 4 uses</t>
  </si>
  <si>
    <t>d. Nail/Spike (1 kg./100 bd.ft. of Lumber)</t>
  </si>
  <si>
    <t>504(1)d</t>
  </si>
  <si>
    <t>Removing, Cleaning, Stockpiling Salvaged Culvert Pipe (42" dia.) - 1070mm</t>
  </si>
  <si>
    <t>509(b.1)</t>
  </si>
  <si>
    <t>Steel Sheet Pile (Slope Protection)</t>
  </si>
  <si>
    <t>504(1)e</t>
  </si>
  <si>
    <t>Removing, Cleaning, Stockpiling Salvaged Culvert Pipe (48" dia.) - 1220mm</t>
  </si>
  <si>
    <t>509(b.2)</t>
  </si>
  <si>
    <t>504(2)a</t>
  </si>
  <si>
    <t xml:space="preserve">Removing, Cleaning and Re-laying Salvaged Culvert Pipe (24" dia.) - 610mm </t>
  </si>
  <si>
    <t>509(c)</t>
  </si>
  <si>
    <t>b. One Bagger Mixer</t>
  </si>
  <si>
    <t>f.  Bar Bender</t>
  </si>
  <si>
    <t>g. Drop Hammer</t>
  </si>
  <si>
    <t xml:space="preserve">h. Jack Hammer </t>
  </si>
  <si>
    <t>j.  Plate Compactor (5 Hp)</t>
  </si>
  <si>
    <t xml:space="preserve">b. Sand </t>
  </si>
  <si>
    <t>c. Sand Bedding</t>
  </si>
  <si>
    <t>h. Assorted CWN (1 kg./100 bd.ft. of Lumber)</t>
  </si>
  <si>
    <t>Casting Bed</t>
  </si>
  <si>
    <t>a. Ready Mix Concrete</t>
  </si>
  <si>
    <t>b. Coco Lumber - 4 uses</t>
  </si>
  <si>
    <t>c. Base Course</t>
  </si>
  <si>
    <t>504(2)b</t>
  </si>
  <si>
    <t xml:space="preserve">Removing, Cleaning and Re-laying Salvaged Culvert Pipe (30" dia.) - 760mm </t>
  </si>
  <si>
    <t>510(1)</t>
  </si>
  <si>
    <t>Bed Course Granular Material</t>
  </si>
  <si>
    <t>a. Plate Compactor</t>
  </si>
  <si>
    <t xml:space="preserve">  (w/ 15% Shrinkage Factor)</t>
  </si>
  <si>
    <t>504(2)c</t>
  </si>
  <si>
    <t xml:space="preserve">Removing, Cleaning and Re-laying Salvaged Culvert Pipe (36" dia.) - 910mm </t>
  </si>
  <si>
    <t>510(2)</t>
  </si>
  <si>
    <t>Concrete Slope Protection</t>
  </si>
  <si>
    <t>Installation of Formworks &amp; Rebars</t>
  </si>
  <si>
    <t>c. Weep Holes (PVC)</t>
  </si>
  <si>
    <t>d. Filter Cloth</t>
  </si>
  <si>
    <t>f.  Granular Filter</t>
  </si>
  <si>
    <t>f.  Reinforcing Steel Bar</t>
  </si>
  <si>
    <t>g. Marine Plywood 1/2" x 4' x 8' - 4 uses</t>
  </si>
  <si>
    <t>h.  Lumber - 4 uses</t>
  </si>
  <si>
    <t>i.  #16 GI Tie Wire (2% of RSB)</t>
  </si>
  <si>
    <t>j.  Assorted CWN (1 kg./100 bd.ft. of Lumber)</t>
  </si>
  <si>
    <t>Note: RSB quantity is variable based on approved plan.</t>
  </si>
  <si>
    <t>504(2)d</t>
  </si>
  <si>
    <t xml:space="preserve">Removing, Cleaning and Re-laying Salvaged Culvert Pipe (42" dia.) - 1070mm </t>
  </si>
  <si>
    <t>511(1)</t>
  </si>
  <si>
    <t>Gabions</t>
  </si>
  <si>
    <t>Note: Exclude Excavation Works</t>
  </si>
  <si>
    <t>Backhoe excluded, excavation should be separate as the quantity is variable.</t>
  </si>
  <si>
    <t>a. Gabion Wire Mesh (1 x 1 x 2)</t>
  </si>
  <si>
    <t>(w/ complete accessories)</t>
  </si>
  <si>
    <t xml:space="preserve">b. Boulders </t>
  </si>
  <si>
    <t>504(2)e</t>
  </si>
  <si>
    <t xml:space="preserve">Removing, Cleaning and Re-laying Salvaged Culvert Pipe (48" dia.) - 1220mm </t>
  </si>
  <si>
    <t>511(2)</t>
  </si>
  <si>
    <t>Mattresses</t>
  </si>
  <si>
    <t>a. Mattresses (6 x 2 x 0.3 )</t>
  </si>
  <si>
    <t>504(3)a</t>
  </si>
  <si>
    <t>Cleaning Culvert Pipe in place (610mm dia.) - Half Silted</t>
  </si>
  <si>
    <t>511(3)</t>
  </si>
  <si>
    <t>Filter Cloth</t>
  </si>
  <si>
    <t>c. Improvised Bamboo with Bucket</t>
  </si>
  <si>
    <t>a. Filter Cloth</t>
  </si>
  <si>
    <t>Miscellaneous (5% of Materials)</t>
  </si>
  <si>
    <t>504(3)b</t>
  </si>
  <si>
    <t>Cleaning Culvert Pipe in place (760mm dia.) - Half Silted</t>
  </si>
  <si>
    <t>600(1)</t>
  </si>
  <si>
    <t>Concrete Curb (Cast in place) - 0.45m x 0.15/0.20m</t>
  </si>
  <si>
    <t>605(2)c</t>
  </si>
  <si>
    <t>Regulatory Signs (60cm Octagon)</t>
  </si>
  <si>
    <t>a. Concrete Vibrator</t>
  </si>
  <si>
    <t>a. Cargo Truck (5 T)</t>
  </si>
  <si>
    <t>d. Plywood Marine, 1/2" thk. x 4' x 8 - 4 uses</t>
  </si>
  <si>
    <t>d. Form Lumber, Good - 4 uses</t>
  </si>
  <si>
    <t>e. Form Lumber - 4 uses</t>
  </si>
  <si>
    <t>f. Assorted CWN (1 kg./100 bd.ft. of Lumber)</t>
  </si>
  <si>
    <t>f.  Plate</t>
  </si>
  <si>
    <t>h. Sign Face, 3mm thk. Aluminum Sheet</t>
  </si>
  <si>
    <t>i.  Assorted CWN (1 kg./100 bd.ft. of Lumber)</t>
  </si>
  <si>
    <t>600(2)</t>
  </si>
  <si>
    <t>Concrete Gutter (Cast in place) - 0.50m x 0.15m</t>
  </si>
  <si>
    <t>605(2)d</t>
  </si>
  <si>
    <t>Regulatory Signs (90cm Octagon)</t>
  </si>
  <si>
    <t xml:space="preserve">a. Cement </t>
  </si>
  <si>
    <t>d. Good Lumber - 4 uses</t>
  </si>
  <si>
    <t>e. Assorted CWN (1 kg./100 bd.ft. of Lumber)</t>
  </si>
  <si>
    <t>600(3)</t>
  </si>
  <si>
    <t>Concrete Curb and Gutter, Type A (Cast in place) - National Road</t>
  </si>
  <si>
    <t>605(3)a</t>
  </si>
  <si>
    <t>Informative Signs (12"x24")</t>
  </si>
  <si>
    <t>600(4)</t>
  </si>
  <si>
    <t>Concrete Curb (Precast)</t>
  </si>
  <si>
    <t>605(3)b</t>
  </si>
  <si>
    <t>Informative Signs (12"x48")</t>
  </si>
  <si>
    <t>a. Fabricated Concrete Curb</t>
  </si>
  <si>
    <t>Miscellaneous (5% of materials)</t>
  </si>
  <si>
    <t>600(5)</t>
  </si>
  <si>
    <t>Concrete Gutter (Precast)</t>
  </si>
  <si>
    <t>605(3)c</t>
  </si>
  <si>
    <t>Informative Signs (18"x24")</t>
  </si>
  <si>
    <t>a. Fabricated Concrete Gutter</t>
  </si>
  <si>
    <t>600(6)</t>
  </si>
  <si>
    <t>Concrete Curb and Gutter (Precast)</t>
  </si>
  <si>
    <t>605(3)d</t>
  </si>
  <si>
    <t>Informative Signs (18"x48")</t>
  </si>
  <si>
    <t>a. Fabricated Concrete Curb and Gutter</t>
  </si>
  <si>
    <t>601(a)</t>
  </si>
  <si>
    <t>Sidewalk (100mm thk.)</t>
  </si>
  <si>
    <t>606(1)</t>
  </si>
  <si>
    <t>Pavement Marking (Premix Reflectorized)</t>
  </si>
  <si>
    <t>a. Curing Compound</t>
  </si>
  <si>
    <t>a. Pavement Markings (White)</t>
  </si>
  <si>
    <t>b. Asphalt Sealant</t>
  </si>
  <si>
    <t>Miscellaneous (5% of above)</t>
  </si>
  <si>
    <t>c. Forms</t>
  </si>
  <si>
    <t>Note : Bed Course excluded</t>
  </si>
  <si>
    <t>601(b)</t>
  </si>
  <si>
    <t>606(2)a</t>
  </si>
  <si>
    <t xml:space="preserve">    Minor Tools (10% of Labor)</t>
  </si>
  <si>
    <t>a. Reflectorized Traffic Paint (White)</t>
  </si>
  <si>
    <t>602(1)a</t>
  </si>
  <si>
    <t>Right-of-Way Monument</t>
  </si>
  <si>
    <t>606(2)b</t>
  </si>
  <si>
    <t>a. Concrete Class "A"</t>
  </si>
  <si>
    <t>a. Reflectorized Traffic Paint (Yellow)</t>
  </si>
  <si>
    <t>c. Plywood, 1/2" x 4' x 8' - 4 uses</t>
  </si>
  <si>
    <t>e. Reflectorized Paint, Marker</t>
  </si>
  <si>
    <t>f. # 16 Tie Wire (2% of RSB)</t>
  </si>
  <si>
    <t>g. Assorted CWN (1 kg./100 bd.ft. of Lumber)</t>
  </si>
  <si>
    <t>602(1)b</t>
  </si>
  <si>
    <t>Right-of-Way Monument (Precast)</t>
  </si>
  <si>
    <t>Reflective Pavement Studs (4" RPM)</t>
  </si>
  <si>
    <t>a. Fabricated Right-of-Way Monument</t>
  </si>
  <si>
    <t>a. Reflective Stud Catcheye Raised Surface</t>
  </si>
  <si>
    <t>(delivered at site)</t>
  </si>
  <si>
    <t xml:space="preserve">    100mm x 100mm (type depends on the req.)</t>
  </si>
  <si>
    <t>b. Concrete Epoxy A &amp; B</t>
  </si>
  <si>
    <t>602(2)a</t>
  </si>
  <si>
    <t>Maintenance Marker Post</t>
  </si>
  <si>
    <t>608(1)</t>
  </si>
  <si>
    <t>Furnishing and Placing Topsoil</t>
  </si>
  <si>
    <t>a. Topsoil</t>
  </si>
  <si>
    <t>602(2)b</t>
  </si>
  <si>
    <t>Maintenance Marker Post (Precast)</t>
  </si>
  <si>
    <t>608(2)</t>
  </si>
  <si>
    <t>Placing Topsoil</t>
  </si>
  <si>
    <t>a. Fabricated Maintenance Marker Post</t>
  </si>
  <si>
    <t>602(3)a</t>
  </si>
  <si>
    <t>Kilometer Post</t>
  </si>
  <si>
    <t>Sprigging</t>
  </si>
  <si>
    <t>a. Sprigs</t>
  </si>
  <si>
    <t>b. Reinforcing Steel Bar</t>
  </si>
  <si>
    <t>b. Fertilizer</t>
  </si>
  <si>
    <t>c. Plywood 1/2" x 4' x 8' - 2 uses</t>
  </si>
  <si>
    <t>d. Lumber - 2 uses</t>
  </si>
  <si>
    <t>e. Portland Cement</t>
  </si>
  <si>
    <t>f.  Pebble</t>
  </si>
  <si>
    <t>g. Reflectorized Paint, Marker</t>
  </si>
  <si>
    <t>h. # 16 Tie Wire (2% of RSB)</t>
  </si>
  <si>
    <t>602(3)b</t>
  </si>
  <si>
    <t>Kilometer Post (Precast)</t>
  </si>
  <si>
    <t>Sodding</t>
  </si>
  <si>
    <t>a. Fabricated Kilometer Post</t>
  </si>
  <si>
    <t>a. Sods</t>
  </si>
  <si>
    <t>b. Concrete Class "A"</t>
  </si>
  <si>
    <t>c. Reflectorized Paint, Marker</t>
  </si>
  <si>
    <t>602(4)</t>
  </si>
  <si>
    <t>Guide Post</t>
  </si>
  <si>
    <t>611(1)</t>
  </si>
  <si>
    <t>Trees (Furnishing and Transplanting), 150mm dia. or less</t>
  </si>
  <si>
    <t>Note: Includes watering for three (3) months</t>
  </si>
  <si>
    <t>a. Guide Post (Portable)</t>
  </si>
  <si>
    <t>a. Trees (Delivered at Site)</t>
  </si>
  <si>
    <t>b. Post Reflector</t>
  </si>
  <si>
    <t>b. Fertilizers</t>
  </si>
  <si>
    <t>c. Bamboo Pole</t>
  </si>
  <si>
    <t>d. Polyethylene Sheets</t>
  </si>
  <si>
    <t>e. Tie Wire</t>
  </si>
  <si>
    <t>603(1)</t>
  </si>
  <si>
    <t>Cable Wire Guardrail</t>
  </si>
  <si>
    <t>611(2)</t>
  </si>
  <si>
    <t>Trees (Transplanting), 150mm dia. or less</t>
  </si>
  <si>
    <t>a. Fertilizers</t>
  </si>
  <si>
    <t xml:space="preserve">b. Bamboo Pole </t>
  </si>
  <si>
    <t>c. Polyethylene Sheets</t>
  </si>
  <si>
    <t>d. Guardrail Post</t>
  </si>
  <si>
    <t>d. Tie Wire</t>
  </si>
  <si>
    <t>e. Galvanized Wire Rope (1.21 kg./m)</t>
  </si>
  <si>
    <t>f.  Check Rope</t>
  </si>
  <si>
    <t>g. Hook Bolt</t>
  </si>
  <si>
    <t>h. Anchor Bracket</t>
  </si>
  <si>
    <t>unit</t>
  </si>
  <si>
    <t>i.  Wire Mesh</t>
  </si>
  <si>
    <t>j. Tension Fittings</t>
  </si>
  <si>
    <t>* Tentative Canvass Price</t>
  </si>
  <si>
    <t xml:space="preserve">    603(3)a</t>
  </si>
  <si>
    <t>Metal Guardrails (Metal Beam) including Concrete Post</t>
  </si>
  <si>
    <t>612(1)</t>
  </si>
  <si>
    <t>Reflectorized Thermoplastic Pavement Markings (White)</t>
  </si>
  <si>
    <t>b. Applicator Machine</t>
  </si>
  <si>
    <t>c. Kneading Machine</t>
  </si>
  <si>
    <t>a. Thermoplastic Paint (White)</t>
  </si>
  <si>
    <t>b. Glass Beads</t>
  </si>
  <si>
    <t>c. Primer</t>
  </si>
  <si>
    <t>d. Metal Beam Guardrail</t>
  </si>
  <si>
    <t>d. LPG (50 kg.)</t>
  </si>
  <si>
    <t>cyl.</t>
  </si>
  <si>
    <t>e. Plywood Marine, 1/2" thk. x 4' x 8' - 4 uses</t>
  </si>
  <si>
    <t>e. LPG (12 kg.)</t>
  </si>
  <si>
    <t>f.  Lumber - 4 uses</t>
  </si>
  <si>
    <t>f.  Calsumine</t>
  </si>
  <si>
    <t>g. Reinforcing Steel Bars, Grade 40</t>
  </si>
  <si>
    <t>h. Tie Wire (2% of RSB)</t>
  </si>
  <si>
    <t>j.  Bolt, Nut &amp; Washer 5/8" dia. x 9"</t>
  </si>
  <si>
    <t>k. Bolt, Nut &amp; Washer 5/8" dia. x 1"</t>
  </si>
  <si>
    <t xml:space="preserve">   603(3)b</t>
  </si>
  <si>
    <t>Metal Beam End Piece</t>
  </si>
  <si>
    <t>612(2)</t>
  </si>
  <si>
    <t>Reflectorized Thermoplastic Pavement Markings (Yellow)</t>
  </si>
  <si>
    <t>a. Metal Guardrail End Piece</t>
  </si>
  <si>
    <t>a. Thermoplastic Paint (Yellow))</t>
  </si>
  <si>
    <t>603(4)</t>
  </si>
  <si>
    <t>Guardrail (Timber)</t>
  </si>
  <si>
    <t>Concrete Joint Sealant (Hot Poured Elastic and Cold-Applied Types)</t>
  </si>
  <si>
    <t>.</t>
  </si>
  <si>
    <t>a. Asphalt Kettle/Drum</t>
  </si>
  <si>
    <t>a. Lumber, 8" x 8" x 5.5' Treated Post (Tanguile)</t>
  </si>
  <si>
    <t>a. Blown Asphalt</t>
  </si>
  <si>
    <t xml:space="preserve">b. Lumber, 3" x 8" Plank (Tanguile) - Untreated </t>
  </si>
  <si>
    <t>604(1)</t>
  </si>
  <si>
    <t>Fencing (Barbed Wire)</t>
  </si>
  <si>
    <t>620(a)</t>
  </si>
  <si>
    <t>Chevron Signs (450mmx600mm)</t>
  </si>
  <si>
    <t>a. 3-Strand Galvanized Barbed Wire, Ga 12.5</t>
  </si>
  <si>
    <t>b. 50mmx50mmx6m Angle Bar</t>
  </si>
  <si>
    <t>c. Ga. 9 Twisted Wire Fastener</t>
  </si>
  <si>
    <t>Miscellaneous  (2% of Materials, Welding Rod &amp; etc.)</t>
  </si>
  <si>
    <t>f.  G.I. Flat Bar, 1 1/2"x1/8"</t>
  </si>
  <si>
    <t>i.  Sign Face, 3mm thk. Aluminum Sheet</t>
  </si>
  <si>
    <t>Miscellaneous (0.3% of Materials)</t>
  </si>
  <si>
    <t>604(2)</t>
  </si>
  <si>
    <t>Fencing (Chain Link Fence Fabric)</t>
  </si>
  <si>
    <t>620(b)</t>
  </si>
  <si>
    <t>Chevron Signs (600mmx800mm)</t>
  </si>
  <si>
    <t>Miscellaneous (0.2% of Materials)</t>
  </si>
  <si>
    <t>604(3)</t>
  </si>
  <si>
    <t>622(1)a</t>
  </si>
  <si>
    <t>Bio-Engineering Solutions (Coco-net)</t>
  </si>
  <si>
    <t>c. Bar Bender</t>
  </si>
  <si>
    <t>a. Erosion Control Net CGN 400 w/ 5 % wastage</t>
  </si>
  <si>
    <t>(Price includes bamboo pegs)</t>
  </si>
  <si>
    <t>e. # 16 Tie Wire (2% of RSB)</t>
  </si>
  <si>
    <t>f.  Plywood 1/4' x 4' x 8' - 2 uses</t>
  </si>
  <si>
    <t>g. Lumber - 2 uses</t>
  </si>
  <si>
    <t>604(4)</t>
  </si>
  <si>
    <t>Fencing (Gates) - (Height 3m. &amp; Length 4.24m.)</t>
  </si>
  <si>
    <t>622(1)b</t>
  </si>
  <si>
    <t>a. 50 mm. Ø G.I. Pipe, Schedule 40</t>
  </si>
  <si>
    <t>a. Erosion Control Net CGN 700 w/ 5 % wastage</t>
  </si>
  <si>
    <t>b. Cyclone Wire Galvanized 10' Gauge 10</t>
  </si>
  <si>
    <t>605(1)a</t>
  </si>
  <si>
    <t>Danger/Warning Signs (60cm Triangle)</t>
  </si>
  <si>
    <t>622(2)a</t>
  </si>
  <si>
    <t>Bio-Engineering Solutions (Coco-logs/Fascine)</t>
  </si>
  <si>
    <t>a. Coco Fiber Roll (CGR 200)</t>
  </si>
  <si>
    <t>(Price includes nylon ropes and live stakes)</t>
  </si>
  <si>
    <t>`</t>
  </si>
  <si>
    <t>605(1)b</t>
  </si>
  <si>
    <t>Danger/Warning Signs (90cm Triangle)</t>
  </si>
  <si>
    <t>622(2)b</t>
  </si>
  <si>
    <t>a. Coco Fiber Roll (CGR 300)</t>
  </si>
  <si>
    <t>605(2)a</t>
  </si>
  <si>
    <t>Regulatory Signs (60cm Triangle)</t>
  </si>
  <si>
    <t>622(3)a</t>
  </si>
  <si>
    <t>Bio-Engineering Solutions (Vegetation)</t>
  </si>
  <si>
    <t>a. Hydroseeding Machine</t>
  </si>
  <si>
    <t>(including maintenance time)</t>
  </si>
  <si>
    <t>a. Grass Cover</t>
  </si>
  <si>
    <t>(Price includes grass seeds, mulch, cocopeat</t>
  </si>
  <si>
    <t>&amp; binding agent for hydroseeding)</t>
  </si>
  <si>
    <t>605(2)b</t>
  </si>
  <si>
    <t>Regulatory Signs (90cm Triangle)</t>
  </si>
  <si>
    <t>622(3)b</t>
  </si>
  <si>
    <t>a. Vetiver Grass System</t>
  </si>
  <si>
    <t>(Price includes cocopeat fertilizer)</t>
  </si>
  <si>
    <t>SPL 2(a)</t>
  </si>
  <si>
    <t>Crack and Seat</t>
  </si>
  <si>
    <t>SPL 3(a)</t>
  </si>
  <si>
    <t>Tree Planting</t>
  </si>
  <si>
    <t xml:space="preserve"> Rental Rate</t>
  </si>
  <si>
    <t>a. Saplings</t>
  </si>
  <si>
    <t>b. Coco Lumber</t>
  </si>
  <si>
    <t>c. Assorted CWN (1 kg./100 bd.ft.)</t>
  </si>
  <si>
    <t>d. Fertilizers</t>
  </si>
  <si>
    <t>SPL 2(b)</t>
  </si>
  <si>
    <t>SPL 3(b)</t>
  </si>
  <si>
    <t>a. Arrow Master D 500</t>
  </si>
  <si>
    <t>(Additional 35% for Oil and Lubricants)</t>
  </si>
  <si>
    <t>ITEM NO.</t>
  </si>
  <si>
    <t>DESCRIPTION</t>
  </si>
  <si>
    <t>PAGE NO.</t>
  </si>
  <si>
    <t>PART C</t>
  </si>
  <si>
    <t>EARTHWORKS</t>
  </si>
  <si>
    <t>Clearing and Grubbing (with Stripping)</t>
  </si>
  <si>
    <r>
      <t xml:space="preserve">Individual Removal of Trees (small a,150-300mm </t>
    </r>
    <r>
      <rPr>
        <sz val="12"/>
        <rFont val="Calibri"/>
        <family val="2"/>
      </rPr>
      <t>Ø</t>
    </r>
    <r>
      <rPr>
        <sz val="12"/>
        <rFont val="Arial Narrow"/>
        <family val="2"/>
      </rPr>
      <t>)</t>
    </r>
  </si>
  <si>
    <r>
      <t xml:space="preserve">Individual Removal of Trees (small b, 301-500mm </t>
    </r>
    <r>
      <rPr>
        <sz val="12"/>
        <rFont val="Calibri"/>
        <family val="2"/>
      </rPr>
      <t>Ø</t>
    </r>
    <r>
      <rPr>
        <sz val="12"/>
        <rFont val="Arial Narrow"/>
        <family val="2"/>
      </rPr>
      <t>)</t>
    </r>
  </si>
  <si>
    <r>
      <t xml:space="preserve">Individual Removal of Trees (large a, 501-750mm </t>
    </r>
    <r>
      <rPr>
        <sz val="12"/>
        <rFont val="Calibri"/>
        <family val="2"/>
      </rPr>
      <t>Ø</t>
    </r>
    <r>
      <rPr>
        <sz val="12"/>
        <rFont val="Arial Narrow"/>
        <family val="2"/>
      </rPr>
      <t>)</t>
    </r>
  </si>
  <si>
    <r>
      <t xml:space="preserve">Individual Removal of Trees (large b, 751-900mm </t>
    </r>
    <r>
      <rPr>
        <sz val="12"/>
        <rFont val="Calibri"/>
        <family val="2"/>
      </rPr>
      <t>Ø</t>
    </r>
    <r>
      <rPr>
        <sz val="12"/>
        <rFont val="Arial Narrow"/>
        <family val="2"/>
      </rPr>
      <t>)</t>
    </r>
  </si>
  <si>
    <r>
      <t xml:space="preserve">Removal of Pipes other than Pipe Culverts (PVC/GI/Asbestos, up to 200mm </t>
    </r>
    <r>
      <rPr>
        <sz val="12"/>
        <rFont val="Calibri"/>
        <family val="2"/>
      </rPr>
      <t>Ø</t>
    </r>
    <r>
      <rPr>
        <sz val="12"/>
        <rFont val="Arial Narrow"/>
        <family val="2"/>
      </rPr>
      <t>), L = 10 ft.</t>
    </r>
  </si>
  <si>
    <t>Removal of Existing PCC Pavement, 0.23m thk. (for Reblocking at intermittent section))</t>
  </si>
  <si>
    <t>Removal of Existing Curbs &amp; Gutter</t>
  </si>
  <si>
    <t>Roadway Excavation (Surplus Common) - w/ Backhoe</t>
  </si>
  <si>
    <t>Roadway Excavation (Surplus Soft Rock) - w/ Backhoe</t>
  </si>
  <si>
    <t>Embankment from Borrow</t>
  </si>
  <si>
    <t>Selected Borrow for topping, case 1</t>
  </si>
  <si>
    <t>Selected Borrow for topping, case 2</t>
  </si>
  <si>
    <t>PART D</t>
  </si>
  <si>
    <t>SUBBASE AND BASE COURSE</t>
  </si>
  <si>
    <t>Aggregate Subbase Course (for intermittent Reblocking)</t>
  </si>
  <si>
    <t>PART E</t>
  </si>
  <si>
    <t>SURFACE COURSE</t>
  </si>
  <si>
    <t>Bituminous Road Mix Surface Course (MC Cut-back Asphalt)</t>
  </si>
  <si>
    <t>Bituminous Road Mix Surface Course (Emulsified Asphalt)</t>
  </si>
  <si>
    <t>Aggregate for Bituminous Road Mix Surface Course</t>
  </si>
  <si>
    <t>Bituminous Plant Mix Surface Course-General - 50mm thk.</t>
  </si>
  <si>
    <t>Cold Asphalt Plant Mix (Emulsified Asphalt) - 50mm thk.</t>
  </si>
  <si>
    <t>Cold Asphalt Plant Mix (Cut-back Asphalt) - 50mm thk.</t>
  </si>
  <si>
    <t>Bituminous Concrete Surface Course, Hot Laid - 30mm thk. (Delivered)</t>
  </si>
  <si>
    <t>Bituminous Concrete Surface Course, Hot Laid - 40mm thk. (Delivered)</t>
  </si>
  <si>
    <t>Bituminous Concrete Surface Course, Hot Laid - 50mm thk. (Delivered)</t>
  </si>
  <si>
    <t>Bituminous Concrete Surface Course, Hot Laid - 30mm thk. (Batching Plant)</t>
  </si>
  <si>
    <t>Bituminous Concrete Surface Course, Hot Laid - 40mm thk. (Batching Plant)</t>
  </si>
  <si>
    <t>Bituminous Concrete Surface Course, Hot Laid - 50mm thk. (Batching Plant)</t>
  </si>
  <si>
    <t>PCC Pavement (Plain) - Conventional Method, 150mm thk. (Using One Bagger Mixer)</t>
  </si>
  <si>
    <t>PART G</t>
  </si>
  <si>
    <t>DRAINAGE AND SLOPE PROTECTION STRUCTURES</t>
  </si>
  <si>
    <r>
      <t xml:space="preserve">Pipe Culverts, 610mm dia. (24" </t>
    </r>
    <r>
      <rPr>
        <sz val="12"/>
        <rFont val="Calibri"/>
        <family val="2"/>
      </rPr>
      <t>Ø</t>
    </r>
    <r>
      <rPr>
        <sz val="12"/>
        <rFont val="Arial Narrow"/>
        <family val="2"/>
      </rPr>
      <t>)</t>
    </r>
  </si>
  <si>
    <r>
      <t xml:space="preserve">Pipe Culverts, 760mm dia. (30" </t>
    </r>
    <r>
      <rPr>
        <sz val="12"/>
        <rFont val="Calibri"/>
        <family val="2"/>
      </rPr>
      <t>Ø</t>
    </r>
    <r>
      <rPr>
        <sz val="12"/>
        <rFont val="Arial Narrow"/>
        <family val="2"/>
      </rPr>
      <t>)</t>
    </r>
  </si>
  <si>
    <r>
      <t xml:space="preserve">Pipe Culverts, 910mm dia. (36" </t>
    </r>
    <r>
      <rPr>
        <sz val="12"/>
        <rFont val="Calibri"/>
        <family val="2"/>
      </rPr>
      <t>Ø</t>
    </r>
    <r>
      <rPr>
        <sz val="12"/>
        <rFont val="Arial Narrow"/>
        <family val="2"/>
      </rPr>
      <t>)</t>
    </r>
  </si>
  <si>
    <r>
      <t xml:space="preserve">Pipe Culverts, 1070mm dia. (42" </t>
    </r>
    <r>
      <rPr>
        <sz val="12"/>
        <rFont val="Calibri"/>
        <family val="2"/>
      </rPr>
      <t>Ø)</t>
    </r>
  </si>
  <si>
    <r>
      <t xml:space="preserve">Pipe Culverts, 1220mm dia. (48" </t>
    </r>
    <r>
      <rPr>
        <sz val="12"/>
        <rFont val="Calibri"/>
        <family val="2"/>
      </rPr>
      <t>Ø</t>
    </r>
    <r>
      <rPr>
        <sz val="12"/>
        <rFont val="Arial Narrow"/>
        <family val="2"/>
      </rPr>
      <t>)</t>
    </r>
  </si>
  <si>
    <r>
      <t xml:space="preserve">Pipe Culverts, 1520mm dia. (60" </t>
    </r>
    <r>
      <rPr>
        <sz val="12"/>
        <rFont val="Calibri"/>
        <family val="2"/>
      </rPr>
      <t>Ø</t>
    </r>
    <r>
      <rPr>
        <sz val="12"/>
        <rFont val="Arial Narrow"/>
        <family val="2"/>
      </rPr>
      <t>)</t>
    </r>
  </si>
  <si>
    <t>Blind drain</t>
  </si>
  <si>
    <t>Granular Backfill filter material for Underdrains</t>
  </si>
  <si>
    <t>ITEM 503</t>
  </si>
  <si>
    <t>DRAINAGE STEEL GRATING WITH FRAME</t>
  </si>
  <si>
    <t>Drainage Steel Grating w/ Frame (675mm x 975mm Sump Grating)</t>
  </si>
  <si>
    <t>Drainage Steel Grating w/ Frame (715mm x 2000mm Trench Grating)</t>
  </si>
  <si>
    <t>Removing, Cleaning, Stockpiling Salvaged Culvert Pipe (24" dia.) - 610mm</t>
  </si>
  <si>
    <t>Removing, Cleaning, and Re-laying Salvaged Culvert Pipe (24" dia.) - 610mm</t>
  </si>
  <si>
    <t>Removing, Cleaning, and Re-laying Salvaged Culvert Pipe (30" dia.) - 760mm</t>
  </si>
  <si>
    <t>Removing, Cleaning, and Re-laying Salvaged Culvert Pipe (36" dia.) - 910mm</t>
  </si>
  <si>
    <t>Removing, Cleaning, and Re-laying Salvaged Culvert Pipe (42" dia.) - 1070mm</t>
  </si>
  <si>
    <t>Removing, Cleaning, and Re-laying Salvaged Culvert Pipe (48" dia.) - 1220mm</t>
  </si>
  <si>
    <t>Riprap, Class A</t>
  </si>
  <si>
    <t>Riprap, Class B</t>
  </si>
  <si>
    <t>Riprap, Class C</t>
  </si>
  <si>
    <t>Riprap, Class D</t>
  </si>
  <si>
    <t>Grouted Riprap, Class A</t>
  </si>
  <si>
    <t>Grouted Riprap, Class B</t>
  </si>
  <si>
    <t>Grouted Riprap, Class C</t>
  </si>
  <si>
    <t>Grouted Riprap, Class D</t>
  </si>
  <si>
    <t>ITEM 507</t>
  </si>
  <si>
    <t>RUBBLE CONCRETE</t>
  </si>
  <si>
    <t>Hand-Laid Rock Embankment</t>
  </si>
  <si>
    <t>Sheet Piles (Timber)</t>
  </si>
  <si>
    <t>Sheet Piles (Steel) - Slope Protection</t>
  </si>
  <si>
    <t>Sheet Piles (Steel) - Cofferdamming</t>
  </si>
  <si>
    <t>Sheet Piles (Concrete), furnished and driven</t>
  </si>
  <si>
    <t>PART H</t>
  </si>
  <si>
    <t>MISCELLANEOUS STRUCTURES</t>
  </si>
  <si>
    <t>Concrete Curb (Cast in place)</t>
  </si>
  <si>
    <t>Concrete Gutter (Cast in place)</t>
  </si>
  <si>
    <t>Concrete Curb &amp; Gutter (Precast)</t>
  </si>
  <si>
    <t>Sidewalk - Using One Bagger Mixer, (100mm thk.)</t>
  </si>
  <si>
    <t>Right-of-Way Monuments (Cast in place)</t>
  </si>
  <si>
    <t>Right-of-Way Monuments (Precast)</t>
  </si>
  <si>
    <t>Maintenance Marker Posts (Cast in place)</t>
  </si>
  <si>
    <t>Maintenance Marker Posts (Precast)</t>
  </si>
  <si>
    <t>Kilometer Post (Cast in Place)</t>
  </si>
  <si>
    <t>603(3)a</t>
  </si>
  <si>
    <t>Metal Guardrail (Metal Beam) including Concrete Post</t>
  </si>
  <si>
    <t>603(3)b</t>
  </si>
  <si>
    <t>Fencing (Posts)</t>
  </si>
  <si>
    <t>Fencing (Gates) - (Height = 3m &amp; length = 4.24m)</t>
  </si>
  <si>
    <t>Informative Signs (12" x 24")</t>
  </si>
  <si>
    <t>Informative Signs (12" x 48")</t>
  </si>
  <si>
    <t>Informative Signs (18" x 24")</t>
  </si>
  <si>
    <t>Informative Signs (18" x 48")</t>
  </si>
  <si>
    <t>Pavement Markings (Premix Reflectorized)</t>
  </si>
  <si>
    <t>Pavement Markings (Reflectorized Thermoplastic), White</t>
  </si>
  <si>
    <t>Pavement Markings (Reflectorized Thermoplastic), Yellow</t>
  </si>
  <si>
    <t>607(1)</t>
  </si>
  <si>
    <t>Reflectorized Pavement Studs (Flush Type)</t>
  </si>
  <si>
    <t>607(2)</t>
  </si>
  <si>
    <t>Reflectorized Pavement Studs (Raised Profile Type)</t>
  </si>
  <si>
    <t>Bio-Engineering Solutions (Coco-net), CGN 400</t>
  </si>
  <si>
    <t>Bio-Engineering Solutions (Coco-net), CGN 700</t>
  </si>
  <si>
    <t>Bio-Engineering Solutions (Coco-logs/Fascine), CGR 200</t>
  </si>
  <si>
    <t>Bio-Engineering Solutions (Coco-logs/Fascine), CGR 300</t>
  </si>
  <si>
    <t>Bio-Engineering Solutions (Vegetation), Hydroseeding</t>
  </si>
  <si>
    <t>Bio-Engineering Solutions (Vegetation), Vetiver Grass System</t>
  </si>
  <si>
    <t>PART J</t>
  </si>
  <si>
    <t>SPECIAL ITEMS</t>
  </si>
  <si>
    <t>Crack and Seat - Using Backhoe</t>
  </si>
  <si>
    <t>Crack and Seat - Using Arrow Master</t>
  </si>
  <si>
    <t>Tree Planting - With Tree Guard</t>
  </si>
  <si>
    <t>PART F</t>
  </si>
  <si>
    <t>BRIDGE CONSTRUCTION</t>
  </si>
  <si>
    <t>400(1)</t>
  </si>
  <si>
    <t>Untreated Timber Piles, furnished</t>
  </si>
  <si>
    <t>400(2)</t>
  </si>
  <si>
    <t>Treated Timber Piles, preservative, furnished</t>
  </si>
  <si>
    <t>400(3)</t>
  </si>
  <si>
    <t>Steel H-Piles, furnished</t>
  </si>
  <si>
    <t>400(4)a</t>
  </si>
  <si>
    <t>Precast Concrete Piles, furnished (400mm x 400mm - type B)</t>
  </si>
  <si>
    <t>400(4)b</t>
  </si>
  <si>
    <t>Precast Concrete Piles, furnished (450mm x 450mm - type D)</t>
  </si>
  <si>
    <t>400(5)a</t>
  </si>
  <si>
    <t>Precast, Prestressed Concrete Piles, furnished (400mm x 400mm)</t>
  </si>
  <si>
    <t>400(5)b</t>
  </si>
  <si>
    <t>Precast, Prestressed Concrete Piles, furnished (450mm x 450mm)</t>
  </si>
  <si>
    <t>400(6)</t>
  </si>
  <si>
    <t>Structural Steel Sheet Piles, furnished</t>
  </si>
  <si>
    <t>400(7)</t>
  </si>
  <si>
    <t>Precast Concrete Sheet Piles, furnished</t>
  </si>
  <si>
    <t>400(8)</t>
  </si>
  <si>
    <t>Untreated Timber Piles, driven</t>
  </si>
  <si>
    <t>400(9)</t>
  </si>
  <si>
    <t>Treated Timber Piles, driven</t>
  </si>
  <si>
    <t>400(10)</t>
  </si>
  <si>
    <t>Steel H-Piles, driven</t>
  </si>
  <si>
    <t>400(11)</t>
  </si>
  <si>
    <t>Steel Pipe Piles</t>
  </si>
  <si>
    <t>400(12)</t>
  </si>
  <si>
    <t>Structural Steel Sheet Piles, driven</t>
  </si>
  <si>
    <t>400(13)</t>
  </si>
  <si>
    <t>Precast Concrete  Sheet Piles, driven</t>
  </si>
  <si>
    <t>400(14)a</t>
  </si>
  <si>
    <t>Precast Concrete  Piles, driven (soft strata)</t>
  </si>
  <si>
    <t>400(14)b</t>
  </si>
  <si>
    <t>Precast Concrete  Piles, driven (hard strata)</t>
  </si>
  <si>
    <t>400(15)</t>
  </si>
  <si>
    <t>Precast, Prestressed Concrete Piles, driven (400mm x 400mm)</t>
  </si>
  <si>
    <t>400(16)a</t>
  </si>
  <si>
    <t>Test Piles, furnished and driven (400mm x 400mm), Soft Strata</t>
  </si>
  <si>
    <t>Test Piles, furnished and driven (400 x 400mm), Hard Strata</t>
  </si>
  <si>
    <t>400(16)b</t>
  </si>
  <si>
    <t>Test Piles, furnished and driven (450mm x 450mm), Soft Strata</t>
  </si>
  <si>
    <t>Test Piles, furnished and driven (450mm x 450mm), Hard Strata</t>
  </si>
  <si>
    <t>400(17)a</t>
  </si>
  <si>
    <t>Concrete Piles cast in Drilled Holes, 0.80m dia. (ordinary soil condition)</t>
  </si>
  <si>
    <t>400(17)b</t>
  </si>
  <si>
    <t>Concrete Piles cast in Drilled Holes, 1.00m dia. (ordinary soil condition)</t>
  </si>
  <si>
    <t>400(17)c</t>
  </si>
  <si>
    <t>Concrete Piles cast in Drilled Holes, 1.20m dia. (ordinary soil condition)</t>
  </si>
  <si>
    <t>400(17)d</t>
  </si>
  <si>
    <t>Concrete Piles cast in Drilled Holes, 1.50m dia. (ordinary soil condition)</t>
  </si>
  <si>
    <t>400(17)e</t>
  </si>
  <si>
    <t>Concrete Piles cast in Drilled Holes, 1.60m dia. (ordinary soil condition)</t>
  </si>
  <si>
    <t>400(17)f</t>
  </si>
  <si>
    <t>Concrete Piles cast in Drilled Holes, 1.80m dia. (ordinary soil condition)</t>
  </si>
  <si>
    <t>400(17)g</t>
  </si>
  <si>
    <t>Concrete Piles cast in Drilled Holes, 2.00m dia. (ordinary soil condition)</t>
  </si>
  <si>
    <t>400(18)</t>
  </si>
  <si>
    <t>Concrete Piles cast in Steel Shells</t>
  </si>
  <si>
    <t>400(19)</t>
  </si>
  <si>
    <t>Concrete Piles cast in Steel Pipes</t>
  </si>
  <si>
    <t>400(20)</t>
  </si>
  <si>
    <t>Pile Shoes</t>
  </si>
  <si>
    <t>400(21)a</t>
  </si>
  <si>
    <t>Splicing of R.C. Piles with Epoxy (400mm x 400mm)</t>
  </si>
  <si>
    <t>400(21)b</t>
  </si>
  <si>
    <t>Splicing of R.C. Piles with Epoxy (450mm x 450mm)</t>
  </si>
  <si>
    <t>400(22)</t>
  </si>
  <si>
    <t>Load Tests</t>
  </si>
  <si>
    <t>400(22)a</t>
  </si>
  <si>
    <t>Pile Integrity Testing (Sonic), ordinary soil condition</t>
  </si>
  <si>
    <t>400(22)b</t>
  </si>
  <si>
    <t>High Strain Dynamic Testing (P.D.A.), ordinary soil condition</t>
  </si>
  <si>
    <t>400(22)c</t>
  </si>
  <si>
    <t>Pile Integrity Testing (P.I.T.), ordinary soil condition</t>
  </si>
  <si>
    <t>400(23)</t>
  </si>
  <si>
    <t>Bored Piles (dia. __ m) - same as Item 400(17)</t>
  </si>
  <si>
    <t>400(24)</t>
  </si>
  <si>
    <t>Permanent Casing (dia. __ m)</t>
  </si>
  <si>
    <t>400(24)a</t>
  </si>
  <si>
    <t>Permanent Casing (0.80m dia)</t>
  </si>
  <si>
    <t>400(24)b</t>
  </si>
  <si>
    <t>Permanent Casing (1.00m dia)</t>
  </si>
  <si>
    <t>400(24)c</t>
  </si>
  <si>
    <t>Permanent Casing (1.20m dia)</t>
  </si>
  <si>
    <t>400(24)d</t>
  </si>
  <si>
    <t>Permanent Casing (1.50m dia)</t>
  </si>
  <si>
    <t>400(24)e</t>
  </si>
  <si>
    <t>Permanent Casing (1.60m dia)</t>
  </si>
  <si>
    <t>400(24)f</t>
  </si>
  <si>
    <t>Permanent Casing (1.80m dia)</t>
  </si>
  <si>
    <t>400(24)g</t>
  </si>
  <si>
    <t>Permanent Casing (2.00m dia)</t>
  </si>
  <si>
    <t>ITEM 401</t>
  </si>
  <si>
    <t>RAILINGS</t>
  </si>
  <si>
    <t>401a</t>
  </si>
  <si>
    <t>Reinforced Concrete Railing (Single)</t>
  </si>
  <si>
    <t>401b</t>
  </si>
  <si>
    <t>Reinforced Concrete Railing (Double)</t>
  </si>
  <si>
    <t>ITEM 402</t>
  </si>
  <si>
    <t>TIMBER STRUCTURES</t>
  </si>
  <si>
    <t>Timber Structures</t>
  </si>
  <si>
    <t>ITEM 403</t>
  </si>
  <si>
    <t>METAL STRUCTURES</t>
  </si>
  <si>
    <t>403(1)</t>
  </si>
  <si>
    <t>Structural Steel, furnished, fabricated and erected</t>
  </si>
  <si>
    <t>403(2)</t>
  </si>
  <si>
    <t>403(3)</t>
  </si>
  <si>
    <t>Structural Steel, furnished, fabricated</t>
  </si>
  <si>
    <t>403(4)</t>
  </si>
  <si>
    <t>403(5)</t>
  </si>
  <si>
    <t>Structural Steel, erected</t>
  </si>
  <si>
    <t>403(6)</t>
  </si>
  <si>
    <t>403(7)</t>
  </si>
  <si>
    <t>ITEM 404</t>
  </si>
  <si>
    <t>REINFORCING STEEL</t>
  </si>
  <si>
    <t>404a</t>
  </si>
  <si>
    <t xml:space="preserve">RSB, Grade 40 (Bridge Structures &amp; Other Major Structures) </t>
  </si>
  <si>
    <t>404b</t>
  </si>
  <si>
    <t xml:space="preserve">RSB, Grade 60 (Bridge Structures &amp; Other Major Structures) </t>
  </si>
  <si>
    <t>404c</t>
  </si>
  <si>
    <t>RSB, Grade 40 (Minor Structures)</t>
  </si>
  <si>
    <t>ITEM 405</t>
  </si>
  <si>
    <t>STRUCTURAL CONCRETE</t>
  </si>
  <si>
    <t>405(1)</t>
  </si>
  <si>
    <t>Structural Concrete, Class A</t>
  </si>
  <si>
    <t>405(2)</t>
  </si>
  <si>
    <t>Structural Concrete, Class B</t>
  </si>
  <si>
    <t>405(3)</t>
  </si>
  <si>
    <t>Structural Concrete, Class C</t>
  </si>
  <si>
    <t>405(4)</t>
  </si>
  <si>
    <t>Structural Concrete, Class P</t>
  </si>
  <si>
    <t>405(5)</t>
  </si>
  <si>
    <t>Seal Concrete</t>
  </si>
  <si>
    <t>ITEM 406</t>
  </si>
  <si>
    <t>PRESTRESSED CONCRETE STRUCTURES</t>
  </si>
  <si>
    <t>406(1)</t>
  </si>
  <si>
    <t>Prestressed Structural Concrete Members (Identification)</t>
  </si>
  <si>
    <t>406(1)a</t>
  </si>
  <si>
    <t>Prestressed Structural Concrete Member (Girder Type IV-15 meter)</t>
  </si>
  <si>
    <t>406(1)b</t>
  </si>
  <si>
    <t>Prestressed Structural Concrete Member (Girder Type IV-20 meter)</t>
  </si>
  <si>
    <t>406(1)c</t>
  </si>
  <si>
    <t>Prestressed Structural Concrete Member (Girder Type IV-25 meter)</t>
  </si>
  <si>
    <t>406(1)d</t>
  </si>
  <si>
    <t>Prestressed Structural Concrete Member (Girder Type IV-30 meter)</t>
  </si>
  <si>
    <t>406(1)e</t>
  </si>
  <si>
    <t>Prestressed Structural Concrete Member (Girder Type IV-35 meter)</t>
  </si>
  <si>
    <t>406(1)f</t>
  </si>
  <si>
    <t>Prestressed Structural Concrete Member (Girder Type IV-40 meter)</t>
  </si>
  <si>
    <t>406(2)</t>
  </si>
  <si>
    <t>Prestressed Concrete</t>
  </si>
  <si>
    <t>ITEM 407</t>
  </si>
  <si>
    <t>CONCRETE STRUCTURE</t>
  </si>
  <si>
    <t>ITEM 408</t>
  </si>
  <si>
    <t>STEEL BRIDGES</t>
  </si>
  <si>
    <t>ITEM 409</t>
  </si>
  <si>
    <t>WELDED STRUCTURAL STEEL</t>
  </si>
  <si>
    <t>ITEM 410</t>
  </si>
  <si>
    <t>TREATED AND UNTREATED TIMBER</t>
  </si>
  <si>
    <t>410(1)</t>
  </si>
  <si>
    <t xml:space="preserve">Timber </t>
  </si>
  <si>
    <t>410(2)</t>
  </si>
  <si>
    <t>Treated Timber</t>
  </si>
  <si>
    <t>ITEM 411</t>
  </si>
  <si>
    <t>PAINT</t>
  </si>
  <si>
    <t>ITEM 412</t>
  </si>
  <si>
    <t>ELASTOMERIC BEARING PADS</t>
  </si>
  <si>
    <t>Elastomeric Bearing Pads</t>
  </si>
  <si>
    <t>Preformed Sponge Rubber and Cork  expansion joint fillers for concrete paving and structural construction</t>
  </si>
  <si>
    <t>ha</t>
  </si>
  <si>
    <t>a. Dump Truck (12 cu. yd)</t>
  </si>
  <si>
    <t>c. Bulldozer, D6H SERIES II PSDS/DD</t>
  </si>
  <si>
    <t>b. Dump Truck (12 cu. yd)</t>
  </si>
  <si>
    <t>a. Rope, 1" dia. - 5 uses</t>
  </si>
  <si>
    <t>100(4)a</t>
  </si>
  <si>
    <t>100(4)b</t>
  </si>
  <si>
    <t>ls</t>
  </si>
  <si>
    <t>See derivation for Item Nos. 101(1)a to 101(1)d</t>
  </si>
  <si>
    <t>101(1)a</t>
  </si>
  <si>
    <t>c. Air Compressor (356 - 450 cfm)</t>
  </si>
  <si>
    <t>d. Dump Truck (12 cu.yd.)</t>
  </si>
  <si>
    <t>f. Truck Mounted Crane (31 - 35 mt)</t>
  </si>
  <si>
    <t>101(1)b</t>
  </si>
  <si>
    <t>a.  Truck Mounted Crane (31 - 35 mt)</t>
  </si>
  <si>
    <t>c. Welding Machine (300A), Gas/Diesel Driven</t>
  </si>
  <si>
    <t>101(1)c</t>
  </si>
  <si>
    <t>b. Backhoe (0.80 cu.m.) - for loading</t>
  </si>
  <si>
    <t>c. Dump Truck (12 cu. yd)</t>
  </si>
  <si>
    <t>101(1)d</t>
  </si>
  <si>
    <t>b. Boom Truck (2 - 5 mt)</t>
  </si>
  <si>
    <t>ea</t>
  </si>
  <si>
    <t>b. Cargo Truck (2 - 5 mt)</t>
  </si>
  <si>
    <r>
      <t xml:space="preserve">d. Concrete Saw (7.5 Hp), 14"  Blade </t>
    </r>
    <r>
      <rPr>
        <sz val="11"/>
        <rFont val="Calibri"/>
        <family val="2"/>
      </rPr>
      <t>Ø</t>
    </r>
    <r>
      <rPr>
        <sz val="11"/>
        <rFont val="Arial"/>
        <family val="2"/>
      </rPr>
      <t xml:space="preserve"> </t>
    </r>
  </si>
  <si>
    <t>m</t>
  </si>
  <si>
    <t>a. Backhoe w/ Pavement (0.80 cu.m.)</t>
  </si>
  <si>
    <t>a. Bulldozer, D6H SERIES II PSDS/DD</t>
  </si>
  <si>
    <t>f. Air Compressor (161 - 185 cfm)</t>
  </si>
  <si>
    <t>g. Payloader (1.50 cu.m.) - at disposal area</t>
  </si>
  <si>
    <t>f.  Payloader (1.50 cu.m.)</t>
  </si>
  <si>
    <t>e. Air Compressor (161 - 185 cfm)</t>
  </si>
  <si>
    <t>d. Pneumatic Drilling Machine</t>
  </si>
  <si>
    <t>c.  Dump Truck (12 cu. yd)</t>
  </si>
  <si>
    <t>b. Backhoe w/ Chipping Hammer (0.80 cu.m.)</t>
  </si>
  <si>
    <t>h. Water Truck/Pump (16000L)</t>
  </si>
  <si>
    <t>d. Dump Truck (12 cu. yd)</t>
  </si>
  <si>
    <t>103(2)d</t>
  </si>
  <si>
    <t>a. Jack Hammer</t>
  </si>
  <si>
    <t>c.  Backhoe (0.80 cu.m.)</t>
  </si>
  <si>
    <t>b. Air Compressor (356 - 450 cfm)</t>
  </si>
  <si>
    <t>b. Water Truck/Pump (16000L)</t>
  </si>
  <si>
    <t>a. Crawler  Crane (36 - 40 mt)</t>
  </si>
  <si>
    <t>c. Welding Machine (300 A, Gas/Diesel Driven</t>
  </si>
  <si>
    <t>a. Motorized Road Grader (140 hp), G710A</t>
  </si>
  <si>
    <t>b. Vibratory Roller (10 m.t.), SD100DC</t>
  </si>
  <si>
    <t>c. Water Truck/Pump (16000L)</t>
  </si>
  <si>
    <t>c. Dump Truck (12 cu.yd.)</t>
  </si>
  <si>
    <t>b.Water Truck/Pump (16000L)</t>
  </si>
  <si>
    <t>c. Unskilled Labor</t>
  </si>
  <si>
    <t>b. Skilled Labor</t>
  </si>
  <si>
    <t>b. Unskilled Labor</t>
  </si>
  <si>
    <r>
      <t xml:space="preserve">Individual Removal of Trees (small b, above 300mm Ø up to 500mm </t>
    </r>
    <r>
      <rPr>
        <sz val="11"/>
        <rFont val="Calibri"/>
        <family val="2"/>
      </rPr>
      <t>Ø</t>
    </r>
    <r>
      <rPr>
        <sz val="11"/>
        <rFont val="Arial"/>
        <family val="2"/>
      </rPr>
      <t>)</t>
    </r>
  </si>
  <si>
    <r>
      <t xml:space="preserve">Individual Removal of Trees (small a, 150mm Ø up to 300mm </t>
    </r>
    <r>
      <rPr>
        <sz val="11"/>
        <rFont val="Calibri"/>
        <family val="2"/>
      </rPr>
      <t>Ø</t>
    </r>
    <r>
      <rPr>
        <sz val="11"/>
        <rFont val="Arial"/>
        <family val="2"/>
      </rPr>
      <t>)</t>
    </r>
  </si>
  <si>
    <r>
      <t xml:space="preserve">Individual Removal of Trees (large a, above 500mm Ø up to 750mm </t>
    </r>
    <r>
      <rPr>
        <sz val="11"/>
        <rFont val="Calibri"/>
        <family val="2"/>
      </rPr>
      <t>Ø</t>
    </r>
    <r>
      <rPr>
        <sz val="11"/>
        <rFont val="Arial"/>
        <family val="2"/>
      </rPr>
      <t>)</t>
    </r>
  </si>
  <si>
    <r>
      <t xml:space="preserve">Individual Removal of Trees (large b, above 750 up to 900mm </t>
    </r>
    <r>
      <rPr>
        <sz val="11"/>
        <rFont val="Calibri"/>
        <family val="2"/>
      </rPr>
      <t>Ø</t>
    </r>
    <r>
      <rPr>
        <sz val="11"/>
        <rFont val="Arial"/>
        <family val="2"/>
      </rPr>
      <t>)</t>
    </r>
  </si>
  <si>
    <t>Removal of Structures and Obstruction</t>
  </si>
  <si>
    <t>b. Service Truck/Cargo Truck (2 - 5 mt)</t>
  </si>
  <si>
    <t>Removal of RCPC (24" dia.) - 610mm dia.</t>
  </si>
  <si>
    <t>Removal of RCPC (30" dia.) - 760mm dia.</t>
  </si>
  <si>
    <t>Removal of RCPC (36" dia.) - 910mm dia</t>
  </si>
  <si>
    <t>Removal of RCPC (42" dia.) - 1070mm dia.</t>
  </si>
  <si>
    <t>Removal of RCPC (48" dia.) - 1220mm dia</t>
  </si>
  <si>
    <t>Removal of RCPC (60" dia.) - 1520mm dia.</t>
  </si>
  <si>
    <t>Minor Tools (10% of Labor Cost)</t>
  </si>
  <si>
    <t>Removal of Sidewalk (100mm thk)</t>
  </si>
  <si>
    <t>Minor Tools (10 % of Labor Cost)</t>
  </si>
  <si>
    <t>Minor Tools (5% of Labor Cost)</t>
  </si>
  <si>
    <t>a. Bulldozer w/ Ripper, D6H SERIES II PSDS/DD</t>
  </si>
  <si>
    <t>b  Unskilled Labor</t>
  </si>
  <si>
    <t>Roadway Excavation (Surplus Unclassified)</t>
  </si>
  <si>
    <t>Minor Tools (10% of Labor Cost )</t>
  </si>
  <si>
    <t>Miscellaneous (1% of Materials Cost)</t>
  </si>
  <si>
    <t>d. Water Truck/Pump (16000L)</t>
  </si>
  <si>
    <t>d. Asphalt Distributor, 10 ft. wide (5 ton)</t>
  </si>
  <si>
    <t>b. Dump Truck (12 cu.yd.)</t>
  </si>
  <si>
    <t>c. Motorized Road Grader (140 hp), G710A</t>
  </si>
  <si>
    <t>d. Vibratory Roller (10 m.t.), SD100DC</t>
  </si>
  <si>
    <t>f. Water Truck/Pump (16000L)</t>
  </si>
  <si>
    <t>g. Asphalt Distributor, 10 ft. wide (5 ton)</t>
  </si>
  <si>
    <t>a. Concrete Batching Plant (30 cu.m.)</t>
  </si>
  <si>
    <t>a. Asphalt Distributor, 10 ft. wide (5 ton)</t>
  </si>
  <si>
    <t>a. Motorized Road Grader w/ Scarifier (140 hp), G710A</t>
  </si>
  <si>
    <t>e. Water Truck/Pump (16000L)</t>
  </si>
  <si>
    <t>b. Aggregates, Sand  (79%)</t>
  </si>
  <si>
    <t>d. Mineral Filler (7%)</t>
  </si>
  <si>
    <t>c. Aggregates, 3/8  (19%)</t>
  </si>
  <si>
    <t>e. Diesel</t>
  </si>
  <si>
    <t>L</t>
  </si>
  <si>
    <t>Laying &amp;</t>
  </si>
  <si>
    <t>Compaction</t>
  </si>
  <si>
    <t>a. Batching Plant Engineer</t>
  </si>
  <si>
    <t>b. Mechanical Engineer</t>
  </si>
  <si>
    <t>c. Electrical Engineer</t>
  </si>
  <si>
    <t>d. Unskilled Laboratory Technician</t>
  </si>
  <si>
    <t>e. Unskilled Labor</t>
  </si>
  <si>
    <t>c. Concrete Batching Plant (30 cu.m.)</t>
  </si>
  <si>
    <t>h. Concrete Saw (diamond blade 14" dia)</t>
  </si>
  <si>
    <r>
      <t xml:space="preserve">e. Concrete Saw (7.5 Hp), 14"  Blade </t>
    </r>
    <r>
      <rPr>
        <sz val="11"/>
        <rFont val="Calibri"/>
        <family val="2"/>
      </rPr>
      <t>Ø</t>
    </r>
    <r>
      <rPr>
        <sz val="11"/>
        <rFont val="Arial"/>
        <family val="2"/>
      </rPr>
      <t xml:space="preserve"> </t>
    </r>
  </si>
  <si>
    <t>Minor Tools (5% of Labor Cost )</t>
  </si>
  <si>
    <t>c. Cargo Truck (9 - 10 mt)</t>
  </si>
  <si>
    <t>Dimension: 1.29m x 0.57m x 0.20m w/ Flat Bar Frame</t>
  </si>
  <si>
    <t>b. Welding Machine (300 A, Gas/Diesel Driven</t>
  </si>
  <si>
    <t>Minor Tools (10% Labor Cost)</t>
  </si>
  <si>
    <t>a. Truck Mounted Crane (41 - 45 mt)</t>
  </si>
  <si>
    <t>Miscellaneous (3% of Materials Cost)</t>
  </si>
  <si>
    <t>a. Cargo Truck (9 - 10 mt)</t>
  </si>
  <si>
    <t xml:space="preserve">Miscellaneous (5% of Materials Cost) </t>
  </si>
  <si>
    <r>
      <t xml:space="preserve">g. Concrete Saw (7.5 Hp), 14"  Blade </t>
    </r>
    <r>
      <rPr>
        <sz val="11"/>
        <rFont val="Calibri"/>
        <family val="2"/>
      </rPr>
      <t>Ø</t>
    </r>
    <r>
      <rPr>
        <sz val="11"/>
        <rFont val="Arial"/>
        <family val="2"/>
      </rPr>
      <t xml:space="preserve"> </t>
    </r>
  </si>
  <si>
    <t>d. Cargo Truck (9 - 10 mt)</t>
  </si>
  <si>
    <t>Minor Tools (5 % of Labor Cost)</t>
  </si>
  <si>
    <t>b. Cargo Truck/Delivery Truck(2 - 5 mt)</t>
  </si>
  <si>
    <t>Batching/</t>
  </si>
  <si>
    <t>Mixing</t>
  </si>
  <si>
    <t>operation</t>
  </si>
  <si>
    <t>b. Aggregates, Sand (79%)</t>
  </si>
  <si>
    <t>c. Aggregates, 3/8 (19%)</t>
  </si>
  <si>
    <t>311(1)a.1.1</t>
  </si>
  <si>
    <r>
      <t xml:space="preserve">c. Concrete Saw (7.5 Hp), 14"  Blade </t>
    </r>
    <r>
      <rPr>
        <sz val="11"/>
        <rFont val="Calibri"/>
        <family val="2"/>
      </rPr>
      <t>Ø</t>
    </r>
    <r>
      <rPr>
        <sz val="11"/>
        <rFont val="Arial"/>
        <family val="2"/>
      </rPr>
      <t xml:space="preserve"> </t>
    </r>
  </si>
  <si>
    <t>e. Ready Mix Concrete, 3500 psi</t>
  </si>
  <si>
    <t>f. Concrete Saw (diamond blade 14" dia)</t>
  </si>
  <si>
    <t>g.  Pipe Sleeve, 1" dia.</t>
  </si>
  <si>
    <t>h.  Grease/Tar</t>
  </si>
  <si>
    <t>311(1)a.2.1</t>
  </si>
  <si>
    <t>311(1)a.3.1</t>
  </si>
  <si>
    <t>311(1)a.4.1</t>
  </si>
  <si>
    <t>311(1)a.5.1</t>
  </si>
  <si>
    <t>311(1)a.6.1</t>
  </si>
  <si>
    <t>b. Concrete Paver, COM, III, FOUR-TRACK</t>
  </si>
  <si>
    <r>
      <t xml:space="preserve">f. Concrete Saw (7.5 Hp), 14"  Blade </t>
    </r>
    <r>
      <rPr>
        <sz val="11"/>
        <rFont val="Calibri"/>
        <family val="2"/>
      </rPr>
      <t>Ø</t>
    </r>
    <r>
      <rPr>
        <sz val="11"/>
        <rFont val="Arial"/>
        <family val="2"/>
      </rPr>
      <t xml:space="preserve"> </t>
    </r>
  </si>
  <si>
    <t>g. Concrete Vibrator</t>
  </si>
  <si>
    <t>d. Ready Mix Concrete, 3500 psi</t>
  </si>
  <si>
    <t>e. Concrete Saw (diamond blade 14" dia)</t>
  </si>
  <si>
    <t>f.  Pipe Sleeve, 1" dia.</t>
  </si>
  <si>
    <t>g.  Grease/Tar</t>
  </si>
  <si>
    <t>311(1)b.2.1</t>
  </si>
  <si>
    <t>311(1)b.1.1</t>
  </si>
  <si>
    <t>311(1)b.3.1</t>
  </si>
  <si>
    <t>d. Concrete Vibrator</t>
  </si>
  <si>
    <t>a. Concrete Paver, COM, III, FOUR-TRACK</t>
  </si>
  <si>
    <t>311(1)b.4.1</t>
  </si>
  <si>
    <t>311(1)c.1</t>
  </si>
  <si>
    <r>
      <t xml:space="preserve">b. Concrete Saw (7.5 Hp), 14"  Blade </t>
    </r>
    <r>
      <rPr>
        <sz val="11"/>
        <rFont val="Calibri"/>
        <family val="2"/>
      </rPr>
      <t>Ø</t>
    </r>
    <r>
      <rPr>
        <sz val="11"/>
        <rFont val="Arial"/>
        <family val="2"/>
      </rPr>
      <t xml:space="preserve"> </t>
    </r>
  </si>
  <si>
    <t>c. Bar Cutter, Single Phase</t>
  </si>
  <si>
    <t>f. Concrete Vibrator</t>
  </si>
  <si>
    <t>311(2)1</t>
  </si>
  <si>
    <t>f. # 16 GI Tie Wire (2% of RSB)</t>
  </si>
  <si>
    <t>d. Bar Bender</t>
  </si>
  <si>
    <t>PCC Pavement (Reinforced), 300mm thk.</t>
  </si>
  <si>
    <t>a. Cargo Truck (2 - 5 mt)</t>
  </si>
  <si>
    <t>b. Steel Wheel w/ Nylon Rope</t>
  </si>
  <si>
    <t>509(b)</t>
  </si>
  <si>
    <t>a. Steel Sheet Piles (48 kg./m.)</t>
  </si>
  <si>
    <t>Concrete Sheet Pile, furnished and driven - 0.50 m x 0.35 m</t>
  </si>
  <si>
    <t>b. Diesel Hammer (K25 or equivalent)</t>
  </si>
  <si>
    <t>c. One Bagger Mixer</t>
  </si>
  <si>
    <t>f. Bar Cutter, Single Phase</t>
  </si>
  <si>
    <t>i.  Air Compressor (356 - 450 cfm)</t>
  </si>
  <si>
    <t>a. Coco Log</t>
  </si>
  <si>
    <t>c. Cement</t>
  </si>
  <si>
    <t>f.  Marine Plywood, 1/2" x 4' x 8' - 4 uses</t>
  </si>
  <si>
    <t>g.   Lumber, 2' x 2'  - 4 uses</t>
  </si>
  <si>
    <t>i. Spike (1 kg/100 bd.ft of Lumber</t>
  </si>
  <si>
    <t>f. Reinforcing Steel Bar</t>
  </si>
  <si>
    <t>b. Cargo Truck (9 - 10 mt)</t>
  </si>
  <si>
    <t>d. Cargo Truck (2 - 5 mt)</t>
  </si>
  <si>
    <t>a. Welding Machine (300 A, Gas/Diesel Driven</t>
  </si>
  <si>
    <t>Fencing (Chain Link Fence Fabric) - Type I</t>
  </si>
  <si>
    <t>a. Cyclone Wire 8' Ga 10</t>
  </si>
  <si>
    <t>b. 38mm x 38mm x 4mm Angle Bar</t>
  </si>
  <si>
    <t>c. Welding Rod (1 kg/2000 kf of Steel</t>
  </si>
  <si>
    <t>kg</t>
  </si>
  <si>
    <t>Fencing (Post) - Type I</t>
  </si>
  <si>
    <t>b. Bar Cutter, Single Phase</t>
  </si>
  <si>
    <t>c. 6mm dia. Plain Bar</t>
  </si>
  <si>
    <t>Miscellaneous (3% of Material Cost, Gate Lock, Hinge &amp; etc.)</t>
  </si>
  <si>
    <r>
      <t>c. Carriage Bolt, 1/2"</t>
    </r>
    <r>
      <rPr>
        <sz val="11"/>
        <rFont val="Calibri"/>
        <family val="2"/>
      </rPr>
      <t>Ø x 12"</t>
    </r>
  </si>
  <si>
    <r>
      <t>e. 3"</t>
    </r>
    <r>
      <rPr>
        <sz val="11"/>
        <rFont val="Calibri"/>
        <family val="2"/>
      </rPr>
      <t>Ø</t>
    </r>
    <r>
      <rPr>
        <sz val="11"/>
        <rFont val="Arial"/>
        <family val="2"/>
      </rPr>
      <t xml:space="preserve"> G.I. Pipe</t>
    </r>
  </si>
  <si>
    <r>
      <t xml:space="preserve">g. Bolts, 5mm </t>
    </r>
    <r>
      <rPr>
        <sz val="11"/>
        <rFont val="Calibri"/>
        <family val="2"/>
      </rPr>
      <t>Ø</t>
    </r>
  </si>
  <si>
    <t>Pavement Markings (Reflectorized Traffic Paint - White)</t>
  </si>
  <si>
    <t>Pavement Markings (Reflectorized Traffic Paint - Yellow)</t>
  </si>
  <si>
    <t>a. Diamond Drill, CP-8 with attachment</t>
  </si>
  <si>
    <t>c. Air Compressor (15 - 35 cfm)</t>
  </si>
  <si>
    <t>a. Plate Compactor (5 hp)</t>
  </si>
  <si>
    <t>a. Water Truck/Pump (16000L)</t>
  </si>
  <si>
    <r>
      <t xml:space="preserve">e. 75mm </t>
    </r>
    <r>
      <rPr>
        <sz val="11"/>
        <rFont val="Calibri"/>
        <family val="2"/>
      </rPr>
      <t>Ø</t>
    </r>
    <r>
      <rPr>
        <sz val="11"/>
        <rFont val="Arial"/>
        <family val="2"/>
      </rPr>
      <t xml:space="preserve"> G.I. Pipe</t>
    </r>
  </si>
  <si>
    <r>
      <t xml:space="preserve">g. G.I. Bolts w/ Nuts &amp; Washer, 5mm </t>
    </r>
    <r>
      <rPr>
        <sz val="11"/>
        <rFont val="Calibri"/>
        <family val="2"/>
      </rPr>
      <t>Ø</t>
    </r>
  </si>
  <si>
    <r>
      <t xml:space="preserve">h. G.I. Bolts w/ Nuts &amp; Washer, 2mm </t>
    </r>
    <r>
      <rPr>
        <sz val="11"/>
        <rFont val="Calibri"/>
        <family val="2"/>
      </rPr>
      <t>Ø</t>
    </r>
  </si>
  <si>
    <t>Reflective Pavement Studs</t>
  </si>
  <si>
    <t xml:space="preserve">    180mm x 140mm (type depends on the req.)</t>
  </si>
  <si>
    <t>a. Reflective Stud Catcheye Flush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</si>
</sst>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2">
    <numFmt numFmtId="43" formatCode="_(* #,##0.00_);_(* \(#,##0.00\);_(* &quot;-&quot;??_);_(@_)"/>
    <numFmt numFmtId="164" formatCode="&quot;Output per hour =&quot;\ ##.##00\ &quot;sq.m.&quot;"/>
    <numFmt numFmtId="165" formatCode="&quot;Output per hour =&quot;\ ##.##00\ &quot;cu.m.&quot;"/>
    <numFmt numFmtId="166" formatCode="&quot;Output per hour =&quot;\ ##.##00\ &quot;ea.&quot;"/>
    <numFmt numFmtId="167" formatCode="&quot;Output per hour =&quot;\ 0##.##\ &quot;ea.&quot;"/>
    <numFmt numFmtId="168" formatCode="#,##0.000"/>
    <numFmt numFmtId="169" formatCode="&quot;Output per hour =&quot;\ 0##.###\ &quot;ea.&quot;"/>
    <numFmt numFmtId="170" formatCode="&quot;Output per hour =&quot;\ ##.#0\ &quot;cu.m.&quot;"/>
    <numFmt numFmtId="171" formatCode="&quot;Output per hour =&quot;\ ##.##00\ &quot;kg.&quot;"/>
    <numFmt numFmtId="172" formatCode="0.00000"/>
    <numFmt numFmtId="173" formatCode="0.000"/>
    <numFmt numFmtId="174" formatCode="#,##0.0"/>
    <numFmt numFmtId="175" formatCode="&quot;Output per hour =&quot;\ ##.###\ &quot;cu.m.&quot;"/>
    <numFmt numFmtId="176" formatCode="&quot;Output  =&quot;\ ##.##00\ &quot;l.s.&quot;"/>
    <numFmt numFmtId="177" formatCode="&quot;Output per hour =&quot;\ ##.###00\ &quot;cu.m.&quot;"/>
    <numFmt numFmtId="178" formatCode="&quot;Output per hour =&quot;\ ##.###00\ &quot;sq.m.&quot;"/>
    <numFmt numFmtId="179" formatCode="&quot;Output per hour =&quot;\ 0##.###00\ &quot;sq.m.&quot;"/>
    <numFmt numFmtId="180" formatCode="&quot;Output per hour =&quot;\ ##.##00\ &quot;m.t.&quot;"/>
    <numFmt numFmtId="181" formatCode="#,##0.0000"/>
    <numFmt numFmtId="182" formatCode="&quot;Output per hour =&quot;\ ##.##0\ &quot;sq.m.&quot;"/>
    <numFmt numFmtId="183" formatCode="&quot;Output per hour =&quot;\ 0##.##0\ &quot;m.t.&quot;"/>
    <numFmt numFmtId="184" formatCode="&quot;Output per hour =&quot;\ ##.##\ &quot;sq.m.&quot;"/>
    <numFmt numFmtId="185" formatCode="&quot;Output per hour =&quot;\ ##.###00\ &quot;kg.&quot;"/>
    <numFmt numFmtId="186" formatCode="&quot;Output per hour =&quot;\ ##.###0\ &quot;cu.m.&quot;"/>
    <numFmt numFmtId="187" formatCode="&quot;*&quot;\ ##.##00"/>
    <numFmt numFmtId="188" formatCode="&quot;*&quot;\ ##.##0"/>
    <numFmt numFmtId="189" formatCode="&quot;*&quot;\ 0##.##0"/>
    <numFmt numFmtId="190" formatCode="&quot;Output =&quot;\ ##.#00\ &quot;ea.&quot;"/>
    <numFmt numFmtId="191" formatCode="&quot;Output per hour =&quot;\ ##.#00\ &quot;cu.m.&quot;"/>
    <numFmt numFmtId="192" formatCode="&quot;Output per hour =&quot;\ 0##.#0\ &quot;cu.m.&quot;"/>
    <numFmt numFmtId="193" formatCode="&quot;Output  =&quot;\ ##.##00\ &quot;ea.&quot;"/>
    <numFmt numFmtId="194" formatCode="&quot;Output  =&quot;\ ##.##00\ &quot;pair&quot;"/>
    <numFmt numFmtId="195" formatCode="&quot;Output per hour =&quot;##.#000\ &quot;cu.m.&quot;"/>
    <numFmt numFmtId="196" formatCode="&quot;Output per hour =&quot;\ ##.##0\ &quot;cu.m.&quot;"/>
    <numFmt numFmtId="197" formatCode="0.0000"/>
    <numFmt numFmtId="198" formatCode="&quot;*&quot;\ ##.###\ "/>
    <numFmt numFmtId="199" formatCode="&quot;Output per hour =&quot;\ ##.###00\ &quot;ea.&quot;"/>
    <numFmt numFmtId="200" formatCode="&quot;Output per hour =&quot;\ ##.##00\ &quot;pc.&quot;"/>
    <numFmt numFmtId="201" formatCode="&quot;Output =&quot;\ ##.##00\ &quot;ea.&quot;"/>
    <numFmt numFmtId="202" formatCode="&quot;*&quot;#,##0.00"/>
    <numFmt numFmtId="203" formatCode="&quot;Output per hour = &quot;##.##00&quot; kg.&quot;"/>
    <numFmt numFmtId="204" formatCode="&quot;Output =&quot;\ ##.###00\ &quot;ea.&quot;"/>
    <numFmt numFmtId="205" formatCode="&quot;Output per hour = &quot;##.##00&quot; sq.m.&quot;"/>
    <numFmt numFmtId="206" formatCode="&quot;Output per hour = &quot;##.##00&quot; pc.&quot;"/>
    <numFmt numFmtId="207" formatCode="&quot;Output per hour =&quot;\ 0##.##\ &quot;ha.&quot;"/>
    <numFmt numFmtId="208" formatCode="&quot;Output per hour =&quot;\ ##.#00\ &quot;ea.&quot;"/>
    <numFmt numFmtId="209" formatCode="&quot;Output per hour =&quot;\ ##.###00\ &quot;m.&quot;"/>
    <numFmt numFmtId="210" formatCode="&quot;Output per hour =&quot;\ ##.##\ &quot;m.&quot;"/>
    <numFmt numFmtId="211" formatCode="&quot;Output per hour =&quot;\ ##.##00\ &quot;m.&quot;"/>
    <numFmt numFmtId="212" formatCode="&quot;Output per hour =&quot;\ ##.##0\ &quot;m.&quot;"/>
    <numFmt numFmtId="213" formatCode="&quot;Output per hour =&quot;\ ##.##00\ &quot;set&quot;"/>
    <numFmt numFmtId="214" formatCode="&quot;Output per hour =&quot;\ ##.###0\ &quot;m.&quot;"/>
  </numFmts>
  <fonts count="22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i/>
      <sz val="9"/>
      <name val="Arial"/>
      <family val="2"/>
    </font>
    <font>
      <sz val="11"/>
      <name val="Calibri"/>
      <family val="2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FF0000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u/>
      <sz val="11"/>
      <color theme="10"/>
      <name val="Calibri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2"/>
      <name val="Calibri"/>
      <family val="2"/>
    </font>
    <font>
      <sz val="13"/>
      <name val="Arial Narrow"/>
      <family val="2"/>
    </font>
    <font>
      <b/>
      <sz val="13"/>
      <name val="Arial Narrow"/>
      <family val="2"/>
    </font>
    <font>
      <sz val="11"/>
      <color rgb="FFFF0000"/>
      <name val="Tahoma"/>
      <family val="2"/>
    </font>
    <font>
      <sz val="1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386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3" fillId="2" borderId="0" xfId="0" applyFont="1" applyFill="1" applyAlignment="1"/>
    <xf numFmtId="4" fontId="3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left"/>
    </xf>
    <xf numFmtId="3" fontId="3" fillId="2" borderId="0" xfId="0" applyNumberFormat="1" applyFont="1" applyFill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3" fillId="2" borderId="2" xfId="0" applyFont="1" applyFill="1" applyBorder="1" applyAlignment="1"/>
    <xf numFmtId="0" fontId="3" fillId="2" borderId="3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10" xfId="0" applyFont="1" applyFill="1" applyBorder="1"/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 applyAlignment="1">
      <alignment horizontal="center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4" fontId="3" fillId="2" borderId="5" xfId="0" applyNumberFormat="1" applyFont="1" applyFill="1" applyBorder="1" applyAlignment="1">
      <alignment horizontal="center"/>
    </xf>
    <xf numFmtId="0" fontId="3" fillId="2" borderId="10" xfId="0" applyFont="1" applyFill="1" applyBorder="1" applyAlignment="1"/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3" fillId="2" borderId="10" xfId="0" applyFont="1" applyFill="1" applyBorder="1" applyAlignment="1">
      <alignment horizontal="left"/>
    </xf>
    <xf numFmtId="4" fontId="3" fillId="2" borderId="10" xfId="0" applyNumberFormat="1" applyFont="1" applyFill="1" applyBorder="1" applyAlignment="1">
      <alignment horizontal="center"/>
    </xf>
    <xf numFmtId="0" fontId="6" fillId="2" borderId="10" xfId="0" applyFont="1" applyFill="1" applyBorder="1" applyAlignment="1">
      <alignment vertical="top" wrapText="1"/>
    </xf>
    <xf numFmtId="0" fontId="6" fillId="2" borderId="5" xfId="0" applyFont="1" applyFill="1" applyBorder="1" applyAlignment="1">
      <alignment vertical="top" wrapText="1"/>
    </xf>
    <xf numFmtId="0" fontId="3" fillId="2" borderId="9" xfId="0" applyFont="1" applyFill="1" applyBorder="1" applyAlignment="1">
      <alignment horizontal="center"/>
    </xf>
    <xf numFmtId="4" fontId="3" fillId="2" borderId="9" xfId="0" applyNumberFormat="1" applyFont="1" applyFill="1" applyBorder="1" applyAlignment="1">
      <alignment horizontal="center"/>
    </xf>
    <xf numFmtId="0" fontId="3" fillId="2" borderId="2" xfId="0" applyFont="1" applyFill="1" applyBorder="1"/>
    <xf numFmtId="0" fontId="3" fillId="2" borderId="1" xfId="0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/>
    </xf>
    <xf numFmtId="4" fontId="3" fillId="2" borderId="5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/>
    </xf>
    <xf numFmtId="4" fontId="3" fillId="2" borderId="13" xfId="0" applyNumberFormat="1" applyFont="1" applyFill="1" applyBorder="1" applyAlignment="1">
      <alignment horizontal="center"/>
    </xf>
    <xf numFmtId="4" fontId="3" fillId="2" borderId="14" xfId="0" applyNumberFormat="1" applyFont="1" applyFill="1" applyBorder="1" applyAlignment="1">
      <alignment horizontal="center"/>
    </xf>
    <xf numFmtId="0" fontId="3" fillId="2" borderId="12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right"/>
    </xf>
    <xf numFmtId="0" fontId="3" fillId="2" borderId="13" xfId="0" applyFont="1" applyFill="1" applyBorder="1" applyAlignment="1">
      <alignment horizontal="left"/>
    </xf>
    <xf numFmtId="0" fontId="3" fillId="2" borderId="5" xfId="0" applyFont="1" applyFill="1" applyBorder="1" applyAlignment="1">
      <alignment vertical="center" wrapText="1"/>
    </xf>
    <xf numFmtId="0" fontId="3" fillId="2" borderId="9" xfId="0" applyFont="1" applyFill="1" applyBorder="1"/>
    <xf numFmtId="4" fontId="3" fillId="2" borderId="9" xfId="0" applyNumberFormat="1" applyFont="1" applyFill="1" applyBorder="1" applyAlignment="1">
      <alignment horizontal="center" vertical="center"/>
    </xf>
    <xf numFmtId="0" fontId="3" fillId="2" borderId="12" xfId="0" applyFont="1" applyFill="1" applyBorder="1"/>
    <xf numFmtId="0" fontId="3" fillId="2" borderId="13" xfId="0" applyFont="1" applyFill="1" applyBorder="1"/>
    <xf numFmtId="4" fontId="3" fillId="2" borderId="13" xfId="0" applyNumberFormat="1" applyFont="1" applyFill="1" applyBorder="1" applyAlignment="1">
      <alignment horizontal="center" vertical="center"/>
    </xf>
    <xf numFmtId="4" fontId="3" fillId="2" borderId="15" xfId="0" applyNumberFormat="1" applyFont="1" applyFill="1" applyBorder="1" applyAlignment="1">
      <alignment horizontal="center" vertical="center"/>
    </xf>
    <xf numFmtId="9" fontId="3" fillId="2" borderId="13" xfId="0" applyNumberFormat="1" applyFont="1" applyFill="1" applyBorder="1" applyAlignment="1">
      <alignment horizontal="right" vertical="center"/>
    </xf>
    <xf numFmtId="9" fontId="3" fillId="2" borderId="13" xfId="0" applyNumberFormat="1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center"/>
    </xf>
    <xf numFmtId="4" fontId="3" fillId="2" borderId="13" xfId="0" applyNumberFormat="1" applyFont="1" applyFill="1" applyBorder="1" applyAlignment="1">
      <alignment horizontal="left" vertical="center"/>
    </xf>
    <xf numFmtId="0" fontId="3" fillId="0" borderId="1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4" fontId="3" fillId="0" borderId="5" xfId="0" applyNumberFormat="1" applyFont="1" applyFill="1" applyBorder="1" applyAlignment="1">
      <alignment horizontal="center"/>
    </xf>
    <xf numFmtId="4" fontId="3" fillId="0" borderId="5" xfId="0" applyNumberFormat="1" applyFont="1" applyFill="1" applyBorder="1" applyAlignment="1">
      <alignment horizontal="center" vertical="center"/>
    </xf>
    <xf numFmtId="2" fontId="3" fillId="2" borderId="5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left"/>
    </xf>
    <xf numFmtId="1" fontId="3" fillId="2" borderId="5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horizontal="left"/>
    </xf>
    <xf numFmtId="0" fontId="3" fillId="2" borderId="0" xfId="0" applyFont="1" applyFill="1" applyBorder="1"/>
    <xf numFmtId="168" fontId="3" fillId="2" borderId="0" xfId="0" applyNumberFormat="1" applyFont="1" applyFill="1" applyAlignment="1">
      <alignment horizontal="left"/>
    </xf>
    <xf numFmtId="168" fontId="3" fillId="2" borderId="5" xfId="0" applyNumberFormat="1" applyFont="1" applyFill="1" applyBorder="1" applyAlignment="1">
      <alignment horizontal="center"/>
    </xf>
    <xf numFmtId="172" fontId="3" fillId="2" borderId="5" xfId="0" applyNumberFormat="1" applyFont="1" applyFill="1" applyBorder="1" applyAlignment="1">
      <alignment horizontal="center"/>
    </xf>
    <xf numFmtId="173" fontId="3" fillId="2" borderId="5" xfId="0" applyNumberFormat="1" applyFont="1" applyFill="1" applyBorder="1" applyAlignment="1">
      <alignment horizontal="center"/>
    </xf>
    <xf numFmtId="174" fontId="3" fillId="2" borderId="5" xfId="0" applyNumberFormat="1" applyFont="1" applyFill="1" applyBorder="1" applyAlignment="1">
      <alignment horizontal="center"/>
    </xf>
    <xf numFmtId="0" fontId="4" fillId="2" borderId="5" xfId="0" applyFont="1" applyFill="1" applyBorder="1"/>
    <xf numFmtId="0" fontId="1" fillId="2" borderId="0" xfId="0" applyFont="1" applyFill="1" applyAlignment="1">
      <alignment horizontal="left"/>
    </xf>
    <xf numFmtId="0" fontId="8" fillId="2" borderId="0" xfId="0" applyFont="1" applyFill="1"/>
    <xf numFmtId="0" fontId="8" fillId="2" borderId="0" xfId="0" applyFont="1" applyFill="1" applyAlignment="1">
      <alignment horizontal="right"/>
    </xf>
    <xf numFmtId="0" fontId="8" fillId="2" borderId="0" xfId="0" applyFont="1" applyFill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2" borderId="0" xfId="0" applyFont="1" applyFill="1" applyBorder="1" applyAlignment="1">
      <alignment horizontal="left"/>
    </xf>
    <xf numFmtId="4" fontId="3" fillId="2" borderId="0" xfId="0" applyNumberFormat="1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3" fillId="2" borderId="7" xfId="0" applyFont="1" applyFill="1" applyBorder="1" applyAlignment="1"/>
    <xf numFmtId="0" fontId="3" fillId="2" borderId="7" xfId="0" applyFont="1" applyFill="1" applyBorder="1" applyAlignment="1">
      <alignment horizontal="right"/>
    </xf>
    <xf numFmtId="0" fontId="3" fillId="2" borderId="7" xfId="0" applyFont="1" applyFill="1" applyBorder="1" applyAlignment="1">
      <alignment horizontal="center"/>
    </xf>
    <xf numFmtId="3" fontId="3" fillId="2" borderId="7" xfId="0" applyNumberFormat="1" applyFont="1" applyFill="1" applyBorder="1" applyAlignment="1">
      <alignment horizontal="left"/>
    </xf>
    <xf numFmtId="0" fontId="3" fillId="2" borderId="5" xfId="0" applyFont="1" applyFill="1" applyBorder="1" applyAlignment="1">
      <alignment wrapText="1"/>
    </xf>
    <xf numFmtId="3" fontId="3" fillId="2" borderId="0" xfId="0" applyNumberFormat="1" applyFont="1" applyFill="1" applyBorder="1" applyAlignment="1">
      <alignment horizontal="left"/>
    </xf>
    <xf numFmtId="0" fontId="3" fillId="2" borderId="10" xfId="0" applyFont="1" applyFill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4" fillId="2" borderId="11" xfId="0" applyFont="1" applyFill="1" applyBorder="1" applyAlignment="1">
      <alignment vertical="top" wrapText="1"/>
    </xf>
    <xf numFmtId="0" fontId="4" fillId="2" borderId="10" xfId="0" applyFont="1" applyFill="1" applyBorder="1" applyAlignment="1">
      <alignment vertical="top" wrapText="1"/>
    </xf>
    <xf numFmtId="181" fontId="3" fillId="2" borderId="5" xfId="0" applyNumberFormat="1" applyFont="1" applyFill="1" applyBorder="1" applyAlignment="1">
      <alignment horizontal="center"/>
    </xf>
    <xf numFmtId="0" fontId="5" fillId="2" borderId="0" xfId="0" applyFont="1" applyFill="1" applyAlignment="1"/>
    <xf numFmtId="0" fontId="5" fillId="2" borderId="1" xfId="0" applyFont="1" applyFill="1" applyBorder="1" applyAlignment="1"/>
    <xf numFmtId="0" fontId="5" fillId="2" borderId="5" xfId="0" applyFont="1" applyFill="1" applyBorder="1" applyAlignment="1"/>
    <xf numFmtId="0" fontId="5" fillId="2" borderId="9" xfId="0" applyFont="1" applyFill="1" applyBorder="1" applyAlignment="1"/>
    <xf numFmtId="187" fontId="3" fillId="2" borderId="5" xfId="0" applyNumberFormat="1" applyFont="1" applyFill="1" applyBorder="1" applyAlignment="1">
      <alignment horizontal="center"/>
    </xf>
    <xf numFmtId="188" fontId="3" fillId="2" borderId="5" xfId="0" applyNumberFormat="1" applyFont="1" applyFill="1" applyBorder="1" applyAlignment="1">
      <alignment horizontal="center"/>
    </xf>
    <xf numFmtId="189" fontId="3" fillId="2" borderId="5" xfId="0" applyNumberFormat="1" applyFont="1" applyFill="1" applyBorder="1" applyAlignment="1">
      <alignment horizontal="center"/>
    </xf>
    <xf numFmtId="0" fontId="5" fillId="2" borderId="10" xfId="0" applyFont="1" applyFill="1" applyBorder="1"/>
    <xf numFmtId="0" fontId="3" fillId="2" borderId="10" xfId="0" applyFont="1" applyFill="1" applyBorder="1" applyAlignment="1">
      <alignment horizontal="justify" vertical="top" wrapText="1"/>
    </xf>
    <xf numFmtId="0" fontId="3" fillId="2" borderId="0" xfId="0" applyFont="1" applyFill="1" applyBorder="1" applyAlignment="1">
      <alignment horizontal="justify" vertical="top" wrapText="1"/>
    </xf>
    <xf numFmtId="0" fontId="3" fillId="2" borderId="11" xfId="0" applyFont="1" applyFill="1" applyBorder="1" applyAlignment="1">
      <alignment horizontal="justify" vertical="top" wrapText="1"/>
    </xf>
    <xf numFmtId="197" fontId="3" fillId="2" borderId="5" xfId="0" applyNumberFormat="1" applyFont="1" applyFill="1" applyBorder="1" applyAlignment="1">
      <alignment horizontal="center"/>
    </xf>
    <xf numFmtId="2" fontId="3" fillId="2" borderId="0" xfId="0" applyNumberFormat="1" applyFont="1" applyFill="1" applyBorder="1" applyAlignment="1">
      <alignment horizontal="right"/>
    </xf>
    <xf numFmtId="4" fontId="11" fillId="2" borderId="5" xfId="0" applyNumberFormat="1" applyFont="1" applyFill="1" applyBorder="1" applyAlignment="1">
      <alignment horizontal="center"/>
    </xf>
    <xf numFmtId="0" fontId="12" fillId="3" borderId="15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3" borderId="15" xfId="0" applyFont="1" applyFill="1" applyBorder="1" applyAlignment="1">
      <alignment horizontal="center"/>
    </xf>
    <xf numFmtId="0" fontId="13" fillId="3" borderId="15" xfId="0" applyFont="1" applyFill="1" applyBorder="1"/>
    <xf numFmtId="0" fontId="13" fillId="0" borderId="0" xfId="0" applyFont="1"/>
    <xf numFmtId="0" fontId="12" fillId="0" borderId="15" xfId="0" applyFont="1" applyBorder="1" applyAlignment="1">
      <alignment horizontal="center"/>
    </xf>
    <xf numFmtId="0" fontId="15" fillId="0" borderId="15" xfId="11" applyFont="1" applyBorder="1" applyAlignment="1" applyProtection="1">
      <alignment horizontal="center"/>
    </xf>
    <xf numFmtId="0" fontId="12" fillId="0" borderId="15" xfId="0" applyFont="1" applyBorder="1"/>
    <xf numFmtId="0" fontId="12" fillId="0" borderId="0" xfId="0" applyFont="1"/>
    <xf numFmtId="0" fontId="13" fillId="0" borderId="15" xfId="0" applyFont="1" applyBorder="1" applyAlignment="1">
      <alignment horizontal="center"/>
    </xf>
    <xf numFmtId="0" fontId="16" fillId="0" borderId="15" xfId="11" applyFont="1" applyBorder="1" applyAlignment="1" applyProtection="1">
      <alignment horizontal="center"/>
    </xf>
    <xf numFmtId="0" fontId="13" fillId="0" borderId="15" xfId="0" applyFont="1" applyBorder="1"/>
    <xf numFmtId="0" fontId="13" fillId="0" borderId="15" xfId="0" applyFont="1" applyBorder="1" applyAlignment="1">
      <alignment horizontal="justify" vertical="top" wrapText="1"/>
    </xf>
    <xf numFmtId="0" fontId="13" fillId="0" borderId="14" xfId="0" applyFont="1" applyFill="1" applyBorder="1" applyAlignment="1">
      <alignment horizontal="left"/>
    </xf>
    <xf numFmtId="0" fontId="13" fillId="0" borderId="15" xfId="0" applyFont="1" applyBorder="1" applyAlignment="1">
      <alignment horizontal="center" vertical="center" wrapText="1"/>
    </xf>
    <xf numFmtId="0" fontId="16" fillId="0" borderId="15" xfId="11" applyFont="1" applyBorder="1" applyAlignment="1" applyProtection="1">
      <alignment horizontal="center" vertical="center"/>
    </xf>
    <xf numFmtId="0" fontId="16" fillId="0" borderId="15" xfId="0" applyFont="1" applyBorder="1" applyAlignment="1">
      <alignment horizontal="center"/>
    </xf>
    <xf numFmtId="0" fontId="12" fillId="3" borderId="15" xfId="0" applyFont="1" applyFill="1" applyBorder="1"/>
    <xf numFmtId="0" fontId="12" fillId="3" borderId="15" xfId="0" applyFont="1" applyFill="1" applyBorder="1" applyAlignment="1">
      <alignment horizontal="center"/>
    </xf>
    <xf numFmtId="0" fontId="16" fillId="3" borderId="15" xfId="11" applyFont="1" applyFill="1" applyBorder="1" applyAlignment="1" applyProtection="1">
      <alignment horizontal="center"/>
    </xf>
    <xf numFmtId="0" fontId="13" fillId="0" borderId="15" xfId="0" applyFont="1" applyBorder="1" applyAlignment="1">
      <alignment wrapText="1"/>
    </xf>
    <xf numFmtId="0" fontId="12" fillId="0" borderId="15" xfId="0" applyFont="1" applyBorder="1" applyAlignment="1">
      <alignment wrapText="1"/>
    </xf>
    <xf numFmtId="0" fontId="18" fillId="3" borderId="15" xfId="0" applyFont="1" applyFill="1" applyBorder="1" applyAlignment="1">
      <alignment horizontal="center"/>
    </xf>
    <xf numFmtId="0" fontId="19" fillId="3" borderId="15" xfId="0" applyFont="1" applyFill="1" applyBorder="1" applyAlignment="1">
      <alignment horizontal="center"/>
    </xf>
    <xf numFmtId="0" fontId="19" fillId="3" borderId="15" xfId="0" applyFont="1" applyFill="1" applyBorder="1"/>
    <xf numFmtId="0" fontId="19" fillId="0" borderId="0" xfId="0" applyFont="1"/>
    <xf numFmtId="0" fontId="12" fillId="0" borderId="0" xfId="0" applyFont="1" applyAlignment="1">
      <alignment horizontal="center"/>
    </xf>
    <xf numFmtId="0" fontId="13" fillId="3" borderId="0" xfId="0" applyFont="1" applyFill="1"/>
    <xf numFmtId="0" fontId="13" fillId="0" borderId="0" xfId="0" applyFont="1" applyAlignment="1">
      <alignment horizontal="center"/>
    </xf>
    <xf numFmtId="0" fontId="12" fillId="0" borderId="0" xfId="0" applyFont="1" applyAlignment="1">
      <alignment wrapText="1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center"/>
    </xf>
    <xf numFmtId="4" fontId="11" fillId="2" borderId="5" xfId="0" applyNumberFormat="1" applyFont="1" applyFill="1" applyBorder="1" applyAlignment="1">
      <alignment horizontal="center" vertical="center"/>
    </xf>
    <xf numFmtId="4" fontId="20" fillId="2" borderId="5" xfId="0" applyNumberFormat="1" applyFont="1" applyFill="1" applyBorder="1" applyAlignment="1">
      <alignment horizontal="center"/>
    </xf>
    <xf numFmtId="4" fontId="20" fillId="2" borderId="5" xfId="0" applyNumberFormat="1" applyFont="1" applyFill="1" applyBorder="1" applyAlignment="1">
      <alignment horizontal="center" vertical="center"/>
    </xf>
    <xf numFmtId="202" fontId="11" fillId="2" borderId="5" xfId="0" applyNumberFormat="1" applyFont="1" applyFill="1" applyBorder="1" applyAlignment="1">
      <alignment horizontal="center"/>
    </xf>
    <xf numFmtId="2" fontId="11" fillId="2" borderId="5" xfId="0" applyNumberFormat="1" applyFont="1" applyFill="1" applyBorder="1" applyAlignment="1">
      <alignment horizontal="center" vertical="center" wrapText="1"/>
    </xf>
    <xf numFmtId="4" fontId="11" fillId="2" borderId="5" xfId="10" applyNumberFormat="1" applyFont="1" applyFill="1" applyBorder="1" applyAlignment="1">
      <alignment horizontal="center"/>
    </xf>
    <xf numFmtId="0" fontId="5" fillId="2" borderId="11" xfId="0" applyFont="1" applyFill="1" applyBorder="1" applyAlignment="1"/>
    <xf numFmtId="0" fontId="3" fillId="2" borderId="13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4" fontId="5" fillId="2" borderId="5" xfId="0" applyNumberFormat="1" applyFont="1" applyFill="1" applyBorder="1" applyAlignment="1">
      <alignment horizontal="center" vertical="center"/>
    </xf>
    <xf numFmtId="0" fontId="21" fillId="2" borderId="10" xfId="0" applyFont="1" applyFill="1" applyBorder="1"/>
    <xf numFmtId="0" fontId="21" fillId="2" borderId="5" xfId="0" applyFont="1" applyFill="1" applyBorder="1" applyAlignment="1">
      <alignment horizontal="center"/>
    </xf>
    <xf numFmtId="4" fontId="21" fillId="2" borderId="5" xfId="0" applyNumberFormat="1" applyFont="1" applyFill="1" applyBorder="1" applyAlignment="1">
      <alignment horizontal="center"/>
    </xf>
    <xf numFmtId="198" fontId="3" fillId="2" borderId="5" xfId="0" applyNumberFormat="1" applyFont="1" applyFill="1" applyBorder="1" applyAlignment="1">
      <alignment horizontal="center"/>
    </xf>
    <xf numFmtId="4" fontId="3" fillId="2" borderId="0" xfId="0" applyNumberFormat="1" applyFont="1" applyFill="1" applyBorder="1" applyAlignment="1">
      <alignment horizontal="left" vertical="center"/>
    </xf>
    <xf numFmtId="4" fontId="3" fillId="2" borderId="0" xfId="0" applyNumberFormat="1" applyFont="1" applyFill="1" applyBorder="1" applyAlignment="1">
      <alignment horizontal="center" vertical="center"/>
    </xf>
    <xf numFmtId="0" fontId="5" fillId="2" borderId="0" xfId="10" applyFont="1" applyFill="1" applyAlignment="1">
      <alignment horizontal="left"/>
    </xf>
    <xf numFmtId="0" fontId="3" fillId="2" borderId="0" xfId="10" applyFont="1" applyFill="1"/>
    <xf numFmtId="0" fontId="3" fillId="2" borderId="0" xfId="10" applyFont="1" applyFill="1" applyAlignment="1">
      <alignment horizontal="right"/>
    </xf>
    <xf numFmtId="0" fontId="3" fillId="2" borderId="0" xfId="10" applyFont="1" applyFill="1" applyAlignment="1">
      <alignment horizontal="center"/>
    </xf>
    <xf numFmtId="0" fontId="3" fillId="2" borderId="0" xfId="10" applyFont="1" applyFill="1" applyAlignment="1">
      <alignment horizontal="left"/>
    </xf>
    <xf numFmtId="0" fontId="3" fillId="2" borderId="0" xfId="10" applyFont="1" applyFill="1" applyAlignment="1"/>
    <xf numFmtId="4" fontId="3" fillId="2" borderId="0" xfId="10" applyNumberFormat="1" applyFont="1" applyFill="1" applyAlignment="1">
      <alignment horizontal="left"/>
    </xf>
    <xf numFmtId="3" fontId="3" fillId="2" borderId="0" xfId="10" applyNumberFormat="1" applyFont="1" applyFill="1" applyAlignment="1">
      <alignment horizontal="left"/>
    </xf>
    <xf numFmtId="0" fontId="5" fillId="2" borderId="1" xfId="10" applyFont="1" applyFill="1" applyBorder="1" applyAlignment="1">
      <alignment horizontal="center"/>
    </xf>
    <xf numFmtId="0" fontId="5" fillId="2" borderId="5" xfId="10" applyFont="1" applyFill="1" applyBorder="1" applyAlignment="1">
      <alignment horizontal="center"/>
    </xf>
    <xf numFmtId="0" fontId="3" fillId="2" borderId="2" xfId="10" applyFont="1" applyFill="1" applyBorder="1" applyAlignment="1"/>
    <xf numFmtId="0" fontId="3" fillId="2" borderId="3" xfId="10" applyFont="1" applyFill="1" applyBorder="1" applyAlignment="1">
      <alignment horizontal="right"/>
    </xf>
    <xf numFmtId="0" fontId="3" fillId="2" borderId="3" xfId="10" applyFont="1" applyFill="1" applyBorder="1" applyAlignment="1">
      <alignment horizontal="center"/>
    </xf>
    <xf numFmtId="0" fontId="3" fillId="2" borderId="1" xfId="10" applyFont="1" applyFill="1" applyBorder="1"/>
    <xf numFmtId="0" fontId="3" fillId="2" borderId="10" xfId="10" applyFont="1" applyFill="1" applyBorder="1"/>
    <xf numFmtId="0" fontId="3" fillId="2" borderId="0" xfId="10" applyFont="1" applyFill="1" applyBorder="1" applyAlignment="1">
      <alignment horizontal="right"/>
    </xf>
    <xf numFmtId="0" fontId="3" fillId="2" borderId="0" xfId="10" applyFont="1" applyFill="1" applyBorder="1" applyAlignment="1">
      <alignment horizontal="center"/>
    </xf>
    <xf numFmtId="0" fontId="3" fillId="2" borderId="5" xfId="10" applyFont="1" applyFill="1" applyBorder="1"/>
    <xf numFmtId="0" fontId="3" fillId="2" borderId="5" xfId="10" applyFont="1" applyFill="1" applyBorder="1" applyAlignment="1">
      <alignment horizontal="center"/>
    </xf>
    <xf numFmtId="4" fontId="3" fillId="2" borderId="10" xfId="10" applyNumberFormat="1" applyFont="1" applyFill="1" applyBorder="1" applyAlignment="1">
      <alignment horizontal="center"/>
    </xf>
    <xf numFmtId="4" fontId="3" fillId="2" borderId="5" xfId="10" applyNumberFormat="1" applyFont="1" applyFill="1" applyBorder="1" applyAlignment="1">
      <alignment horizontal="center"/>
    </xf>
    <xf numFmtId="0" fontId="3" fillId="2" borderId="10" xfId="10" applyFont="1" applyFill="1" applyBorder="1" applyAlignment="1">
      <alignment horizontal="left"/>
    </xf>
    <xf numFmtId="0" fontId="6" fillId="2" borderId="10" xfId="10" applyFont="1" applyFill="1" applyBorder="1" applyAlignment="1">
      <alignment vertical="top" wrapText="1"/>
    </xf>
    <xf numFmtId="0" fontId="6" fillId="2" borderId="5" xfId="10" applyFont="1" applyFill="1" applyBorder="1" applyAlignment="1">
      <alignment vertical="top" wrapText="1"/>
    </xf>
    <xf numFmtId="0" fontId="3" fillId="2" borderId="9" xfId="10" applyFont="1" applyFill="1" applyBorder="1" applyAlignment="1">
      <alignment horizontal="center"/>
    </xf>
    <xf numFmtId="4" fontId="3" fillId="2" borderId="9" xfId="10" applyNumberFormat="1" applyFont="1" applyFill="1" applyBorder="1" applyAlignment="1">
      <alignment horizontal="center"/>
    </xf>
    <xf numFmtId="0" fontId="3" fillId="2" borderId="2" xfId="10" applyFont="1" applyFill="1" applyBorder="1"/>
    <xf numFmtId="0" fontId="3" fillId="2" borderId="1" xfId="10" applyFont="1" applyFill="1" applyBorder="1" applyAlignment="1">
      <alignment horizontal="center"/>
    </xf>
    <xf numFmtId="4" fontId="3" fillId="2" borderId="1" xfId="10" applyNumberFormat="1" applyFont="1" applyFill="1" applyBorder="1" applyAlignment="1">
      <alignment horizontal="center"/>
    </xf>
    <xf numFmtId="3" fontId="3" fillId="2" borderId="5" xfId="10" applyNumberFormat="1" applyFont="1" applyFill="1" applyBorder="1" applyAlignment="1">
      <alignment horizontal="center"/>
    </xf>
    <xf numFmtId="4" fontId="3" fillId="2" borderId="5" xfId="10" applyNumberFormat="1" applyFont="1" applyFill="1" applyBorder="1" applyAlignment="1">
      <alignment horizontal="center" vertical="center"/>
    </xf>
    <xf numFmtId="0" fontId="6" fillId="2" borderId="5" xfId="10" applyFont="1" applyFill="1" applyBorder="1" applyAlignment="1">
      <alignment vertical="center" wrapText="1"/>
    </xf>
    <xf numFmtId="0" fontId="3" fillId="2" borderId="13" xfId="10" applyFont="1" applyFill="1" applyBorder="1" applyAlignment="1">
      <alignment horizontal="center"/>
    </xf>
    <xf numFmtId="4" fontId="3" fillId="2" borderId="13" xfId="10" applyNumberFormat="1" applyFont="1" applyFill="1" applyBorder="1" applyAlignment="1">
      <alignment horizontal="center"/>
    </xf>
    <xf numFmtId="4" fontId="3" fillId="2" borderId="14" xfId="10" applyNumberFormat="1" applyFont="1" applyFill="1" applyBorder="1" applyAlignment="1">
      <alignment horizontal="center"/>
    </xf>
    <xf numFmtId="0" fontId="3" fillId="2" borderId="12" xfId="10" applyFont="1" applyFill="1" applyBorder="1" applyAlignment="1">
      <alignment horizontal="left"/>
    </xf>
    <xf numFmtId="0" fontId="3" fillId="2" borderId="13" xfId="10" applyFont="1" applyFill="1" applyBorder="1" applyAlignment="1">
      <alignment horizontal="right"/>
    </xf>
    <xf numFmtId="0" fontId="3" fillId="2" borderId="13" xfId="10" applyFont="1" applyFill="1" applyBorder="1" applyAlignment="1">
      <alignment horizontal="left"/>
    </xf>
    <xf numFmtId="0" fontId="3" fillId="2" borderId="0" xfId="10" applyFont="1" applyFill="1" applyBorder="1"/>
    <xf numFmtId="2" fontId="3" fillId="2" borderId="5" xfId="10" applyNumberFormat="1" applyFont="1" applyFill="1" applyBorder="1" applyAlignment="1">
      <alignment horizontal="center"/>
    </xf>
    <xf numFmtId="197" fontId="3" fillId="2" borderId="5" xfId="10" applyNumberFormat="1" applyFont="1" applyFill="1" applyBorder="1" applyAlignment="1">
      <alignment horizontal="center"/>
    </xf>
    <xf numFmtId="0" fontId="3" fillId="2" borderId="5" xfId="10" applyFont="1" applyFill="1" applyBorder="1" applyAlignment="1">
      <alignment vertical="center" wrapText="1"/>
    </xf>
    <xf numFmtId="0" fontId="3" fillId="2" borderId="9" xfId="10" applyFont="1" applyFill="1" applyBorder="1"/>
    <xf numFmtId="4" fontId="3" fillId="2" borderId="9" xfId="10" applyNumberFormat="1" applyFont="1" applyFill="1" applyBorder="1" applyAlignment="1">
      <alignment horizontal="center" vertical="center"/>
    </xf>
    <xf numFmtId="0" fontId="3" fillId="2" borderId="12" xfId="10" applyFont="1" applyFill="1" applyBorder="1"/>
    <xf numFmtId="0" fontId="3" fillId="2" borderId="13" xfId="10" applyFont="1" applyFill="1" applyBorder="1"/>
    <xf numFmtId="4" fontId="3" fillId="2" borderId="13" xfId="10" applyNumberFormat="1" applyFont="1" applyFill="1" applyBorder="1" applyAlignment="1">
      <alignment horizontal="center" vertical="center"/>
    </xf>
    <xf numFmtId="9" fontId="3" fillId="2" borderId="13" xfId="10" applyNumberFormat="1" applyFont="1" applyFill="1" applyBorder="1" applyAlignment="1">
      <alignment horizontal="right" vertical="center"/>
    </xf>
    <xf numFmtId="9" fontId="3" fillId="2" borderId="13" xfId="10" applyNumberFormat="1" applyFont="1" applyFill="1" applyBorder="1" applyAlignment="1">
      <alignment horizontal="left" vertical="center"/>
    </xf>
    <xf numFmtId="0" fontId="5" fillId="2" borderId="9" xfId="10" applyFont="1" applyFill="1" applyBorder="1" applyAlignment="1">
      <alignment horizontal="center"/>
    </xf>
    <xf numFmtId="4" fontId="3" fillId="2" borderId="13" xfId="10" applyNumberFormat="1" applyFont="1" applyFill="1" applyBorder="1" applyAlignment="1">
      <alignment horizontal="left" vertical="center"/>
    </xf>
    <xf numFmtId="2" fontId="21" fillId="2" borderId="5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5" fillId="2" borderId="0" xfId="0" applyFont="1" applyFill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207" fontId="3" fillId="2" borderId="12" xfId="0" applyNumberFormat="1" applyFont="1" applyFill="1" applyBorder="1" applyAlignment="1">
      <alignment horizontal="left"/>
    </xf>
    <xf numFmtId="207" fontId="3" fillId="2" borderId="13" xfId="0" applyNumberFormat="1" applyFont="1" applyFill="1" applyBorder="1" applyAlignment="1">
      <alignment horizontal="left"/>
    </xf>
    <xf numFmtId="165" fontId="3" fillId="2" borderId="12" xfId="0" applyNumberFormat="1" applyFont="1" applyFill="1" applyBorder="1" applyAlignment="1">
      <alignment horizontal="left"/>
    </xf>
    <xf numFmtId="165" fontId="3" fillId="2" borderId="13" xfId="0" applyNumberFormat="1" applyFont="1" applyFill="1" applyBorder="1" applyAlignment="1">
      <alignment horizontal="left"/>
    </xf>
    <xf numFmtId="0" fontId="3" fillId="2" borderId="10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left" wrapText="1"/>
    </xf>
    <xf numFmtId="0" fontId="3" fillId="2" borderId="11" xfId="0" applyFont="1" applyFill="1" applyBorder="1" applyAlignment="1">
      <alignment horizontal="left" wrapText="1"/>
    </xf>
    <xf numFmtId="166" fontId="3" fillId="2" borderId="12" xfId="0" applyNumberFormat="1" applyFont="1" applyFill="1" applyBorder="1" applyAlignment="1">
      <alignment horizontal="left"/>
    </xf>
    <xf numFmtId="166" fontId="3" fillId="2" borderId="13" xfId="0" applyNumberFormat="1" applyFont="1" applyFill="1" applyBorder="1" applyAlignment="1">
      <alignment horizontal="left"/>
    </xf>
    <xf numFmtId="167" fontId="3" fillId="2" borderId="12" xfId="0" applyNumberFormat="1" applyFont="1" applyFill="1" applyBorder="1" applyAlignment="1">
      <alignment horizontal="left"/>
    </xf>
    <xf numFmtId="167" fontId="3" fillId="2" borderId="13" xfId="0" applyNumberFormat="1" applyFont="1" applyFill="1" applyBorder="1" applyAlignment="1">
      <alignment horizontal="left"/>
    </xf>
    <xf numFmtId="169" fontId="3" fillId="2" borderId="12" xfId="0" applyNumberFormat="1" applyFont="1" applyFill="1" applyBorder="1" applyAlignment="1">
      <alignment horizontal="left"/>
    </xf>
    <xf numFmtId="169" fontId="3" fillId="2" borderId="13" xfId="0" applyNumberFormat="1" applyFont="1" applyFill="1" applyBorder="1" applyAlignment="1">
      <alignment horizontal="left"/>
    </xf>
    <xf numFmtId="170" fontId="3" fillId="2" borderId="12" xfId="0" applyNumberFormat="1" applyFont="1" applyFill="1" applyBorder="1" applyAlignment="1">
      <alignment horizontal="left"/>
    </xf>
    <xf numFmtId="170" fontId="3" fillId="2" borderId="13" xfId="0" applyNumberFormat="1" applyFont="1" applyFill="1" applyBorder="1" applyAlignment="1">
      <alignment horizontal="left"/>
    </xf>
    <xf numFmtId="171" fontId="3" fillId="2" borderId="12" xfId="0" applyNumberFormat="1" applyFont="1" applyFill="1" applyBorder="1" applyAlignment="1">
      <alignment horizontal="left"/>
    </xf>
    <xf numFmtId="171" fontId="3" fillId="2" borderId="13" xfId="0" applyNumberFormat="1" applyFont="1" applyFill="1" applyBorder="1" applyAlignment="1">
      <alignment horizontal="left"/>
    </xf>
    <xf numFmtId="196" fontId="3" fillId="2" borderId="12" xfId="0" applyNumberFormat="1" applyFont="1" applyFill="1" applyBorder="1" applyAlignment="1">
      <alignment horizontal="left"/>
    </xf>
    <xf numFmtId="196" fontId="3" fillId="2" borderId="13" xfId="0" applyNumberFormat="1" applyFont="1" applyFill="1" applyBorder="1" applyAlignment="1">
      <alignment horizontal="left"/>
    </xf>
    <xf numFmtId="208" fontId="3" fillId="2" borderId="12" xfId="0" applyNumberFormat="1" applyFont="1" applyFill="1" applyBorder="1" applyAlignment="1">
      <alignment horizontal="left"/>
    </xf>
    <xf numFmtId="208" fontId="3" fillId="2" borderId="13" xfId="0" applyNumberFormat="1" applyFont="1" applyFill="1" applyBorder="1" applyAlignment="1">
      <alignment horizontal="left"/>
    </xf>
    <xf numFmtId="175" fontId="3" fillId="2" borderId="12" xfId="0" applyNumberFormat="1" applyFont="1" applyFill="1" applyBorder="1" applyAlignment="1">
      <alignment horizontal="left"/>
    </xf>
    <xf numFmtId="175" fontId="3" fillId="2" borderId="13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176" fontId="3" fillId="2" borderId="12" xfId="0" applyNumberFormat="1" applyFont="1" applyFill="1" applyBorder="1" applyAlignment="1">
      <alignment horizontal="left"/>
    </xf>
    <xf numFmtId="176" fontId="3" fillId="2" borderId="13" xfId="0" applyNumberFormat="1" applyFont="1" applyFill="1" applyBorder="1" applyAlignment="1">
      <alignment horizontal="left"/>
    </xf>
    <xf numFmtId="0" fontId="3" fillId="2" borderId="10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3" fillId="2" borderId="11" xfId="0" applyFont="1" applyFill="1" applyBorder="1" applyAlignment="1">
      <alignment wrapText="1"/>
    </xf>
    <xf numFmtId="0" fontId="3" fillId="2" borderId="12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177" fontId="3" fillId="2" borderId="12" xfId="0" applyNumberFormat="1" applyFont="1" applyFill="1" applyBorder="1" applyAlignment="1">
      <alignment horizontal="left"/>
    </xf>
    <xf numFmtId="177" fontId="3" fillId="2" borderId="13" xfId="0" applyNumberFormat="1" applyFont="1" applyFill="1" applyBorder="1" applyAlignment="1">
      <alignment horizontal="left"/>
    </xf>
    <xf numFmtId="178" fontId="3" fillId="2" borderId="12" xfId="0" applyNumberFormat="1" applyFont="1" applyFill="1" applyBorder="1" applyAlignment="1">
      <alignment horizontal="left"/>
    </xf>
    <xf numFmtId="178" fontId="3" fillId="2" borderId="13" xfId="0" applyNumberFormat="1" applyFont="1" applyFill="1" applyBorder="1" applyAlignment="1">
      <alignment horizontal="left"/>
    </xf>
    <xf numFmtId="209" fontId="3" fillId="2" borderId="12" xfId="0" applyNumberFormat="1" applyFont="1" applyFill="1" applyBorder="1" applyAlignment="1">
      <alignment horizontal="left"/>
    </xf>
    <xf numFmtId="209" fontId="3" fillId="2" borderId="13" xfId="0" applyNumberFormat="1" applyFont="1" applyFill="1" applyBorder="1" applyAlignment="1">
      <alignment horizontal="left"/>
    </xf>
    <xf numFmtId="179" fontId="3" fillId="2" borderId="12" xfId="0" applyNumberFormat="1" applyFont="1" applyFill="1" applyBorder="1" applyAlignment="1">
      <alignment horizontal="left"/>
    </xf>
    <xf numFmtId="179" fontId="3" fillId="2" borderId="13" xfId="0" applyNumberFormat="1" applyFont="1" applyFill="1" applyBorder="1" applyAlignment="1">
      <alignment horizontal="left"/>
    </xf>
    <xf numFmtId="0" fontId="3" fillId="2" borderId="10" xfId="0" applyFont="1" applyFill="1" applyBorder="1" applyAlignment="1">
      <alignment horizontal="justify" vertical="top" wrapText="1"/>
    </xf>
    <xf numFmtId="0" fontId="4" fillId="2" borderId="0" xfId="0" applyFont="1" applyFill="1" applyAlignment="1">
      <alignment horizontal="justify" vertical="top" wrapText="1"/>
    </xf>
    <xf numFmtId="0" fontId="4" fillId="2" borderId="11" xfId="0" applyFont="1" applyFill="1" applyBorder="1" applyAlignment="1">
      <alignment horizontal="justify" vertical="top" wrapText="1"/>
    </xf>
    <xf numFmtId="0" fontId="4" fillId="2" borderId="10" xfId="0" applyFont="1" applyFill="1" applyBorder="1" applyAlignment="1">
      <alignment horizontal="justify" vertical="top" wrapText="1"/>
    </xf>
    <xf numFmtId="164" fontId="3" fillId="2" borderId="12" xfId="0" applyNumberFormat="1" applyFont="1" applyFill="1" applyBorder="1" applyAlignment="1">
      <alignment horizontal="left"/>
    </xf>
    <xf numFmtId="164" fontId="3" fillId="2" borderId="13" xfId="0" applyNumberFormat="1" applyFont="1" applyFill="1" applyBorder="1" applyAlignment="1">
      <alignment horizontal="left"/>
    </xf>
    <xf numFmtId="180" fontId="3" fillId="2" borderId="12" xfId="0" applyNumberFormat="1" applyFont="1" applyFill="1" applyBorder="1" applyAlignment="1">
      <alignment horizontal="left"/>
    </xf>
    <xf numFmtId="180" fontId="3" fillId="2" borderId="13" xfId="0" applyNumberFormat="1" applyFont="1" applyFill="1" applyBorder="1" applyAlignment="1">
      <alignment horizontal="left"/>
    </xf>
    <xf numFmtId="183" fontId="3" fillId="2" borderId="12" xfId="0" applyNumberFormat="1" applyFont="1" applyFill="1" applyBorder="1" applyAlignment="1">
      <alignment horizontal="left"/>
    </xf>
    <xf numFmtId="183" fontId="3" fillId="2" borderId="13" xfId="0" applyNumberFormat="1" applyFont="1" applyFill="1" applyBorder="1" applyAlignment="1">
      <alignment horizontal="left"/>
    </xf>
    <xf numFmtId="182" fontId="3" fillId="2" borderId="12" xfId="0" applyNumberFormat="1" applyFont="1" applyFill="1" applyBorder="1" applyAlignment="1">
      <alignment horizontal="left"/>
    </xf>
    <xf numFmtId="182" fontId="3" fillId="2" borderId="13" xfId="0" applyNumberFormat="1" applyFont="1" applyFill="1" applyBorder="1" applyAlignment="1">
      <alignment horizontal="left"/>
    </xf>
    <xf numFmtId="184" fontId="3" fillId="2" borderId="12" xfId="0" applyNumberFormat="1" applyFont="1" applyFill="1" applyBorder="1" applyAlignment="1">
      <alignment horizontal="left"/>
    </xf>
    <xf numFmtId="184" fontId="3" fillId="2" borderId="13" xfId="0" applyNumberFormat="1" applyFont="1" applyFill="1" applyBorder="1" applyAlignment="1">
      <alignment horizontal="left"/>
    </xf>
    <xf numFmtId="185" fontId="3" fillId="2" borderId="12" xfId="0" applyNumberFormat="1" applyFont="1" applyFill="1" applyBorder="1" applyAlignment="1">
      <alignment horizontal="left"/>
    </xf>
    <xf numFmtId="185" fontId="3" fillId="2" borderId="13" xfId="0" applyNumberFormat="1" applyFont="1" applyFill="1" applyBorder="1" applyAlignment="1">
      <alignment horizontal="left"/>
    </xf>
    <xf numFmtId="0" fontId="3" fillId="2" borderId="0" xfId="0" applyFont="1" applyFill="1" applyBorder="1" applyAlignment="1">
      <alignment horizontal="justify" vertical="top" wrapText="1"/>
    </xf>
    <xf numFmtId="0" fontId="3" fillId="2" borderId="11" xfId="0" applyFont="1" applyFill="1" applyBorder="1" applyAlignment="1">
      <alignment horizontal="justify" vertical="top" wrapText="1"/>
    </xf>
    <xf numFmtId="186" fontId="3" fillId="2" borderId="12" xfId="0" applyNumberFormat="1" applyFont="1" applyFill="1" applyBorder="1" applyAlignment="1">
      <alignment horizontal="left"/>
    </xf>
    <xf numFmtId="186" fontId="3" fillId="2" borderId="13" xfId="0" applyNumberFormat="1" applyFont="1" applyFill="1" applyBorder="1" applyAlignment="1">
      <alignment horizontal="left"/>
    </xf>
    <xf numFmtId="211" fontId="3" fillId="2" borderId="12" xfId="0" applyNumberFormat="1" applyFont="1" applyFill="1" applyBorder="1" applyAlignment="1">
      <alignment horizontal="left"/>
    </xf>
    <xf numFmtId="211" fontId="3" fillId="2" borderId="13" xfId="0" applyNumberFormat="1" applyFont="1" applyFill="1" applyBorder="1" applyAlignment="1">
      <alignment horizontal="left"/>
    </xf>
    <xf numFmtId="210" fontId="3" fillId="2" borderId="12" xfId="0" applyNumberFormat="1" applyFont="1" applyFill="1" applyBorder="1" applyAlignment="1">
      <alignment horizontal="left"/>
    </xf>
    <xf numFmtId="210" fontId="3" fillId="2" borderId="13" xfId="0" applyNumberFormat="1" applyFont="1" applyFill="1" applyBorder="1" applyAlignment="1">
      <alignment horizontal="left"/>
    </xf>
    <xf numFmtId="190" fontId="3" fillId="2" borderId="12" xfId="0" applyNumberFormat="1" applyFont="1" applyFill="1" applyBorder="1" applyAlignment="1">
      <alignment horizontal="left"/>
    </xf>
    <xf numFmtId="190" fontId="3" fillId="2" borderId="13" xfId="0" applyNumberFormat="1" applyFont="1" applyFill="1" applyBorder="1" applyAlignment="1">
      <alignment horizontal="left"/>
    </xf>
    <xf numFmtId="191" fontId="3" fillId="2" borderId="12" xfId="0" applyNumberFormat="1" applyFont="1" applyFill="1" applyBorder="1" applyAlignment="1">
      <alignment horizontal="left"/>
    </xf>
    <xf numFmtId="191" fontId="3" fillId="2" borderId="13" xfId="0" applyNumberFormat="1" applyFont="1" applyFill="1" applyBorder="1" applyAlignment="1">
      <alignment horizontal="left"/>
    </xf>
    <xf numFmtId="192" fontId="3" fillId="2" borderId="12" xfId="0" applyNumberFormat="1" applyFont="1" applyFill="1" applyBorder="1" applyAlignment="1">
      <alignment horizontal="left"/>
    </xf>
    <xf numFmtId="192" fontId="3" fillId="2" borderId="13" xfId="0" applyNumberFormat="1" applyFont="1" applyFill="1" applyBorder="1" applyAlignment="1">
      <alignment horizontal="left"/>
    </xf>
    <xf numFmtId="0" fontId="5" fillId="2" borderId="0" xfId="0" applyFont="1" applyFill="1" applyBorder="1" applyAlignment="1">
      <alignment horizontal="center"/>
    </xf>
    <xf numFmtId="193" fontId="3" fillId="2" borderId="12" xfId="0" applyNumberFormat="1" applyFont="1" applyFill="1" applyBorder="1" applyAlignment="1">
      <alignment horizontal="left"/>
    </xf>
    <xf numFmtId="193" fontId="3" fillId="2" borderId="13" xfId="0" applyNumberFormat="1" applyFont="1" applyFill="1" applyBorder="1" applyAlignment="1">
      <alignment horizontal="left"/>
    </xf>
    <xf numFmtId="194" fontId="3" fillId="2" borderId="12" xfId="0" applyNumberFormat="1" applyFont="1" applyFill="1" applyBorder="1" applyAlignment="1">
      <alignment horizontal="left"/>
    </xf>
    <xf numFmtId="194" fontId="3" fillId="2" borderId="13" xfId="0" applyNumberFormat="1" applyFont="1" applyFill="1" applyBorder="1" applyAlignment="1">
      <alignment horizontal="left"/>
    </xf>
    <xf numFmtId="213" fontId="3" fillId="2" borderId="12" xfId="0" applyNumberFormat="1" applyFont="1" applyFill="1" applyBorder="1" applyAlignment="1">
      <alignment horizontal="left"/>
    </xf>
    <xf numFmtId="213" fontId="3" fillId="2" borderId="13" xfId="0" applyNumberFormat="1" applyFont="1" applyFill="1" applyBorder="1" applyAlignment="1">
      <alignment horizontal="left"/>
    </xf>
    <xf numFmtId="195" fontId="3" fillId="2" borderId="12" xfId="0" applyNumberFormat="1" applyFont="1" applyFill="1" applyBorder="1" applyAlignment="1">
      <alignment horizontal="left"/>
    </xf>
    <xf numFmtId="195" fontId="3" fillId="2" borderId="13" xfId="0" applyNumberFormat="1" applyFont="1" applyFill="1" applyBorder="1" applyAlignment="1">
      <alignment horizontal="left"/>
    </xf>
    <xf numFmtId="0" fontId="6" fillId="2" borderId="10" xfId="0" applyFont="1" applyFill="1" applyBorder="1" applyAlignment="1">
      <alignment horizontal="left" vertical="top" wrapText="1"/>
    </xf>
    <xf numFmtId="0" fontId="6" fillId="2" borderId="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  <xf numFmtId="212" fontId="3" fillId="2" borderId="12" xfId="0" applyNumberFormat="1" applyFont="1" applyFill="1" applyBorder="1" applyAlignment="1">
      <alignment horizontal="left"/>
    </xf>
    <xf numFmtId="212" fontId="3" fillId="2" borderId="13" xfId="0" applyNumberFormat="1" applyFont="1" applyFill="1" applyBorder="1" applyAlignment="1">
      <alignment horizontal="left"/>
    </xf>
    <xf numFmtId="199" fontId="3" fillId="2" borderId="12" xfId="0" applyNumberFormat="1" applyFont="1" applyFill="1" applyBorder="1" applyAlignment="1">
      <alignment horizontal="left"/>
    </xf>
    <xf numFmtId="199" fontId="3" fillId="2" borderId="13" xfId="0" applyNumberFormat="1" applyFont="1" applyFill="1" applyBorder="1" applyAlignment="1">
      <alignment horizontal="left"/>
    </xf>
    <xf numFmtId="200" fontId="3" fillId="2" borderId="12" xfId="0" applyNumberFormat="1" applyFont="1" applyFill="1" applyBorder="1" applyAlignment="1">
      <alignment horizontal="left"/>
    </xf>
    <xf numFmtId="200" fontId="3" fillId="2" borderId="13" xfId="0" applyNumberFormat="1" applyFont="1" applyFill="1" applyBorder="1" applyAlignment="1">
      <alignment horizontal="left"/>
    </xf>
    <xf numFmtId="201" fontId="3" fillId="2" borderId="12" xfId="0" applyNumberFormat="1" applyFont="1" applyFill="1" applyBorder="1" applyAlignment="1">
      <alignment horizontal="left"/>
    </xf>
    <xf numFmtId="201" fontId="3" fillId="2" borderId="13" xfId="0" applyNumberFormat="1" applyFont="1" applyFill="1" applyBorder="1" applyAlignment="1">
      <alignment horizontal="left"/>
    </xf>
    <xf numFmtId="214" fontId="3" fillId="2" borderId="12" xfId="0" applyNumberFormat="1" applyFont="1" applyFill="1" applyBorder="1" applyAlignment="1">
      <alignment horizontal="left"/>
    </xf>
    <xf numFmtId="214" fontId="3" fillId="2" borderId="13" xfId="0" applyNumberFormat="1" applyFont="1" applyFill="1" applyBorder="1" applyAlignment="1">
      <alignment horizontal="left"/>
    </xf>
    <xf numFmtId="0" fontId="5" fillId="2" borderId="2" xfId="10" applyFont="1" applyFill="1" applyBorder="1" applyAlignment="1">
      <alignment horizontal="center" vertical="center" wrapText="1"/>
    </xf>
    <xf numFmtId="0" fontId="5" fillId="2" borderId="3" xfId="10" applyFont="1" applyFill="1" applyBorder="1" applyAlignment="1">
      <alignment horizontal="center" vertical="center" wrapText="1"/>
    </xf>
    <xf numFmtId="0" fontId="5" fillId="2" borderId="4" xfId="10" applyFont="1" applyFill="1" applyBorder="1" applyAlignment="1">
      <alignment horizontal="center" vertical="center" wrapText="1"/>
    </xf>
    <xf numFmtId="0" fontId="5" fillId="2" borderId="6" xfId="10" applyFont="1" applyFill="1" applyBorder="1" applyAlignment="1">
      <alignment horizontal="center" vertical="center" wrapText="1"/>
    </xf>
    <xf numFmtId="0" fontId="5" fillId="2" borderId="7" xfId="10" applyFont="1" applyFill="1" applyBorder="1" applyAlignment="1">
      <alignment horizontal="center" vertical="center" wrapText="1"/>
    </xf>
    <xf numFmtId="0" fontId="5" fillId="2" borderId="8" xfId="10" applyFont="1" applyFill="1" applyBorder="1" applyAlignment="1">
      <alignment horizontal="center" vertical="center" wrapText="1"/>
    </xf>
    <xf numFmtId="0" fontId="5" fillId="2" borderId="1" xfId="10" applyFont="1" applyFill="1" applyBorder="1" applyAlignment="1">
      <alignment horizontal="center" vertical="center" wrapText="1"/>
    </xf>
    <xf numFmtId="0" fontId="5" fillId="2" borderId="9" xfId="10" applyFont="1" applyFill="1" applyBorder="1" applyAlignment="1">
      <alignment horizontal="center" vertical="center" wrapText="1"/>
    </xf>
    <xf numFmtId="0" fontId="3" fillId="2" borderId="6" xfId="10" applyFont="1" applyFill="1" applyBorder="1" applyAlignment="1">
      <alignment horizontal="center"/>
    </xf>
    <xf numFmtId="0" fontId="3" fillId="2" borderId="7" xfId="10" applyFont="1" applyFill="1" applyBorder="1" applyAlignment="1">
      <alignment horizontal="center"/>
    </xf>
    <xf numFmtId="0" fontId="3" fillId="2" borderId="8" xfId="10" applyFont="1" applyFill="1" applyBorder="1" applyAlignment="1">
      <alignment horizontal="center"/>
    </xf>
    <xf numFmtId="0" fontId="5" fillId="2" borderId="2" xfId="10" applyFont="1" applyFill="1" applyBorder="1" applyAlignment="1">
      <alignment horizontal="center" vertical="center"/>
    </xf>
    <xf numFmtId="0" fontId="5" fillId="2" borderId="3" xfId="10" applyFont="1" applyFill="1" applyBorder="1" applyAlignment="1">
      <alignment horizontal="center" vertical="center"/>
    </xf>
    <xf numFmtId="0" fontId="5" fillId="2" borderId="4" xfId="10" applyFont="1" applyFill="1" applyBorder="1" applyAlignment="1">
      <alignment horizontal="center" vertical="center"/>
    </xf>
    <xf numFmtId="0" fontId="5" fillId="2" borderId="6" xfId="10" applyFont="1" applyFill="1" applyBorder="1" applyAlignment="1">
      <alignment horizontal="center" vertical="center"/>
    </xf>
    <xf numFmtId="0" fontId="5" fillId="2" borderId="7" xfId="10" applyFont="1" applyFill="1" applyBorder="1" applyAlignment="1">
      <alignment horizontal="center" vertical="center"/>
    </xf>
    <xf numFmtId="0" fontId="5" fillId="2" borderId="8" xfId="10" applyFont="1" applyFill="1" applyBorder="1" applyAlignment="1">
      <alignment horizontal="center" vertical="center"/>
    </xf>
    <xf numFmtId="0" fontId="5" fillId="2" borderId="1" xfId="10" applyFont="1" applyFill="1" applyBorder="1" applyAlignment="1">
      <alignment horizontal="center" vertical="center"/>
    </xf>
    <xf numFmtId="0" fontId="5" fillId="2" borderId="9" xfId="10" applyFont="1" applyFill="1" applyBorder="1" applyAlignment="1">
      <alignment horizontal="center" vertical="center"/>
    </xf>
    <xf numFmtId="0" fontId="3" fillId="2" borderId="10" xfId="10" applyFont="1" applyFill="1" applyBorder="1" applyAlignment="1">
      <alignment horizontal="left"/>
    </xf>
    <xf numFmtId="0" fontId="3" fillId="2" borderId="0" xfId="10" applyFont="1" applyFill="1" applyBorder="1" applyAlignment="1">
      <alignment horizontal="left"/>
    </xf>
    <xf numFmtId="0" fontId="1" fillId="2" borderId="0" xfId="10" applyFont="1" applyFill="1" applyAlignment="1">
      <alignment horizontal="center"/>
    </xf>
    <xf numFmtId="0" fontId="3" fillId="2" borderId="0" xfId="10" applyFont="1" applyFill="1" applyAlignment="1">
      <alignment horizontal="left"/>
    </xf>
    <xf numFmtId="0" fontId="3" fillId="2" borderId="12" xfId="10" applyFont="1" applyFill="1" applyBorder="1" applyAlignment="1">
      <alignment horizontal="center"/>
    </xf>
    <xf numFmtId="0" fontId="3" fillId="2" borderId="13" xfId="10" applyFont="1" applyFill="1" applyBorder="1" applyAlignment="1">
      <alignment horizontal="center"/>
    </xf>
    <xf numFmtId="203" fontId="3" fillId="2" borderId="12" xfId="0" applyNumberFormat="1" applyFont="1" applyFill="1" applyBorder="1" applyAlignment="1">
      <alignment horizontal="left"/>
    </xf>
    <xf numFmtId="203" fontId="3" fillId="2" borderId="13" xfId="0" applyNumberFormat="1" applyFont="1" applyFill="1" applyBorder="1" applyAlignment="1">
      <alignment horizontal="left"/>
    </xf>
    <xf numFmtId="204" fontId="3" fillId="2" borderId="12" xfId="0" applyNumberFormat="1" applyFont="1" applyFill="1" applyBorder="1" applyAlignment="1">
      <alignment horizontal="left"/>
    </xf>
    <xf numFmtId="204" fontId="3" fillId="2" borderId="13" xfId="0" applyNumberFormat="1" applyFont="1" applyFill="1" applyBorder="1" applyAlignment="1">
      <alignment horizontal="left"/>
    </xf>
    <xf numFmtId="205" fontId="3" fillId="2" borderId="12" xfId="0" applyNumberFormat="1" applyFont="1" applyFill="1" applyBorder="1" applyAlignment="1">
      <alignment horizontal="left"/>
    </xf>
    <xf numFmtId="205" fontId="3" fillId="2" borderId="13" xfId="0" applyNumberFormat="1" applyFont="1" applyFill="1" applyBorder="1" applyAlignment="1">
      <alignment horizontal="left"/>
    </xf>
    <xf numFmtId="206" fontId="3" fillId="2" borderId="12" xfId="0" applyNumberFormat="1" applyFont="1" applyFill="1" applyBorder="1" applyAlignment="1">
      <alignment horizontal="left"/>
    </xf>
    <xf numFmtId="206" fontId="3" fillId="2" borderId="13" xfId="0" applyNumberFormat="1" applyFont="1" applyFill="1" applyBorder="1" applyAlignment="1">
      <alignment horizontal="left"/>
    </xf>
  </cellXfs>
  <cellStyles count="12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omma 4 2" xfId="4" xr:uid="{00000000-0005-0000-0000-000003000000}"/>
    <cellStyle name="Comma 5" xfId="5" xr:uid="{00000000-0005-0000-0000-000004000000}"/>
    <cellStyle name="Hyperlink" xfId="11" builtinId="8"/>
    <cellStyle name="Normal" xfId="0" builtinId="0"/>
    <cellStyle name="Normal 2" xfId="6" xr:uid="{00000000-0005-0000-0000-000007000000}"/>
    <cellStyle name="Normal 3" xfId="7" xr:uid="{00000000-0005-0000-0000-000008000000}"/>
    <cellStyle name="Normal 4" xfId="8" xr:uid="{00000000-0005-0000-0000-000009000000}"/>
    <cellStyle name="Normal 4 2" xfId="9" xr:uid="{00000000-0005-0000-0000-00000A000000}"/>
    <cellStyle name="Normal 5" xfId="10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416718</xdr:colOff>
      <xdr:row>566</xdr:row>
      <xdr:rowOff>71437</xdr:rowOff>
    </xdr:from>
    <xdr:to>
      <xdr:col>8</xdr:col>
      <xdr:colOff>583406</xdr:colOff>
      <xdr:row>592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631031" y="108394500"/>
          <a:ext cx="6619875" cy="50244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Item No.	Description</a:t>
          </a:r>
        </a:p>
        <a:p>
          <a:endParaRPr lang="en-US" sz="1100"/>
        </a:p>
        <a:p>
          <a:r>
            <a:rPr lang="en-US" sz="1100"/>
            <a:t>502(1)a	Manhole (610mm dia RCPC)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502(1)b	Manhole (760mm dia RCPC)</a:t>
          </a:r>
          <a:endParaRPr lang="en-US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502(1)c	Manhole (910mm dia RCPC)</a:t>
          </a:r>
          <a:endParaRPr lang="en-US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502(1)d	Manhole (1070mm dia RCPC)</a:t>
          </a:r>
          <a:endParaRPr lang="en-US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502(1)e	Manhole (1220mm dia RCPC)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502(2)a	Inlet, Type I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502(2)b	Inlet, Type I-A</a:t>
          </a:r>
          <a:endParaRPr lang="en-US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502(3)a.1	Catch Basin (Single Barrel 610 mm dia RCPC)</a:t>
          </a:r>
          <a:endParaRPr lang="en-US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502(3)a.2	Catch Basin (Single Barrel 760 mm dia RCPC)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502(3)a.3	Catch Basin (Single Barrel 910 mm dia RCPC)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502(3)a.4	Catch Basin (Single Barrel 1070mm dia RCPC)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502(3)a.5	Catch Basin (Single Barrel 1220mm dia RCPC)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502(3)b.1	Catch Basin (Double Barrel 610 mm dia RCPC)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502(3)b.2	Catch Basin (Double Barrel 910 mm dia RCPC)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502(3)b.3	Catch Basin (DoubleBarrel 1220 mm dia RCPC)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502(7)	Adjusting Manhole, Type I-A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502(8)	Adjusting Inlet, Type I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and Type I-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A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502(9)a	Adjusting Catch Basin (Single Barrel, 610mm dia.)</a:t>
          </a:r>
          <a:endParaRPr lang="en-US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502(9)b	Adjusting Catch Basin (Double Barrel, 610mm dia.)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/>
        </a:p>
        <a:p>
          <a:endParaRPr lang="en-US" sz="1100"/>
        </a:p>
        <a:p>
          <a:r>
            <a:rPr lang="en-US" sz="1100"/>
            <a:t>These pay items are variable</a:t>
          </a:r>
          <a:r>
            <a:rPr lang="en-US" sz="1100" baseline="0"/>
            <a:t> in dimensions based on the actual consdition which combines component items , hence standard estimate should be based on the standard Detailed unit  Analysis (DUPA).</a:t>
          </a:r>
        </a:p>
        <a:p>
          <a:endParaRPr lang="en-US" sz="1100" baseline="0"/>
        </a:p>
        <a:p>
          <a:r>
            <a:rPr lang="en-US" sz="1100" baseline="0"/>
            <a:t>Further, these items with unit of measure as "each" in the Blue Book is recommended to be broken down seperately by component items such as Items 103(3) - Foundation Fill, 404 - Reinforcing Steel Bar and 405 - Structural Concrete Class A (Minor Structures) in the Summarry of quantities in the preparation of design plans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Cost%20Estimate%20(Work%20Item)%2003192012/Costing-Cost%20Estim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-Landscape (2)"/>
      <sheetName val="costing during seminar"/>
      <sheetName val="description"/>
      <sheetName val="hauling"/>
      <sheetName val="summary-Portrait"/>
      <sheetName val="DOTC"/>
      <sheetName val="Summary-Bridges"/>
      <sheetName val="DUPA-Bridges"/>
      <sheetName val="ITEM 400"/>
      <sheetName val="Summary-Roads"/>
      <sheetName val="DUPA-Roads"/>
      <sheetName val="ITEM 100"/>
      <sheetName val="ITEM 200"/>
      <sheetName val="ITEM 300"/>
      <sheetName val="ITEM 500"/>
      <sheetName val="ITEM 600"/>
      <sheetName val="SPL ITEMS"/>
      <sheetName val="Drawing (Cost Estimate)"/>
      <sheetName val="Costing"/>
      <sheetName val="DUPA Final 1st Batch - 021411"/>
      <sheetName val="DUPA 2nd Batch 022311 "/>
      <sheetName val="DUPA 3rd Batch 030811"/>
      <sheetName val="Steel Grating"/>
      <sheetName val="Sheet2"/>
      <sheetName val="DUPA"/>
      <sheetName val="DUPA 042611"/>
      <sheetName val="D.O.-Std. DUPA 0503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28">
          <cell r="D28">
            <v>0.77400000000000002</v>
          </cell>
        </row>
        <row r="31">
          <cell r="D31">
            <v>4.3999999999999997E-2</v>
          </cell>
        </row>
        <row r="36">
          <cell r="D36">
            <v>8.7999999999999995E-2</v>
          </cell>
        </row>
        <row r="49">
          <cell r="D49">
            <v>0.91800000000000004</v>
          </cell>
        </row>
        <row r="52">
          <cell r="D52">
            <v>5.1999999999999998E-2</v>
          </cell>
        </row>
        <row r="57">
          <cell r="D57">
            <v>0.108</v>
          </cell>
        </row>
        <row r="85">
          <cell r="D85">
            <v>1.08</v>
          </cell>
        </row>
        <row r="88">
          <cell r="D88">
            <v>6.0999999999999999E-2</v>
          </cell>
        </row>
        <row r="93">
          <cell r="D93">
            <v>0.128</v>
          </cell>
        </row>
        <row r="106">
          <cell r="D106">
            <v>1.242</v>
          </cell>
        </row>
        <row r="109">
          <cell r="D109">
            <v>7.0000000000000007E-2</v>
          </cell>
        </row>
        <row r="114">
          <cell r="D114">
            <v>0.14899999999999999</v>
          </cell>
        </row>
        <row r="142">
          <cell r="D142">
            <v>1.4039999999999999</v>
          </cell>
        </row>
        <row r="145">
          <cell r="D145">
            <v>0.08</v>
          </cell>
        </row>
        <row r="150">
          <cell r="D150">
            <v>0.17</v>
          </cell>
        </row>
        <row r="163">
          <cell r="D163">
            <v>1.71</v>
          </cell>
        </row>
        <row r="166">
          <cell r="D166">
            <v>9.7000000000000003E-2</v>
          </cell>
        </row>
        <row r="171">
          <cell r="D171">
            <v>0.21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T1612"/>
  <sheetViews>
    <sheetView view="pageBreakPreview" topLeftCell="A1372" zoomScale="70" zoomScaleSheetLayoutView="70" workbookViewId="0">
      <selection activeCell="N1555" sqref="N1555"/>
    </sheetView>
  </sheetViews>
  <sheetFormatPr defaultColWidth="9.14453125" defaultRowHeight="15" x14ac:dyDescent="0.2"/>
  <cols>
    <col min="1" max="1" width="3.2265625" style="10" customWidth="1"/>
    <col min="2" max="2" width="17.75390625" style="3" customWidth="1"/>
    <col min="3" max="3" width="2.6875" style="4" customWidth="1"/>
    <col min="4" max="4" width="11.56640625" style="4" customWidth="1"/>
    <col min="5" max="5" width="13.44921875" style="5" customWidth="1"/>
    <col min="6" max="8" width="17.08203125" style="3" customWidth="1"/>
    <col min="9" max="9" width="23.9453125" style="3" customWidth="1"/>
    <col min="10" max="10" width="3.2265625" style="10" customWidth="1"/>
    <col min="11" max="11" width="17.75390625" style="3" customWidth="1"/>
    <col min="12" max="12" width="2.6875" style="4" customWidth="1"/>
    <col min="13" max="13" width="11.56640625" style="4" customWidth="1"/>
    <col min="14" max="14" width="13.44921875" style="5" customWidth="1"/>
    <col min="15" max="17" width="17.08203125" style="3" customWidth="1"/>
    <col min="18" max="18" width="23.9453125" style="3" customWidth="1"/>
    <col min="19" max="16384" width="9.14453125" style="7"/>
  </cols>
  <sheetData>
    <row r="1" spans="1:18" s="1" customFormat="1" x14ac:dyDescent="0.2">
      <c r="A1" s="236" t="s">
        <v>0</v>
      </c>
      <c r="B1" s="236"/>
      <c r="C1" s="236"/>
      <c r="D1" s="236"/>
      <c r="E1" s="236"/>
      <c r="F1" s="236"/>
      <c r="G1" s="236"/>
      <c r="H1" s="236"/>
      <c r="I1" s="236"/>
      <c r="J1" s="236" t="s">
        <v>0</v>
      </c>
      <c r="K1" s="236"/>
      <c r="L1" s="236"/>
      <c r="M1" s="236"/>
      <c r="N1" s="236"/>
      <c r="O1" s="236"/>
      <c r="P1" s="236"/>
      <c r="Q1" s="236"/>
      <c r="R1" s="236"/>
    </row>
    <row r="3" spans="1:18" x14ac:dyDescent="0.2">
      <c r="A3" s="2" t="s">
        <v>1</v>
      </c>
      <c r="C3" s="4" t="s">
        <v>2</v>
      </c>
      <c r="D3" s="5" t="s">
        <v>3</v>
      </c>
      <c r="E3" s="2" t="s">
        <v>4</v>
      </c>
      <c r="F3" s="2"/>
      <c r="G3" s="2"/>
      <c r="H3" s="2"/>
      <c r="J3" s="2" t="s">
        <v>1</v>
      </c>
      <c r="L3" s="4" t="s">
        <v>2</v>
      </c>
      <c r="M3" s="5" t="s">
        <v>5</v>
      </c>
      <c r="N3" s="237" t="s">
        <v>6</v>
      </c>
      <c r="O3" s="237"/>
      <c r="P3" s="237"/>
      <c r="Q3" s="237"/>
    </row>
    <row r="4" spans="1:18" x14ac:dyDescent="0.2">
      <c r="A4" s="2" t="s">
        <v>7</v>
      </c>
      <c r="C4" s="4" t="s">
        <v>2</v>
      </c>
      <c r="E4" s="6" t="s">
        <v>1129</v>
      </c>
      <c r="F4" s="8"/>
      <c r="G4" s="8"/>
      <c r="H4" s="8"/>
      <c r="J4" s="2" t="s">
        <v>7</v>
      </c>
      <c r="L4" s="4" t="s">
        <v>2</v>
      </c>
      <c r="N4" s="2" t="s">
        <v>9</v>
      </c>
      <c r="O4" s="8"/>
      <c r="P4" s="8"/>
      <c r="Q4" s="8"/>
    </row>
    <row r="5" spans="1:18" x14ac:dyDescent="0.2">
      <c r="A5" s="2" t="s">
        <v>10</v>
      </c>
      <c r="C5" s="4" t="s">
        <v>2</v>
      </c>
      <c r="E5" s="9">
        <v>0.05</v>
      </c>
      <c r="F5" s="8"/>
      <c r="G5" s="8"/>
      <c r="H5" s="8"/>
      <c r="J5" s="2" t="s">
        <v>10</v>
      </c>
      <c r="L5" s="4" t="s">
        <v>2</v>
      </c>
      <c r="N5" s="9">
        <v>80</v>
      </c>
      <c r="O5" s="8"/>
      <c r="P5" s="8"/>
      <c r="Q5" s="8"/>
    </row>
    <row r="6" spans="1:18" x14ac:dyDescent="0.2">
      <c r="B6" s="8"/>
      <c r="F6" s="11"/>
      <c r="G6" s="8"/>
      <c r="H6" s="8"/>
      <c r="I6" s="8"/>
      <c r="K6" s="8"/>
      <c r="O6" s="11"/>
      <c r="P6" s="8"/>
      <c r="Q6" s="8"/>
      <c r="R6" s="8"/>
    </row>
    <row r="7" spans="1:18" x14ac:dyDescent="0.2">
      <c r="A7" s="12"/>
      <c r="B7" s="238" t="s">
        <v>11</v>
      </c>
      <c r="C7" s="239"/>
      <c r="D7" s="239"/>
      <c r="E7" s="240"/>
      <c r="F7" s="244" t="s">
        <v>12</v>
      </c>
      <c r="G7" s="244" t="s">
        <v>13</v>
      </c>
      <c r="H7" s="244" t="s">
        <v>14</v>
      </c>
      <c r="I7" s="246" t="s">
        <v>15</v>
      </c>
      <c r="J7" s="12"/>
      <c r="K7" s="238" t="s">
        <v>11</v>
      </c>
      <c r="L7" s="239"/>
      <c r="M7" s="239"/>
      <c r="N7" s="240"/>
      <c r="O7" s="244" t="s">
        <v>12</v>
      </c>
      <c r="P7" s="244" t="s">
        <v>13</v>
      </c>
      <c r="Q7" s="244" t="s">
        <v>14</v>
      </c>
      <c r="R7" s="246" t="s">
        <v>15</v>
      </c>
    </row>
    <row r="8" spans="1:18" x14ac:dyDescent="0.2">
      <c r="A8" s="13"/>
      <c r="B8" s="241"/>
      <c r="C8" s="242"/>
      <c r="D8" s="242"/>
      <c r="E8" s="243"/>
      <c r="F8" s="245"/>
      <c r="G8" s="245"/>
      <c r="H8" s="245"/>
      <c r="I8" s="247"/>
      <c r="J8" s="13"/>
      <c r="K8" s="241"/>
      <c r="L8" s="242"/>
      <c r="M8" s="242"/>
      <c r="N8" s="243"/>
      <c r="O8" s="245"/>
      <c r="P8" s="245"/>
      <c r="Q8" s="245"/>
      <c r="R8" s="247"/>
    </row>
    <row r="9" spans="1:18" x14ac:dyDescent="0.2">
      <c r="A9" s="13" t="s">
        <v>16</v>
      </c>
      <c r="B9" s="14" t="s">
        <v>17</v>
      </c>
      <c r="C9" s="15"/>
      <c r="D9" s="15"/>
      <c r="E9" s="16"/>
      <c r="F9" s="17"/>
      <c r="G9" s="17"/>
      <c r="H9" s="17"/>
      <c r="I9" s="17"/>
      <c r="J9" s="13" t="s">
        <v>16</v>
      </c>
      <c r="K9" s="14" t="s">
        <v>17</v>
      </c>
      <c r="L9" s="15"/>
      <c r="M9" s="15"/>
      <c r="N9" s="16"/>
      <c r="O9" s="17"/>
      <c r="P9" s="17"/>
      <c r="Q9" s="17"/>
      <c r="R9" s="17"/>
    </row>
    <row r="10" spans="1:18" x14ac:dyDescent="0.2">
      <c r="A10" s="13"/>
      <c r="B10" s="18"/>
      <c r="C10" s="19"/>
      <c r="D10" s="19"/>
      <c r="E10" s="20"/>
      <c r="F10" s="21"/>
      <c r="G10" s="22"/>
      <c r="H10" s="21"/>
      <c r="I10" s="21"/>
      <c r="J10" s="13"/>
      <c r="K10" s="18"/>
      <c r="L10" s="19"/>
      <c r="M10" s="19"/>
      <c r="N10" s="20"/>
      <c r="O10" s="21"/>
      <c r="P10" s="22"/>
      <c r="Q10" s="21"/>
      <c r="R10" s="21"/>
    </row>
    <row r="11" spans="1:18" x14ac:dyDescent="0.2">
      <c r="A11" s="13"/>
      <c r="B11" s="257" t="s">
        <v>18</v>
      </c>
      <c r="C11" s="258"/>
      <c r="D11" s="258"/>
      <c r="E11" s="258"/>
      <c r="F11" s="22">
        <v>1</v>
      </c>
      <c r="G11" s="62">
        <v>1</v>
      </c>
      <c r="H11" s="23">
        <v>69.42</v>
      </c>
      <c r="I11" s="23">
        <f>G11*H11*F11</f>
        <v>69.42</v>
      </c>
      <c r="J11" s="13"/>
      <c r="K11" s="24" t="s">
        <v>18</v>
      </c>
      <c r="L11" s="25"/>
      <c r="M11" s="25"/>
      <c r="N11" s="26"/>
      <c r="O11" s="22">
        <v>1</v>
      </c>
      <c r="P11" s="62">
        <v>1</v>
      </c>
      <c r="Q11" s="23">
        <v>69.42</v>
      </c>
      <c r="R11" s="23">
        <f>P11*Q11*O11</f>
        <v>69.42</v>
      </c>
    </row>
    <row r="12" spans="1:18" x14ac:dyDescent="0.2">
      <c r="A12" s="13"/>
      <c r="B12" s="257" t="s">
        <v>1179</v>
      </c>
      <c r="C12" s="258"/>
      <c r="D12" s="258"/>
      <c r="E12" s="258"/>
      <c r="F12" s="22">
        <v>2</v>
      </c>
      <c r="G12" s="62">
        <v>1</v>
      </c>
      <c r="H12" s="23">
        <v>38.97</v>
      </c>
      <c r="I12" s="23">
        <f>G12*H12*F12</f>
        <v>77.94</v>
      </c>
      <c r="J12" s="13"/>
      <c r="K12" s="24" t="s">
        <v>1179</v>
      </c>
      <c r="L12" s="25"/>
      <c r="M12" s="25"/>
      <c r="N12" s="26"/>
      <c r="O12" s="22">
        <v>2</v>
      </c>
      <c r="P12" s="62">
        <v>1</v>
      </c>
      <c r="Q12" s="23">
        <v>38.97</v>
      </c>
      <c r="R12" s="23">
        <f>P12*Q12*O12</f>
        <v>77.94</v>
      </c>
    </row>
    <row r="13" spans="1:18" x14ac:dyDescent="0.2">
      <c r="A13" s="13"/>
      <c r="B13" s="27"/>
      <c r="C13" s="19"/>
      <c r="D13" s="19"/>
      <c r="E13" s="20"/>
      <c r="F13" s="22"/>
      <c r="G13" s="22"/>
      <c r="H13" s="28"/>
      <c r="I13" s="23"/>
      <c r="J13" s="13"/>
      <c r="K13" s="27"/>
      <c r="L13" s="19"/>
      <c r="M13" s="19"/>
      <c r="N13" s="20"/>
      <c r="O13" s="22"/>
      <c r="P13" s="22"/>
      <c r="Q13" s="28"/>
      <c r="R13" s="23"/>
    </row>
    <row r="14" spans="1:18" ht="15" customHeight="1" x14ac:dyDescent="0.2">
      <c r="A14" s="13"/>
      <c r="B14" s="27"/>
      <c r="C14" s="19"/>
      <c r="D14" s="19"/>
      <c r="E14" s="20"/>
      <c r="F14" s="22"/>
      <c r="G14" s="22"/>
      <c r="H14" s="29"/>
      <c r="I14" s="30"/>
      <c r="J14" s="13"/>
      <c r="K14" s="27"/>
      <c r="L14" s="19"/>
      <c r="M14" s="19"/>
      <c r="N14" s="20"/>
      <c r="O14" s="22"/>
      <c r="P14" s="22"/>
      <c r="Q14" s="29"/>
      <c r="R14" s="30"/>
    </row>
    <row r="15" spans="1:18" x14ac:dyDescent="0.2">
      <c r="A15" s="13"/>
      <c r="B15" s="27"/>
      <c r="C15" s="19"/>
      <c r="D15" s="19"/>
      <c r="E15" s="20"/>
      <c r="F15" s="22"/>
      <c r="G15" s="22"/>
      <c r="H15" s="29"/>
      <c r="I15" s="30"/>
      <c r="J15" s="13"/>
      <c r="K15" s="27"/>
      <c r="L15" s="19"/>
      <c r="M15" s="19"/>
      <c r="N15" s="20"/>
      <c r="O15" s="22"/>
      <c r="P15" s="22"/>
      <c r="Q15" s="29"/>
      <c r="R15" s="30"/>
    </row>
    <row r="16" spans="1:18" x14ac:dyDescent="0.2">
      <c r="A16" s="13"/>
      <c r="B16" s="18"/>
      <c r="C16" s="19"/>
      <c r="D16" s="19"/>
      <c r="E16" s="20"/>
      <c r="F16" s="22"/>
      <c r="G16" s="22"/>
      <c r="H16" s="28"/>
      <c r="I16" s="23"/>
      <c r="J16" s="13"/>
      <c r="K16" s="18"/>
      <c r="L16" s="19"/>
      <c r="M16" s="19"/>
      <c r="N16" s="20"/>
      <c r="O16" s="22"/>
      <c r="P16" s="22"/>
      <c r="Q16" s="28"/>
      <c r="R16" s="23"/>
    </row>
    <row r="17" spans="1:18" x14ac:dyDescent="0.2">
      <c r="A17" s="13"/>
      <c r="B17" s="18"/>
      <c r="C17" s="19"/>
      <c r="D17" s="19"/>
      <c r="E17" s="20"/>
      <c r="F17" s="22"/>
      <c r="G17" s="22"/>
      <c r="H17" s="23"/>
      <c r="I17" s="23"/>
      <c r="J17" s="13"/>
      <c r="K17" s="18"/>
      <c r="L17" s="19"/>
      <c r="M17" s="19"/>
      <c r="N17" s="20"/>
      <c r="O17" s="22"/>
      <c r="P17" s="22"/>
      <c r="Q17" s="23"/>
      <c r="R17" s="23"/>
    </row>
    <row r="18" spans="1:18" x14ac:dyDescent="0.2">
      <c r="A18" s="13"/>
      <c r="B18" s="248" t="s">
        <v>20</v>
      </c>
      <c r="C18" s="249"/>
      <c r="D18" s="249"/>
      <c r="E18" s="250"/>
      <c r="F18" s="31"/>
      <c r="G18" s="31"/>
      <c r="H18" s="32"/>
      <c r="I18" s="32">
        <f>SUM(I11:I17)</f>
        <v>147.36000000000001</v>
      </c>
      <c r="J18" s="13"/>
      <c r="K18" s="248" t="s">
        <v>20</v>
      </c>
      <c r="L18" s="249"/>
      <c r="M18" s="249"/>
      <c r="N18" s="250"/>
      <c r="O18" s="31"/>
      <c r="P18" s="31"/>
      <c r="Q18" s="32"/>
      <c r="R18" s="32">
        <f>SUM(R11:R17)</f>
        <v>147.36000000000001</v>
      </c>
    </row>
    <row r="19" spans="1:18" x14ac:dyDescent="0.2">
      <c r="A19" s="12"/>
      <c r="B19" s="251" t="s">
        <v>21</v>
      </c>
      <c r="C19" s="252"/>
      <c r="D19" s="252"/>
      <c r="E19" s="253"/>
      <c r="F19" s="244" t="s">
        <v>22</v>
      </c>
      <c r="G19" s="244" t="s">
        <v>13</v>
      </c>
      <c r="H19" s="244" t="s">
        <v>14</v>
      </c>
      <c r="I19" s="246" t="s">
        <v>15</v>
      </c>
      <c r="J19" s="12"/>
      <c r="K19" s="251" t="s">
        <v>21</v>
      </c>
      <c r="L19" s="252"/>
      <c r="M19" s="252"/>
      <c r="N19" s="253"/>
      <c r="O19" s="244" t="s">
        <v>22</v>
      </c>
      <c r="P19" s="244" t="s">
        <v>13</v>
      </c>
      <c r="Q19" s="244" t="s">
        <v>14</v>
      </c>
      <c r="R19" s="246" t="s">
        <v>15</v>
      </c>
    </row>
    <row r="20" spans="1:18" x14ac:dyDescent="0.2">
      <c r="A20" s="13"/>
      <c r="B20" s="254"/>
      <c r="C20" s="255"/>
      <c r="D20" s="255"/>
      <c r="E20" s="256"/>
      <c r="F20" s="245"/>
      <c r="G20" s="245"/>
      <c r="H20" s="245"/>
      <c r="I20" s="247"/>
      <c r="J20" s="13"/>
      <c r="K20" s="254"/>
      <c r="L20" s="255"/>
      <c r="M20" s="255"/>
      <c r="N20" s="256"/>
      <c r="O20" s="245"/>
      <c r="P20" s="245"/>
      <c r="Q20" s="245"/>
      <c r="R20" s="247"/>
    </row>
    <row r="21" spans="1:18" x14ac:dyDescent="0.2">
      <c r="A21" s="13" t="s">
        <v>23</v>
      </c>
      <c r="B21" s="33" t="s">
        <v>24</v>
      </c>
      <c r="C21" s="15"/>
      <c r="D21" s="15"/>
      <c r="E21" s="16"/>
      <c r="F21" s="34"/>
      <c r="G21" s="34"/>
      <c r="H21" s="35"/>
      <c r="I21" s="35"/>
      <c r="J21" s="13" t="s">
        <v>23</v>
      </c>
      <c r="K21" s="33" t="s">
        <v>24</v>
      </c>
      <c r="L21" s="15"/>
      <c r="M21" s="15"/>
      <c r="N21" s="16"/>
      <c r="O21" s="34"/>
      <c r="P21" s="34"/>
      <c r="Q21" s="35"/>
      <c r="R21" s="35"/>
    </row>
    <row r="22" spans="1:18" x14ac:dyDescent="0.2">
      <c r="A22" s="13"/>
      <c r="B22" s="18"/>
      <c r="C22" s="19"/>
      <c r="D22" s="19"/>
      <c r="E22" s="20"/>
      <c r="F22" s="22"/>
      <c r="G22" s="22"/>
      <c r="H22" s="23"/>
      <c r="I22" s="23"/>
      <c r="J22" s="13"/>
      <c r="K22" s="18"/>
      <c r="L22" s="19"/>
      <c r="M22" s="19"/>
      <c r="N22" s="20"/>
      <c r="O22" s="22"/>
      <c r="P22" s="22"/>
      <c r="Q22" s="23"/>
      <c r="R22" s="23"/>
    </row>
    <row r="23" spans="1:18" x14ac:dyDescent="0.2">
      <c r="A23" s="13"/>
      <c r="B23" s="18" t="s">
        <v>1130</v>
      </c>
      <c r="C23" s="19"/>
      <c r="D23" s="19"/>
      <c r="E23" s="20"/>
      <c r="F23" s="22">
        <v>2</v>
      </c>
      <c r="G23" s="23">
        <v>1</v>
      </c>
      <c r="H23" s="37">
        <v>1420</v>
      </c>
      <c r="I23" s="37">
        <f>G23*H23*F23</f>
        <v>2840</v>
      </c>
      <c r="J23" s="13"/>
      <c r="K23" s="18" t="s">
        <v>1155</v>
      </c>
      <c r="L23" s="19"/>
      <c r="M23" s="19"/>
      <c r="N23" s="20"/>
      <c r="O23" s="22">
        <v>1</v>
      </c>
      <c r="P23" s="23">
        <v>1</v>
      </c>
      <c r="Q23" s="37">
        <v>3379</v>
      </c>
      <c r="R23" s="37">
        <f>P23*Q23*O23</f>
        <v>3379</v>
      </c>
    </row>
    <row r="24" spans="1:18" x14ac:dyDescent="0.2">
      <c r="A24" s="13"/>
      <c r="B24" s="18" t="s">
        <v>25</v>
      </c>
      <c r="C24" s="19"/>
      <c r="D24" s="19"/>
      <c r="E24" s="20"/>
      <c r="F24" s="22">
        <v>1</v>
      </c>
      <c r="G24" s="23">
        <v>1</v>
      </c>
      <c r="H24" s="37">
        <v>1733</v>
      </c>
      <c r="I24" s="37">
        <f>G24*H24*F24</f>
        <v>1733</v>
      </c>
      <c r="J24" s="13"/>
      <c r="K24" s="18" t="s">
        <v>221</v>
      </c>
      <c r="L24" s="19"/>
      <c r="M24" s="19"/>
      <c r="N24" s="20"/>
      <c r="O24" s="22">
        <v>1</v>
      </c>
      <c r="P24" s="23">
        <v>1</v>
      </c>
      <c r="Q24" s="37">
        <v>1733</v>
      </c>
      <c r="R24" s="37">
        <f>P24*Q24*O24</f>
        <v>1733</v>
      </c>
    </row>
    <row r="25" spans="1:18" x14ac:dyDescent="0.2">
      <c r="A25" s="13"/>
      <c r="B25" s="18" t="s">
        <v>1131</v>
      </c>
      <c r="C25" s="19"/>
      <c r="D25" s="19"/>
      <c r="E25" s="20"/>
      <c r="F25" s="22">
        <v>1</v>
      </c>
      <c r="G25" s="23">
        <v>1</v>
      </c>
      <c r="H25" s="37">
        <v>3379</v>
      </c>
      <c r="I25" s="37">
        <f>G25*H25*F25</f>
        <v>3379</v>
      </c>
      <c r="J25" s="13"/>
      <c r="K25" s="18" t="s">
        <v>26</v>
      </c>
      <c r="L25" s="19"/>
      <c r="M25" s="19"/>
      <c r="N25" s="20"/>
      <c r="O25" s="22">
        <v>1</v>
      </c>
      <c r="P25" s="23">
        <v>0.3</v>
      </c>
      <c r="Q25" s="37">
        <v>1733</v>
      </c>
      <c r="R25" s="37">
        <f>P25*Q25*O25</f>
        <v>519.9</v>
      </c>
    </row>
    <row r="26" spans="1:18" x14ac:dyDescent="0.2">
      <c r="A26" s="13"/>
      <c r="F26" s="21"/>
      <c r="G26" s="21"/>
      <c r="H26" s="21"/>
      <c r="I26" s="37"/>
      <c r="J26" s="13"/>
      <c r="K26" s="18" t="s">
        <v>1140</v>
      </c>
      <c r="L26" s="19"/>
      <c r="M26" s="19"/>
      <c r="N26" s="20"/>
      <c r="O26" s="22">
        <v>3</v>
      </c>
      <c r="P26" s="23">
        <v>1</v>
      </c>
      <c r="Q26" s="37">
        <v>1420</v>
      </c>
      <c r="R26" s="37">
        <f>P26*Q26*O26</f>
        <v>4260</v>
      </c>
    </row>
    <row r="27" spans="1:18" x14ac:dyDescent="0.2">
      <c r="A27" s="13"/>
      <c r="B27" s="18" t="s">
        <v>27</v>
      </c>
      <c r="C27" s="19"/>
      <c r="D27" s="19"/>
      <c r="E27" s="20"/>
      <c r="F27" s="22"/>
      <c r="G27" s="36"/>
      <c r="H27" s="37"/>
      <c r="I27" s="37"/>
      <c r="J27" s="13"/>
      <c r="K27" s="18" t="s">
        <v>28</v>
      </c>
      <c r="O27" s="22">
        <v>1</v>
      </c>
      <c r="P27" s="23">
        <v>1</v>
      </c>
      <c r="Q27" s="37">
        <v>1537</v>
      </c>
      <c r="R27" s="37">
        <f>P27*Q27*O27</f>
        <v>1537</v>
      </c>
    </row>
    <row r="28" spans="1:18" x14ac:dyDescent="0.2">
      <c r="A28" s="13"/>
      <c r="B28" s="18"/>
      <c r="C28" s="19"/>
      <c r="D28" s="19"/>
      <c r="E28" s="20"/>
      <c r="F28" s="22"/>
      <c r="G28" s="36"/>
      <c r="H28" s="38"/>
      <c r="I28" s="38"/>
      <c r="J28" s="13"/>
      <c r="K28" s="18"/>
      <c r="L28" s="19"/>
      <c r="M28" s="19"/>
      <c r="N28" s="20"/>
      <c r="O28" s="22"/>
      <c r="P28" s="36"/>
      <c r="Q28" s="38"/>
      <c r="R28" s="38"/>
    </row>
    <row r="29" spans="1:18" x14ac:dyDescent="0.2">
      <c r="A29" s="13"/>
      <c r="B29" s="18" t="s">
        <v>29</v>
      </c>
      <c r="C29" s="19"/>
      <c r="D29" s="19"/>
      <c r="E29" s="20"/>
      <c r="F29" s="22"/>
      <c r="G29" s="36"/>
      <c r="H29" s="38"/>
      <c r="I29" s="38"/>
      <c r="J29" s="13"/>
      <c r="K29" s="18" t="s">
        <v>27</v>
      </c>
      <c r="L29" s="19"/>
      <c r="M29" s="19"/>
      <c r="N29" s="20"/>
      <c r="O29" s="22"/>
      <c r="P29" s="36"/>
      <c r="Q29" s="38"/>
      <c r="R29" s="38"/>
    </row>
    <row r="30" spans="1:18" x14ac:dyDescent="0.2">
      <c r="A30" s="13"/>
      <c r="B30" s="18"/>
      <c r="C30" s="19"/>
      <c r="D30" s="19"/>
      <c r="E30" s="20"/>
      <c r="F30" s="22"/>
      <c r="G30" s="36"/>
      <c r="H30" s="38"/>
      <c r="I30" s="38"/>
      <c r="J30" s="13"/>
      <c r="K30" s="18"/>
      <c r="L30" s="19"/>
      <c r="M30" s="19"/>
      <c r="N30" s="20"/>
      <c r="O30" s="22"/>
      <c r="P30" s="36"/>
      <c r="Q30" s="38"/>
      <c r="R30" s="38"/>
    </row>
    <row r="31" spans="1:18" x14ac:dyDescent="0.2">
      <c r="A31" s="13"/>
      <c r="B31" s="18"/>
      <c r="C31" s="19"/>
      <c r="D31" s="19"/>
      <c r="E31" s="20"/>
      <c r="F31" s="22"/>
      <c r="G31" s="36"/>
      <c r="H31" s="38"/>
      <c r="I31" s="38"/>
      <c r="J31" s="13"/>
      <c r="K31" s="18"/>
      <c r="L31" s="19"/>
      <c r="M31" s="19"/>
      <c r="N31" s="20"/>
      <c r="O31" s="22"/>
      <c r="P31" s="36"/>
      <c r="Q31" s="38"/>
      <c r="R31" s="38"/>
    </row>
    <row r="32" spans="1:18" x14ac:dyDescent="0.2">
      <c r="A32" s="13"/>
      <c r="B32" s="18"/>
      <c r="C32" s="19"/>
      <c r="D32" s="19"/>
      <c r="E32" s="20"/>
      <c r="F32" s="22"/>
      <c r="G32" s="36"/>
      <c r="H32" s="37"/>
      <c r="I32" s="37"/>
      <c r="J32" s="13"/>
      <c r="K32" s="18"/>
      <c r="L32" s="19"/>
      <c r="M32" s="19"/>
      <c r="N32" s="20"/>
      <c r="O32" s="22"/>
      <c r="P32" s="36"/>
      <c r="Q32" s="37"/>
      <c r="R32" s="37"/>
    </row>
    <row r="33" spans="1:18" x14ac:dyDescent="0.2">
      <c r="A33" s="13"/>
      <c r="B33" s="18"/>
      <c r="C33" s="19"/>
      <c r="D33" s="19"/>
      <c r="E33" s="20"/>
      <c r="F33" s="22"/>
      <c r="G33" s="36"/>
      <c r="H33" s="37"/>
      <c r="I33" s="37"/>
      <c r="J33" s="13"/>
      <c r="K33" s="18"/>
      <c r="L33" s="19"/>
      <c r="M33" s="19"/>
      <c r="N33" s="20"/>
      <c r="O33" s="22"/>
      <c r="P33" s="36"/>
      <c r="Q33" s="37"/>
      <c r="R33" s="37"/>
    </row>
    <row r="34" spans="1:18" ht="15" customHeight="1" x14ac:dyDescent="0.2">
      <c r="A34" s="13"/>
      <c r="B34" s="18"/>
      <c r="C34" s="19"/>
      <c r="D34" s="19"/>
      <c r="E34" s="20"/>
      <c r="F34" s="22"/>
      <c r="G34" s="36"/>
      <c r="H34" s="37"/>
      <c r="I34" s="37"/>
      <c r="J34" s="13"/>
      <c r="K34" s="18"/>
      <c r="L34" s="19"/>
      <c r="M34" s="19"/>
      <c r="N34" s="20"/>
      <c r="O34" s="22"/>
      <c r="P34" s="36"/>
      <c r="Q34" s="37"/>
      <c r="R34" s="37"/>
    </row>
    <row r="35" spans="1:18" x14ac:dyDescent="0.2">
      <c r="A35" s="13"/>
      <c r="B35" s="18"/>
      <c r="C35" s="19"/>
      <c r="D35" s="19"/>
      <c r="E35" s="20"/>
      <c r="F35" s="22"/>
      <c r="G35" s="22"/>
      <c r="H35" s="23"/>
      <c r="I35" s="23"/>
      <c r="J35" s="13"/>
      <c r="K35" s="18"/>
      <c r="L35" s="19"/>
      <c r="M35" s="19"/>
      <c r="N35" s="20"/>
      <c r="O35" s="22"/>
      <c r="P35" s="22"/>
      <c r="Q35" s="23"/>
      <c r="R35" s="23"/>
    </row>
    <row r="36" spans="1:18" x14ac:dyDescent="0.2">
      <c r="A36" s="13"/>
      <c r="B36" s="248" t="s">
        <v>30</v>
      </c>
      <c r="C36" s="249"/>
      <c r="D36" s="249"/>
      <c r="E36" s="250"/>
      <c r="F36" s="22"/>
      <c r="G36" s="22"/>
      <c r="H36" s="23"/>
      <c r="I36" s="23">
        <f>SUM(I23:I35)</f>
        <v>7952</v>
      </c>
      <c r="J36" s="13"/>
      <c r="K36" s="248" t="s">
        <v>30</v>
      </c>
      <c r="L36" s="249"/>
      <c r="M36" s="249"/>
      <c r="N36" s="250"/>
      <c r="O36" s="22"/>
      <c r="P36" s="22"/>
      <c r="Q36" s="23"/>
      <c r="R36" s="23">
        <f>SUM(R23:R35)</f>
        <v>11428.9</v>
      </c>
    </row>
    <row r="37" spans="1:18" x14ac:dyDescent="0.2">
      <c r="A37" s="12" t="s">
        <v>31</v>
      </c>
      <c r="B37" s="260" t="s">
        <v>32</v>
      </c>
      <c r="C37" s="261"/>
      <c r="D37" s="261"/>
      <c r="E37" s="261"/>
      <c r="F37" s="39"/>
      <c r="G37" s="39"/>
      <c r="H37" s="40"/>
      <c r="I37" s="41">
        <f>SUM(I36+I18)</f>
        <v>8099.36</v>
      </c>
      <c r="J37" s="12" t="s">
        <v>31</v>
      </c>
      <c r="K37" s="260" t="s">
        <v>32</v>
      </c>
      <c r="L37" s="261"/>
      <c r="M37" s="261"/>
      <c r="N37" s="261"/>
      <c r="O37" s="39"/>
      <c r="P37" s="39"/>
      <c r="Q37" s="40"/>
      <c r="R37" s="41">
        <f>SUM(R36+R18)</f>
        <v>11576.26</v>
      </c>
    </row>
    <row r="38" spans="1:18" x14ac:dyDescent="0.2">
      <c r="A38" s="13" t="s">
        <v>33</v>
      </c>
      <c r="B38" s="262">
        <f>E5</f>
        <v>0.05</v>
      </c>
      <c r="C38" s="263"/>
      <c r="D38" s="263"/>
      <c r="E38" s="263"/>
      <c r="F38" s="263"/>
      <c r="G38" s="263"/>
      <c r="H38" s="40"/>
      <c r="I38" s="41"/>
      <c r="J38" s="13" t="s">
        <v>33</v>
      </c>
      <c r="K38" s="264">
        <f>N5</f>
        <v>80</v>
      </c>
      <c r="L38" s="265"/>
      <c r="M38" s="265"/>
      <c r="N38" s="265"/>
      <c r="O38" s="265"/>
      <c r="P38" s="265"/>
      <c r="Q38" s="40"/>
      <c r="R38" s="41"/>
    </row>
    <row r="39" spans="1:18" x14ac:dyDescent="0.2">
      <c r="A39" s="13" t="s">
        <v>34</v>
      </c>
      <c r="B39" s="42" t="s">
        <v>35</v>
      </c>
      <c r="C39" s="43"/>
      <c r="D39" s="43"/>
      <c r="E39" s="39"/>
      <c r="F39" s="44"/>
      <c r="G39" s="44"/>
      <c r="H39" s="40"/>
      <c r="I39" s="41">
        <f>I37/E5</f>
        <v>161987.19999999998</v>
      </c>
      <c r="J39" s="13" t="s">
        <v>34</v>
      </c>
      <c r="K39" s="42" t="s">
        <v>35</v>
      </c>
      <c r="L39" s="43"/>
      <c r="M39" s="43"/>
      <c r="N39" s="39"/>
      <c r="O39" s="44"/>
      <c r="P39" s="44"/>
      <c r="Q39" s="40"/>
      <c r="R39" s="41">
        <f>R37/N5</f>
        <v>144.70325</v>
      </c>
    </row>
    <row r="40" spans="1:18" x14ac:dyDescent="0.2">
      <c r="A40" s="12"/>
      <c r="B40" s="251" t="s">
        <v>36</v>
      </c>
      <c r="C40" s="252"/>
      <c r="D40" s="252"/>
      <c r="E40" s="253"/>
      <c r="F40" s="244" t="s">
        <v>37</v>
      </c>
      <c r="G40" s="244" t="s">
        <v>38</v>
      </c>
      <c r="H40" s="244" t="s">
        <v>39</v>
      </c>
      <c r="I40" s="246" t="s">
        <v>15</v>
      </c>
      <c r="J40" s="12"/>
      <c r="K40" s="251" t="s">
        <v>36</v>
      </c>
      <c r="L40" s="252"/>
      <c r="M40" s="252"/>
      <c r="N40" s="253"/>
      <c r="O40" s="244" t="s">
        <v>37</v>
      </c>
      <c r="P40" s="244" t="s">
        <v>38</v>
      </c>
      <c r="Q40" s="244" t="s">
        <v>39</v>
      </c>
      <c r="R40" s="246" t="s">
        <v>15</v>
      </c>
    </row>
    <row r="41" spans="1:18" x14ac:dyDescent="0.2">
      <c r="A41" s="13"/>
      <c r="B41" s="254"/>
      <c r="C41" s="255"/>
      <c r="D41" s="255"/>
      <c r="E41" s="256"/>
      <c r="F41" s="245"/>
      <c r="G41" s="245"/>
      <c r="H41" s="245"/>
      <c r="I41" s="247"/>
      <c r="J41" s="13"/>
      <c r="K41" s="254"/>
      <c r="L41" s="255"/>
      <c r="M41" s="255"/>
      <c r="N41" s="256"/>
      <c r="O41" s="245"/>
      <c r="P41" s="245"/>
      <c r="Q41" s="245"/>
      <c r="R41" s="247"/>
    </row>
    <row r="42" spans="1:18" x14ac:dyDescent="0.2">
      <c r="A42" s="13" t="s">
        <v>40</v>
      </c>
      <c r="B42" s="18" t="s">
        <v>41</v>
      </c>
      <c r="C42" s="19"/>
      <c r="D42" s="19"/>
      <c r="E42" s="20"/>
      <c r="F42" s="22"/>
      <c r="G42" s="22"/>
      <c r="H42" s="23"/>
      <c r="I42" s="23"/>
      <c r="J42" s="13" t="s">
        <v>40</v>
      </c>
      <c r="K42" s="18" t="s">
        <v>41</v>
      </c>
      <c r="L42" s="19"/>
      <c r="M42" s="19"/>
      <c r="N42" s="20"/>
      <c r="O42" s="22"/>
      <c r="P42" s="22"/>
      <c r="Q42" s="23"/>
      <c r="R42" s="23"/>
    </row>
    <row r="43" spans="1:18" x14ac:dyDescent="0.2">
      <c r="A43" s="13"/>
      <c r="B43" s="18"/>
      <c r="C43" s="19"/>
      <c r="D43" s="19"/>
      <c r="E43" s="20"/>
      <c r="F43" s="22"/>
      <c r="G43" s="22"/>
      <c r="H43" s="23"/>
      <c r="I43" s="23"/>
      <c r="J43" s="13"/>
      <c r="K43" s="18"/>
      <c r="L43" s="19"/>
      <c r="M43" s="19"/>
      <c r="N43" s="20"/>
      <c r="O43" s="22"/>
      <c r="P43" s="22"/>
      <c r="Q43" s="23"/>
      <c r="R43" s="23"/>
    </row>
    <row r="44" spans="1:18" x14ac:dyDescent="0.2">
      <c r="A44" s="13"/>
      <c r="B44" s="18"/>
      <c r="C44" s="19"/>
      <c r="D44" s="19"/>
      <c r="E44" s="20"/>
      <c r="F44" s="22"/>
      <c r="G44" s="22"/>
      <c r="H44" s="23"/>
      <c r="I44" s="23"/>
      <c r="J44" s="13"/>
      <c r="K44" s="18"/>
      <c r="L44" s="19"/>
      <c r="M44" s="19"/>
      <c r="N44" s="20"/>
      <c r="O44" s="22"/>
      <c r="P44" s="22"/>
      <c r="Q44" s="23"/>
      <c r="R44" s="23"/>
    </row>
    <row r="45" spans="1:18" x14ac:dyDescent="0.2">
      <c r="A45" s="13"/>
      <c r="B45" s="18"/>
      <c r="C45" s="19"/>
      <c r="D45" s="19"/>
      <c r="E45" s="20"/>
      <c r="F45" s="22"/>
      <c r="G45" s="22"/>
      <c r="H45" s="23"/>
      <c r="I45" s="23"/>
      <c r="J45" s="13"/>
      <c r="K45" s="18"/>
      <c r="L45" s="19"/>
      <c r="M45" s="19"/>
      <c r="N45" s="20"/>
      <c r="O45" s="22"/>
      <c r="P45" s="22"/>
      <c r="Q45" s="23"/>
      <c r="R45" s="23"/>
    </row>
    <row r="46" spans="1:18" x14ac:dyDescent="0.2">
      <c r="A46" s="13"/>
      <c r="B46" s="18"/>
      <c r="C46" s="19"/>
      <c r="D46" s="19"/>
      <c r="E46" s="20"/>
      <c r="F46" s="22"/>
      <c r="G46" s="22"/>
      <c r="H46" s="38"/>
      <c r="I46" s="38"/>
      <c r="J46" s="13"/>
      <c r="K46" s="18"/>
      <c r="L46" s="19"/>
      <c r="M46" s="19"/>
      <c r="N46" s="20"/>
      <c r="O46" s="22"/>
      <c r="P46" s="22"/>
      <c r="Q46" s="38"/>
      <c r="R46" s="38"/>
    </row>
    <row r="47" spans="1:18" x14ac:dyDescent="0.2">
      <c r="A47" s="13"/>
      <c r="B47" s="18"/>
      <c r="C47" s="19"/>
      <c r="D47" s="19"/>
      <c r="E47" s="20"/>
      <c r="F47" s="22"/>
      <c r="G47" s="22"/>
      <c r="H47" s="38"/>
      <c r="I47" s="38"/>
      <c r="J47" s="13"/>
      <c r="K47" s="18"/>
      <c r="L47" s="19"/>
      <c r="M47" s="19"/>
      <c r="N47" s="20"/>
      <c r="O47" s="22"/>
      <c r="P47" s="22"/>
      <c r="Q47" s="38"/>
      <c r="R47" s="38"/>
    </row>
    <row r="48" spans="1:18" x14ac:dyDescent="0.2">
      <c r="A48" s="13"/>
      <c r="B48" s="18"/>
      <c r="C48" s="19"/>
      <c r="D48" s="19"/>
      <c r="E48" s="20"/>
      <c r="F48" s="22"/>
      <c r="G48" s="22"/>
      <c r="H48" s="45"/>
      <c r="I48" s="45"/>
      <c r="J48" s="13"/>
      <c r="K48" s="18"/>
      <c r="L48" s="19"/>
      <c r="M48" s="19"/>
      <c r="N48" s="20"/>
      <c r="O48" s="22"/>
      <c r="P48" s="22"/>
      <c r="Q48" s="45"/>
      <c r="R48" s="45"/>
    </row>
    <row r="49" spans="1:18" x14ac:dyDescent="0.2">
      <c r="A49" s="13"/>
      <c r="B49" s="18"/>
      <c r="C49" s="19"/>
      <c r="D49" s="19"/>
      <c r="E49" s="20"/>
      <c r="F49" s="22"/>
      <c r="G49" s="22"/>
      <c r="H49" s="45"/>
      <c r="I49" s="45"/>
      <c r="J49" s="13"/>
      <c r="K49" s="18"/>
      <c r="L49" s="19"/>
      <c r="M49" s="19"/>
      <c r="N49" s="20"/>
      <c r="O49" s="22"/>
      <c r="P49" s="22"/>
      <c r="Q49" s="45"/>
      <c r="R49" s="45"/>
    </row>
    <row r="50" spans="1:18" ht="15" customHeight="1" x14ac:dyDescent="0.2">
      <c r="A50" s="13"/>
      <c r="B50" s="18"/>
      <c r="C50" s="19"/>
      <c r="D50" s="19"/>
      <c r="E50" s="20"/>
      <c r="F50" s="22"/>
      <c r="G50" s="22"/>
      <c r="H50" s="23"/>
      <c r="I50" s="23"/>
      <c r="J50" s="13"/>
      <c r="K50" s="18"/>
      <c r="L50" s="19"/>
      <c r="M50" s="19"/>
      <c r="N50" s="20"/>
      <c r="O50" s="22"/>
      <c r="P50" s="22"/>
      <c r="Q50" s="23"/>
      <c r="R50" s="23"/>
    </row>
    <row r="51" spans="1:18" x14ac:dyDescent="0.2">
      <c r="A51" s="13"/>
      <c r="B51" s="18"/>
      <c r="C51" s="19"/>
      <c r="D51" s="19"/>
      <c r="E51" s="20"/>
      <c r="F51" s="22"/>
      <c r="G51" s="22"/>
      <c r="H51" s="23"/>
      <c r="I51" s="23"/>
      <c r="J51" s="13"/>
      <c r="K51" s="18"/>
      <c r="L51" s="19"/>
      <c r="M51" s="19"/>
      <c r="N51" s="20"/>
      <c r="O51" s="22"/>
      <c r="P51" s="22"/>
      <c r="Q51" s="23"/>
      <c r="R51" s="23"/>
    </row>
    <row r="52" spans="1:18" x14ac:dyDescent="0.2">
      <c r="A52" s="13"/>
      <c r="B52" s="18"/>
      <c r="C52" s="19"/>
      <c r="D52" s="19"/>
      <c r="E52" s="20"/>
      <c r="F52" s="22"/>
      <c r="G52" s="22"/>
      <c r="H52" s="23"/>
      <c r="I52" s="23"/>
      <c r="J52" s="13"/>
      <c r="K52" s="18"/>
      <c r="L52" s="19"/>
      <c r="M52" s="19"/>
      <c r="N52" s="20"/>
      <c r="O52" s="22"/>
      <c r="P52" s="22"/>
      <c r="Q52" s="23"/>
      <c r="R52" s="23"/>
    </row>
    <row r="53" spans="1:18" x14ac:dyDescent="0.2">
      <c r="A53" s="13"/>
      <c r="B53" s="18"/>
      <c r="C53" s="19"/>
      <c r="D53" s="19"/>
      <c r="E53" s="20"/>
      <c r="F53" s="22"/>
      <c r="G53" s="22"/>
      <c r="H53" s="23"/>
      <c r="I53" s="23"/>
      <c r="J53" s="13"/>
      <c r="K53" s="18"/>
      <c r="L53" s="19"/>
      <c r="M53" s="19"/>
      <c r="N53" s="20"/>
      <c r="O53" s="22"/>
      <c r="P53" s="22"/>
      <c r="Q53" s="23"/>
      <c r="R53" s="23"/>
    </row>
    <row r="54" spans="1:18" x14ac:dyDescent="0.2">
      <c r="A54" s="13"/>
      <c r="B54" s="18"/>
      <c r="C54" s="19"/>
      <c r="D54" s="19"/>
      <c r="E54" s="20"/>
      <c r="F54" s="22"/>
      <c r="G54" s="22"/>
      <c r="H54" s="23"/>
      <c r="I54" s="23"/>
      <c r="J54" s="13"/>
      <c r="K54" s="18"/>
      <c r="L54" s="19"/>
      <c r="M54" s="19"/>
      <c r="N54" s="20"/>
      <c r="O54" s="22"/>
      <c r="P54" s="22"/>
      <c r="Q54" s="23"/>
      <c r="R54" s="23"/>
    </row>
    <row r="55" spans="1:18" x14ac:dyDescent="0.2">
      <c r="A55" s="13"/>
      <c r="B55" s="18"/>
      <c r="C55" s="19"/>
      <c r="D55" s="19"/>
      <c r="E55" s="20"/>
      <c r="F55" s="22"/>
      <c r="G55" s="22"/>
      <c r="H55" s="23"/>
      <c r="I55" s="23"/>
      <c r="J55" s="13"/>
      <c r="K55" s="18"/>
      <c r="L55" s="19"/>
      <c r="M55" s="19"/>
      <c r="N55" s="20"/>
      <c r="O55" s="22"/>
      <c r="P55" s="22"/>
      <c r="Q55" s="23"/>
      <c r="R55" s="23"/>
    </row>
    <row r="56" spans="1:18" x14ac:dyDescent="0.2">
      <c r="A56" s="13"/>
      <c r="B56" s="18"/>
      <c r="C56" s="19"/>
      <c r="D56" s="19"/>
      <c r="E56" s="20"/>
      <c r="F56" s="22"/>
      <c r="G56" s="36"/>
      <c r="H56" s="37"/>
      <c r="I56" s="37"/>
      <c r="J56" s="13"/>
      <c r="K56" s="18"/>
      <c r="L56" s="19"/>
      <c r="M56" s="19"/>
      <c r="N56" s="20"/>
      <c r="O56" s="22"/>
      <c r="P56" s="36"/>
      <c r="Q56" s="37"/>
      <c r="R56" s="37"/>
    </row>
    <row r="57" spans="1:18" x14ac:dyDescent="0.2">
      <c r="A57" s="13"/>
      <c r="B57" s="248" t="s">
        <v>42</v>
      </c>
      <c r="C57" s="249"/>
      <c r="D57" s="249"/>
      <c r="E57" s="250"/>
      <c r="F57" s="46"/>
      <c r="G57" s="46"/>
      <c r="H57" s="47"/>
      <c r="I57" s="47">
        <f>SUM(I44:I56)</f>
        <v>0</v>
      </c>
      <c r="J57" s="13"/>
      <c r="K57" s="248" t="s">
        <v>42</v>
      </c>
      <c r="L57" s="249"/>
      <c r="M57" s="249"/>
      <c r="N57" s="250"/>
      <c r="O57" s="46"/>
      <c r="P57" s="46"/>
      <c r="Q57" s="47"/>
      <c r="R57" s="47">
        <f>SUM(R44:R56)</f>
        <v>0</v>
      </c>
    </row>
    <row r="58" spans="1:18" x14ac:dyDescent="0.2">
      <c r="A58" s="12" t="s">
        <v>43</v>
      </c>
      <c r="B58" s="48" t="s">
        <v>44</v>
      </c>
      <c r="C58" s="43"/>
      <c r="D58" s="43"/>
      <c r="E58" s="39"/>
      <c r="F58" s="49"/>
      <c r="G58" s="49"/>
      <c r="H58" s="50"/>
      <c r="I58" s="51">
        <f>SUM(I39+I57)</f>
        <v>161987.19999999998</v>
      </c>
      <c r="J58" s="12" t="s">
        <v>43</v>
      </c>
      <c r="K58" s="48" t="s">
        <v>44</v>
      </c>
      <c r="L58" s="43"/>
      <c r="M58" s="43"/>
      <c r="N58" s="39"/>
      <c r="O58" s="49"/>
      <c r="P58" s="49"/>
      <c r="Q58" s="50"/>
      <c r="R58" s="51">
        <f>SUM(R39+R57)</f>
        <v>144.70325</v>
      </c>
    </row>
    <row r="59" spans="1:18" x14ac:dyDescent="0.2">
      <c r="A59" s="13" t="s">
        <v>45</v>
      </c>
      <c r="B59" s="48" t="s">
        <v>46</v>
      </c>
      <c r="C59" s="43"/>
      <c r="D59" s="43"/>
      <c r="E59" s="39"/>
      <c r="F59" s="49"/>
      <c r="G59" s="52">
        <v>0.09</v>
      </c>
      <c r="H59" s="53" t="s">
        <v>47</v>
      </c>
      <c r="I59" s="51">
        <f>G59*I58</f>
        <v>14578.847999999998</v>
      </c>
      <c r="J59" s="13" t="s">
        <v>45</v>
      </c>
      <c r="K59" s="48" t="s">
        <v>46</v>
      </c>
      <c r="L59" s="43"/>
      <c r="M59" s="43"/>
      <c r="N59" s="39"/>
      <c r="O59" s="49"/>
      <c r="P59" s="52">
        <v>0.09</v>
      </c>
      <c r="Q59" s="53" t="s">
        <v>47</v>
      </c>
      <c r="R59" s="51">
        <f>P59*R58</f>
        <v>13.023292499999998</v>
      </c>
    </row>
    <row r="60" spans="1:18" x14ac:dyDescent="0.2">
      <c r="A60" s="13" t="s">
        <v>48</v>
      </c>
      <c r="B60" s="48" t="s">
        <v>49</v>
      </c>
      <c r="C60" s="43"/>
      <c r="D60" s="43"/>
      <c r="E60" s="39"/>
      <c r="F60" s="49"/>
      <c r="G60" s="52">
        <v>0.08</v>
      </c>
      <c r="H60" s="53" t="s">
        <v>47</v>
      </c>
      <c r="I60" s="51">
        <f>G60*I58</f>
        <v>12958.975999999999</v>
      </c>
      <c r="J60" s="13" t="s">
        <v>48</v>
      </c>
      <c r="K60" s="48" t="s">
        <v>49</v>
      </c>
      <c r="L60" s="43"/>
      <c r="M60" s="43"/>
      <c r="N60" s="39"/>
      <c r="O60" s="49"/>
      <c r="P60" s="52">
        <v>0.08</v>
      </c>
      <c r="Q60" s="53" t="s">
        <v>47</v>
      </c>
      <c r="R60" s="51">
        <f>P60*R58</f>
        <v>11.57626</v>
      </c>
    </row>
    <row r="61" spans="1:18" x14ac:dyDescent="0.2">
      <c r="A61" s="13" t="s">
        <v>50</v>
      </c>
      <c r="B61" s="48" t="s">
        <v>51</v>
      </c>
      <c r="C61" s="43"/>
      <c r="D61" s="43"/>
      <c r="E61" s="39"/>
      <c r="F61" s="49"/>
      <c r="G61" s="52">
        <f>5/100</f>
        <v>0.05</v>
      </c>
      <c r="H61" s="53" t="s">
        <v>52</v>
      </c>
      <c r="I61" s="51">
        <f>G61*(I58+I59+I60)</f>
        <v>9476.2511999999988</v>
      </c>
      <c r="J61" s="13" t="s">
        <v>50</v>
      </c>
      <c r="K61" s="48" t="s">
        <v>51</v>
      </c>
      <c r="L61" s="43"/>
      <c r="M61" s="43"/>
      <c r="N61" s="39"/>
      <c r="O61" s="49"/>
      <c r="P61" s="52">
        <f>5/100</f>
        <v>0.05</v>
      </c>
      <c r="Q61" s="53" t="s">
        <v>52</v>
      </c>
      <c r="R61" s="51">
        <f>P61*(R58+R59+R60)</f>
        <v>8.4651401249999996</v>
      </c>
    </row>
    <row r="62" spans="1:18" x14ac:dyDescent="0.2">
      <c r="A62" s="54" t="s">
        <v>53</v>
      </c>
      <c r="B62" s="48" t="s">
        <v>54</v>
      </c>
      <c r="C62" s="43"/>
      <c r="D62" s="43"/>
      <c r="E62" s="39"/>
      <c r="F62" s="49"/>
      <c r="G62" s="49"/>
      <c r="H62" s="55" t="s">
        <v>55</v>
      </c>
      <c r="I62" s="51">
        <f>SUM(I58+I59+I60+I61)</f>
        <v>199001.27519999997</v>
      </c>
      <c r="J62" s="54" t="s">
        <v>53</v>
      </c>
      <c r="K62" s="48" t="s">
        <v>54</v>
      </c>
      <c r="L62" s="43"/>
      <c r="M62" s="43"/>
      <c r="N62" s="39"/>
      <c r="O62" s="49"/>
      <c r="P62" s="49"/>
      <c r="Q62" s="55" t="s">
        <v>55</v>
      </c>
      <c r="R62" s="51">
        <f>SUM(R58+R59+R60+R61)</f>
        <v>177.76794262499999</v>
      </c>
    </row>
    <row r="63" spans="1:18" s="1" customFormat="1" x14ac:dyDescent="0.2">
      <c r="A63" s="236" t="s">
        <v>0</v>
      </c>
      <c r="B63" s="236"/>
      <c r="C63" s="236"/>
      <c r="D63" s="236"/>
      <c r="E63" s="236"/>
      <c r="F63" s="236"/>
      <c r="G63" s="236"/>
      <c r="H63" s="236"/>
      <c r="I63" s="236"/>
      <c r="J63" s="259" t="s">
        <v>0</v>
      </c>
      <c r="K63" s="259"/>
      <c r="L63" s="259"/>
      <c r="M63" s="259"/>
      <c r="N63" s="259"/>
      <c r="O63" s="259"/>
      <c r="P63" s="259"/>
      <c r="Q63" s="259"/>
      <c r="R63" s="259"/>
    </row>
    <row r="65" spans="1:18" x14ac:dyDescent="0.2">
      <c r="A65" s="2" t="s">
        <v>1</v>
      </c>
      <c r="C65" s="4" t="s">
        <v>2</v>
      </c>
      <c r="D65" s="5" t="s">
        <v>69</v>
      </c>
      <c r="E65" s="237" t="s">
        <v>1181</v>
      </c>
      <c r="F65" s="237"/>
      <c r="G65" s="237"/>
      <c r="H65" s="237"/>
      <c r="J65" s="2" t="s">
        <v>1</v>
      </c>
      <c r="L65" s="4" t="s">
        <v>2</v>
      </c>
      <c r="M65" s="5" t="s">
        <v>57</v>
      </c>
      <c r="N65" s="237" t="s">
        <v>58</v>
      </c>
      <c r="O65" s="237"/>
      <c r="P65" s="237"/>
      <c r="Q65" s="237"/>
    </row>
    <row r="66" spans="1:18" x14ac:dyDescent="0.2">
      <c r="A66" s="2" t="s">
        <v>7</v>
      </c>
      <c r="C66" s="4" t="s">
        <v>2</v>
      </c>
      <c r="E66" s="2" t="s">
        <v>59</v>
      </c>
      <c r="F66" s="8"/>
      <c r="G66" s="8"/>
      <c r="H66" s="8"/>
      <c r="J66" s="2" t="s">
        <v>7</v>
      </c>
      <c r="L66" s="4" t="s">
        <v>2</v>
      </c>
      <c r="N66" s="2" t="s">
        <v>9</v>
      </c>
      <c r="O66" s="8"/>
      <c r="P66" s="8"/>
      <c r="Q66" s="8"/>
    </row>
    <row r="67" spans="1:18" x14ac:dyDescent="0.2">
      <c r="A67" s="2" t="s">
        <v>10</v>
      </c>
      <c r="C67" s="4" t="s">
        <v>2</v>
      </c>
      <c r="E67" s="9">
        <v>1</v>
      </c>
      <c r="F67" s="8"/>
      <c r="G67" s="8"/>
      <c r="H67" s="8"/>
      <c r="J67" s="2" t="s">
        <v>10</v>
      </c>
      <c r="L67" s="4" t="s">
        <v>2</v>
      </c>
      <c r="N67" s="9">
        <v>56</v>
      </c>
      <c r="O67" s="8"/>
      <c r="P67" s="8"/>
      <c r="Q67" s="8"/>
    </row>
    <row r="68" spans="1:18" x14ac:dyDescent="0.2">
      <c r="B68" s="8"/>
      <c r="F68" s="11"/>
      <c r="G68" s="8"/>
      <c r="H68" s="8"/>
      <c r="I68" s="8"/>
      <c r="K68" s="8"/>
      <c r="O68" s="11"/>
      <c r="P68" s="8"/>
      <c r="Q68" s="8"/>
      <c r="R68" s="8"/>
    </row>
    <row r="69" spans="1:18" x14ac:dyDescent="0.2">
      <c r="A69" s="12"/>
      <c r="B69" s="238" t="s">
        <v>11</v>
      </c>
      <c r="C69" s="239"/>
      <c r="D69" s="239"/>
      <c r="E69" s="240"/>
      <c r="F69" s="244" t="s">
        <v>12</v>
      </c>
      <c r="G69" s="244" t="s">
        <v>13</v>
      </c>
      <c r="H69" s="244" t="s">
        <v>14</v>
      </c>
      <c r="I69" s="246" t="s">
        <v>15</v>
      </c>
      <c r="J69" s="12"/>
      <c r="K69" s="238" t="s">
        <v>11</v>
      </c>
      <c r="L69" s="239"/>
      <c r="M69" s="239"/>
      <c r="N69" s="240"/>
      <c r="O69" s="244" t="s">
        <v>12</v>
      </c>
      <c r="P69" s="244" t="s">
        <v>13</v>
      </c>
      <c r="Q69" s="244" t="s">
        <v>14</v>
      </c>
      <c r="R69" s="246" t="s">
        <v>15</v>
      </c>
    </row>
    <row r="70" spans="1:18" x14ac:dyDescent="0.2">
      <c r="A70" s="13"/>
      <c r="B70" s="241"/>
      <c r="C70" s="242"/>
      <c r="D70" s="242"/>
      <c r="E70" s="243"/>
      <c r="F70" s="245"/>
      <c r="G70" s="245"/>
      <c r="H70" s="245"/>
      <c r="I70" s="247"/>
      <c r="J70" s="13"/>
      <c r="K70" s="241"/>
      <c r="L70" s="242"/>
      <c r="M70" s="242"/>
      <c r="N70" s="243"/>
      <c r="O70" s="245"/>
      <c r="P70" s="245"/>
      <c r="Q70" s="245"/>
      <c r="R70" s="247"/>
    </row>
    <row r="71" spans="1:18" x14ac:dyDescent="0.2">
      <c r="A71" s="13" t="s">
        <v>16</v>
      </c>
      <c r="B71" s="14" t="s">
        <v>17</v>
      </c>
      <c r="C71" s="15"/>
      <c r="D71" s="15"/>
      <c r="E71" s="16"/>
      <c r="F71" s="17"/>
      <c r="G71" s="17"/>
      <c r="H71" s="17"/>
      <c r="I71" s="17"/>
      <c r="J71" s="13" t="s">
        <v>16</v>
      </c>
      <c r="K71" s="14" t="s">
        <v>17</v>
      </c>
      <c r="L71" s="15"/>
      <c r="M71" s="15"/>
      <c r="N71" s="16"/>
      <c r="O71" s="17"/>
      <c r="P71" s="17"/>
      <c r="Q71" s="17"/>
      <c r="R71" s="17"/>
    </row>
    <row r="72" spans="1:18" x14ac:dyDescent="0.2">
      <c r="A72" s="13"/>
      <c r="B72" s="18"/>
      <c r="C72" s="19"/>
      <c r="D72" s="19"/>
      <c r="E72" s="20"/>
      <c r="F72" s="21"/>
      <c r="G72" s="22"/>
      <c r="H72" s="21"/>
      <c r="I72" s="21"/>
      <c r="J72" s="13"/>
      <c r="K72" s="18"/>
      <c r="L72" s="19"/>
      <c r="M72" s="19"/>
      <c r="N72" s="20"/>
      <c r="O72" s="21"/>
      <c r="P72" s="22"/>
      <c r="Q72" s="21"/>
      <c r="R72" s="21"/>
    </row>
    <row r="73" spans="1:18" x14ac:dyDescent="0.2">
      <c r="A73" s="13"/>
      <c r="B73" s="24" t="s">
        <v>18</v>
      </c>
      <c r="C73" s="25"/>
      <c r="D73" s="25"/>
      <c r="E73" s="26"/>
      <c r="F73" s="22">
        <v>1</v>
      </c>
      <c r="G73" s="22">
        <v>0.33</v>
      </c>
      <c r="H73" s="23">
        <v>69.42</v>
      </c>
      <c r="I73" s="23">
        <f>G73*H73*F73</f>
        <v>22.908600000000003</v>
      </c>
      <c r="J73" s="13"/>
      <c r="K73" s="24" t="s">
        <v>18</v>
      </c>
      <c r="L73" s="25"/>
      <c r="M73" s="25"/>
      <c r="N73" s="26"/>
      <c r="O73" s="22">
        <v>1</v>
      </c>
      <c r="P73" s="62">
        <v>1</v>
      </c>
      <c r="Q73" s="23">
        <v>69.42</v>
      </c>
      <c r="R73" s="23">
        <f>P73*Q73*O73</f>
        <v>69.42</v>
      </c>
    </row>
    <row r="74" spans="1:18" x14ac:dyDescent="0.2">
      <c r="A74" s="13"/>
      <c r="B74" s="257" t="s">
        <v>1178</v>
      </c>
      <c r="C74" s="258"/>
      <c r="D74" s="25"/>
      <c r="E74" s="26"/>
      <c r="F74" s="22">
        <v>1</v>
      </c>
      <c r="G74" s="22">
        <v>0.33</v>
      </c>
      <c r="H74" s="23">
        <v>50.18</v>
      </c>
      <c r="I74" s="23">
        <f>G74*H74*F74</f>
        <v>16.5594</v>
      </c>
      <c r="J74" s="13"/>
      <c r="K74" s="24" t="s">
        <v>1179</v>
      </c>
      <c r="L74" s="25"/>
      <c r="M74" s="25"/>
      <c r="N74" s="26"/>
      <c r="O74" s="22">
        <v>2</v>
      </c>
      <c r="P74" s="62">
        <v>1</v>
      </c>
      <c r="Q74" s="23">
        <v>38.97</v>
      </c>
      <c r="R74" s="23">
        <f>P74*Q74*O74</f>
        <v>77.94</v>
      </c>
    </row>
    <row r="75" spans="1:18" x14ac:dyDescent="0.2">
      <c r="A75" s="13"/>
      <c r="B75" s="257" t="s">
        <v>1177</v>
      </c>
      <c r="C75" s="258"/>
      <c r="D75" s="19"/>
      <c r="E75" s="20"/>
      <c r="F75" s="22">
        <v>2</v>
      </c>
      <c r="G75" s="22">
        <v>0.33</v>
      </c>
      <c r="H75" s="23">
        <v>38.97</v>
      </c>
      <c r="I75" s="23">
        <f>G75*H75*F75</f>
        <v>25.720200000000002</v>
      </c>
      <c r="J75" s="13"/>
      <c r="K75" s="27"/>
      <c r="L75" s="19"/>
      <c r="M75" s="19"/>
      <c r="N75" s="20"/>
      <c r="O75" s="22"/>
      <c r="P75" s="22"/>
      <c r="Q75" s="28"/>
      <c r="R75" s="23"/>
    </row>
    <row r="76" spans="1:18" x14ac:dyDescent="0.2">
      <c r="A76" s="13"/>
      <c r="B76" s="27"/>
      <c r="C76" s="19"/>
      <c r="D76" s="19"/>
      <c r="E76" s="20"/>
      <c r="F76" s="22"/>
      <c r="G76" s="22"/>
      <c r="H76" s="29"/>
      <c r="I76" s="30"/>
      <c r="J76" s="13"/>
      <c r="K76" s="27"/>
      <c r="L76" s="19"/>
      <c r="M76" s="19"/>
      <c r="N76" s="20"/>
      <c r="O76" s="22"/>
      <c r="P76" s="22"/>
      <c r="Q76" s="29"/>
      <c r="R76" s="30"/>
    </row>
    <row r="77" spans="1:18" x14ac:dyDescent="0.2">
      <c r="A77" s="13"/>
      <c r="B77" s="27"/>
      <c r="C77" s="19"/>
      <c r="D77" s="19"/>
      <c r="E77" s="20"/>
      <c r="F77" s="22"/>
      <c r="G77" s="22"/>
      <c r="H77" s="29"/>
      <c r="I77" s="30"/>
      <c r="J77" s="13"/>
      <c r="K77" s="27"/>
      <c r="L77" s="19"/>
      <c r="M77" s="19"/>
      <c r="N77" s="20"/>
      <c r="O77" s="22"/>
      <c r="P77" s="22"/>
      <c r="Q77" s="29"/>
      <c r="R77" s="30"/>
    </row>
    <row r="78" spans="1:18" x14ac:dyDescent="0.2">
      <c r="A78" s="13"/>
      <c r="B78" s="18"/>
      <c r="C78" s="19"/>
      <c r="D78" s="19"/>
      <c r="E78" s="20"/>
      <c r="F78" s="22"/>
      <c r="G78" s="22"/>
      <c r="H78" s="28"/>
      <c r="I78" s="23"/>
      <c r="J78" s="13"/>
      <c r="K78" s="18"/>
      <c r="L78" s="19"/>
      <c r="M78" s="19"/>
      <c r="N78" s="20"/>
      <c r="O78" s="22"/>
      <c r="P78" s="22"/>
      <c r="Q78" s="28"/>
      <c r="R78" s="23"/>
    </row>
    <row r="79" spans="1:18" x14ac:dyDescent="0.2">
      <c r="A79" s="13"/>
      <c r="B79" s="18"/>
      <c r="C79" s="19"/>
      <c r="D79" s="19"/>
      <c r="E79" s="20"/>
      <c r="F79" s="22"/>
      <c r="G79" s="22"/>
      <c r="H79" s="23"/>
      <c r="I79" s="23"/>
      <c r="J79" s="13"/>
      <c r="K79" s="18"/>
      <c r="L79" s="19"/>
      <c r="M79" s="19"/>
      <c r="N79" s="20"/>
      <c r="O79" s="22"/>
      <c r="P79" s="22"/>
      <c r="Q79" s="23"/>
      <c r="R79" s="23"/>
    </row>
    <row r="80" spans="1:18" x14ac:dyDescent="0.2">
      <c r="A80" s="13"/>
      <c r="B80" s="248" t="s">
        <v>20</v>
      </c>
      <c r="C80" s="249"/>
      <c r="D80" s="249"/>
      <c r="E80" s="250"/>
      <c r="F80" s="31"/>
      <c r="G80" s="31"/>
      <c r="H80" s="32"/>
      <c r="I80" s="32">
        <f>SUM(I73:I79)</f>
        <v>65.188200000000009</v>
      </c>
      <c r="J80" s="13"/>
      <c r="K80" s="248" t="s">
        <v>20</v>
      </c>
      <c r="L80" s="249"/>
      <c r="M80" s="249"/>
      <c r="N80" s="250"/>
      <c r="O80" s="31"/>
      <c r="P80" s="31"/>
      <c r="Q80" s="32"/>
      <c r="R80" s="32">
        <f>SUM(R73:R79)</f>
        <v>147.36000000000001</v>
      </c>
    </row>
    <row r="81" spans="1:18" x14ac:dyDescent="0.2">
      <c r="A81" s="12"/>
      <c r="B81" s="251" t="s">
        <v>21</v>
      </c>
      <c r="C81" s="252"/>
      <c r="D81" s="252"/>
      <c r="E81" s="253"/>
      <c r="F81" s="244" t="s">
        <v>22</v>
      </c>
      <c r="G81" s="244" t="s">
        <v>13</v>
      </c>
      <c r="H81" s="244" t="s">
        <v>14</v>
      </c>
      <c r="I81" s="246" t="s">
        <v>15</v>
      </c>
      <c r="J81" s="12"/>
      <c r="K81" s="251" t="s">
        <v>21</v>
      </c>
      <c r="L81" s="252"/>
      <c r="M81" s="252"/>
      <c r="N81" s="253"/>
      <c r="O81" s="244" t="s">
        <v>22</v>
      </c>
      <c r="P81" s="244" t="s">
        <v>13</v>
      </c>
      <c r="Q81" s="244" t="s">
        <v>14</v>
      </c>
      <c r="R81" s="246" t="s">
        <v>15</v>
      </c>
    </row>
    <row r="82" spans="1:18" x14ac:dyDescent="0.2">
      <c r="A82" s="13"/>
      <c r="B82" s="254"/>
      <c r="C82" s="255"/>
      <c r="D82" s="255"/>
      <c r="E82" s="256"/>
      <c r="F82" s="245"/>
      <c r="G82" s="245"/>
      <c r="H82" s="245"/>
      <c r="I82" s="247"/>
      <c r="J82" s="13"/>
      <c r="K82" s="254"/>
      <c r="L82" s="255"/>
      <c r="M82" s="255"/>
      <c r="N82" s="256"/>
      <c r="O82" s="245"/>
      <c r="P82" s="245"/>
      <c r="Q82" s="245"/>
      <c r="R82" s="247"/>
    </row>
    <row r="83" spans="1:18" x14ac:dyDescent="0.2">
      <c r="A83" s="13" t="s">
        <v>23</v>
      </c>
      <c r="B83" s="33" t="s">
        <v>24</v>
      </c>
      <c r="C83" s="15"/>
      <c r="D83" s="15"/>
      <c r="E83" s="16"/>
      <c r="F83" s="34"/>
      <c r="G83" s="34"/>
      <c r="H83" s="35"/>
      <c r="I83" s="35"/>
      <c r="J83" s="13" t="s">
        <v>23</v>
      </c>
      <c r="K83" s="33" t="s">
        <v>24</v>
      </c>
      <c r="L83" s="15"/>
      <c r="M83" s="15"/>
      <c r="N83" s="16"/>
      <c r="O83" s="34"/>
      <c r="P83" s="34"/>
      <c r="Q83" s="35"/>
      <c r="R83" s="35"/>
    </row>
    <row r="84" spans="1:18" x14ac:dyDescent="0.2">
      <c r="A84" s="13"/>
      <c r="B84" s="18"/>
      <c r="C84" s="19"/>
      <c r="D84" s="19"/>
      <c r="E84" s="20"/>
      <c r="F84" s="22"/>
      <c r="G84" s="22"/>
      <c r="H84" s="23"/>
      <c r="I84" s="23"/>
      <c r="J84" s="13"/>
      <c r="K84" s="18"/>
      <c r="L84" s="19"/>
      <c r="M84" s="19"/>
      <c r="N84" s="20"/>
      <c r="O84" s="22"/>
      <c r="P84" s="22"/>
      <c r="Q84" s="23"/>
      <c r="R84" s="23"/>
    </row>
    <row r="85" spans="1:18" x14ac:dyDescent="0.2">
      <c r="A85" s="13"/>
      <c r="B85" s="18" t="s">
        <v>62</v>
      </c>
      <c r="C85" s="19"/>
      <c r="D85" s="19"/>
      <c r="E85" s="20"/>
      <c r="F85" s="22">
        <v>1</v>
      </c>
      <c r="G85" s="23">
        <v>0.25</v>
      </c>
      <c r="H85" s="37">
        <v>1537</v>
      </c>
      <c r="I85" s="37">
        <f>G85*H85*F85</f>
        <v>384.25</v>
      </c>
      <c r="J85" s="13"/>
      <c r="K85" s="18" t="s">
        <v>1196</v>
      </c>
      <c r="L85" s="19"/>
      <c r="M85" s="19"/>
      <c r="N85" s="20"/>
      <c r="O85" s="22">
        <v>1</v>
      </c>
      <c r="P85" s="23">
        <v>1</v>
      </c>
      <c r="Q85" s="37">
        <v>3885.85</v>
      </c>
      <c r="R85" s="37">
        <f>P85*Q85*O85</f>
        <v>3885.85</v>
      </c>
    </row>
    <row r="86" spans="1:18" x14ac:dyDescent="0.2">
      <c r="A86" s="13"/>
      <c r="B86" s="18" t="s">
        <v>1132</v>
      </c>
      <c r="C86" s="19"/>
      <c r="D86" s="19"/>
      <c r="E86" s="20"/>
      <c r="F86" s="22">
        <v>1</v>
      </c>
      <c r="G86" s="23">
        <v>0.17</v>
      </c>
      <c r="H86" s="37">
        <v>1420</v>
      </c>
      <c r="I86" s="37">
        <f>G86*H86*F86</f>
        <v>241.4</v>
      </c>
      <c r="J86" s="13"/>
      <c r="K86" s="18" t="s">
        <v>221</v>
      </c>
      <c r="L86" s="19"/>
      <c r="M86" s="19"/>
      <c r="N86" s="20"/>
      <c r="O86" s="22">
        <v>1</v>
      </c>
      <c r="P86" s="23">
        <v>1</v>
      </c>
      <c r="Q86" s="37">
        <v>1733</v>
      </c>
      <c r="R86" s="37">
        <f>P86*Q86*O86</f>
        <v>1733</v>
      </c>
    </row>
    <row r="87" spans="1:18" x14ac:dyDescent="0.2">
      <c r="A87" s="13"/>
      <c r="B87" s="56" t="s">
        <v>63</v>
      </c>
      <c r="C87" s="57"/>
      <c r="D87" s="57"/>
      <c r="E87" s="58"/>
      <c r="F87" s="59">
        <v>1</v>
      </c>
      <c r="G87" s="60">
        <v>0.17</v>
      </c>
      <c r="H87" s="37">
        <v>75.36</v>
      </c>
      <c r="I87" s="61">
        <f>G87*H87*F87</f>
        <v>12.811200000000001</v>
      </c>
      <c r="J87" s="13"/>
      <c r="K87" s="18" t="s">
        <v>26</v>
      </c>
      <c r="L87" s="19"/>
      <c r="M87" s="19"/>
      <c r="N87" s="20"/>
      <c r="O87" s="22">
        <v>1</v>
      </c>
      <c r="P87" s="23">
        <v>0.25</v>
      </c>
      <c r="Q87" s="37">
        <v>1733</v>
      </c>
      <c r="R87" s="37">
        <f>P87*Q87*O87</f>
        <v>433.25</v>
      </c>
    </row>
    <row r="88" spans="1:18" x14ac:dyDescent="0.2">
      <c r="A88" s="13"/>
      <c r="B88" s="18" t="s">
        <v>1195</v>
      </c>
      <c r="F88" s="22"/>
      <c r="G88" s="36"/>
      <c r="H88" s="37"/>
      <c r="I88" s="37">
        <f>I80*0.05</f>
        <v>3.2594100000000008</v>
      </c>
      <c r="J88" s="13"/>
      <c r="K88" s="18" t="s">
        <v>1140</v>
      </c>
      <c r="L88" s="19"/>
      <c r="M88" s="19"/>
      <c r="N88" s="20"/>
      <c r="O88" s="22">
        <v>2</v>
      </c>
      <c r="P88" s="23">
        <v>1</v>
      </c>
      <c r="Q88" s="37">
        <v>1420</v>
      </c>
      <c r="R88" s="37">
        <f>P88*Q88*O88</f>
        <v>2840</v>
      </c>
    </row>
    <row r="89" spans="1:18" x14ac:dyDescent="0.2">
      <c r="A89" s="13"/>
      <c r="B89" s="18"/>
      <c r="C89" s="19"/>
      <c r="D89" s="19"/>
      <c r="E89" s="20"/>
      <c r="F89" s="22"/>
      <c r="G89" s="36"/>
      <c r="H89" s="37"/>
      <c r="I89" s="37"/>
      <c r="J89" s="13"/>
      <c r="K89" s="18" t="s">
        <v>64</v>
      </c>
      <c r="O89" s="22">
        <v>1</v>
      </c>
      <c r="P89" s="23">
        <v>1</v>
      </c>
      <c r="Q89" s="37">
        <v>1537</v>
      </c>
      <c r="R89" s="37">
        <f>P89*Q89*O89</f>
        <v>1537</v>
      </c>
    </row>
    <row r="90" spans="1:18" x14ac:dyDescent="0.2">
      <c r="A90" s="13"/>
      <c r="B90" s="266" t="s">
        <v>65</v>
      </c>
      <c r="C90" s="267"/>
      <c r="D90" s="267"/>
      <c r="E90" s="268"/>
      <c r="F90" s="22"/>
      <c r="G90" s="36"/>
      <c r="H90" s="38"/>
      <c r="I90" s="38"/>
      <c r="J90" s="13"/>
      <c r="K90" s="18"/>
      <c r="L90" s="19"/>
      <c r="M90" s="19"/>
      <c r="N90" s="20"/>
      <c r="O90" s="22"/>
      <c r="P90" s="36"/>
      <c r="Q90" s="37"/>
      <c r="R90" s="37"/>
    </row>
    <row r="91" spans="1:18" x14ac:dyDescent="0.2">
      <c r="A91" s="13"/>
      <c r="B91" s="266"/>
      <c r="C91" s="267"/>
      <c r="D91" s="267"/>
      <c r="E91" s="268"/>
      <c r="F91" s="22"/>
      <c r="G91" s="36"/>
      <c r="H91" s="38"/>
      <c r="I91" s="38"/>
      <c r="J91" s="13"/>
      <c r="K91" s="18" t="s">
        <v>27</v>
      </c>
      <c r="L91" s="19"/>
      <c r="M91" s="19"/>
      <c r="N91" s="20"/>
      <c r="O91" s="22"/>
      <c r="P91" s="36"/>
      <c r="Q91" s="38"/>
      <c r="R91" s="38"/>
    </row>
    <row r="92" spans="1:18" x14ac:dyDescent="0.2">
      <c r="A92" s="13"/>
      <c r="B92" s="18"/>
      <c r="C92" s="19"/>
      <c r="D92" s="19"/>
      <c r="E92" s="20"/>
      <c r="F92" s="22"/>
      <c r="G92" s="36"/>
      <c r="H92" s="38"/>
      <c r="I92" s="38"/>
      <c r="J92" s="13"/>
      <c r="K92" s="18"/>
      <c r="L92" s="19"/>
      <c r="M92" s="19"/>
      <c r="N92" s="20"/>
      <c r="O92" s="22"/>
      <c r="P92" s="36"/>
      <c r="Q92" s="38"/>
      <c r="R92" s="38"/>
    </row>
    <row r="93" spans="1:18" x14ac:dyDescent="0.2">
      <c r="A93" s="13"/>
      <c r="B93" s="18"/>
      <c r="C93" s="19"/>
      <c r="D93" s="19"/>
      <c r="E93" s="20"/>
      <c r="F93" s="22"/>
      <c r="G93" s="36"/>
      <c r="H93" s="38"/>
      <c r="I93" s="38"/>
      <c r="J93" s="13"/>
      <c r="K93" s="18"/>
      <c r="L93" s="19"/>
      <c r="M93" s="19"/>
      <c r="N93" s="20"/>
      <c r="O93" s="22"/>
      <c r="P93" s="36"/>
      <c r="Q93" s="38"/>
      <c r="R93" s="38"/>
    </row>
    <row r="94" spans="1:18" x14ac:dyDescent="0.2">
      <c r="A94" s="13"/>
      <c r="B94" s="18"/>
      <c r="C94" s="19"/>
      <c r="D94" s="19"/>
      <c r="E94" s="20"/>
      <c r="F94" s="22"/>
      <c r="G94" s="36"/>
      <c r="H94" s="37"/>
      <c r="I94" s="37"/>
      <c r="J94" s="13"/>
      <c r="K94" s="18"/>
      <c r="L94" s="19"/>
      <c r="M94" s="19"/>
      <c r="N94" s="20"/>
      <c r="O94" s="22"/>
      <c r="P94" s="36"/>
      <c r="Q94" s="38"/>
      <c r="R94" s="38"/>
    </row>
    <row r="95" spans="1:18" x14ac:dyDescent="0.2">
      <c r="A95" s="13"/>
      <c r="B95" s="18"/>
      <c r="C95" s="19"/>
      <c r="D95" s="19"/>
      <c r="E95" s="20"/>
      <c r="F95" s="22"/>
      <c r="G95" s="36"/>
      <c r="H95" s="37"/>
      <c r="I95" s="37"/>
      <c r="J95" s="13"/>
      <c r="K95" s="18"/>
      <c r="L95" s="19"/>
      <c r="M95" s="19"/>
      <c r="N95" s="20"/>
      <c r="O95" s="22"/>
      <c r="P95" s="36"/>
      <c r="Q95" s="37"/>
      <c r="R95" s="37"/>
    </row>
    <row r="96" spans="1:18" x14ac:dyDescent="0.2">
      <c r="A96" s="13"/>
      <c r="B96" s="18"/>
      <c r="C96" s="19"/>
      <c r="D96" s="19"/>
      <c r="E96" s="20"/>
      <c r="F96" s="22"/>
      <c r="G96" s="36"/>
      <c r="H96" s="37"/>
      <c r="I96" s="37"/>
      <c r="J96" s="13"/>
      <c r="K96" s="18"/>
      <c r="L96" s="19"/>
      <c r="M96" s="19"/>
      <c r="N96" s="20"/>
      <c r="O96" s="22"/>
      <c r="P96" s="36"/>
      <c r="Q96" s="37"/>
      <c r="R96" s="37"/>
    </row>
    <row r="97" spans="1:18" x14ac:dyDescent="0.2">
      <c r="A97" s="13"/>
      <c r="B97" s="18"/>
      <c r="C97" s="19"/>
      <c r="D97" s="19"/>
      <c r="E97" s="20"/>
      <c r="F97" s="22"/>
      <c r="G97" s="22"/>
      <c r="H97" s="23"/>
      <c r="I97" s="23"/>
      <c r="J97" s="13"/>
      <c r="K97" s="18"/>
      <c r="L97" s="19"/>
      <c r="M97" s="19"/>
      <c r="N97" s="20"/>
      <c r="O97" s="22"/>
      <c r="P97" s="22"/>
      <c r="Q97" s="23"/>
      <c r="R97" s="23"/>
    </row>
    <row r="98" spans="1:18" x14ac:dyDescent="0.2">
      <c r="A98" s="13"/>
      <c r="B98" s="248" t="s">
        <v>30</v>
      </c>
      <c r="C98" s="249"/>
      <c r="D98" s="249"/>
      <c r="E98" s="250"/>
      <c r="F98" s="22"/>
      <c r="G98" s="22"/>
      <c r="H98" s="23"/>
      <c r="I98" s="23">
        <f>SUM(I85:I97)</f>
        <v>641.72060999999997</v>
      </c>
      <c r="J98" s="13"/>
      <c r="K98" s="248" t="s">
        <v>30</v>
      </c>
      <c r="L98" s="249"/>
      <c r="M98" s="249"/>
      <c r="N98" s="250"/>
      <c r="O98" s="22"/>
      <c r="P98" s="22"/>
      <c r="Q98" s="23"/>
      <c r="R98" s="23">
        <f>SUM(R85:R97)</f>
        <v>10429.1</v>
      </c>
    </row>
    <row r="99" spans="1:18" x14ac:dyDescent="0.2">
      <c r="A99" s="12" t="s">
        <v>31</v>
      </c>
      <c r="B99" s="260" t="s">
        <v>32</v>
      </c>
      <c r="C99" s="261"/>
      <c r="D99" s="261"/>
      <c r="E99" s="261"/>
      <c r="F99" s="39"/>
      <c r="G99" s="39"/>
      <c r="H99" s="40"/>
      <c r="I99" s="41">
        <f>SUM(I98+I80)</f>
        <v>706.90881000000002</v>
      </c>
      <c r="J99" s="12" t="s">
        <v>31</v>
      </c>
      <c r="K99" s="260" t="s">
        <v>32</v>
      </c>
      <c r="L99" s="261"/>
      <c r="M99" s="261"/>
      <c r="N99" s="261"/>
      <c r="O99" s="39"/>
      <c r="P99" s="39"/>
      <c r="Q99" s="40"/>
      <c r="R99" s="41">
        <f>SUM(R98+R80)</f>
        <v>10576.460000000001</v>
      </c>
    </row>
    <row r="100" spans="1:18" x14ac:dyDescent="0.2">
      <c r="A100" s="13" t="s">
        <v>33</v>
      </c>
      <c r="B100" s="269">
        <f>E67</f>
        <v>1</v>
      </c>
      <c r="C100" s="270"/>
      <c r="D100" s="270"/>
      <c r="E100" s="270"/>
      <c r="F100" s="270"/>
      <c r="G100" s="270"/>
      <c r="H100" s="40"/>
      <c r="I100" s="41"/>
      <c r="J100" s="13" t="s">
        <v>33</v>
      </c>
      <c r="K100" s="264">
        <f>N67</f>
        <v>56</v>
      </c>
      <c r="L100" s="265"/>
      <c r="M100" s="265"/>
      <c r="N100" s="265"/>
      <c r="O100" s="265"/>
      <c r="P100" s="265"/>
      <c r="Q100" s="40"/>
      <c r="R100" s="41"/>
    </row>
    <row r="101" spans="1:18" x14ac:dyDescent="0.2">
      <c r="A101" s="13" t="s">
        <v>34</v>
      </c>
      <c r="B101" s="42" t="s">
        <v>35</v>
      </c>
      <c r="C101" s="43"/>
      <c r="D101" s="43"/>
      <c r="E101" s="39"/>
      <c r="F101" s="44"/>
      <c r="G101" s="44"/>
      <c r="H101" s="40"/>
      <c r="I101" s="41">
        <f>I99/E67</f>
        <v>706.90881000000002</v>
      </c>
      <c r="J101" s="13" t="s">
        <v>34</v>
      </c>
      <c r="K101" s="42" t="s">
        <v>35</v>
      </c>
      <c r="L101" s="43"/>
      <c r="M101" s="43"/>
      <c r="N101" s="39"/>
      <c r="O101" s="44"/>
      <c r="P101" s="44"/>
      <c r="Q101" s="40"/>
      <c r="R101" s="41">
        <f>R99/N67</f>
        <v>188.86535714285716</v>
      </c>
    </row>
    <row r="102" spans="1:18" x14ac:dyDescent="0.2">
      <c r="A102" s="12"/>
      <c r="B102" s="251" t="s">
        <v>36</v>
      </c>
      <c r="C102" s="252"/>
      <c r="D102" s="252"/>
      <c r="E102" s="253"/>
      <c r="F102" s="244" t="s">
        <v>37</v>
      </c>
      <c r="G102" s="244" t="s">
        <v>38</v>
      </c>
      <c r="H102" s="244" t="s">
        <v>39</v>
      </c>
      <c r="I102" s="246" t="s">
        <v>15</v>
      </c>
      <c r="J102" s="12"/>
      <c r="K102" s="251" t="s">
        <v>36</v>
      </c>
      <c r="L102" s="252"/>
      <c r="M102" s="252"/>
      <c r="N102" s="253"/>
      <c r="O102" s="244" t="s">
        <v>37</v>
      </c>
      <c r="P102" s="244" t="s">
        <v>38</v>
      </c>
      <c r="Q102" s="244" t="s">
        <v>39</v>
      </c>
      <c r="R102" s="246" t="s">
        <v>15</v>
      </c>
    </row>
    <row r="103" spans="1:18" x14ac:dyDescent="0.2">
      <c r="A103" s="13"/>
      <c r="B103" s="254"/>
      <c r="C103" s="255"/>
      <c r="D103" s="255"/>
      <c r="E103" s="256"/>
      <c r="F103" s="245"/>
      <c r="G103" s="245"/>
      <c r="H103" s="245"/>
      <c r="I103" s="247"/>
      <c r="J103" s="13"/>
      <c r="K103" s="254"/>
      <c r="L103" s="255"/>
      <c r="M103" s="255"/>
      <c r="N103" s="256"/>
      <c r="O103" s="245"/>
      <c r="P103" s="245"/>
      <c r="Q103" s="245"/>
      <c r="R103" s="247"/>
    </row>
    <row r="104" spans="1:18" x14ac:dyDescent="0.2">
      <c r="A104" s="13" t="s">
        <v>40</v>
      </c>
      <c r="B104" s="18" t="s">
        <v>41</v>
      </c>
      <c r="C104" s="19"/>
      <c r="D104" s="19"/>
      <c r="E104" s="20"/>
      <c r="F104" s="22"/>
      <c r="G104" s="22"/>
      <c r="H104" s="23"/>
      <c r="I104" s="23"/>
      <c r="J104" s="13" t="s">
        <v>40</v>
      </c>
      <c r="K104" s="18" t="s">
        <v>41</v>
      </c>
      <c r="L104" s="19"/>
      <c r="M104" s="19"/>
      <c r="N104" s="20"/>
      <c r="O104" s="22"/>
      <c r="P104" s="22"/>
      <c r="Q104" s="23"/>
      <c r="R104" s="23"/>
    </row>
    <row r="105" spans="1:18" x14ac:dyDescent="0.2">
      <c r="A105" s="13"/>
      <c r="B105" s="18"/>
      <c r="C105" s="19"/>
      <c r="D105" s="19"/>
      <c r="E105" s="20"/>
      <c r="F105" s="22"/>
      <c r="G105" s="22"/>
      <c r="H105" s="23"/>
      <c r="I105" s="23"/>
      <c r="J105" s="13"/>
      <c r="K105" s="18"/>
      <c r="L105" s="19"/>
      <c r="M105" s="19"/>
      <c r="N105" s="20"/>
      <c r="O105" s="22"/>
      <c r="P105" s="22"/>
      <c r="Q105" s="23"/>
      <c r="R105" s="23"/>
    </row>
    <row r="106" spans="1:18" x14ac:dyDescent="0.2">
      <c r="A106" s="13"/>
      <c r="B106" s="18" t="s">
        <v>1133</v>
      </c>
      <c r="C106" s="19"/>
      <c r="D106" s="19"/>
      <c r="E106" s="20"/>
      <c r="F106" s="22" t="s">
        <v>66</v>
      </c>
      <c r="G106" s="62">
        <v>20</v>
      </c>
      <c r="H106" s="107">
        <v>3.5</v>
      </c>
      <c r="I106" s="23">
        <f>G106*H106/5</f>
        <v>14</v>
      </c>
      <c r="J106" s="13"/>
      <c r="K106" s="18"/>
      <c r="L106" s="19"/>
      <c r="M106" s="19"/>
      <c r="N106" s="20"/>
      <c r="O106" s="22"/>
      <c r="P106" s="22"/>
      <c r="Q106" s="23"/>
      <c r="R106" s="23"/>
    </row>
    <row r="107" spans="1:18" x14ac:dyDescent="0.2">
      <c r="A107" s="13"/>
      <c r="B107" s="18"/>
      <c r="C107" s="19"/>
      <c r="D107" s="19"/>
      <c r="E107" s="20"/>
      <c r="F107" s="22"/>
      <c r="G107" s="22"/>
      <c r="H107" s="23"/>
      <c r="I107" s="23"/>
      <c r="J107" s="13"/>
      <c r="K107" s="18"/>
      <c r="L107" s="19"/>
      <c r="M107" s="19"/>
      <c r="N107" s="20"/>
      <c r="O107" s="22"/>
      <c r="P107" s="22"/>
      <c r="Q107" s="23"/>
      <c r="R107" s="23"/>
    </row>
    <row r="108" spans="1:18" x14ac:dyDescent="0.2">
      <c r="A108" s="13"/>
      <c r="B108" s="18"/>
      <c r="C108" s="19"/>
      <c r="D108" s="19"/>
      <c r="E108" s="20"/>
      <c r="F108" s="22"/>
      <c r="G108" s="22"/>
      <c r="H108" s="38"/>
      <c r="I108" s="38"/>
      <c r="J108" s="13"/>
      <c r="K108" s="18"/>
      <c r="L108" s="19"/>
      <c r="M108" s="19"/>
      <c r="N108" s="20"/>
      <c r="O108" s="22"/>
      <c r="P108" s="22"/>
      <c r="Q108" s="38"/>
      <c r="R108" s="38"/>
    </row>
    <row r="109" spans="1:18" x14ac:dyDescent="0.2">
      <c r="A109" s="13"/>
      <c r="B109" s="18"/>
      <c r="C109" s="19"/>
      <c r="D109" s="19"/>
      <c r="E109" s="20"/>
      <c r="F109" s="22"/>
      <c r="G109" s="22"/>
      <c r="H109" s="38"/>
      <c r="I109" s="38"/>
      <c r="J109" s="13"/>
      <c r="K109" s="18"/>
      <c r="L109" s="19"/>
      <c r="M109" s="19"/>
      <c r="N109" s="20"/>
      <c r="O109" s="22"/>
      <c r="P109" s="22"/>
      <c r="Q109" s="38"/>
      <c r="R109" s="38"/>
    </row>
    <row r="110" spans="1:18" x14ac:dyDescent="0.2">
      <c r="A110" s="13"/>
      <c r="B110" s="18"/>
      <c r="C110" s="19"/>
      <c r="D110" s="19"/>
      <c r="E110" s="20"/>
      <c r="F110" s="22"/>
      <c r="G110" s="22"/>
      <c r="H110" s="45"/>
      <c r="I110" s="45"/>
      <c r="J110" s="13"/>
      <c r="K110" s="18"/>
      <c r="L110" s="19"/>
      <c r="M110" s="19"/>
      <c r="N110" s="20"/>
      <c r="O110" s="22"/>
      <c r="P110" s="22"/>
      <c r="Q110" s="45"/>
      <c r="R110" s="45"/>
    </row>
    <row r="111" spans="1:18" x14ac:dyDescent="0.2">
      <c r="A111" s="13"/>
      <c r="B111" s="18"/>
      <c r="C111" s="19"/>
      <c r="D111" s="19"/>
      <c r="E111" s="20"/>
      <c r="F111" s="22"/>
      <c r="G111" s="22"/>
      <c r="H111" s="45"/>
      <c r="I111" s="45"/>
      <c r="J111" s="13"/>
      <c r="K111" s="18"/>
      <c r="L111" s="19"/>
      <c r="M111" s="19"/>
      <c r="N111" s="20"/>
      <c r="O111" s="22"/>
      <c r="P111" s="22"/>
      <c r="Q111" s="45"/>
      <c r="R111" s="45"/>
    </row>
    <row r="112" spans="1:18" x14ac:dyDescent="0.2">
      <c r="A112" s="13"/>
      <c r="B112" s="18"/>
      <c r="C112" s="19"/>
      <c r="D112" s="19"/>
      <c r="E112" s="20"/>
      <c r="F112" s="22"/>
      <c r="G112" s="22"/>
      <c r="H112" s="23"/>
      <c r="I112" s="23"/>
      <c r="J112" s="13"/>
      <c r="K112" s="18"/>
      <c r="L112" s="19"/>
      <c r="M112" s="19"/>
      <c r="N112" s="20"/>
      <c r="O112" s="22"/>
      <c r="P112" s="22"/>
      <c r="Q112" s="23"/>
      <c r="R112" s="23"/>
    </row>
    <row r="113" spans="1:18" x14ac:dyDescent="0.2">
      <c r="A113" s="13"/>
      <c r="B113" s="18"/>
      <c r="C113" s="19"/>
      <c r="D113" s="19"/>
      <c r="E113" s="20"/>
      <c r="F113" s="22"/>
      <c r="G113" s="22"/>
      <c r="H113" s="23"/>
      <c r="I113" s="23"/>
      <c r="J113" s="13"/>
      <c r="K113" s="18"/>
      <c r="L113" s="19"/>
      <c r="M113" s="19"/>
      <c r="N113" s="20"/>
      <c r="O113" s="22"/>
      <c r="P113" s="22"/>
      <c r="Q113" s="23"/>
      <c r="R113" s="23"/>
    </row>
    <row r="114" spans="1:18" x14ac:dyDescent="0.2">
      <c r="A114" s="13"/>
      <c r="B114" s="18"/>
      <c r="C114" s="19"/>
      <c r="D114" s="19"/>
      <c r="E114" s="20"/>
      <c r="F114" s="22"/>
      <c r="G114" s="22"/>
      <c r="H114" s="23"/>
      <c r="I114" s="23"/>
      <c r="J114" s="13"/>
      <c r="K114" s="18"/>
      <c r="L114" s="19"/>
      <c r="M114" s="19"/>
      <c r="N114" s="20"/>
      <c r="O114" s="22"/>
      <c r="P114" s="22"/>
      <c r="Q114" s="23"/>
      <c r="R114" s="23"/>
    </row>
    <row r="115" spans="1:18" x14ac:dyDescent="0.2">
      <c r="A115" s="13"/>
      <c r="B115" s="18"/>
      <c r="C115" s="19"/>
      <c r="D115" s="19"/>
      <c r="E115" s="20"/>
      <c r="F115" s="22"/>
      <c r="G115" s="22"/>
      <c r="H115" s="23"/>
      <c r="I115" s="23"/>
      <c r="J115" s="13"/>
      <c r="K115" s="18"/>
      <c r="L115" s="19"/>
      <c r="M115" s="19"/>
      <c r="N115" s="20"/>
      <c r="O115" s="22"/>
      <c r="P115" s="22"/>
      <c r="Q115" s="23"/>
      <c r="R115" s="23"/>
    </row>
    <row r="116" spans="1:18" x14ac:dyDescent="0.2">
      <c r="A116" s="13"/>
      <c r="B116" s="18"/>
      <c r="C116" s="19"/>
      <c r="D116" s="19"/>
      <c r="E116" s="20"/>
      <c r="F116" s="22"/>
      <c r="G116" s="22"/>
      <c r="H116" s="23"/>
      <c r="I116" s="23"/>
      <c r="J116" s="13"/>
      <c r="K116" s="18"/>
      <c r="L116" s="19"/>
      <c r="M116" s="19"/>
      <c r="N116" s="20"/>
      <c r="O116" s="22"/>
      <c r="P116" s="22"/>
      <c r="Q116" s="23"/>
      <c r="R116" s="23"/>
    </row>
    <row r="117" spans="1:18" x14ac:dyDescent="0.2">
      <c r="A117" s="13"/>
      <c r="B117" s="18"/>
      <c r="C117" s="19"/>
      <c r="D117" s="19"/>
      <c r="E117" s="20"/>
      <c r="F117" s="22"/>
      <c r="G117" s="22"/>
      <c r="H117" s="23"/>
      <c r="I117" s="23"/>
      <c r="J117" s="13"/>
      <c r="K117" s="18"/>
      <c r="L117" s="19"/>
      <c r="M117" s="19"/>
      <c r="N117" s="20"/>
      <c r="O117" s="22"/>
      <c r="P117" s="22"/>
      <c r="Q117" s="23"/>
      <c r="R117" s="23"/>
    </row>
    <row r="118" spans="1:18" x14ac:dyDescent="0.2">
      <c r="A118" s="13"/>
      <c r="B118" s="18"/>
      <c r="C118" s="19"/>
      <c r="D118" s="19"/>
      <c r="E118" s="20"/>
      <c r="F118" s="22"/>
      <c r="G118" s="36"/>
      <c r="H118" s="37"/>
      <c r="I118" s="37"/>
      <c r="J118" s="13"/>
      <c r="K118" s="18"/>
      <c r="L118" s="19"/>
      <c r="M118" s="19"/>
      <c r="N118" s="20"/>
      <c r="O118" s="22"/>
      <c r="P118" s="36"/>
      <c r="Q118" s="37"/>
      <c r="R118" s="37"/>
    </row>
    <row r="119" spans="1:18" x14ac:dyDescent="0.2">
      <c r="A119" s="13"/>
      <c r="B119" s="248" t="s">
        <v>42</v>
      </c>
      <c r="C119" s="249"/>
      <c r="D119" s="249"/>
      <c r="E119" s="250"/>
      <c r="F119" s="46"/>
      <c r="G119" s="46"/>
      <c r="H119" s="47"/>
      <c r="I119" s="47">
        <f>SUM(I106:I118)</f>
        <v>14</v>
      </c>
      <c r="J119" s="13"/>
      <c r="K119" s="248" t="s">
        <v>42</v>
      </c>
      <c r="L119" s="249"/>
      <c r="M119" s="249"/>
      <c r="N119" s="250"/>
      <c r="O119" s="46"/>
      <c r="P119" s="46"/>
      <c r="Q119" s="47"/>
      <c r="R119" s="47">
        <f>SUM(R106:R118)</f>
        <v>0</v>
      </c>
    </row>
    <row r="120" spans="1:18" x14ac:dyDescent="0.2">
      <c r="A120" s="12" t="s">
        <v>43</v>
      </c>
      <c r="B120" s="48" t="s">
        <v>44</v>
      </c>
      <c r="C120" s="43"/>
      <c r="D120" s="43"/>
      <c r="E120" s="39"/>
      <c r="F120" s="49"/>
      <c r="G120" s="49"/>
      <c r="H120" s="50"/>
      <c r="I120" s="51">
        <f>SUM(I101+I119)</f>
        <v>720.90881000000002</v>
      </c>
      <c r="J120" s="12" t="s">
        <v>43</v>
      </c>
      <c r="K120" s="48" t="s">
        <v>44</v>
      </c>
      <c r="L120" s="43"/>
      <c r="M120" s="43"/>
      <c r="N120" s="39"/>
      <c r="O120" s="49"/>
      <c r="P120" s="49"/>
      <c r="Q120" s="50"/>
      <c r="R120" s="51">
        <f>SUM(R101+R119)</f>
        <v>188.86535714285716</v>
      </c>
    </row>
    <row r="121" spans="1:18" x14ac:dyDescent="0.2">
      <c r="A121" s="13" t="s">
        <v>45</v>
      </c>
      <c r="B121" s="48" t="s">
        <v>46</v>
      </c>
      <c r="C121" s="43"/>
      <c r="D121" s="43"/>
      <c r="E121" s="39"/>
      <c r="F121" s="49"/>
      <c r="G121" s="52">
        <v>0.09</v>
      </c>
      <c r="H121" s="53" t="s">
        <v>47</v>
      </c>
      <c r="I121" s="51">
        <f>G121*I120</f>
        <v>64.881792899999994</v>
      </c>
      <c r="J121" s="13" t="s">
        <v>45</v>
      </c>
      <c r="K121" s="48" t="s">
        <v>46</v>
      </c>
      <c r="L121" s="43"/>
      <c r="M121" s="43"/>
      <c r="N121" s="39"/>
      <c r="O121" s="49"/>
      <c r="P121" s="52">
        <v>0.09</v>
      </c>
      <c r="Q121" s="53" t="s">
        <v>47</v>
      </c>
      <c r="R121" s="51">
        <f>P121*R120</f>
        <v>16.997882142857144</v>
      </c>
    </row>
    <row r="122" spans="1:18" x14ac:dyDescent="0.2">
      <c r="A122" s="13" t="s">
        <v>48</v>
      </c>
      <c r="B122" s="48" t="s">
        <v>49</v>
      </c>
      <c r="C122" s="43"/>
      <c r="D122" s="43"/>
      <c r="E122" s="39"/>
      <c r="F122" s="49"/>
      <c r="G122" s="52">
        <v>0.08</v>
      </c>
      <c r="H122" s="53" t="s">
        <v>47</v>
      </c>
      <c r="I122" s="51">
        <f>G122*I120</f>
        <v>57.672704800000005</v>
      </c>
      <c r="J122" s="13" t="s">
        <v>48</v>
      </c>
      <c r="K122" s="48" t="s">
        <v>49</v>
      </c>
      <c r="L122" s="43"/>
      <c r="M122" s="43"/>
      <c r="N122" s="39"/>
      <c r="O122" s="49"/>
      <c r="P122" s="52">
        <v>0.08</v>
      </c>
      <c r="Q122" s="53" t="s">
        <v>47</v>
      </c>
      <c r="R122" s="51">
        <f>P122*R120</f>
        <v>15.109228571428574</v>
      </c>
    </row>
    <row r="123" spans="1:18" x14ac:dyDescent="0.2">
      <c r="A123" s="13" t="s">
        <v>50</v>
      </c>
      <c r="B123" s="48" t="s">
        <v>51</v>
      </c>
      <c r="C123" s="43"/>
      <c r="D123" s="43"/>
      <c r="E123" s="39"/>
      <c r="F123" s="49"/>
      <c r="G123" s="52">
        <f>5/100</f>
        <v>0.05</v>
      </c>
      <c r="H123" s="53" t="s">
        <v>52</v>
      </c>
      <c r="I123" s="51">
        <f>G123*(I120+I121+I122)</f>
        <v>42.173165385000004</v>
      </c>
      <c r="J123" s="13" t="s">
        <v>50</v>
      </c>
      <c r="K123" s="48" t="s">
        <v>51</v>
      </c>
      <c r="L123" s="43"/>
      <c r="M123" s="43"/>
      <c r="N123" s="39"/>
      <c r="O123" s="49"/>
      <c r="P123" s="52">
        <f>5/100</f>
        <v>0.05</v>
      </c>
      <c r="Q123" s="53" t="s">
        <v>52</v>
      </c>
      <c r="R123" s="51">
        <f>P123*(R120+R121+R122)</f>
        <v>11.048623392857145</v>
      </c>
    </row>
    <row r="124" spans="1:18" x14ac:dyDescent="0.2">
      <c r="A124" s="54" t="s">
        <v>53</v>
      </c>
      <c r="B124" s="48" t="s">
        <v>54</v>
      </c>
      <c r="C124" s="43"/>
      <c r="D124" s="43"/>
      <c r="E124" s="39"/>
      <c r="F124" s="49"/>
      <c r="G124" s="49"/>
      <c r="H124" s="55" t="s">
        <v>55</v>
      </c>
      <c r="I124" s="51">
        <f>SUM(I120+I121+I122+I123)</f>
        <v>885.63647308500003</v>
      </c>
      <c r="J124" s="54" t="s">
        <v>53</v>
      </c>
      <c r="K124" s="48" t="s">
        <v>54</v>
      </c>
      <c r="L124" s="43"/>
      <c r="M124" s="43"/>
      <c r="N124" s="39"/>
      <c r="O124" s="49"/>
      <c r="P124" s="49"/>
      <c r="Q124" s="55" t="s">
        <v>55</v>
      </c>
      <c r="R124" s="51">
        <f>SUM(R120+R121+R122+R123)</f>
        <v>232.02109125000001</v>
      </c>
    </row>
    <row r="125" spans="1:18" s="1" customFormat="1" x14ac:dyDescent="0.2">
      <c r="A125" s="236" t="s">
        <v>0</v>
      </c>
      <c r="B125" s="236"/>
      <c r="C125" s="236"/>
      <c r="D125" s="236"/>
      <c r="E125" s="236"/>
      <c r="F125" s="236"/>
      <c r="G125" s="236"/>
      <c r="H125" s="236"/>
      <c r="I125" s="236"/>
      <c r="J125" s="236" t="s">
        <v>0</v>
      </c>
      <c r="K125" s="236"/>
      <c r="L125" s="236"/>
      <c r="M125" s="236"/>
      <c r="N125" s="236"/>
      <c r="O125" s="236"/>
      <c r="P125" s="236"/>
      <c r="Q125" s="236"/>
      <c r="R125" s="236"/>
    </row>
    <row r="127" spans="1:18" x14ac:dyDescent="0.2">
      <c r="A127" s="2" t="s">
        <v>1</v>
      </c>
      <c r="C127" s="4" t="s">
        <v>2</v>
      </c>
      <c r="D127" s="5" t="s">
        <v>84</v>
      </c>
      <c r="E127" s="237" t="s">
        <v>1180</v>
      </c>
      <c r="F127" s="237"/>
      <c r="G127" s="237"/>
      <c r="H127" s="237"/>
      <c r="J127" s="2" t="s">
        <v>1</v>
      </c>
      <c r="L127" s="4" t="s">
        <v>2</v>
      </c>
      <c r="M127" s="5" t="s">
        <v>68</v>
      </c>
      <c r="N127" s="237" t="s">
        <v>58</v>
      </c>
      <c r="O127" s="237"/>
      <c r="P127" s="237"/>
      <c r="Q127" s="237"/>
    </row>
    <row r="128" spans="1:18" x14ac:dyDescent="0.2">
      <c r="A128" s="2" t="s">
        <v>7</v>
      </c>
      <c r="C128" s="4" t="s">
        <v>2</v>
      </c>
      <c r="E128" s="2" t="s">
        <v>59</v>
      </c>
      <c r="F128" s="8"/>
      <c r="G128" s="8"/>
      <c r="H128" s="8"/>
      <c r="J128" s="2" t="s">
        <v>7</v>
      </c>
      <c r="L128" s="4" t="s">
        <v>2</v>
      </c>
      <c r="N128" s="2" t="s">
        <v>9</v>
      </c>
      <c r="O128" s="8"/>
      <c r="P128" s="8"/>
      <c r="Q128" s="8"/>
    </row>
    <row r="129" spans="1:18" x14ac:dyDescent="0.2">
      <c r="A129" s="2" t="s">
        <v>10</v>
      </c>
      <c r="C129" s="4" t="s">
        <v>2</v>
      </c>
      <c r="E129" s="9">
        <v>1</v>
      </c>
      <c r="F129" s="8"/>
      <c r="G129" s="8"/>
      <c r="H129" s="8"/>
      <c r="J129" s="2" t="s">
        <v>10</v>
      </c>
      <c r="L129" s="4" t="s">
        <v>2</v>
      </c>
      <c r="N129" s="9">
        <v>42</v>
      </c>
      <c r="O129" s="8"/>
      <c r="P129" s="8"/>
      <c r="Q129" s="8"/>
    </row>
    <row r="130" spans="1:18" x14ac:dyDescent="0.2">
      <c r="B130" s="8"/>
      <c r="F130" s="11"/>
      <c r="G130" s="8"/>
      <c r="H130" s="8"/>
      <c r="I130" s="8"/>
      <c r="K130" s="8"/>
      <c r="O130" s="11"/>
      <c r="P130" s="8"/>
      <c r="Q130" s="8"/>
      <c r="R130" s="8"/>
    </row>
    <row r="131" spans="1:18" x14ac:dyDescent="0.2">
      <c r="A131" s="12"/>
      <c r="B131" s="238" t="s">
        <v>11</v>
      </c>
      <c r="C131" s="239"/>
      <c r="D131" s="239"/>
      <c r="E131" s="240"/>
      <c r="F131" s="244" t="s">
        <v>12</v>
      </c>
      <c r="G131" s="244" t="s">
        <v>13</v>
      </c>
      <c r="H131" s="244" t="s">
        <v>14</v>
      </c>
      <c r="I131" s="246" t="s">
        <v>15</v>
      </c>
      <c r="J131" s="12"/>
      <c r="K131" s="238" t="s">
        <v>11</v>
      </c>
      <c r="L131" s="239"/>
      <c r="M131" s="239"/>
      <c r="N131" s="240"/>
      <c r="O131" s="244" t="s">
        <v>12</v>
      </c>
      <c r="P131" s="244" t="s">
        <v>13</v>
      </c>
      <c r="Q131" s="244" t="s">
        <v>14</v>
      </c>
      <c r="R131" s="246" t="s">
        <v>15</v>
      </c>
    </row>
    <row r="132" spans="1:18" x14ac:dyDescent="0.2">
      <c r="A132" s="13"/>
      <c r="B132" s="241"/>
      <c r="C132" s="242"/>
      <c r="D132" s="242"/>
      <c r="E132" s="243"/>
      <c r="F132" s="245"/>
      <c r="G132" s="245"/>
      <c r="H132" s="245"/>
      <c r="I132" s="247"/>
      <c r="J132" s="13"/>
      <c r="K132" s="241"/>
      <c r="L132" s="242"/>
      <c r="M132" s="242"/>
      <c r="N132" s="243"/>
      <c r="O132" s="245"/>
      <c r="P132" s="245"/>
      <c r="Q132" s="245"/>
      <c r="R132" s="247"/>
    </row>
    <row r="133" spans="1:18" x14ac:dyDescent="0.2">
      <c r="A133" s="13" t="s">
        <v>16</v>
      </c>
      <c r="B133" s="14" t="s">
        <v>17</v>
      </c>
      <c r="C133" s="15"/>
      <c r="D133" s="15"/>
      <c r="E133" s="16"/>
      <c r="F133" s="17"/>
      <c r="G133" s="17"/>
      <c r="H133" s="17"/>
      <c r="I133" s="17"/>
      <c r="J133" s="13" t="s">
        <v>16</v>
      </c>
      <c r="K133" s="14" t="s">
        <v>17</v>
      </c>
      <c r="L133" s="15"/>
      <c r="M133" s="15"/>
      <c r="N133" s="16"/>
      <c r="O133" s="17"/>
      <c r="P133" s="17"/>
      <c r="Q133" s="17"/>
      <c r="R133" s="17"/>
    </row>
    <row r="134" spans="1:18" x14ac:dyDescent="0.2">
      <c r="A134" s="13"/>
      <c r="B134" s="18"/>
      <c r="C134" s="19"/>
      <c r="D134" s="19"/>
      <c r="E134" s="20"/>
      <c r="F134" s="21"/>
      <c r="G134" s="22"/>
      <c r="H134" s="21"/>
      <c r="I134" s="21"/>
      <c r="J134" s="13"/>
      <c r="K134" s="18"/>
      <c r="L134" s="19"/>
      <c r="M134" s="19"/>
      <c r="N134" s="20"/>
      <c r="O134" s="21"/>
      <c r="P134" s="22"/>
      <c r="Q134" s="21"/>
      <c r="R134" s="21"/>
    </row>
    <row r="135" spans="1:18" x14ac:dyDescent="0.2">
      <c r="A135" s="13"/>
      <c r="B135" s="24" t="s">
        <v>18</v>
      </c>
      <c r="C135" s="25"/>
      <c r="D135" s="25"/>
      <c r="E135" s="26"/>
      <c r="F135" s="22">
        <v>1</v>
      </c>
      <c r="G135" s="22">
        <v>0.67</v>
      </c>
      <c r="H135" s="23">
        <v>69.42</v>
      </c>
      <c r="I135" s="23">
        <f>G135*H135*F135</f>
        <v>46.511400000000002</v>
      </c>
      <c r="J135" s="13"/>
      <c r="K135" s="24" t="s">
        <v>18</v>
      </c>
      <c r="L135" s="25"/>
      <c r="M135" s="25"/>
      <c r="N135" s="26"/>
      <c r="O135" s="22">
        <v>1</v>
      </c>
      <c r="P135" s="62">
        <v>1</v>
      </c>
      <c r="Q135" s="23">
        <v>69.42</v>
      </c>
      <c r="R135" s="23">
        <f>P135*Q135*O135</f>
        <v>69.42</v>
      </c>
    </row>
    <row r="136" spans="1:18" x14ac:dyDescent="0.2">
      <c r="A136" s="13"/>
      <c r="B136" s="257" t="s">
        <v>1178</v>
      </c>
      <c r="C136" s="258"/>
      <c r="D136" s="25"/>
      <c r="E136" s="26"/>
      <c r="F136" s="22">
        <v>1</v>
      </c>
      <c r="G136" s="22">
        <v>0.67</v>
      </c>
      <c r="H136" s="23">
        <v>50.18</v>
      </c>
      <c r="I136" s="23">
        <f>G136*H136*F136</f>
        <v>33.620600000000003</v>
      </c>
      <c r="J136" s="13"/>
      <c r="K136" s="24" t="s">
        <v>1179</v>
      </c>
      <c r="L136" s="25"/>
      <c r="M136" s="25"/>
      <c r="N136" s="26"/>
      <c r="O136" s="22">
        <v>2</v>
      </c>
      <c r="P136" s="62">
        <v>1</v>
      </c>
      <c r="Q136" s="23">
        <v>38.97</v>
      </c>
      <c r="R136" s="23">
        <f>P136*Q136*O136</f>
        <v>77.94</v>
      </c>
    </row>
    <row r="137" spans="1:18" x14ac:dyDescent="0.2">
      <c r="A137" s="13"/>
      <c r="B137" s="257" t="s">
        <v>1177</v>
      </c>
      <c r="C137" s="258"/>
      <c r="D137" s="19"/>
      <c r="E137" s="20"/>
      <c r="F137" s="22">
        <v>2</v>
      </c>
      <c r="G137" s="22">
        <v>0.67</v>
      </c>
      <c r="H137" s="23">
        <v>38.97</v>
      </c>
      <c r="I137" s="23">
        <f>G137*H137*F137</f>
        <v>52.219799999999999</v>
      </c>
      <c r="J137" s="13"/>
      <c r="K137" s="27"/>
      <c r="L137" s="19"/>
      <c r="M137" s="19"/>
      <c r="N137" s="20"/>
      <c r="O137" s="22"/>
      <c r="P137" s="62"/>
      <c r="Q137" s="28"/>
      <c r="R137" s="23"/>
    </row>
    <row r="138" spans="1:18" x14ac:dyDescent="0.2">
      <c r="A138" s="13"/>
      <c r="B138" s="27"/>
      <c r="C138" s="19"/>
      <c r="D138" s="19"/>
      <c r="E138" s="20"/>
      <c r="F138" s="22"/>
      <c r="G138" s="22"/>
      <c r="H138" s="29"/>
      <c r="I138" s="30"/>
      <c r="J138" s="13"/>
      <c r="K138" s="27"/>
      <c r="L138" s="19"/>
      <c r="M138" s="19"/>
      <c r="N138" s="20"/>
      <c r="O138" s="22"/>
      <c r="P138" s="22"/>
      <c r="Q138" s="29"/>
      <c r="R138" s="30"/>
    </row>
    <row r="139" spans="1:18" x14ac:dyDescent="0.2">
      <c r="A139" s="13"/>
      <c r="B139" s="27"/>
      <c r="C139" s="19"/>
      <c r="D139" s="19"/>
      <c r="E139" s="20"/>
      <c r="F139" s="22"/>
      <c r="G139" s="22"/>
      <c r="H139" s="29"/>
      <c r="I139" s="30"/>
      <c r="J139" s="13"/>
      <c r="K139" s="27"/>
      <c r="L139" s="19"/>
      <c r="M139" s="19"/>
      <c r="N139" s="20"/>
      <c r="O139" s="22"/>
      <c r="P139" s="22"/>
      <c r="Q139" s="29"/>
      <c r="R139" s="30"/>
    </row>
    <row r="140" spans="1:18" x14ac:dyDescent="0.2">
      <c r="A140" s="13"/>
      <c r="B140" s="18"/>
      <c r="C140" s="19"/>
      <c r="D140" s="19"/>
      <c r="E140" s="20"/>
      <c r="F140" s="22"/>
      <c r="G140" s="22"/>
      <c r="H140" s="28"/>
      <c r="I140" s="23"/>
      <c r="J140" s="13"/>
      <c r="K140" s="18"/>
      <c r="L140" s="19"/>
      <c r="M140" s="19"/>
      <c r="N140" s="20"/>
      <c r="O140" s="22"/>
      <c r="P140" s="22"/>
      <c r="Q140" s="28"/>
      <c r="R140" s="23"/>
    </row>
    <row r="141" spans="1:18" x14ac:dyDescent="0.2">
      <c r="A141" s="13"/>
      <c r="B141" s="18"/>
      <c r="C141" s="19"/>
      <c r="D141" s="19"/>
      <c r="E141" s="20"/>
      <c r="F141" s="22"/>
      <c r="G141" s="22"/>
      <c r="H141" s="23"/>
      <c r="I141" s="23"/>
      <c r="J141" s="13"/>
      <c r="K141" s="18"/>
      <c r="L141" s="19"/>
      <c r="M141" s="19"/>
      <c r="N141" s="20"/>
      <c r="O141" s="22"/>
      <c r="P141" s="22"/>
      <c r="Q141" s="23"/>
      <c r="R141" s="23"/>
    </row>
    <row r="142" spans="1:18" x14ac:dyDescent="0.2">
      <c r="A142" s="13"/>
      <c r="B142" s="248" t="s">
        <v>20</v>
      </c>
      <c r="C142" s="249"/>
      <c r="D142" s="249"/>
      <c r="E142" s="250"/>
      <c r="F142" s="31"/>
      <c r="G142" s="31"/>
      <c r="H142" s="32"/>
      <c r="I142" s="32">
        <f>SUM(I135:I141)</f>
        <v>132.3518</v>
      </c>
      <c r="J142" s="13"/>
      <c r="K142" s="248" t="s">
        <v>20</v>
      </c>
      <c r="L142" s="249"/>
      <c r="M142" s="249"/>
      <c r="N142" s="250"/>
      <c r="O142" s="31"/>
      <c r="P142" s="31"/>
      <c r="Q142" s="32"/>
      <c r="R142" s="32">
        <f>SUM(R135:R141)</f>
        <v>147.36000000000001</v>
      </c>
    </row>
    <row r="143" spans="1:18" x14ac:dyDescent="0.2">
      <c r="A143" s="12"/>
      <c r="B143" s="251" t="s">
        <v>21</v>
      </c>
      <c r="C143" s="252"/>
      <c r="D143" s="252"/>
      <c r="E143" s="253"/>
      <c r="F143" s="244" t="s">
        <v>22</v>
      </c>
      <c r="G143" s="244" t="s">
        <v>13</v>
      </c>
      <c r="H143" s="244" t="s">
        <v>14</v>
      </c>
      <c r="I143" s="246" t="s">
        <v>15</v>
      </c>
      <c r="J143" s="12"/>
      <c r="K143" s="251" t="s">
        <v>21</v>
      </c>
      <c r="L143" s="252"/>
      <c r="M143" s="252"/>
      <c r="N143" s="253"/>
      <c r="O143" s="244" t="s">
        <v>22</v>
      </c>
      <c r="P143" s="244" t="s">
        <v>13</v>
      </c>
      <c r="Q143" s="244" t="s">
        <v>14</v>
      </c>
      <c r="R143" s="246" t="s">
        <v>15</v>
      </c>
    </row>
    <row r="144" spans="1:18" x14ac:dyDescent="0.2">
      <c r="A144" s="13"/>
      <c r="B144" s="254"/>
      <c r="C144" s="255"/>
      <c r="D144" s="255"/>
      <c r="E144" s="256"/>
      <c r="F144" s="245"/>
      <c r="G144" s="245"/>
      <c r="H144" s="245"/>
      <c r="I144" s="247"/>
      <c r="J144" s="13"/>
      <c r="K144" s="254"/>
      <c r="L144" s="255"/>
      <c r="M144" s="255"/>
      <c r="N144" s="256"/>
      <c r="O144" s="245"/>
      <c r="P144" s="245"/>
      <c r="Q144" s="245"/>
      <c r="R144" s="247"/>
    </row>
    <row r="145" spans="1:18" x14ac:dyDescent="0.2">
      <c r="A145" s="13" t="s">
        <v>23</v>
      </c>
      <c r="B145" s="33" t="s">
        <v>24</v>
      </c>
      <c r="C145" s="15"/>
      <c r="D145" s="15"/>
      <c r="E145" s="16"/>
      <c r="F145" s="34"/>
      <c r="G145" s="34"/>
      <c r="H145" s="35"/>
      <c r="I145" s="35"/>
      <c r="J145" s="13" t="s">
        <v>23</v>
      </c>
      <c r="K145" s="33" t="s">
        <v>24</v>
      </c>
      <c r="L145" s="15"/>
      <c r="M145" s="15"/>
      <c r="N145" s="16"/>
      <c r="O145" s="34"/>
      <c r="P145" s="34"/>
      <c r="Q145" s="35"/>
      <c r="R145" s="35"/>
    </row>
    <row r="146" spans="1:18" x14ac:dyDescent="0.2">
      <c r="A146" s="13"/>
      <c r="B146" s="18"/>
      <c r="C146" s="19"/>
      <c r="D146" s="19"/>
      <c r="E146" s="20"/>
      <c r="F146" s="22"/>
      <c r="G146" s="22"/>
      <c r="H146" s="23"/>
      <c r="I146" s="23"/>
      <c r="J146" s="13"/>
      <c r="K146" s="18"/>
      <c r="L146" s="19"/>
      <c r="M146" s="19"/>
      <c r="N146" s="20"/>
      <c r="O146" s="22"/>
      <c r="P146" s="22"/>
      <c r="Q146" s="23"/>
      <c r="R146" s="23"/>
    </row>
    <row r="147" spans="1:18" x14ac:dyDescent="0.2">
      <c r="A147" s="13"/>
      <c r="B147" s="18" t="s">
        <v>62</v>
      </c>
      <c r="C147" s="19"/>
      <c r="D147" s="19"/>
      <c r="E147" s="20"/>
      <c r="F147" s="22">
        <v>1</v>
      </c>
      <c r="G147" s="23">
        <v>0.5</v>
      </c>
      <c r="H147" s="37">
        <v>1537</v>
      </c>
      <c r="I147" s="37">
        <f>G147*H147*F147</f>
        <v>768.5</v>
      </c>
      <c r="J147" s="13"/>
      <c r="K147" s="18" t="s">
        <v>1196</v>
      </c>
      <c r="L147" s="19"/>
      <c r="M147" s="19"/>
      <c r="N147" s="20"/>
      <c r="O147" s="22">
        <v>1</v>
      </c>
      <c r="P147" s="23">
        <v>1</v>
      </c>
      <c r="Q147" s="37">
        <v>3885.85</v>
      </c>
      <c r="R147" s="37">
        <f>P147*Q147*O147</f>
        <v>3885.85</v>
      </c>
    </row>
    <row r="148" spans="1:18" x14ac:dyDescent="0.2">
      <c r="A148" s="13"/>
      <c r="B148" s="18" t="s">
        <v>1132</v>
      </c>
      <c r="C148" s="19"/>
      <c r="D148" s="19"/>
      <c r="E148" s="20"/>
      <c r="F148" s="22">
        <v>1</v>
      </c>
      <c r="G148" s="23">
        <v>0.33</v>
      </c>
      <c r="H148" s="37">
        <v>1420</v>
      </c>
      <c r="I148" s="37">
        <f>G148*H148*F148</f>
        <v>468.6</v>
      </c>
      <c r="J148" s="13"/>
      <c r="K148" s="18" t="s">
        <v>221</v>
      </c>
      <c r="L148" s="19"/>
      <c r="M148" s="19"/>
      <c r="N148" s="20"/>
      <c r="O148" s="22">
        <v>1</v>
      </c>
      <c r="P148" s="23">
        <v>1</v>
      </c>
      <c r="Q148" s="37">
        <v>1733</v>
      </c>
      <c r="R148" s="37">
        <f>P148*Q148*O148</f>
        <v>1733</v>
      </c>
    </row>
    <row r="149" spans="1:18" x14ac:dyDescent="0.2">
      <c r="A149" s="13"/>
      <c r="B149" s="56" t="s">
        <v>63</v>
      </c>
      <c r="C149" s="57"/>
      <c r="D149" s="57"/>
      <c r="E149" s="58"/>
      <c r="F149" s="59">
        <v>1</v>
      </c>
      <c r="G149" s="60">
        <v>0.33</v>
      </c>
      <c r="H149" s="37">
        <v>75.36</v>
      </c>
      <c r="I149" s="61">
        <f>G149*H149*F149</f>
        <v>24.8688</v>
      </c>
      <c r="J149" s="13"/>
      <c r="K149" s="18" t="s">
        <v>26</v>
      </c>
      <c r="L149" s="19"/>
      <c r="M149" s="19"/>
      <c r="N149" s="20"/>
      <c r="O149" s="22">
        <v>1</v>
      </c>
      <c r="P149" s="23">
        <v>0.2</v>
      </c>
      <c r="Q149" s="37">
        <v>1733</v>
      </c>
      <c r="R149" s="37">
        <f>P149*Q149*O149</f>
        <v>346.6</v>
      </c>
    </row>
    <row r="150" spans="1:18" x14ac:dyDescent="0.2">
      <c r="A150" s="13"/>
      <c r="B150" s="18" t="s">
        <v>1195</v>
      </c>
      <c r="F150" s="22"/>
      <c r="G150" s="36"/>
      <c r="H150" s="37"/>
      <c r="I150" s="37">
        <f>I142*0.05</f>
        <v>6.6175899999999999</v>
      </c>
      <c r="J150" s="13"/>
      <c r="K150" s="18" t="s">
        <v>1140</v>
      </c>
      <c r="L150" s="19"/>
      <c r="M150" s="19"/>
      <c r="N150" s="20"/>
      <c r="O150" s="22">
        <v>2</v>
      </c>
      <c r="P150" s="23">
        <v>1</v>
      </c>
      <c r="Q150" s="37">
        <v>1420</v>
      </c>
      <c r="R150" s="37">
        <f>P150*Q150*O150</f>
        <v>2840</v>
      </c>
    </row>
    <row r="151" spans="1:18" x14ac:dyDescent="0.2">
      <c r="A151" s="13"/>
      <c r="B151" s="18"/>
      <c r="C151" s="19"/>
      <c r="D151" s="19"/>
      <c r="E151" s="20"/>
      <c r="F151" s="22"/>
      <c r="G151" s="36"/>
      <c r="H151" s="37"/>
      <c r="I151" s="37"/>
      <c r="J151" s="13"/>
      <c r="K151" s="18"/>
      <c r="O151" s="22"/>
      <c r="P151" s="36"/>
      <c r="Q151" s="37"/>
      <c r="R151" s="37"/>
    </row>
    <row r="152" spans="1:18" ht="15" customHeight="1" x14ac:dyDescent="0.2">
      <c r="A152" s="13"/>
      <c r="B152" s="266" t="s">
        <v>65</v>
      </c>
      <c r="C152" s="267"/>
      <c r="D152" s="267"/>
      <c r="E152" s="268"/>
      <c r="F152" s="22"/>
      <c r="G152" s="36"/>
      <c r="H152" s="38"/>
      <c r="I152" s="38"/>
      <c r="J152" s="13"/>
      <c r="K152" s="18" t="s">
        <v>27</v>
      </c>
      <c r="L152" s="19"/>
      <c r="M152" s="19"/>
      <c r="N152" s="20"/>
      <c r="O152" s="22"/>
      <c r="P152" s="36"/>
      <c r="Q152" s="37"/>
      <c r="R152" s="37"/>
    </row>
    <row r="153" spans="1:18" x14ac:dyDescent="0.2">
      <c r="A153" s="13"/>
      <c r="B153" s="266"/>
      <c r="C153" s="267"/>
      <c r="D153" s="267"/>
      <c r="E153" s="268"/>
      <c r="F153" s="22"/>
      <c r="G153" s="36"/>
      <c r="H153" s="38"/>
      <c r="I153" s="38"/>
      <c r="J153" s="13"/>
      <c r="K153" s="18"/>
      <c r="L153" s="19"/>
      <c r="M153" s="19"/>
      <c r="N153" s="20"/>
      <c r="O153" s="22"/>
      <c r="P153" s="36"/>
      <c r="Q153" s="38"/>
      <c r="R153" s="38"/>
    </row>
    <row r="154" spans="1:18" x14ac:dyDescent="0.2">
      <c r="A154" s="13"/>
      <c r="B154" s="18"/>
      <c r="C154" s="19"/>
      <c r="D154" s="19"/>
      <c r="E154" s="20"/>
      <c r="F154" s="22"/>
      <c r="G154" s="36"/>
      <c r="H154" s="38"/>
      <c r="I154" s="38"/>
      <c r="J154" s="13"/>
      <c r="K154" s="18"/>
      <c r="L154" s="19"/>
      <c r="M154" s="19"/>
      <c r="N154" s="20"/>
      <c r="O154" s="22"/>
      <c r="P154" s="36"/>
      <c r="Q154" s="38"/>
      <c r="R154" s="38"/>
    </row>
    <row r="155" spans="1:18" x14ac:dyDescent="0.2">
      <c r="A155" s="13"/>
      <c r="B155" s="18"/>
      <c r="C155" s="19"/>
      <c r="D155" s="19"/>
      <c r="E155" s="20"/>
      <c r="F155" s="22"/>
      <c r="G155" s="36"/>
      <c r="H155" s="38"/>
      <c r="I155" s="38"/>
      <c r="J155" s="13"/>
      <c r="K155" s="18"/>
      <c r="L155" s="19"/>
      <c r="M155" s="19"/>
      <c r="N155" s="20"/>
      <c r="O155" s="22"/>
      <c r="P155" s="36"/>
      <c r="Q155" s="38"/>
      <c r="R155" s="38"/>
    </row>
    <row r="156" spans="1:18" x14ac:dyDescent="0.2">
      <c r="A156" s="13"/>
      <c r="B156" s="18"/>
      <c r="C156" s="19"/>
      <c r="D156" s="19"/>
      <c r="E156" s="20"/>
      <c r="F156" s="22"/>
      <c r="G156" s="36"/>
      <c r="H156" s="37"/>
      <c r="I156" s="37"/>
      <c r="J156" s="13"/>
      <c r="K156" s="18"/>
      <c r="L156" s="19"/>
      <c r="M156" s="19"/>
      <c r="N156" s="20"/>
      <c r="O156" s="22"/>
      <c r="P156" s="36"/>
      <c r="Q156" s="38"/>
      <c r="R156" s="38"/>
    </row>
    <row r="157" spans="1:18" x14ac:dyDescent="0.2">
      <c r="A157" s="13"/>
      <c r="B157" s="18"/>
      <c r="C157" s="19"/>
      <c r="D157" s="19"/>
      <c r="E157" s="20"/>
      <c r="F157" s="22"/>
      <c r="G157" s="36"/>
      <c r="H157" s="37"/>
      <c r="I157" s="37"/>
      <c r="J157" s="13"/>
      <c r="K157" s="18"/>
      <c r="L157" s="19"/>
      <c r="M157" s="19"/>
      <c r="N157" s="20"/>
      <c r="O157" s="22"/>
      <c r="P157" s="36"/>
      <c r="Q157" s="37"/>
      <c r="R157" s="37"/>
    </row>
    <row r="158" spans="1:18" x14ac:dyDescent="0.2">
      <c r="A158" s="13"/>
      <c r="B158" s="18"/>
      <c r="C158" s="19"/>
      <c r="D158" s="19"/>
      <c r="E158" s="20"/>
      <c r="F158" s="22"/>
      <c r="G158" s="36"/>
      <c r="H158" s="37"/>
      <c r="I158" s="37"/>
      <c r="J158" s="13"/>
      <c r="K158" s="18"/>
      <c r="L158" s="19"/>
      <c r="M158" s="19"/>
      <c r="N158" s="20"/>
      <c r="O158" s="22"/>
      <c r="P158" s="36"/>
      <c r="Q158" s="37"/>
      <c r="R158" s="37"/>
    </row>
    <row r="159" spans="1:18" x14ac:dyDescent="0.2">
      <c r="A159" s="13"/>
      <c r="B159" s="18"/>
      <c r="C159" s="19"/>
      <c r="D159" s="19"/>
      <c r="E159" s="20"/>
      <c r="F159" s="22"/>
      <c r="G159" s="22"/>
      <c r="H159" s="23"/>
      <c r="I159" s="23"/>
      <c r="J159" s="13"/>
      <c r="K159" s="18"/>
      <c r="L159" s="19"/>
      <c r="M159" s="19"/>
      <c r="N159" s="20"/>
      <c r="O159" s="22"/>
      <c r="P159" s="22"/>
      <c r="Q159" s="23"/>
      <c r="R159" s="23"/>
    </row>
    <row r="160" spans="1:18" x14ac:dyDescent="0.2">
      <c r="A160" s="13"/>
      <c r="B160" s="248" t="s">
        <v>30</v>
      </c>
      <c r="C160" s="249"/>
      <c r="D160" s="249"/>
      <c r="E160" s="250"/>
      <c r="F160" s="22"/>
      <c r="G160" s="22"/>
      <c r="H160" s="23"/>
      <c r="I160" s="23">
        <f>SUM(I147:I159)</f>
        <v>1268.5863899999999</v>
      </c>
      <c r="J160" s="13"/>
      <c r="K160" s="248" t="s">
        <v>30</v>
      </c>
      <c r="L160" s="249"/>
      <c r="M160" s="249"/>
      <c r="N160" s="250"/>
      <c r="O160" s="22"/>
      <c r="P160" s="22"/>
      <c r="Q160" s="23"/>
      <c r="R160" s="23">
        <f>SUM(R147:R159)</f>
        <v>8805.4500000000007</v>
      </c>
    </row>
    <row r="161" spans="1:18" x14ac:dyDescent="0.2">
      <c r="A161" s="12" t="s">
        <v>31</v>
      </c>
      <c r="B161" s="260" t="s">
        <v>32</v>
      </c>
      <c r="C161" s="261"/>
      <c r="D161" s="261"/>
      <c r="E161" s="261"/>
      <c r="F161" s="39"/>
      <c r="G161" s="39"/>
      <c r="H161" s="40"/>
      <c r="I161" s="41">
        <f>SUM(I160+I142)</f>
        <v>1400.9381899999998</v>
      </c>
      <c r="J161" s="12" t="s">
        <v>31</v>
      </c>
      <c r="K161" s="260" t="s">
        <v>32</v>
      </c>
      <c r="L161" s="261"/>
      <c r="M161" s="261"/>
      <c r="N161" s="261"/>
      <c r="O161" s="39"/>
      <c r="P161" s="39"/>
      <c r="Q161" s="40"/>
      <c r="R161" s="41">
        <f>SUM(R160+R142)</f>
        <v>8952.8100000000013</v>
      </c>
    </row>
    <row r="162" spans="1:18" x14ac:dyDescent="0.2">
      <c r="A162" s="13" t="s">
        <v>33</v>
      </c>
      <c r="B162" s="269">
        <f>E129</f>
        <v>1</v>
      </c>
      <c r="C162" s="270"/>
      <c r="D162" s="270"/>
      <c r="E162" s="270"/>
      <c r="F162" s="270"/>
      <c r="G162" s="270"/>
      <c r="H162" s="40"/>
      <c r="I162" s="41"/>
      <c r="J162" s="13" t="s">
        <v>33</v>
      </c>
      <c r="K162" s="264">
        <f>N129</f>
        <v>42</v>
      </c>
      <c r="L162" s="265"/>
      <c r="M162" s="265"/>
      <c r="N162" s="265"/>
      <c r="O162" s="265"/>
      <c r="P162" s="265"/>
      <c r="Q162" s="40"/>
      <c r="R162" s="41"/>
    </row>
    <row r="163" spans="1:18" x14ac:dyDescent="0.2">
      <c r="A163" s="13" t="s">
        <v>34</v>
      </c>
      <c r="B163" s="42" t="s">
        <v>35</v>
      </c>
      <c r="C163" s="43"/>
      <c r="D163" s="43"/>
      <c r="E163" s="39"/>
      <c r="F163" s="44"/>
      <c r="G163" s="44"/>
      <c r="H163" s="40"/>
      <c r="I163" s="41">
        <f>I161/E129</f>
        <v>1400.9381899999998</v>
      </c>
      <c r="J163" s="13" t="s">
        <v>34</v>
      </c>
      <c r="K163" s="42" t="s">
        <v>35</v>
      </c>
      <c r="L163" s="43"/>
      <c r="M163" s="43"/>
      <c r="N163" s="39"/>
      <c r="O163" s="44"/>
      <c r="P163" s="44"/>
      <c r="Q163" s="40"/>
      <c r="R163" s="41">
        <f>R161/N129</f>
        <v>213.1621428571429</v>
      </c>
    </row>
    <row r="164" spans="1:18" x14ac:dyDescent="0.2">
      <c r="A164" s="12"/>
      <c r="B164" s="251" t="s">
        <v>36</v>
      </c>
      <c r="C164" s="252"/>
      <c r="D164" s="252"/>
      <c r="E164" s="253"/>
      <c r="F164" s="244" t="s">
        <v>37</v>
      </c>
      <c r="G164" s="244" t="s">
        <v>38</v>
      </c>
      <c r="H164" s="244" t="s">
        <v>39</v>
      </c>
      <c r="I164" s="246" t="s">
        <v>15</v>
      </c>
      <c r="J164" s="12"/>
      <c r="K164" s="251" t="s">
        <v>36</v>
      </c>
      <c r="L164" s="252"/>
      <c r="M164" s="252"/>
      <c r="N164" s="253"/>
      <c r="O164" s="244" t="s">
        <v>37</v>
      </c>
      <c r="P164" s="244" t="s">
        <v>38</v>
      </c>
      <c r="Q164" s="244" t="s">
        <v>39</v>
      </c>
      <c r="R164" s="246" t="s">
        <v>15</v>
      </c>
    </row>
    <row r="165" spans="1:18" x14ac:dyDescent="0.2">
      <c r="A165" s="13"/>
      <c r="B165" s="254"/>
      <c r="C165" s="255"/>
      <c r="D165" s="255"/>
      <c r="E165" s="256"/>
      <c r="F165" s="245"/>
      <c r="G165" s="245"/>
      <c r="H165" s="245"/>
      <c r="I165" s="247"/>
      <c r="J165" s="13"/>
      <c r="K165" s="254"/>
      <c r="L165" s="255"/>
      <c r="M165" s="255"/>
      <c r="N165" s="256"/>
      <c r="O165" s="245"/>
      <c r="P165" s="245"/>
      <c r="Q165" s="245"/>
      <c r="R165" s="247"/>
    </row>
    <row r="166" spans="1:18" x14ac:dyDescent="0.2">
      <c r="A166" s="13" t="s">
        <v>40</v>
      </c>
      <c r="B166" s="18" t="s">
        <v>41</v>
      </c>
      <c r="C166" s="19"/>
      <c r="D166" s="19"/>
      <c r="E166" s="20"/>
      <c r="F166" s="22"/>
      <c r="G166" s="22"/>
      <c r="H166" s="23"/>
      <c r="I166" s="23"/>
      <c r="J166" s="13" t="s">
        <v>40</v>
      </c>
      <c r="K166" s="18" t="s">
        <v>41</v>
      </c>
      <c r="L166" s="19"/>
      <c r="M166" s="19"/>
      <c r="N166" s="20"/>
      <c r="O166" s="22"/>
      <c r="P166" s="22"/>
      <c r="Q166" s="23"/>
      <c r="R166" s="23"/>
    </row>
    <row r="167" spans="1:18" x14ac:dyDescent="0.2">
      <c r="A167" s="13"/>
      <c r="B167" s="18"/>
      <c r="C167" s="19"/>
      <c r="D167" s="19"/>
      <c r="E167" s="20"/>
      <c r="F167" s="22"/>
      <c r="G167" s="22"/>
      <c r="H167" s="23"/>
      <c r="I167" s="23"/>
      <c r="J167" s="13"/>
      <c r="K167" s="18"/>
      <c r="L167" s="19"/>
      <c r="M167" s="19"/>
      <c r="N167" s="20"/>
      <c r="O167" s="22"/>
      <c r="P167" s="22"/>
      <c r="Q167" s="23"/>
      <c r="R167" s="23"/>
    </row>
    <row r="168" spans="1:18" x14ac:dyDescent="0.2">
      <c r="A168" s="13"/>
      <c r="B168" s="18" t="s">
        <v>1133</v>
      </c>
      <c r="C168" s="19"/>
      <c r="D168" s="19"/>
      <c r="E168" s="20"/>
      <c r="F168" s="22" t="s">
        <v>66</v>
      </c>
      <c r="G168" s="62">
        <v>20</v>
      </c>
      <c r="H168" s="107">
        <v>3.5</v>
      </c>
      <c r="I168" s="23">
        <f>G168*H168/5</f>
        <v>14</v>
      </c>
      <c r="J168" s="13"/>
      <c r="K168" s="18"/>
      <c r="L168" s="19"/>
      <c r="M168" s="19"/>
      <c r="N168" s="20"/>
      <c r="O168" s="22"/>
      <c r="P168" s="22"/>
      <c r="Q168" s="23"/>
      <c r="R168" s="23"/>
    </row>
    <row r="169" spans="1:18" x14ac:dyDescent="0.2">
      <c r="A169" s="13"/>
      <c r="B169" s="18"/>
      <c r="C169" s="19"/>
      <c r="D169" s="19"/>
      <c r="E169" s="20"/>
      <c r="F169" s="22"/>
      <c r="G169" s="22"/>
      <c r="H169" s="23"/>
      <c r="I169" s="23"/>
      <c r="J169" s="13"/>
      <c r="K169" s="18"/>
      <c r="L169" s="19"/>
      <c r="M169" s="19"/>
      <c r="N169" s="20"/>
      <c r="O169" s="22"/>
      <c r="P169" s="22"/>
      <c r="Q169" s="23"/>
      <c r="R169" s="23"/>
    </row>
    <row r="170" spans="1:18" x14ac:dyDescent="0.2">
      <c r="A170" s="13"/>
      <c r="B170" s="18"/>
      <c r="C170" s="19"/>
      <c r="D170" s="19"/>
      <c r="E170" s="20"/>
      <c r="F170" s="22"/>
      <c r="G170" s="22"/>
      <c r="H170" s="38"/>
      <c r="I170" s="38"/>
      <c r="J170" s="13"/>
      <c r="K170" s="18"/>
      <c r="L170" s="19"/>
      <c r="M170" s="19"/>
      <c r="N170" s="20"/>
      <c r="O170" s="22"/>
      <c r="P170" s="22"/>
      <c r="Q170" s="38"/>
      <c r="R170" s="38"/>
    </row>
    <row r="171" spans="1:18" x14ac:dyDescent="0.2">
      <c r="A171" s="13"/>
      <c r="B171" s="18"/>
      <c r="C171" s="19"/>
      <c r="D171" s="19"/>
      <c r="E171" s="20"/>
      <c r="F171" s="22"/>
      <c r="G171" s="22"/>
      <c r="H171" s="38"/>
      <c r="I171" s="38"/>
      <c r="J171" s="13"/>
      <c r="K171" s="18"/>
      <c r="L171" s="19"/>
      <c r="M171" s="19"/>
      <c r="N171" s="20"/>
      <c r="O171" s="22"/>
      <c r="P171" s="22"/>
      <c r="Q171" s="38"/>
      <c r="R171" s="38"/>
    </row>
    <row r="172" spans="1:18" x14ac:dyDescent="0.2">
      <c r="A172" s="13"/>
      <c r="B172" s="18"/>
      <c r="C172" s="19"/>
      <c r="D172" s="19"/>
      <c r="E172" s="20"/>
      <c r="F172" s="22"/>
      <c r="G172" s="22"/>
      <c r="H172" s="45"/>
      <c r="I172" s="45"/>
      <c r="J172" s="13"/>
      <c r="K172" s="18"/>
      <c r="L172" s="19"/>
      <c r="M172" s="19"/>
      <c r="N172" s="20"/>
      <c r="O172" s="22"/>
      <c r="P172" s="22"/>
      <c r="Q172" s="45"/>
      <c r="R172" s="45"/>
    </row>
    <row r="173" spans="1:18" x14ac:dyDescent="0.2">
      <c r="A173" s="13"/>
      <c r="B173" s="18"/>
      <c r="C173" s="19"/>
      <c r="D173" s="19"/>
      <c r="E173" s="20"/>
      <c r="F173" s="22"/>
      <c r="G173" s="22"/>
      <c r="H173" s="45"/>
      <c r="I173" s="45"/>
      <c r="J173" s="13"/>
      <c r="K173" s="18"/>
      <c r="L173" s="19"/>
      <c r="M173" s="19"/>
      <c r="N173" s="20"/>
      <c r="O173" s="22"/>
      <c r="P173" s="22"/>
      <c r="Q173" s="45"/>
      <c r="R173" s="45"/>
    </row>
    <row r="174" spans="1:18" x14ac:dyDescent="0.2">
      <c r="A174" s="13"/>
      <c r="B174" s="18"/>
      <c r="C174" s="19"/>
      <c r="D174" s="19"/>
      <c r="E174" s="20"/>
      <c r="F174" s="22"/>
      <c r="G174" s="22"/>
      <c r="H174" s="23"/>
      <c r="I174" s="23"/>
      <c r="J174" s="13"/>
      <c r="K174" s="18"/>
      <c r="L174" s="19"/>
      <c r="M174" s="19"/>
      <c r="N174" s="20"/>
      <c r="O174" s="22"/>
      <c r="P174" s="22"/>
      <c r="Q174" s="23"/>
      <c r="R174" s="23"/>
    </row>
    <row r="175" spans="1:18" x14ac:dyDescent="0.2">
      <c r="A175" s="13"/>
      <c r="B175" s="18"/>
      <c r="C175" s="19"/>
      <c r="D175" s="19"/>
      <c r="E175" s="20"/>
      <c r="F175" s="22"/>
      <c r="G175" s="22"/>
      <c r="H175" s="23"/>
      <c r="I175" s="23"/>
      <c r="J175" s="13"/>
      <c r="K175" s="18"/>
      <c r="L175" s="19"/>
      <c r="M175" s="19"/>
      <c r="N175" s="20"/>
      <c r="O175" s="22"/>
      <c r="P175" s="22"/>
      <c r="Q175" s="23"/>
      <c r="R175" s="23"/>
    </row>
    <row r="176" spans="1:18" x14ac:dyDescent="0.2">
      <c r="A176" s="13"/>
      <c r="B176" s="18"/>
      <c r="C176" s="19"/>
      <c r="D176" s="19"/>
      <c r="E176" s="20"/>
      <c r="F176" s="22"/>
      <c r="G176" s="22"/>
      <c r="H176" s="23"/>
      <c r="I176" s="23"/>
      <c r="J176" s="13"/>
      <c r="K176" s="18"/>
      <c r="L176" s="19"/>
      <c r="M176" s="19"/>
      <c r="N176" s="20"/>
      <c r="O176" s="22"/>
      <c r="P176" s="22"/>
      <c r="Q176" s="23"/>
      <c r="R176" s="23"/>
    </row>
    <row r="177" spans="1:18" x14ac:dyDescent="0.2">
      <c r="A177" s="13"/>
      <c r="B177" s="18"/>
      <c r="C177" s="19"/>
      <c r="D177" s="19"/>
      <c r="E177" s="20"/>
      <c r="F177" s="22"/>
      <c r="G177" s="22"/>
      <c r="H177" s="23"/>
      <c r="I177" s="23"/>
      <c r="J177" s="13"/>
      <c r="K177" s="18"/>
      <c r="L177" s="19"/>
      <c r="M177" s="19"/>
      <c r="N177" s="20"/>
      <c r="O177" s="22"/>
      <c r="P177" s="22"/>
      <c r="Q177" s="23"/>
      <c r="R177" s="23"/>
    </row>
    <row r="178" spans="1:18" x14ac:dyDescent="0.2">
      <c r="A178" s="13"/>
      <c r="B178" s="18"/>
      <c r="C178" s="19"/>
      <c r="D178" s="19"/>
      <c r="E178" s="20"/>
      <c r="F178" s="22"/>
      <c r="G178" s="22"/>
      <c r="H178" s="23"/>
      <c r="I178" s="23"/>
      <c r="J178" s="13"/>
      <c r="K178" s="18"/>
      <c r="L178" s="19"/>
      <c r="M178" s="19"/>
      <c r="N178" s="20"/>
      <c r="O178" s="22"/>
      <c r="P178" s="22"/>
      <c r="Q178" s="23"/>
      <c r="R178" s="23"/>
    </row>
    <row r="179" spans="1:18" x14ac:dyDescent="0.2">
      <c r="A179" s="13"/>
      <c r="B179" s="18"/>
      <c r="C179" s="19"/>
      <c r="D179" s="19"/>
      <c r="E179" s="20"/>
      <c r="F179" s="22"/>
      <c r="G179" s="22"/>
      <c r="H179" s="23"/>
      <c r="I179" s="23"/>
      <c r="J179" s="13"/>
      <c r="K179" s="18"/>
      <c r="L179" s="19"/>
      <c r="M179" s="19"/>
      <c r="N179" s="20"/>
      <c r="O179" s="22"/>
      <c r="P179" s="22"/>
      <c r="Q179" s="23"/>
      <c r="R179" s="23"/>
    </row>
    <row r="180" spans="1:18" x14ac:dyDescent="0.2">
      <c r="A180" s="13"/>
      <c r="B180" s="18"/>
      <c r="C180" s="19"/>
      <c r="D180" s="19"/>
      <c r="E180" s="20"/>
      <c r="F180" s="22"/>
      <c r="G180" s="36"/>
      <c r="H180" s="37"/>
      <c r="I180" s="37"/>
      <c r="J180" s="13"/>
      <c r="K180" s="18"/>
      <c r="L180" s="19"/>
      <c r="M180" s="19"/>
      <c r="N180" s="20"/>
      <c r="O180" s="22"/>
      <c r="P180" s="36"/>
      <c r="Q180" s="37"/>
      <c r="R180" s="37"/>
    </row>
    <row r="181" spans="1:18" x14ac:dyDescent="0.2">
      <c r="A181" s="13"/>
      <c r="B181" s="248" t="s">
        <v>42</v>
      </c>
      <c r="C181" s="249"/>
      <c r="D181" s="249"/>
      <c r="E181" s="250"/>
      <c r="F181" s="46"/>
      <c r="G181" s="46"/>
      <c r="H181" s="47"/>
      <c r="I181" s="47">
        <f>SUM(I168:I180)</f>
        <v>14</v>
      </c>
      <c r="J181" s="13"/>
      <c r="K181" s="248" t="s">
        <v>42</v>
      </c>
      <c r="L181" s="249"/>
      <c r="M181" s="249"/>
      <c r="N181" s="250"/>
      <c r="O181" s="46"/>
      <c r="P181" s="46"/>
      <c r="Q181" s="47"/>
      <c r="R181" s="47">
        <f>SUM(R168:R180)</f>
        <v>0</v>
      </c>
    </row>
    <row r="182" spans="1:18" x14ac:dyDescent="0.2">
      <c r="A182" s="12" t="s">
        <v>43</v>
      </c>
      <c r="B182" s="48" t="s">
        <v>44</v>
      </c>
      <c r="C182" s="43"/>
      <c r="D182" s="43"/>
      <c r="E182" s="39"/>
      <c r="F182" s="49"/>
      <c r="G182" s="49"/>
      <c r="H182" s="50"/>
      <c r="I182" s="51">
        <f>SUM(I163+I181)</f>
        <v>1414.9381899999998</v>
      </c>
      <c r="J182" s="12" t="s">
        <v>43</v>
      </c>
      <c r="K182" s="48" t="s">
        <v>44</v>
      </c>
      <c r="L182" s="43"/>
      <c r="M182" s="43"/>
      <c r="N182" s="39"/>
      <c r="O182" s="49"/>
      <c r="P182" s="49"/>
      <c r="Q182" s="50"/>
      <c r="R182" s="51">
        <f>SUM(R163+R181)</f>
        <v>213.1621428571429</v>
      </c>
    </row>
    <row r="183" spans="1:18" x14ac:dyDescent="0.2">
      <c r="A183" s="13" t="s">
        <v>45</v>
      </c>
      <c r="B183" s="48" t="s">
        <v>46</v>
      </c>
      <c r="C183" s="43"/>
      <c r="D183" s="43"/>
      <c r="E183" s="39"/>
      <c r="F183" s="49"/>
      <c r="G183" s="52">
        <v>0.09</v>
      </c>
      <c r="H183" s="53" t="s">
        <v>47</v>
      </c>
      <c r="I183" s="51">
        <f>G183*I182</f>
        <v>127.34443709999998</v>
      </c>
      <c r="J183" s="13" t="s">
        <v>45</v>
      </c>
      <c r="K183" s="48" t="s">
        <v>46</v>
      </c>
      <c r="L183" s="43"/>
      <c r="M183" s="43"/>
      <c r="N183" s="39"/>
      <c r="O183" s="49"/>
      <c r="P183" s="52">
        <v>0.09</v>
      </c>
      <c r="Q183" s="53" t="s">
        <v>47</v>
      </c>
      <c r="R183" s="51">
        <f>P183*R182</f>
        <v>19.18459285714286</v>
      </c>
    </row>
    <row r="184" spans="1:18" x14ac:dyDescent="0.2">
      <c r="A184" s="13" t="s">
        <v>48</v>
      </c>
      <c r="B184" s="48" t="s">
        <v>49</v>
      </c>
      <c r="C184" s="43"/>
      <c r="D184" s="43"/>
      <c r="E184" s="39"/>
      <c r="F184" s="49"/>
      <c r="G184" s="52">
        <v>0.08</v>
      </c>
      <c r="H184" s="53" t="s">
        <v>47</v>
      </c>
      <c r="I184" s="51">
        <f>G184*I182</f>
        <v>113.19505519999998</v>
      </c>
      <c r="J184" s="13" t="s">
        <v>48</v>
      </c>
      <c r="K184" s="48" t="s">
        <v>49</v>
      </c>
      <c r="L184" s="43"/>
      <c r="M184" s="43"/>
      <c r="N184" s="39"/>
      <c r="O184" s="49"/>
      <c r="P184" s="52">
        <v>0.08</v>
      </c>
      <c r="Q184" s="53" t="s">
        <v>47</v>
      </c>
      <c r="R184" s="51">
        <f>P184*R182</f>
        <v>17.052971428571432</v>
      </c>
    </row>
    <row r="185" spans="1:18" x14ac:dyDescent="0.2">
      <c r="A185" s="13" t="s">
        <v>50</v>
      </c>
      <c r="B185" s="48" t="s">
        <v>51</v>
      </c>
      <c r="C185" s="43"/>
      <c r="D185" s="43"/>
      <c r="E185" s="39"/>
      <c r="F185" s="49"/>
      <c r="G185" s="52">
        <f>5/100</f>
        <v>0.05</v>
      </c>
      <c r="H185" s="53" t="s">
        <v>52</v>
      </c>
      <c r="I185" s="51">
        <f>G185*(I182+I183+I184)</f>
        <v>82.773884115000001</v>
      </c>
      <c r="J185" s="13" t="s">
        <v>50</v>
      </c>
      <c r="K185" s="48" t="s">
        <v>51</v>
      </c>
      <c r="L185" s="43"/>
      <c r="M185" s="43"/>
      <c r="N185" s="39"/>
      <c r="O185" s="49"/>
      <c r="P185" s="52">
        <f>5/100</f>
        <v>0.05</v>
      </c>
      <c r="Q185" s="53" t="s">
        <v>52</v>
      </c>
      <c r="R185" s="51">
        <f>P185*(R182+R183+R184)</f>
        <v>12.46998535714286</v>
      </c>
    </row>
    <row r="186" spans="1:18" x14ac:dyDescent="0.2">
      <c r="A186" s="54" t="s">
        <v>53</v>
      </c>
      <c r="B186" s="48" t="s">
        <v>54</v>
      </c>
      <c r="C186" s="43"/>
      <c r="D186" s="43"/>
      <c r="E186" s="39"/>
      <c r="F186" s="49"/>
      <c r="G186" s="49"/>
      <c r="H186" s="55" t="s">
        <v>55</v>
      </c>
      <c r="I186" s="51">
        <f>SUM(I182+I183+I184+I185)</f>
        <v>1738.2515664150001</v>
      </c>
      <c r="J186" s="54" t="s">
        <v>53</v>
      </c>
      <c r="K186" s="48" t="s">
        <v>54</v>
      </c>
      <c r="L186" s="43"/>
      <c r="M186" s="43"/>
      <c r="N186" s="39"/>
      <c r="O186" s="49"/>
      <c r="P186" s="49"/>
      <c r="Q186" s="55" t="s">
        <v>55</v>
      </c>
      <c r="R186" s="51">
        <f>SUM(R182+R183+R184+R185)</f>
        <v>261.86969250000004</v>
      </c>
    </row>
    <row r="187" spans="1:18" s="1" customFormat="1" x14ac:dyDescent="0.2">
      <c r="A187" s="236" t="s">
        <v>0</v>
      </c>
      <c r="B187" s="236"/>
      <c r="C187" s="236"/>
      <c r="D187" s="236"/>
      <c r="E187" s="236"/>
      <c r="F187" s="236"/>
      <c r="G187" s="236"/>
      <c r="H187" s="236"/>
      <c r="I187" s="236"/>
      <c r="J187" s="236" t="s">
        <v>0</v>
      </c>
      <c r="K187" s="236"/>
      <c r="L187" s="236"/>
      <c r="M187" s="236"/>
      <c r="N187" s="236"/>
      <c r="O187" s="236"/>
      <c r="P187" s="236"/>
      <c r="Q187" s="236"/>
      <c r="R187" s="236"/>
    </row>
    <row r="189" spans="1:18" x14ac:dyDescent="0.2">
      <c r="A189" s="2" t="s">
        <v>1</v>
      </c>
      <c r="C189" s="4" t="s">
        <v>2</v>
      </c>
      <c r="D189" s="5" t="s">
        <v>1134</v>
      </c>
      <c r="E189" s="237" t="s">
        <v>1182</v>
      </c>
      <c r="F189" s="237"/>
      <c r="G189" s="237"/>
      <c r="H189" s="237"/>
      <c r="J189" s="2" t="s">
        <v>1</v>
      </c>
      <c r="L189" s="4" t="s">
        <v>2</v>
      </c>
      <c r="M189" s="5" t="s">
        <v>70</v>
      </c>
      <c r="N189" s="237" t="s">
        <v>71</v>
      </c>
      <c r="O189" s="237"/>
      <c r="P189" s="237"/>
      <c r="Q189" s="237"/>
    </row>
    <row r="190" spans="1:18" x14ac:dyDescent="0.2">
      <c r="A190" s="2" t="s">
        <v>7</v>
      </c>
      <c r="C190" s="4" t="s">
        <v>2</v>
      </c>
      <c r="E190" s="2" t="s">
        <v>59</v>
      </c>
      <c r="F190" s="8"/>
      <c r="G190" s="8"/>
      <c r="H190" s="8"/>
      <c r="J190" s="2" t="s">
        <v>7</v>
      </c>
      <c r="L190" s="4" t="s">
        <v>2</v>
      </c>
      <c r="N190" s="2" t="s">
        <v>9</v>
      </c>
      <c r="O190" s="8"/>
      <c r="P190" s="8"/>
      <c r="Q190" s="8"/>
    </row>
    <row r="191" spans="1:18" x14ac:dyDescent="0.2">
      <c r="A191" s="2" t="s">
        <v>10</v>
      </c>
      <c r="C191" s="4" t="s">
        <v>2</v>
      </c>
      <c r="E191" s="9">
        <v>1</v>
      </c>
      <c r="F191" s="8"/>
      <c r="G191" s="8"/>
      <c r="H191" s="8"/>
      <c r="J191" s="2" t="s">
        <v>10</v>
      </c>
      <c r="L191" s="4" t="s">
        <v>2</v>
      </c>
      <c r="N191" s="9">
        <v>4.2</v>
      </c>
      <c r="O191" s="8"/>
      <c r="P191" s="8"/>
      <c r="Q191" s="8"/>
    </row>
    <row r="192" spans="1:18" x14ac:dyDescent="0.2">
      <c r="B192" s="8"/>
      <c r="F192" s="11"/>
      <c r="G192" s="8"/>
      <c r="H192" s="8"/>
      <c r="I192" s="8"/>
      <c r="K192" s="8"/>
      <c r="O192" s="11"/>
      <c r="P192" s="8"/>
      <c r="Q192" s="8"/>
      <c r="R192" s="8"/>
    </row>
    <row r="193" spans="1:18" x14ac:dyDescent="0.2">
      <c r="A193" s="12"/>
      <c r="B193" s="238" t="s">
        <v>11</v>
      </c>
      <c r="C193" s="239"/>
      <c r="D193" s="239"/>
      <c r="E193" s="240"/>
      <c r="F193" s="244" t="s">
        <v>12</v>
      </c>
      <c r="G193" s="244" t="s">
        <v>13</v>
      </c>
      <c r="H193" s="244" t="s">
        <v>14</v>
      </c>
      <c r="I193" s="246" t="s">
        <v>15</v>
      </c>
      <c r="J193" s="12"/>
      <c r="K193" s="238" t="s">
        <v>11</v>
      </c>
      <c r="L193" s="239"/>
      <c r="M193" s="239"/>
      <c r="N193" s="240"/>
      <c r="O193" s="244" t="s">
        <v>12</v>
      </c>
      <c r="P193" s="244" t="s">
        <v>13</v>
      </c>
      <c r="Q193" s="244" t="s">
        <v>14</v>
      </c>
      <c r="R193" s="246" t="s">
        <v>15</v>
      </c>
    </row>
    <row r="194" spans="1:18" x14ac:dyDescent="0.2">
      <c r="A194" s="13"/>
      <c r="B194" s="241"/>
      <c r="C194" s="242"/>
      <c r="D194" s="242"/>
      <c r="E194" s="243"/>
      <c r="F194" s="245"/>
      <c r="G194" s="245"/>
      <c r="H194" s="245"/>
      <c r="I194" s="247"/>
      <c r="J194" s="13"/>
      <c r="K194" s="241"/>
      <c r="L194" s="242"/>
      <c r="M194" s="242"/>
      <c r="N194" s="243"/>
      <c r="O194" s="245"/>
      <c r="P194" s="245"/>
      <c r="Q194" s="245"/>
      <c r="R194" s="247"/>
    </row>
    <row r="195" spans="1:18" x14ac:dyDescent="0.2">
      <c r="A195" s="13" t="s">
        <v>16</v>
      </c>
      <c r="B195" s="14" t="s">
        <v>17</v>
      </c>
      <c r="C195" s="15"/>
      <c r="D195" s="15"/>
      <c r="E195" s="16"/>
      <c r="F195" s="17"/>
      <c r="G195" s="17"/>
      <c r="H195" s="17"/>
      <c r="I195" s="17"/>
      <c r="J195" s="13" t="s">
        <v>16</v>
      </c>
      <c r="K195" s="14" t="s">
        <v>17</v>
      </c>
      <c r="L195" s="15"/>
      <c r="M195" s="15"/>
      <c r="N195" s="16"/>
      <c r="O195" s="17"/>
      <c r="P195" s="17"/>
      <c r="Q195" s="17"/>
      <c r="R195" s="17"/>
    </row>
    <row r="196" spans="1:18" x14ac:dyDescent="0.2">
      <c r="A196" s="13"/>
      <c r="B196" s="18"/>
      <c r="C196" s="19"/>
      <c r="D196" s="19"/>
      <c r="E196" s="20"/>
      <c r="F196" s="21"/>
      <c r="G196" s="22"/>
      <c r="H196" s="21"/>
      <c r="I196" s="21"/>
      <c r="J196" s="13"/>
      <c r="K196" s="24" t="s">
        <v>18</v>
      </c>
      <c r="L196" s="19"/>
      <c r="M196" s="19"/>
      <c r="N196" s="63" t="s">
        <v>72</v>
      </c>
      <c r="O196" s="22">
        <v>1</v>
      </c>
      <c r="P196" s="23">
        <v>0.4</v>
      </c>
      <c r="Q196" s="23">
        <v>69.42</v>
      </c>
      <c r="R196" s="22">
        <f>O196*P196*Q196</f>
        <v>27.768000000000001</v>
      </c>
    </row>
    <row r="197" spans="1:18" x14ac:dyDescent="0.2">
      <c r="A197" s="13"/>
      <c r="B197" s="24" t="s">
        <v>18</v>
      </c>
      <c r="C197" s="25"/>
      <c r="D197" s="25"/>
      <c r="E197" s="26"/>
      <c r="F197" s="22">
        <v>1</v>
      </c>
      <c r="G197" s="22">
        <v>3.33</v>
      </c>
      <c r="H197" s="23">
        <v>69.42</v>
      </c>
      <c r="I197" s="23">
        <f>G197*H197*F197</f>
        <v>231.1686</v>
      </c>
      <c r="J197" s="13"/>
      <c r="K197" s="24" t="s">
        <v>1178</v>
      </c>
      <c r="L197" s="25"/>
      <c r="M197" s="25"/>
      <c r="N197" s="65"/>
      <c r="O197" s="22">
        <v>2</v>
      </c>
      <c r="P197" s="23">
        <v>0.4</v>
      </c>
      <c r="Q197" s="23">
        <v>50.18</v>
      </c>
      <c r="R197" s="22">
        <f t="shared" ref="R197:R203" si="0">O197*P197*Q197</f>
        <v>40.144000000000005</v>
      </c>
    </row>
    <row r="198" spans="1:18" x14ac:dyDescent="0.2">
      <c r="A198" s="13"/>
      <c r="B198" s="257" t="s">
        <v>1178</v>
      </c>
      <c r="C198" s="258"/>
      <c r="D198" s="25"/>
      <c r="E198" s="26"/>
      <c r="F198" s="22">
        <v>1</v>
      </c>
      <c r="G198" s="22">
        <v>3.33</v>
      </c>
      <c r="H198" s="23">
        <v>50.18</v>
      </c>
      <c r="I198" s="23">
        <f>G198*H198*F198</f>
        <v>167.0994</v>
      </c>
      <c r="J198" s="13"/>
      <c r="K198" s="24" t="s">
        <v>1177</v>
      </c>
      <c r="L198" s="25"/>
      <c r="M198" s="25"/>
      <c r="N198" s="65"/>
      <c r="O198" s="22">
        <v>4</v>
      </c>
      <c r="P198" s="23">
        <v>0.4</v>
      </c>
      <c r="Q198" s="23">
        <v>38.97</v>
      </c>
      <c r="R198" s="22">
        <f t="shared" si="0"/>
        <v>62.352000000000004</v>
      </c>
    </row>
    <row r="199" spans="1:18" x14ac:dyDescent="0.2">
      <c r="A199" s="13"/>
      <c r="B199" s="257" t="s">
        <v>1177</v>
      </c>
      <c r="C199" s="258"/>
      <c r="D199" s="19"/>
      <c r="E199" s="20"/>
      <c r="F199" s="22">
        <v>2</v>
      </c>
      <c r="G199" s="22">
        <v>3.33</v>
      </c>
      <c r="H199" s="23">
        <v>38.97</v>
      </c>
      <c r="I199" s="23">
        <f>G199*H199*F199</f>
        <v>259.54019999999997</v>
      </c>
      <c r="J199" s="13"/>
      <c r="K199" s="27" t="s">
        <v>18</v>
      </c>
      <c r="L199" s="19"/>
      <c r="M199" s="19"/>
      <c r="N199" s="63" t="s">
        <v>73</v>
      </c>
      <c r="O199" s="22">
        <v>1</v>
      </c>
      <c r="P199" s="23">
        <v>0.2</v>
      </c>
      <c r="Q199" s="23">
        <v>69.42</v>
      </c>
      <c r="R199" s="22">
        <f t="shared" si="0"/>
        <v>13.884</v>
      </c>
    </row>
    <row r="200" spans="1:18" x14ac:dyDescent="0.2">
      <c r="A200" s="13"/>
      <c r="B200" s="27"/>
      <c r="C200" s="19"/>
      <c r="D200" s="19"/>
      <c r="E200" s="20"/>
      <c r="F200" s="22"/>
      <c r="G200" s="22"/>
      <c r="H200" s="29"/>
      <c r="I200" s="30"/>
      <c r="J200" s="13"/>
      <c r="K200" s="149" t="s">
        <v>1178</v>
      </c>
      <c r="L200" s="19"/>
      <c r="M200" s="19"/>
      <c r="N200" s="63"/>
      <c r="O200" s="22">
        <v>1</v>
      </c>
      <c r="P200" s="23">
        <v>0.2</v>
      </c>
      <c r="Q200" s="23">
        <v>50.18</v>
      </c>
      <c r="R200" s="22">
        <f t="shared" si="0"/>
        <v>10.036000000000001</v>
      </c>
    </row>
    <row r="201" spans="1:18" x14ac:dyDescent="0.2">
      <c r="A201" s="13"/>
      <c r="B201" s="27"/>
      <c r="C201" s="19"/>
      <c r="D201" s="19"/>
      <c r="E201" s="20"/>
      <c r="F201" s="22"/>
      <c r="G201" s="22"/>
      <c r="H201" s="29"/>
      <c r="I201" s="30"/>
      <c r="J201" s="13"/>
      <c r="K201" s="24" t="s">
        <v>1177</v>
      </c>
      <c r="L201" s="19"/>
      <c r="M201" s="19"/>
      <c r="N201" s="63"/>
      <c r="O201" s="22">
        <v>2</v>
      </c>
      <c r="P201" s="23">
        <v>0.2</v>
      </c>
      <c r="Q201" s="23">
        <v>38.97</v>
      </c>
      <c r="R201" s="22">
        <f t="shared" si="0"/>
        <v>15.588000000000001</v>
      </c>
    </row>
    <row r="202" spans="1:18" x14ac:dyDescent="0.2">
      <c r="A202" s="13"/>
      <c r="B202" s="18"/>
      <c r="C202" s="19"/>
      <c r="D202" s="19"/>
      <c r="E202" s="20"/>
      <c r="F202" s="22"/>
      <c r="G202" s="22"/>
      <c r="H202" s="28"/>
      <c r="I202" s="23"/>
      <c r="J202" s="13"/>
      <c r="K202" s="18" t="s">
        <v>18</v>
      </c>
      <c r="L202" s="19"/>
      <c r="M202" s="19"/>
      <c r="N202" s="63" t="s">
        <v>74</v>
      </c>
      <c r="O202" s="22">
        <v>1</v>
      </c>
      <c r="P202" s="23">
        <v>0.4</v>
      </c>
      <c r="Q202" s="23">
        <v>69.42</v>
      </c>
      <c r="R202" s="22">
        <f t="shared" si="0"/>
        <v>27.768000000000001</v>
      </c>
    </row>
    <row r="203" spans="1:18" x14ac:dyDescent="0.2">
      <c r="A203" s="13"/>
      <c r="B203" s="18"/>
      <c r="C203" s="19"/>
      <c r="D203" s="19"/>
      <c r="E203" s="20"/>
      <c r="F203" s="22"/>
      <c r="G203" s="22"/>
      <c r="H203" s="23"/>
      <c r="I203" s="23"/>
      <c r="J203" s="13"/>
      <c r="K203" s="18" t="s">
        <v>1197</v>
      </c>
      <c r="L203" s="19"/>
      <c r="M203" s="19"/>
      <c r="N203" s="20"/>
      <c r="O203" s="22">
        <v>2</v>
      </c>
      <c r="P203" s="23">
        <v>0.4</v>
      </c>
      <c r="Q203" s="23">
        <v>38.97</v>
      </c>
      <c r="R203" s="22">
        <f t="shared" si="0"/>
        <v>31.176000000000002</v>
      </c>
    </row>
    <row r="204" spans="1:18" x14ac:dyDescent="0.2">
      <c r="A204" s="13"/>
      <c r="B204" s="248" t="s">
        <v>20</v>
      </c>
      <c r="C204" s="249"/>
      <c r="D204" s="249"/>
      <c r="E204" s="250"/>
      <c r="F204" s="31"/>
      <c r="G204" s="31"/>
      <c r="H204" s="32"/>
      <c r="I204" s="32">
        <f>SUM(I197:I203)</f>
        <v>657.80819999999994</v>
      </c>
      <c r="J204" s="13"/>
      <c r="K204" s="248" t="s">
        <v>20</v>
      </c>
      <c r="L204" s="249"/>
      <c r="M204" s="249"/>
      <c r="N204" s="250"/>
      <c r="O204" s="31"/>
      <c r="P204" s="31"/>
      <c r="Q204" s="32"/>
      <c r="R204" s="32">
        <f>SUM(R196:R203)</f>
        <v>228.71600000000001</v>
      </c>
    </row>
    <row r="205" spans="1:18" x14ac:dyDescent="0.2">
      <c r="A205" s="12"/>
      <c r="B205" s="251" t="s">
        <v>21</v>
      </c>
      <c r="C205" s="252"/>
      <c r="D205" s="252"/>
      <c r="E205" s="253"/>
      <c r="F205" s="244" t="s">
        <v>22</v>
      </c>
      <c r="G205" s="244" t="s">
        <v>13</v>
      </c>
      <c r="H205" s="244" t="s">
        <v>14</v>
      </c>
      <c r="I205" s="246" t="s">
        <v>15</v>
      </c>
      <c r="J205" s="12"/>
      <c r="K205" s="251" t="s">
        <v>21</v>
      </c>
      <c r="L205" s="252"/>
      <c r="M205" s="252"/>
      <c r="N205" s="253"/>
      <c r="O205" s="244" t="s">
        <v>22</v>
      </c>
      <c r="P205" s="244" t="s">
        <v>13</v>
      </c>
      <c r="Q205" s="244" t="s">
        <v>14</v>
      </c>
      <c r="R205" s="246" t="s">
        <v>15</v>
      </c>
    </row>
    <row r="206" spans="1:18" x14ac:dyDescent="0.2">
      <c r="A206" s="13"/>
      <c r="B206" s="254"/>
      <c r="C206" s="255"/>
      <c r="D206" s="255"/>
      <c r="E206" s="256"/>
      <c r="F206" s="245"/>
      <c r="G206" s="245"/>
      <c r="H206" s="245"/>
      <c r="I206" s="247"/>
      <c r="J206" s="13"/>
      <c r="K206" s="254"/>
      <c r="L206" s="255"/>
      <c r="M206" s="255"/>
      <c r="N206" s="256"/>
      <c r="O206" s="245"/>
      <c r="P206" s="245"/>
      <c r="Q206" s="245"/>
      <c r="R206" s="247"/>
    </row>
    <row r="207" spans="1:18" x14ac:dyDescent="0.2">
      <c r="A207" s="13" t="s">
        <v>23</v>
      </c>
      <c r="B207" s="33" t="s">
        <v>24</v>
      </c>
      <c r="C207" s="15"/>
      <c r="D207" s="15"/>
      <c r="E207" s="16"/>
      <c r="F207" s="34"/>
      <c r="G207" s="34"/>
      <c r="H207" s="35"/>
      <c r="I207" s="35"/>
      <c r="J207" s="13" t="s">
        <v>23</v>
      </c>
      <c r="K207" s="33" t="s">
        <v>24</v>
      </c>
      <c r="L207" s="15"/>
      <c r="M207" s="15"/>
      <c r="N207" s="16"/>
      <c r="O207" s="34"/>
      <c r="P207" s="34"/>
      <c r="Q207" s="35"/>
      <c r="R207" s="35"/>
    </row>
    <row r="208" spans="1:18" x14ac:dyDescent="0.2">
      <c r="A208" s="13"/>
      <c r="B208" s="18"/>
      <c r="C208" s="19"/>
      <c r="D208" s="19"/>
      <c r="E208" s="20"/>
      <c r="F208" s="22"/>
      <c r="G208" s="22"/>
      <c r="H208" s="23"/>
      <c r="I208" s="23"/>
      <c r="J208" s="13"/>
      <c r="K208" s="18"/>
      <c r="L208" s="19"/>
      <c r="M208" s="19"/>
      <c r="N208" s="20"/>
      <c r="O208" s="22"/>
      <c r="P208" s="22"/>
      <c r="Q208" s="23"/>
      <c r="R208" s="23"/>
    </row>
    <row r="209" spans="1:18" x14ac:dyDescent="0.2">
      <c r="A209" s="13"/>
      <c r="B209" s="18" t="s">
        <v>62</v>
      </c>
      <c r="C209" s="19"/>
      <c r="D209" s="19"/>
      <c r="E209" s="20"/>
      <c r="F209" s="22">
        <v>1</v>
      </c>
      <c r="G209" s="23">
        <v>2.5</v>
      </c>
      <c r="H209" s="37">
        <v>1537</v>
      </c>
      <c r="I209" s="37">
        <f>G209*H209*F209</f>
        <v>3842.5</v>
      </c>
      <c r="J209" s="13"/>
      <c r="K209" s="18" t="s">
        <v>62</v>
      </c>
      <c r="L209" s="19"/>
      <c r="M209" s="19"/>
      <c r="N209" s="20"/>
      <c r="O209" s="22">
        <v>1</v>
      </c>
      <c r="P209" s="23">
        <v>0.2</v>
      </c>
      <c r="Q209" s="37">
        <v>1537</v>
      </c>
      <c r="R209" s="37">
        <f t="shared" ref="R209:R214" si="1">P209*Q209*O209</f>
        <v>307.40000000000003</v>
      </c>
    </row>
    <row r="210" spans="1:18" x14ac:dyDescent="0.2">
      <c r="A210" s="13"/>
      <c r="B210" s="18" t="s">
        <v>1132</v>
      </c>
      <c r="C210" s="19"/>
      <c r="D210" s="19"/>
      <c r="E210" s="20"/>
      <c r="F210" s="22">
        <v>1</v>
      </c>
      <c r="G210" s="23">
        <v>1.67</v>
      </c>
      <c r="H210" s="37">
        <v>1420</v>
      </c>
      <c r="I210" s="37">
        <f>G210*H210*F210</f>
        <v>2371.4</v>
      </c>
      <c r="J210" s="13"/>
      <c r="K210" s="18" t="s">
        <v>221</v>
      </c>
      <c r="L210" s="19"/>
      <c r="M210" s="19"/>
      <c r="N210" s="20"/>
      <c r="O210" s="22">
        <v>1</v>
      </c>
      <c r="P210" s="23">
        <v>0.15</v>
      </c>
      <c r="Q210" s="37">
        <v>1733</v>
      </c>
      <c r="R210" s="37">
        <f t="shared" si="1"/>
        <v>259.95</v>
      </c>
    </row>
    <row r="211" spans="1:18" x14ac:dyDescent="0.2">
      <c r="A211" s="13"/>
      <c r="B211" s="56" t="s">
        <v>63</v>
      </c>
      <c r="C211" s="57"/>
      <c r="D211" s="57"/>
      <c r="E211" s="58"/>
      <c r="F211" s="59">
        <v>1</v>
      </c>
      <c r="G211" s="60">
        <v>1.67</v>
      </c>
      <c r="H211" s="37">
        <v>75.36</v>
      </c>
      <c r="I211" s="61">
        <f>G211*H211*F211</f>
        <v>125.85119999999999</v>
      </c>
      <c r="J211" s="13"/>
      <c r="K211" s="18" t="s">
        <v>26</v>
      </c>
      <c r="L211" s="19"/>
      <c r="M211" s="19"/>
      <c r="N211" s="20"/>
      <c r="O211" s="22">
        <v>1</v>
      </c>
      <c r="P211" s="23">
        <v>0.05</v>
      </c>
      <c r="Q211" s="37">
        <v>1733</v>
      </c>
      <c r="R211" s="37">
        <f t="shared" si="1"/>
        <v>86.65</v>
      </c>
    </row>
    <row r="212" spans="1:18" x14ac:dyDescent="0.2">
      <c r="A212" s="13"/>
      <c r="B212" s="18" t="s">
        <v>1195</v>
      </c>
      <c r="F212" s="22"/>
      <c r="G212" s="36"/>
      <c r="H212" s="37"/>
      <c r="I212" s="37">
        <f>I204*0.05</f>
        <v>32.890409999999996</v>
      </c>
      <c r="J212" s="13"/>
      <c r="K212" s="18" t="s">
        <v>1140</v>
      </c>
      <c r="L212" s="19"/>
      <c r="M212" s="19"/>
      <c r="N212" s="20"/>
      <c r="O212" s="22">
        <v>1</v>
      </c>
      <c r="P212" s="23">
        <v>0.4</v>
      </c>
      <c r="Q212" s="37">
        <v>1420</v>
      </c>
      <c r="R212" s="37">
        <f t="shared" si="1"/>
        <v>568</v>
      </c>
    </row>
    <row r="213" spans="1:18" x14ac:dyDescent="0.2">
      <c r="A213" s="13"/>
      <c r="B213" s="18"/>
      <c r="C213" s="19"/>
      <c r="D213" s="19"/>
      <c r="E213" s="20"/>
      <c r="F213" s="22"/>
      <c r="G213" s="36"/>
      <c r="H213" s="37"/>
      <c r="I213" s="37"/>
      <c r="J213" s="13"/>
      <c r="K213" s="18" t="s">
        <v>75</v>
      </c>
      <c r="L213" s="19"/>
      <c r="M213" s="19"/>
      <c r="N213" s="20"/>
      <c r="O213" s="22">
        <v>2</v>
      </c>
      <c r="P213" s="23">
        <v>0.4</v>
      </c>
      <c r="Q213" s="37">
        <v>170</v>
      </c>
      <c r="R213" s="37">
        <f t="shared" si="1"/>
        <v>136</v>
      </c>
    </row>
    <row r="214" spans="1:18" x14ac:dyDescent="0.2">
      <c r="A214" s="13"/>
      <c r="B214" s="266" t="s">
        <v>65</v>
      </c>
      <c r="C214" s="267"/>
      <c r="D214" s="267"/>
      <c r="E214" s="268"/>
      <c r="F214" s="22"/>
      <c r="G214" s="36"/>
      <c r="H214" s="38"/>
      <c r="I214" s="38"/>
      <c r="J214" s="13"/>
      <c r="K214" s="18" t="s">
        <v>1156</v>
      </c>
      <c r="L214" s="19"/>
      <c r="M214" s="19"/>
      <c r="N214" s="20"/>
      <c r="O214" s="22">
        <v>1</v>
      </c>
      <c r="P214" s="23">
        <v>0.4</v>
      </c>
      <c r="Q214" s="37">
        <v>502</v>
      </c>
      <c r="R214" s="37">
        <f t="shared" si="1"/>
        <v>200.8</v>
      </c>
    </row>
    <row r="215" spans="1:18" x14ac:dyDescent="0.2">
      <c r="A215" s="13"/>
      <c r="B215" s="266"/>
      <c r="C215" s="267"/>
      <c r="D215" s="267"/>
      <c r="E215" s="268"/>
      <c r="F215" s="22"/>
      <c r="G215" s="36"/>
      <c r="H215" s="38"/>
      <c r="I215" s="38"/>
      <c r="J215" s="13"/>
      <c r="K215" s="18" t="s">
        <v>27</v>
      </c>
      <c r="L215" s="19"/>
      <c r="M215" s="19"/>
      <c r="N215" s="20"/>
      <c r="O215" s="22"/>
      <c r="P215" s="36"/>
      <c r="Q215" s="38"/>
      <c r="R215" s="38"/>
    </row>
    <row r="216" spans="1:18" x14ac:dyDescent="0.2">
      <c r="A216" s="13"/>
      <c r="B216" s="18"/>
      <c r="C216" s="19"/>
      <c r="D216" s="19"/>
      <c r="E216" s="20"/>
      <c r="F216" s="22"/>
      <c r="G216" s="36"/>
      <c r="H216" s="38"/>
      <c r="I216" s="38"/>
      <c r="J216" s="13"/>
      <c r="K216" s="18"/>
      <c r="L216" s="19"/>
      <c r="M216" s="19"/>
      <c r="N216" s="20"/>
      <c r="O216" s="22"/>
      <c r="P216" s="36"/>
      <c r="Q216" s="38"/>
      <c r="R216" s="38"/>
    </row>
    <row r="217" spans="1:18" x14ac:dyDescent="0.2">
      <c r="A217" s="13"/>
      <c r="B217" s="18"/>
      <c r="C217" s="19"/>
      <c r="D217" s="19"/>
      <c r="E217" s="20"/>
      <c r="F217" s="22"/>
      <c r="G217" s="36"/>
      <c r="H217" s="38"/>
      <c r="I217" s="38"/>
      <c r="J217" s="13"/>
      <c r="K217" s="18"/>
      <c r="L217" s="19"/>
      <c r="M217" s="19"/>
      <c r="N217" s="20"/>
      <c r="O217" s="22"/>
      <c r="P217" s="36"/>
      <c r="Q217" s="38"/>
      <c r="R217" s="38"/>
    </row>
    <row r="218" spans="1:18" x14ac:dyDescent="0.2">
      <c r="A218" s="13"/>
      <c r="B218" s="18"/>
      <c r="C218" s="19"/>
      <c r="D218" s="19"/>
      <c r="E218" s="20"/>
      <c r="F218" s="22"/>
      <c r="G218" s="36"/>
      <c r="H218" s="37"/>
      <c r="I218" s="37"/>
      <c r="J218" s="13"/>
      <c r="K218" s="18"/>
      <c r="L218" s="19"/>
      <c r="M218" s="19"/>
      <c r="N218" s="20"/>
      <c r="O218" s="22"/>
      <c r="P218" s="36"/>
      <c r="Q218" s="37"/>
      <c r="R218" s="37"/>
    </row>
    <row r="219" spans="1:18" x14ac:dyDescent="0.2">
      <c r="A219" s="13"/>
      <c r="B219" s="18"/>
      <c r="C219" s="19"/>
      <c r="D219" s="19"/>
      <c r="E219" s="20"/>
      <c r="F219" s="22"/>
      <c r="G219" s="36"/>
      <c r="H219" s="37"/>
      <c r="I219" s="37"/>
      <c r="J219" s="13"/>
      <c r="K219" s="18"/>
      <c r="L219" s="19"/>
      <c r="M219" s="19"/>
      <c r="N219" s="20"/>
      <c r="O219" s="22"/>
      <c r="P219" s="36"/>
      <c r="Q219" s="37"/>
      <c r="R219" s="37"/>
    </row>
    <row r="220" spans="1:18" x14ac:dyDescent="0.2">
      <c r="A220" s="13"/>
      <c r="B220" s="18"/>
      <c r="C220" s="19"/>
      <c r="D220" s="19"/>
      <c r="E220" s="20"/>
      <c r="F220" s="22"/>
      <c r="G220" s="36"/>
      <c r="H220" s="37"/>
      <c r="I220" s="37"/>
      <c r="J220" s="13"/>
      <c r="K220" s="18"/>
      <c r="L220" s="19"/>
      <c r="M220" s="19"/>
      <c r="N220" s="20"/>
      <c r="O220" s="22"/>
      <c r="P220" s="36"/>
      <c r="Q220" s="37"/>
      <c r="R220" s="37"/>
    </row>
    <row r="221" spans="1:18" x14ac:dyDescent="0.2">
      <c r="A221" s="13"/>
      <c r="B221" s="18"/>
      <c r="C221" s="19"/>
      <c r="D221" s="19"/>
      <c r="E221" s="20"/>
      <c r="F221" s="22"/>
      <c r="G221" s="22"/>
      <c r="H221" s="23"/>
      <c r="I221" s="23"/>
      <c r="J221" s="13"/>
      <c r="K221" s="18"/>
      <c r="L221" s="19"/>
      <c r="M221" s="19"/>
      <c r="N221" s="20"/>
      <c r="O221" s="22"/>
      <c r="P221" s="22"/>
      <c r="Q221" s="23"/>
      <c r="R221" s="23"/>
    </row>
    <row r="222" spans="1:18" x14ac:dyDescent="0.2">
      <c r="A222" s="13"/>
      <c r="B222" s="248" t="s">
        <v>30</v>
      </c>
      <c r="C222" s="249"/>
      <c r="D222" s="249"/>
      <c r="E222" s="250"/>
      <c r="F222" s="22"/>
      <c r="G222" s="22"/>
      <c r="H222" s="23"/>
      <c r="I222" s="23">
        <f>SUM(I209:I221)</f>
        <v>6372.6416099999997</v>
      </c>
      <c r="J222" s="13"/>
      <c r="K222" s="248" t="s">
        <v>30</v>
      </c>
      <c r="L222" s="249"/>
      <c r="M222" s="249"/>
      <c r="N222" s="250"/>
      <c r="O222" s="22"/>
      <c r="P222" s="22"/>
      <c r="Q222" s="23"/>
      <c r="R222" s="23">
        <f>SUM(R209:R221)</f>
        <v>1558.8</v>
      </c>
    </row>
    <row r="223" spans="1:18" x14ac:dyDescent="0.2">
      <c r="A223" s="12" t="s">
        <v>31</v>
      </c>
      <c r="B223" s="260" t="s">
        <v>32</v>
      </c>
      <c r="C223" s="261"/>
      <c r="D223" s="261"/>
      <c r="E223" s="261"/>
      <c r="F223" s="39"/>
      <c r="G223" s="39"/>
      <c r="H223" s="40"/>
      <c r="I223" s="41">
        <f>SUM(I222+I204)</f>
        <v>7030.4498100000001</v>
      </c>
      <c r="J223" s="12" t="s">
        <v>31</v>
      </c>
      <c r="K223" s="260" t="s">
        <v>32</v>
      </c>
      <c r="L223" s="261"/>
      <c r="M223" s="261"/>
      <c r="N223" s="261"/>
      <c r="O223" s="39"/>
      <c r="P223" s="39"/>
      <c r="Q223" s="40"/>
      <c r="R223" s="41">
        <f>SUM(R222+R204)</f>
        <v>1787.5160000000001</v>
      </c>
    </row>
    <row r="224" spans="1:18" x14ac:dyDescent="0.2">
      <c r="A224" s="13" t="s">
        <v>33</v>
      </c>
      <c r="B224" s="271">
        <f>E191</f>
        <v>1</v>
      </c>
      <c r="C224" s="272"/>
      <c r="D224" s="272"/>
      <c r="E224" s="272"/>
      <c r="F224" s="272"/>
      <c r="G224" s="272"/>
      <c r="H224" s="40"/>
      <c r="I224" s="41"/>
      <c r="J224" s="13" t="s">
        <v>33</v>
      </c>
      <c r="K224" s="264">
        <f>N191</f>
        <v>4.2</v>
      </c>
      <c r="L224" s="265"/>
      <c r="M224" s="265"/>
      <c r="N224" s="265"/>
      <c r="O224" s="265"/>
      <c r="P224" s="265"/>
      <c r="Q224" s="40"/>
      <c r="R224" s="41"/>
    </row>
    <row r="225" spans="1:18" x14ac:dyDescent="0.2">
      <c r="A225" s="13" t="s">
        <v>34</v>
      </c>
      <c r="B225" s="42" t="s">
        <v>35</v>
      </c>
      <c r="C225" s="43"/>
      <c r="D225" s="43"/>
      <c r="E225" s="39"/>
      <c r="F225" s="44"/>
      <c r="G225" s="44"/>
      <c r="H225" s="40"/>
      <c r="I225" s="41">
        <f>I223/E191</f>
        <v>7030.4498100000001</v>
      </c>
      <c r="J225" s="13" t="s">
        <v>34</v>
      </c>
      <c r="K225" s="42" t="s">
        <v>35</v>
      </c>
      <c r="L225" s="43"/>
      <c r="M225" s="43"/>
      <c r="N225" s="39"/>
      <c r="O225" s="44"/>
      <c r="P225" s="44"/>
      <c r="Q225" s="40"/>
      <c r="R225" s="41">
        <f>R223/N191</f>
        <v>425.59904761904761</v>
      </c>
    </row>
    <row r="226" spans="1:18" x14ac:dyDescent="0.2">
      <c r="A226" s="12"/>
      <c r="B226" s="251" t="s">
        <v>36</v>
      </c>
      <c r="C226" s="252"/>
      <c r="D226" s="252"/>
      <c r="E226" s="253"/>
      <c r="F226" s="244" t="s">
        <v>37</v>
      </c>
      <c r="G226" s="244" t="s">
        <v>38</v>
      </c>
      <c r="H226" s="244" t="s">
        <v>39</v>
      </c>
      <c r="I226" s="246" t="s">
        <v>15</v>
      </c>
      <c r="J226" s="12"/>
      <c r="K226" s="251" t="s">
        <v>36</v>
      </c>
      <c r="L226" s="252"/>
      <c r="M226" s="252"/>
      <c r="N226" s="253"/>
      <c r="O226" s="244" t="s">
        <v>37</v>
      </c>
      <c r="P226" s="244" t="s">
        <v>38</v>
      </c>
      <c r="Q226" s="244" t="s">
        <v>39</v>
      </c>
      <c r="R226" s="246" t="s">
        <v>15</v>
      </c>
    </row>
    <row r="227" spans="1:18" x14ac:dyDescent="0.2">
      <c r="A227" s="13"/>
      <c r="B227" s="254"/>
      <c r="C227" s="255"/>
      <c r="D227" s="255"/>
      <c r="E227" s="256"/>
      <c r="F227" s="245"/>
      <c r="G227" s="245"/>
      <c r="H227" s="245"/>
      <c r="I227" s="247"/>
      <c r="J227" s="13"/>
      <c r="K227" s="254"/>
      <c r="L227" s="255"/>
      <c r="M227" s="255"/>
      <c r="N227" s="256"/>
      <c r="O227" s="245"/>
      <c r="P227" s="245"/>
      <c r="Q227" s="245"/>
      <c r="R227" s="247"/>
    </row>
    <row r="228" spans="1:18" x14ac:dyDescent="0.2">
      <c r="A228" s="13" t="s">
        <v>40</v>
      </c>
      <c r="B228" s="18" t="s">
        <v>41</v>
      </c>
      <c r="C228" s="19"/>
      <c r="D228" s="19"/>
      <c r="E228" s="20"/>
      <c r="F228" s="22"/>
      <c r="G228" s="22"/>
      <c r="H228" s="23"/>
      <c r="I228" s="23"/>
      <c r="J228" s="13" t="s">
        <v>40</v>
      </c>
      <c r="K228" s="18" t="s">
        <v>41</v>
      </c>
      <c r="L228" s="19"/>
      <c r="M228" s="19"/>
      <c r="N228" s="20"/>
      <c r="O228" s="22"/>
      <c r="P228" s="22"/>
      <c r="Q228" s="23"/>
      <c r="R228" s="23"/>
    </row>
    <row r="229" spans="1:18" x14ac:dyDescent="0.2">
      <c r="A229" s="13"/>
      <c r="B229" s="18"/>
      <c r="C229" s="19"/>
      <c r="D229" s="19"/>
      <c r="E229" s="20"/>
      <c r="F229" s="22"/>
      <c r="G229" s="22"/>
      <c r="H229" s="23"/>
      <c r="I229" s="23"/>
      <c r="J229" s="13"/>
      <c r="K229" s="18"/>
      <c r="L229" s="19"/>
      <c r="M229" s="19"/>
      <c r="N229" s="20"/>
      <c r="O229" s="22"/>
      <c r="P229" s="22"/>
      <c r="Q229" s="23"/>
      <c r="R229" s="23"/>
    </row>
    <row r="230" spans="1:18" x14ac:dyDescent="0.2">
      <c r="A230" s="13"/>
      <c r="B230" s="18" t="s">
        <v>1133</v>
      </c>
      <c r="C230" s="19"/>
      <c r="D230" s="19"/>
      <c r="E230" s="20"/>
      <c r="F230" s="22" t="s">
        <v>66</v>
      </c>
      <c r="G230" s="62">
        <v>20</v>
      </c>
      <c r="H230" s="107">
        <v>3.5</v>
      </c>
      <c r="I230" s="23">
        <f>G230*H230/5</f>
        <v>14</v>
      </c>
      <c r="J230" s="13"/>
      <c r="K230" s="18" t="s">
        <v>76</v>
      </c>
      <c r="L230" s="19"/>
      <c r="M230" s="19"/>
      <c r="N230" s="20"/>
      <c r="O230" s="22" t="s">
        <v>77</v>
      </c>
      <c r="P230" s="62">
        <v>0.4</v>
      </c>
      <c r="Q230" s="107">
        <v>280</v>
      </c>
      <c r="R230" s="23">
        <f t="shared" ref="R230:R235" si="2">P230*Q230</f>
        <v>112</v>
      </c>
    </row>
    <row r="231" spans="1:18" x14ac:dyDescent="0.2">
      <c r="A231" s="13"/>
      <c r="B231" s="18"/>
      <c r="C231" s="19"/>
      <c r="D231" s="19"/>
      <c r="E231" s="20"/>
      <c r="F231" s="22"/>
      <c r="G231" s="22"/>
      <c r="H231" s="23"/>
      <c r="I231" s="23"/>
      <c r="J231" s="13"/>
      <c r="K231" s="18" t="s">
        <v>78</v>
      </c>
      <c r="L231" s="19"/>
      <c r="M231" s="19"/>
      <c r="N231" s="20"/>
      <c r="O231" s="22" t="s">
        <v>66</v>
      </c>
      <c r="P231" s="62">
        <v>2</v>
      </c>
      <c r="Q231" s="107">
        <v>80</v>
      </c>
      <c r="R231" s="23">
        <f t="shared" si="2"/>
        <v>160</v>
      </c>
    </row>
    <row r="232" spans="1:18" x14ac:dyDescent="0.2">
      <c r="A232" s="13"/>
      <c r="B232" s="18"/>
      <c r="C232" s="19"/>
      <c r="D232" s="19"/>
      <c r="E232" s="20"/>
      <c r="F232" s="22"/>
      <c r="G232" s="22"/>
      <c r="H232" s="38"/>
      <c r="I232" s="38"/>
      <c r="J232" s="13"/>
      <c r="K232" s="18" t="s">
        <v>79</v>
      </c>
      <c r="L232" s="19"/>
      <c r="M232" s="19"/>
      <c r="N232" s="20"/>
      <c r="O232" s="22" t="s">
        <v>80</v>
      </c>
      <c r="P232" s="62">
        <v>0.15</v>
      </c>
      <c r="Q232" s="107">
        <v>260</v>
      </c>
      <c r="R232" s="23">
        <f t="shared" si="2"/>
        <v>39</v>
      </c>
    </row>
    <row r="233" spans="1:18" x14ac:dyDescent="0.2">
      <c r="A233" s="13"/>
      <c r="B233" s="18"/>
      <c r="C233" s="19"/>
      <c r="D233" s="19"/>
      <c r="E233" s="20"/>
      <c r="F233" s="22"/>
      <c r="G233" s="22"/>
      <c r="H233" s="38"/>
      <c r="I233" s="38"/>
      <c r="J233" s="13"/>
      <c r="K233" s="18" t="s">
        <v>81</v>
      </c>
      <c r="L233" s="19"/>
      <c r="M233" s="19"/>
      <c r="N233" s="20"/>
      <c r="O233" s="22" t="s">
        <v>77</v>
      </c>
      <c r="P233" s="62">
        <v>0.2</v>
      </c>
      <c r="Q233" s="107">
        <v>75</v>
      </c>
      <c r="R233" s="23">
        <f t="shared" si="2"/>
        <v>15</v>
      </c>
    </row>
    <row r="234" spans="1:18" x14ac:dyDescent="0.2">
      <c r="A234" s="13"/>
      <c r="B234" s="18"/>
      <c r="C234" s="19"/>
      <c r="D234" s="19"/>
      <c r="E234" s="20"/>
      <c r="F234" s="22"/>
      <c r="G234" s="22"/>
      <c r="H234" s="45"/>
      <c r="I234" s="45"/>
      <c r="J234" s="13"/>
      <c r="K234" s="18" t="s">
        <v>82</v>
      </c>
      <c r="L234" s="19"/>
      <c r="M234" s="19"/>
      <c r="N234" s="20"/>
      <c r="O234" s="22" t="s">
        <v>80</v>
      </c>
      <c r="P234" s="62">
        <v>0.4</v>
      </c>
      <c r="Q234" s="107">
        <v>45</v>
      </c>
      <c r="R234" s="23">
        <f t="shared" si="2"/>
        <v>18</v>
      </c>
    </row>
    <row r="235" spans="1:18" x14ac:dyDescent="0.2">
      <c r="A235" s="13"/>
      <c r="B235" s="18"/>
      <c r="C235" s="19"/>
      <c r="D235" s="19"/>
      <c r="E235" s="20"/>
      <c r="F235" s="22"/>
      <c r="G235" s="22"/>
      <c r="H235" s="45"/>
      <c r="I235" s="45"/>
      <c r="J235" s="13"/>
      <c r="K235" s="18" t="s">
        <v>83</v>
      </c>
      <c r="L235" s="19"/>
      <c r="M235" s="19"/>
      <c r="N235" s="20"/>
      <c r="O235" s="22" t="s">
        <v>66</v>
      </c>
      <c r="P235" s="62">
        <v>0.1</v>
      </c>
      <c r="Q235" s="107">
        <v>40</v>
      </c>
      <c r="R235" s="23">
        <f t="shared" si="2"/>
        <v>4</v>
      </c>
    </row>
    <row r="236" spans="1:18" x14ac:dyDescent="0.2">
      <c r="A236" s="13"/>
      <c r="B236" s="18"/>
      <c r="C236" s="19"/>
      <c r="D236" s="19"/>
      <c r="E236" s="20"/>
      <c r="F236" s="22"/>
      <c r="G236" s="22"/>
      <c r="H236" s="23"/>
      <c r="I236" s="23"/>
      <c r="J236" s="13"/>
      <c r="K236" s="18"/>
      <c r="L236" s="19"/>
      <c r="M236" s="19"/>
      <c r="N236" s="20"/>
      <c r="O236" s="22"/>
      <c r="P236" s="22"/>
      <c r="Q236" s="23"/>
      <c r="R236" s="23"/>
    </row>
    <row r="237" spans="1:18" x14ac:dyDescent="0.2">
      <c r="A237" s="13"/>
      <c r="B237" s="18"/>
      <c r="C237" s="19"/>
      <c r="D237" s="19"/>
      <c r="E237" s="20"/>
      <c r="F237" s="22"/>
      <c r="G237" s="22"/>
      <c r="H237" s="23"/>
      <c r="I237" s="23"/>
      <c r="J237" s="13"/>
      <c r="K237" s="18"/>
      <c r="L237" s="19"/>
      <c r="M237" s="19"/>
      <c r="N237" s="20"/>
      <c r="O237" s="22"/>
      <c r="P237" s="22"/>
      <c r="Q237" s="23"/>
      <c r="R237" s="23"/>
    </row>
    <row r="238" spans="1:18" x14ac:dyDescent="0.2">
      <c r="A238" s="13"/>
      <c r="B238" s="18"/>
      <c r="C238" s="19"/>
      <c r="D238" s="19"/>
      <c r="E238" s="20"/>
      <c r="F238" s="22"/>
      <c r="G238" s="22"/>
      <c r="H238" s="23"/>
      <c r="I238" s="23"/>
      <c r="J238" s="13"/>
      <c r="K238" s="18"/>
      <c r="L238" s="19"/>
      <c r="M238" s="19"/>
      <c r="N238" s="20"/>
      <c r="O238" s="22"/>
      <c r="P238" s="22"/>
      <c r="Q238" s="23"/>
      <c r="R238" s="23"/>
    </row>
    <row r="239" spans="1:18" x14ac:dyDescent="0.2">
      <c r="A239" s="13"/>
      <c r="B239" s="18"/>
      <c r="C239" s="19"/>
      <c r="D239" s="19"/>
      <c r="E239" s="20"/>
      <c r="F239" s="22"/>
      <c r="G239" s="22"/>
      <c r="H239" s="23"/>
      <c r="I239" s="23"/>
      <c r="J239" s="13"/>
      <c r="K239" s="18"/>
      <c r="L239" s="19"/>
      <c r="M239" s="19"/>
      <c r="N239" s="20"/>
      <c r="O239" s="22"/>
      <c r="P239" s="22"/>
      <c r="Q239" s="23"/>
      <c r="R239" s="23"/>
    </row>
    <row r="240" spans="1:18" x14ac:dyDescent="0.2">
      <c r="A240" s="13"/>
      <c r="B240" s="18"/>
      <c r="C240" s="19"/>
      <c r="D240" s="19"/>
      <c r="E240" s="20"/>
      <c r="F240" s="22"/>
      <c r="G240" s="22"/>
      <c r="H240" s="23"/>
      <c r="I240" s="23"/>
      <c r="J240" s="13"/>
      <c r="K240" s="18"/>
      <c r="L240" s="19"/>
      <c r="M240" s="19"/>
      <c r="N240" s="20"/>
      <c r="O240" s="22"/>
      <c r="P240" s="22"/>
      <c r="Q240" s="23"/>
      <c r="R240" s="23"/>
    </row>
    <row r="241" spans="1:18" x14ac:dyDescent="0.2">
      <c r="A241" s="13"/>
      <c r="B241" s="18"/>
      <c r="C241" s="19"/>
      <c r="D241" s="19"/>
      <c r="E241" s="20"/>
      <c r="F241" s="22"/>
      <c r="G241" s="22"/>
      <c r="H241" s="23"/>
      <c r="I241" s="23"/>
      <c r="J241" s="13"/>
      <c r="K241" s="18"/>
      <c r="L241" s="19"/>
      <c r="M241" s="19"/>
      <c r="N241" s="20"/>
      <c r="O241" s="22"/>
      <c r="P241" s="22"/>
      <c r="Q241" s="23"/>
      <c r="R241" s="23"/>
    </row>
    <row r="242" spans="1:18" x14ac:dyDescent="0.2">
      <c r="A242" s="13"/>
      <c r="B242" s="18"/>
      <c r="C242" s="19"/>
      <c r="D242" s="19"/>
      <c r="E242" s="20"/>
      <c r="F242" s="22"/>
      <c r="G242" s="36"/>
      <c r="H242" s="37"/>
      <c r="I242" s="37"/>
      <c r="J242" s="13"/>
      <c r="K242" s="18"/>
      <c r="L242" s="19"/>
      <c r="M242" s="19"/>
      <c r="N242" s="20"/>
      <c r="O242" s="22"/>
      <c r="P242" s="36"/>
      <c r="Q242" s="37"/>
      <c r="R242" s="37"/>
    </row>
    <row r="243" spans="1:18" x14ac:dyDescent="0.2">
      <c r="A243" s="13"/>
      <c r="B243" s="248" t="s">
        <v>42</v>
      </c>
      <c r="C243" s="249"/>
      <c r="D243" s="249"/>
      <c r="E243" s="250"/>
      <c r="F243" s="46"/>
      <c r="G243" s="46"/>
      <c r="H243" s="47"/>
      <c r="I243" s="47">
        <f>SUM(I230:I242)</f>
        <v>14</v>
      </c>
      <c r="J243" s="13"/>
      <c r="K243" s="248" t="s">
        <v>42</v>
      </c>
      <c r="L243" s="249"/>
      <c r="M243" s="249"/>
      <c r="N243" s="250"/>
      <c r="O243" s="46"/>
      <c r="P243" s="46"/>
      <c r="Q243" s="47"/>
      <c r="R243" s="47">
        <f>SUM(R230:R242)</f>
        <v>348</v>
      </c>
    </row>
    <row r="244" spans="1:18" x14ac:dyDescent="0.2">
      <c r="A244" s="12" t="s">
        <v>43</v>
      </c>
      <c r="B244" s="48" t="s">
        <v>44</v>
      </c>
      <c r="C244" s="43"/>
      <c r="D244" s="43"/>
      <c r="E244" s="39"/>
      <c r="F244" s="49"/>
      <c r="G244" s="49"/>
      <c r="H244" s="50"/>
      <c r="I244" s="51">
        <f>SUM(I225+I243)</f>
        <v>7044.4498100000001</v>
      </c>
      <c r="J244" s="12" t="s">
        <v>43</v>
      </c>
      <c r="K244" s="48" t="s">
        <v>44</v>
      </c>
      <c r="L244" s="43"/>
      <c r="M244" s="43"/>
      <c r="N244" s="39"/>
      <c r="O244" s="49"/>
      <c r="P244" s="49"/>
      <c r="Q244" s="50"/>
      <c r="R244" s="51">
        <f>SUM(R225+R243)</f>
        <v>773.59904761904761</v>
      </c>
    </row>
    <row r="245" spans="1:18" x14ac:dyDescent="0.2">
      <c r="A245" s="13" t="s">
        <v>45</v>
      </c>
      <c r="B245" s="48" t="s">
        <v>46</v>
      </c>
      <c r="C245" s="43"/>
      <c r="D245" s="43"/>
      <c r="E245" s="39"/>
      <c r="F245" s="49"/>
      <c r="G245" s="52">
        <v>0.09</v>
      </c>
      <c r="H245" s="53" t="s">
        <v>47</v>
      </c>
      <c r="I245" s="51">
        <f>G245*I244</f>
        <v>634.00048289999995</v>
      </c>
      <c r="J245" s="13" t="s">
        <v>45</v>
      </c>
      <c r="K245" s="48" t="s">
        <v>46</v>
      </c>
      <c r="L245" s="43"/>
      <c r="M245" s="43"/>
      <c r="N245" s="39"/>
      <c r="O245" s="49"/>
      <c r="P245" s="52">
        <v>0.09</v>
      </c>
      <c r="Q245" s="53" t="s">
        <v>47</v>
      </c>
      <c r="R245" s="51">
        <f>P245*R244</f>
        <v>69.623914285714278</v>
      </c>
    </row>
    <row r="246" spans="1:18" x14ac:dyDescent="0.2">
      <c r="A246" s="13" t="s">
        <v>48</v>
      </c>
      <c r="B246" s="48" t="s">
        <v>49</v>
      </c>
      <c r="C246" s="43"/>
      <c r="D246" s="43"/>
      <c r="E246" s="39"/>
      <c r="F246" s="49"/>
      <c r="G246" s="52">
        <v>0.08</v>
      </c>
      <c r="H246" s="53" t="s">
        <v>47</v>
      </c>
      <c r="I246" s="51">
        <f>G246*I244</f>
        <v>563.55598480000003</v>
      </c>
      <c r="J246" s="13" t="s">
        <v>48</v>
      </c>
      <c r="K246" s="48" t="s">
        <v>49</v>
      </c>
      <c r="L246" s="43"/>
      <c r="M246" s="43"/>
      <c r="N246" s="39"/>
      <c r="O246" s="49"/>
      <c r="P246" s="52">
        <v>0.08</v>
      </c>
      <c r="Q246" s="53" t="s">
        <v>47</v>
      </c>
      <c r="R246" s="51">
        <f>P246*R244</f>
        <v>61.887923809523812</v>
      </c>
    </row>
    <row r="247" spans="1:18" x14ac:dyDescent="0.2">
      <c r="A247" s="13" t="s">
        <v>50</v>
      </c>
      <c r="B247" s="48" t="s">
        <v>51</v>
      </c>
      <c r="C247" s="43"/>
      <c r="D247" s="43"/>
      <c r="E247" s="39"/>
      <c r="F247" s="49"/>
      <c r="G247" s="52">
        <f>5/100</f>
        <v>0.05</v>
      </c>
      <c r="H247" s="53" t="s">
        <v>52</v>
      </c>
      <c r="I247" s="51">
        <f>G247*(I244+I245+I246)</f>
        <v>412.10031388500005</v>
      </c>
      <c r="J247" s="13" t="s">
        <v>50</v>
      </c>
      <c r="K247" s="48" t="s">
        <v>51</v>
      </c>
      <c r="L247" s="43"/>
      <c r="M247" s="43"/>
      <c r="N247" s="39"/>
      <c r="O247" s="49"/>
      <c r="P247" s="52">
        <f>5/100</f>
        <v>0.05</v>
      </c>
      <c r="Q247" s="53" t="s">
        <v>52</v>
      </c>
      <c r="R247" s="51">
        <f>P247*(R244+R245+R246)</f>
        <v>45.255544285714286</v>
      </c>
    </row>
    <row r="248" spans="1:18" x14ac:dyDescent="0.2">
      <c r="A248" s="54" t="s">
        <v>53</v>
      </c>
      <c r="B248" s="48" t="s">
        <v>54</v>
      </c>
      <c r="C248" s="43"/>
      <c r="D248" s="43"/>
      <c r="E248" s="39"/>
      <c r="F248" s="49"/>
      <c r="G248" s="49"/>
      <c r="H248" s="55" t="s">
        <v>55</v>
      </c>
      <c r="I248" s="51">
        <f>SUM(I244+I245+I246+I247)</f>
        <v>8654.1065915849995</v>
      </c>
      <c r="J248" s="54" t="s">
        <v>53</v>
      </c>
      <c r="K248" s="48" t="s">
        <v>54</v>
      </c>
      <c r="L248" s="43"/>
      <c r="M248" s="43"/>
      <c r="N248" s="39"/>
      <c r="O248" s="49"/>
      <c r="P248" s="49"/>
      <c r="Q248" s="55" t="s">
        <v>55</v>
      </c>
      <c r="R248" s="51">
        <f>SUM(R244+R245+R246+R247)</f>
        <v>950.36643000000004</v>
      </c>
    </row>
    <row r="249" spans="1:18" s="1" customFormat="1" x14ac:dyDescent="0.2">
      <c r="A249" s="236" t="s">
        <v>0</v>
      </c>
      <c r="B249" s="236"/>
      <c r="C249" s="236"/>
      <c r="D249" s="236"/>
      <c r="E249" s="236"/>
      <c r="F249" s="236"/>
      <c r="G249" s="236"/>
      <c r="H249" s="236"/>
      <c r="I249" s="236"/>
      <c r="J249" s="236" t="s">
        <v>0</v>
      </c>
      <c r="K249" s="236"/>
      <c r="L249" s="236"/>
      <c r="M249" s="236"/>
      <c r="N249" s="236"/>
      <c r="O249" s="236"/>
      <c r="P249" s="236"/>
      <c r="Q249" s="236"/>
      <c r="R249" s="236"/>
    </row>
    <row r="251" spans="1:18" x14ac:dyDescent="0.2">
      <c r="A251" s="2" t="s">
        <v>1</v>
      </c>
      <c r="C251" s="4" t="s">
        <v>2</v>
      </c>
      <c r="D251" s="5" t="s">
        <v>1135</v>
      </c>
      <c r="E251" s="237" t="s">
        <v>1183</v>
      </c>
      <c r="F251" s="237"/>
      <c r="G251" s="237"/>
      <c r="H251" s="237"/>
      <c r="J251" s="2" t="s">
        <v>1</v>
      </c>
      <c r="L251" s="4" t="s">
        <v>2</v>
      </c>
      <c r="M251" s="5" t="s">
        <v>85</v>
      </c>
      <c r="N251" s="8" t="s">
        <v>86</v>
      </c>
      <c r="O251" s="8"/>
      <c r="P251" s="8"/>
      <c r="Q251" s="8"/>
    </row>
    <row r="252" spans="1:18" x14ac:dyDescent="0.2">
      <c r="A252" s="2" t="s">
        <v>7</v>
      </c>
      <c r="C252" s="4" t="s">
        <v>2</v>
      </c>
      <c r="E252" s="2" t="s">
        <v>59</v>
      </c>
      <c r="F252" s="8"/>
      <c r="G252" s="8"/>
      <c r="H252" s="8"/>
      <c r="J252" s="2" t="s">
        <v>7</v>
      </c>
      <c r="L252" s="4" t="s">
        <v>2</v>
      </c>
      <c r="N252" s="2" t="s">
        <v>9</v>
      </c>
      <c r="O252" s="8"/>
      <c r="P252" s="8"/>
      <c r="Q252" s="8"/>
    </row>
    <row r="253" spans="1:18" x14ac:dyDescent="0.2">
      <c r="A253" s="2" t="s">
        <v>10</v>
      </c>
      <c r="C253" s="4" t="s">
        <v>2</v>
      </c>
      <c r="E253" s="9">
        <v>1</v>
      </c>
      <c r="F253" s="8"/>
      <c r="G253" s="8"/>
      <c r="H253" s="8"/>
      <c r="J253" s="2" t="s">
        <v>10</v>
      </c>
      <c r="L253" s="4" t="s">
        <v>2</v>
      </c>
      <c r="N253" s="9">
        <v>1.65</v>
      </c>
      <c r="O253" s="8"/>
      <c r="P253" s="8"/>
      <c r="Q253" s="8"/>
    </row>
    <row r="254" spans="1:18" x14ac:dyDescent="0.2">
      <c r="B254" s="8"/>
      <c r="F254" s="11"/>
      <c r="G254" s="8"/>
      <c r="H254" s="8"/>
      <c r="I254" s="8"/>
      <c r="K254" s="8"/>
      <c r="O254" s="11"/>
      <c r="P254" s="8"/>
      <c r="Q254" s="8"/>
      <c r="R254" s="8"/>
    </row>
    <row r="255" spans="1:18" x14ac:dyDescent="0.2">
      <c r="A255" s="12"/>
      <c r="B255" s="238" t="s">
        <v>11</v>
      </c>
      <c r="C255" s="239"/>
      <c r="D255" s="239"/>
      <c r="E255" s="240"/>
      <c r="F255" s="244" t="s">
        <v>12</v>
      </c>
      <c r="G255" s="244" t="s">
        <v>13</v>
      </c>
      <c r="H255" s="244" t="s">
        <v>14</v>
      </c>
      <c r="I255" s="246" t="s">
        <v>15</v>
      </c>
      <c r="J255" s="12"/>
      <c r="K255" s="238" t="s">
        <v>11</v>
      </c>
      <c r="L255" s="239"/>
      <c r="M255" s="239"/>
      <c r="N255" s="240"/>
      <c r="O255" s="244" t="s">
        <v>12</v>
      </c>
      <c r="P255" s="244" t="s">
        <v>13</v>
      </c>
      <c r="Q255" s="244" t="s">
        <v>14</v>
      </c>
      <c r="R255" s="246" t="s">
        <v>15</v>
      </c>
    </row>
    <row r="256" spans="1:18" x14ac:dyDescent="0.2">
      <c r="A256" s="13"/>
      <c r="B256" s="241"/>
      <c r="C256" s="242"/>
      <c r="D256" s="242"/>
      <c r="E256" s="243"/>
      <c r="F256" s="245"/>
      <c r="G256" s="245"/>
      <c r="H256" s="245"/>
      <c r="I256" s="247"/>
      <c r="J256" s="13"/>
      <c r="K256" s="241"/>
      <c r="L256" s="242"/>
      <c r="M256" s="242"/>
      <c r="N256" s="243"/>
      <c r="O256" s="245"/>
      <c r="P256" s="245"/>
      <c r="Q256" s="245"/>
      <c r="R256" s="247"/>
    </row>
    <row r="257" spans="1:18" x14ac:dyDescent="0.2">
      <c r="A257" s="13" t="s">
        <v>16</v>
      </c>
      <c r="B257" s="14" t="s">
        <v>17</v>
      </c>
      <c r="C257" s="15"/>
      <c r="D257" s="15"/>
      <c r="E257" s="16"/>
      <c r="F257" s="17"/>
      <c r="G257" s="17"/>
      <c r="H257" s="17"/>
      <c r="I257" s="17"/>
      <c r="J257" s="13" t="s">
        <v>16</v>
      </c>
      <c r="K257" s="14" t="s">
        <v>17</v>
      </c>
      <c r="L257" s="15"/>
      <c r="M257" s="15"/>
      <c r="N257" s="16"/>
      <c r="O257" s="17"/>
      <c r="P257" s="17"/>
      <c r="Q257" s="17"/>
      <c r="R257" s="17"/>
    </row>
    <row r="258" spans="1:18" x14ac:dyDescent="0.2">
      <c r="A258" s="13"/>
      <c r="B258" s="18"/>
      <c r="C258" s="19"/>
      <c r="D258" s="19"/>
      <c r="E258" s="20"/>
      <c r="F258" s="21"/>
      <c r="G258" s="22"/>
      <c r="H258" s="21"/>
      <c r="I258" s="21"/>
      <c r="J258" s="13"/>
      <c r="K258" s="24" t="s">
        <v>18</v>
      </c>
      <c r="L258" s="19"/>
      <c r="M258" s="19"/>
      <c r="N258" s="63" t="s">
        <v>72</v>
      </c>
      <c r="O258" s="22">
        <v>1</v>
      </c>
      <c r="P258" s="62">
        <v>1</v>
      </c>
      <c r="Q258" s="23">
        <v>69.42</v>
      </c>
      <c r="R258" s="22">
        <f>O258*P258*Q258</f>
        <v>69.42</v>
      </c>
    </row>
    <row r="259" spans="1:18" x14ac:dyDescent="0.2">
      <c r="A259" s="13"/>
      <c r="B259" s="24" t="s">
        <v>18</v>
      </c>
      <c r="C259" s="25"/>
      <c r="D259" s="25"/>
      <c r="E259" s="26"/>
      <c r="F259" s="22">
        <v>1</v>
      </c>
      <c r="G259" s="22">
        <v>6.67</v>
      </c>
      <c r="H259" s="23">
        <v>69.42</v>
      </c>
      <c r="I259" s="23">
        <f>G259*H259*F259</f>
        <v>463.03140000000002</v>
      </c>
      <c r="J259" s="13"/>
      <c r="K259" s="24" t="s">
        <v>1178</v>
      </c>
      <c r="L259" s="25"/>
      <c r="M259" s="25"/>
      <c r="N259" s="65"/>
      <c r="O259" s="22">
        <v>2</v>
      </c>
      <c r="P259" s="62">
        <v>1</v>
      </c>
      <c r="Q259" s="23">
        <v>50.18</v>
      </c>
      <c r="R259" s="22">
        <f t="shared" ref="R259:R265" si="3">O259*P259*Q259</f>
        <v>100.36</v>
      </c>
    </row>
    <row r="260" spans="1:18" x14ac:dyDescent="0.2">
      <c r="A260" s="13"/>
      <c r="B260" s="257" t="s">
        <v>1178</v>
      </c>
      <c r="C260" s="258"/>
      <c r="D260" s="25"/>
      <c r="E260" s="26"/>
      <c r="F260" s="22">
        <v>1</v>
      </c>
      <c r="G260" s="22">
        <f>G259</f>
        <v>6.67</v>
      </c>
      <c r="H260" s="23">
        <v>50.18</v>
      </c>
      <c r="I260" s="23">
        <f>G260*H260*F260</f>
        <v>334.70060000000001</v>
      </c>
      <c r="J260" s="13"/>
      <c r="K260" s="24" t="s">
        <v>1177</v>
      </c>
      <c r="L260" s="25"/>
      <c r="M260" s="25"/>
      <c r="N260" s="65"/>
      <c r="O260" s="22">
        <v>4</v>
      </c>
      <c r="P260" s="62">
        <v>1</v>
      </c>
      <c r="Q260" s="23">
        <v>38.97</v>
      </c>
      <c r="R260" s="22">
        <f t="shared" si="3"/>
        <v>155.88</v>
      </c>
    </row>
    <row r="261" spans="1:18" x14ac:dyDescent="0.2">
      <c r="A261" s="13"/>
      <c r="B261" s="257" t="s">
        <v>1177</v>
      </c>
      <c r="C261" s="258"/>
      <c r="D261" s="19"/>
      <c r="E261" s="20"/>
      <c r="F261" s="22">
        <v>2</v>
      </c>
      <c r="G261" s="22">
        <f>G260</f>
        <v>6.67</v>
      </c>
      <c r="H261" s="23">
        <v>38.97</v>
      </c>
      <c r="I261" s="23">
        <f>G261*H261*F261</f>
        <v>519.85979999999995</v>
      </c>
      <c r="J261" s="13"/>
      <c r="K261" s="27" t="s">
        <v>18</v>
      </c>
      <c r="L261" s="19"/>
      <c r="M261" s="19"/>
      <c r="N261" s="63" t="s">
        <v>73</v>
      </c>
      <c r="O261" s="22">
        <v>1</v>
      </c>
      <c r="P261" s="62">
        <v>1</v>
      </c>
      <c r="Q261" s="23">
        <v>69.42</v>
      </c>
      <c r="R261" s="22">
        <f t="shared" si="3"/>
        <v>69.42</v>
      </c>
    </row>
    <row r="262" spans="1:18" x14ac:dyDescent="0.2">
      <c r="A262" s="13"/>
      <c r="B262" s="27"/>
      <c r="C262" s="19"/>
      <c r="D262" s="19"/>
      <c r="E262" s="20"/>
      <c r="F262" s="22"/>
      <c r="G262" s="22"/>
      <c r="H262" s="29"/>
      <c r="I262" s="30"/>
      <c r="J262" s="13"/>
      <c r="K262" s="149" t="s">
        <v>1178</v>
      </c>
      <c r="L262" s="19"/>
      <c r="M262" s="19"/>
      <c r="N262" s="63"/>
      <c r="O262" s="22">
        <v>1</v>
      </c>
      <c r="P262" s="62">
        <v>1</v>
      </c>
      <c r="Q262" s="23">
        <v>50.18</v>
      </c>
      <c r="R262" s="22">
        <f t="shared" si="3"/>
        <v>50.18</v>
      </c>
    </row>
    <row r="263" spans="1:18" x14ac:dyDescent="0.2">
      <c r="A263" s="13"/>
      <c r="B263" s="27"/>
      <c r="C263" s="19"/>
      <c r="D263" s="19"/>
      <c r="E263" s="20"/>
      <c r="F263" s="22"/>
      <c r="G263" s="22"/>
      <c r="H263" s="29"/>
      <c r="I263" s="30"/>
      <c r="J263" s="13"/>
      <c r="K263" s="149" t="s">
        <v>1177</v>
      </c>
      <c r="L263" s="19"/>
      <c r="M263" s="19"/>
      <c r="N263" s="63"/>
      <c r="O263" s="22">
        <v>2</v>
      </c>
      <c r="P263" s="62">
        <v>1</v>
      </c>
      <c r="Q263" s="23">
        <v>38.97</v>
      </c>
      <c r="R263" s="22">
        <f t="shared" si="3"/>
        <v>77.94</v>
      </c>
    </row>
    <row r="264" spans="1:18" x14ac:dyDescent="0.2">
      <c r="A264" s="13"/>
      <c r="B264" s="18"/>
      <c r="C264" s="19"/>
      <c r="D264" s="19"/>
      <c r="E264" s="20"/>
      <c r="F264" s="22"/>
      <c r="G264" s="22"/>
      <c r="H264" s="28"/>
      <c r="I264" s="23"/>
      <c r="J264" s="13"/>
      <c r="K264" s="18" t="s">
        <v>18</v>
      </c>
      <c r="L264" s="19"/>
      <c r="M264" s="19"/>
      <c r="N264" s="63" t="s">
        <v>74</v>
      </c>
      <c r="O264" s="22">
        <v>1</v>
      </c>
      <c r="P264" s="62">
        <v>0.5</v>
      </c>
      <c r="Q264" s="23">
        <v>69.42</v>
      </c>
      <c r="R264" s="22">
        <f t="shared" si="3"/>
        <v>34.71</v>
      </c>
    </row>
    <row r="265" spans="1:18" x14ac:dyDescent="0.2">
      <c r="A265" s="13"/>
      <c r="B265" s="18"/>
      <c r="C265" s="19"/>
      <c r="D265" s="19"/>
      <c r="E265" s="20"/>
      <c r="F265" s="22"/>
      <c r="G265" s="22"/>
      <c r="H265" s="23"/>
      <c r="I265" s="23"/>
      <c r="J265" s="13"/>
      <c r="K265" s="18" t="s">
        <v>1197</v>
      </c>
      <c r="L265" s="19"/>
      <c r="M265" s="19"/>
      <c r="N265" s="20"/>
      <c r="O265" s="22">
        <v>2</v>
      </c>
      <c r="P265" s="62">
        <v>0.5</v>
      </c>
      <c r="Q265" s="23">
        <v>38.97</v>
      </c>
      <c r="R265" s="22">
        <f t="shared" si="3"/>
        <v>38.97</v>
      </c>
    </row>
    <row r="266" spans="1:18" x14ac:dyDescent="0.2">
      <c r="A266" s="13"/>
      <c r="B266" s="248" t="s">
        <v>20</v>
      </c>
      <c r="C266" s="249"/>
      <c r="D266" s="249"/>
      <c r="E266" s="250"/>
      <c r="F266" s="31"/>
      <c r="G266" s="31"/>
      <c r="H266" s="32"/>
      <c r="I266" s="32">
        <f>SUM(I259:I265)</f>
        <v>1317.5917999999999</v>
      </c>
      <c r="J266" s="13"/>
      <c r="K266" s="248" t="s">
        <v>20</v>
      </c>
      <c r="L266" s="249"/>
      <c r="M266" s="249"/>
      <c r="N266" s="250"/>
      <c r="O266" s="31"/>
      <c r="P266" s="31"/>
      <c r="Q266" s="32"/>
      <c r="R266" s="32">
        <f>SUM(R258:R265)</f>
        <v>596.88000000000011</v>
      </c>
    </row>
    <row r="267" spans="1:18" x14ac:dyDescent="0.2">
      <c r="A267" s="12"/>
      <c r="B267" s="251" t="s">
        <v>21</v>
      </c>
      <c r="C267" s="252"/>
      <c r="D267" s="252"/>
      <c r="E267" s="253"/>
      <c r="F267" s="244" t="s">
        <v>22</v>
      </c>
      <c r="G267" s="244" t="s">
        <v>13</v>
      </c>
      <c r="H267" s="244" t="s">
        <v>14</v>
      </c>
      <c r="I267" s="246" t="s">
        <v>15</v>
      </c>
      <c r="J267" s="12"/>
      <c r="K267" s="251" t="s">
        <v>21</v>
      </c>
      <c r="L267" s="252"/>
      <c r="M267" s="252"/>
      <c r="N267" s="253"/>
      <c r="O267" s="244" t="s">
        <v>22</v>
      </c>
      <c r="P267" s="244" t="s">
        <v>13</v>
      </c>
      <c r="Q267" s="244" t="s">
        <v>14</v>
      </c>
      <c r="R267" s="246" t="s">
        <v>15</v>
      </c>
    </row>
    <row r="268" spans="1:18" x14ac:dyDescent="0.2">
      <c r="A268" s="13"/>
      <c r="B268" s="254"/>
      <c r="C268" s="255"/>
      <c r="D268" s="255"/>
      <c r="E268" s="256"/>
      <c r="F268" s="245"/>
      <c r="G268" s="245"/>
      <c r="H268" s="245"/>
      <c r="I268" s="247"/>
      <c r="J268" s="13"/>
      <c r="K268" s="254"/>
      <c r="L268" s="255"/>
      <c r="M268" s="255"/>
      <c r="N268" s="256"/>
      <c r="O268" s="245"/>
      <c r="P268" s="245"/>
      <c r="Q268" s="245"/>
      <c r="R268" s="247"/>
    </row>
    <row r="269" spans="1:18" x14ac:dyDescent="0.2">
      <c r="A269" s="13" t="s">
        <v>23</v>
      </c>
      <c r="B269" s="33" t="s">
        <v>24</v>
      </c>
      <c r="C269" s="15"/>
      <c r="D269" s="15"/>
      <c r="E269" s="16"/>
      <c r="F269" s="34"/>
      <c r="G269" s="34"/>
      <c r="H269" s="35"/>
      <c r="I269" s="35"/>
      <c r="J269" s="13" t="s">
        <v>23</v>
      </c>
      <c r="K269" s="33" t="s">
        <v>24</v>
      </c>
      <c r="L269" s="15"/>
      <c r="M269" s="15"/>
      <c r="N269" s="16"/>
      <c r="O269" s="34"/>
      <c r="P269" s="34"/>
      <c r="Q269" s="35"/>
      <c r="R269" s="35"/>
    </row>
    <row r="270" spans="1:18" x14ac:dyDescent="0.2">
      <c r="A270" s="13"/>
      <c r="B270" s="18"/>
      <c r="C270" s="19"/>
      <c r="D270" s="19"/>
      <c r="E270" s="20"/>
      <c r="F270" s="22"/>
      <c r="G270" s="22"/>
      <c r="H270" s="23"/>
      <c r="I270" s="23"/>
      <c r="J270" s="13"/>
      <c r="K270" s="18"/>
      <c r="L270" s="19"/>
      <c r="M270" s="19"/>
      <c r="N270" s="20"/>
      <c r="O270" s="22"/>
      <c r="P270" s="22"/>
      <c r="Q270" s="23"/>
      <c r="R270" s="23"/>
    </row>
    <row r="271" spans="1:18" x14ac:dyDescent="0.2">
      <c r="A271" s="13"/>
      <c r="B271" s="18" t="s">
        <v>62</v>
      </c>
      <c r="C271" s="19"/>
      <c r="D271" s="19"/>
      <c r="E271" s="20"/>
      <c r="F271" s="22">
        <v>1</v>
      </c>
      <c r="G271" s="23">
        <v>5</v>
      </c>
      <c r="H271" s="37">
        <v>1537</v>
      </c>
      <c r="I271" s="37">
        <f>G271*H271*F271</f>
        <v>7685</v>
      </c>
      <c r="J271" s="13"/>
      <c r="K271" s="18" t="s">
        <v>62</v>
      </c>
      <c r="L271" s="66"/>
      <c r="M271" s="19"/>
      <c r="N271" s="20"/>
      <c r="O271" s="22">
        <v>1</v>
      </c>
      <c r="P271" s="23">
        <v>0.5</v>
      </c>
      <c r="Q271" s="37">
        <v>1537</v>
      </c>
      <c r="R271" s="37">
        <f t="shared" ref="R271:R278" si="4">P271*Q271*O271</f>
        <v>768.5</v>
      </c>
    </row>
    <row r="272" spans="1:18" x14ac:dyDescent="0.2">
      <c r="A272" s="13"/>
      <c r="B272" s="18" t="s">
        <v>1132</v>
      </c>
      <c r="C272" s="19"/>
      <c r="D272" s="19"/>
      <c r="E272" s="20"/>
      <c r="F272" s="22">
        <v>1</v>
      </c>
      <c r="G272" s="23">
        <v>3.33</v>
      </c>
      <c r="H272" s="37">
        <v>1420</v>
      </c>
      <c r="I272" s="37">
        <f>G272*H272*F272</f>
        <v>4728.6000000000004</v>
      </c>
      <c r="J272" s="13"/>
      <c r="K272" s="18" t="s">
        <v>1162</v>
      </c>
      <c r="L272" s="19"/>
      <c r="M272" s="19"/>
      <c r="N272" s="20"/>
      <c r="O272" s="22">
        <v>1</v>
      </c>
      <c r="P272" s="23">
        <v>0.1</v>
      </c>
      <c r="Q272" s="37">
        <v>1998.1</v>
      </c>
      <c r="R272" s="37">
        <f t="shared" si="4"/>
        <v>199.81</v>
      </c>
    </row>
    <row r="273" spans="1:18" x14ac:dyDescent="0.2">
      <c r="A273" s="13"/>
      <c r="B273" s="56" t="s">
        <v>63</v>
      </c>
      <c r="C273" s="57"/>
      <c r="D273" s="57"/>
      <c r="E273" s="58"/>
      <c r="F273" s="59">
        <v>1</v>
      </c>
      <c r="G273" s="60">
        <v>3.33</v>
      </c>
      <c r="H273" s="37">
        <v>75.36</v>
      </c>
      <c r="I273" s="61">
        <f>G273*H273*F273</f>
        <v>250.94880000000001</v>
      </c>
      <c r="J273" s="13"/>
      <c r="K273" s="18" t="s">
        <v>1161</v>
      </c>
      <c r="L273" s="19"/>
      <c r="M273" s="19"/>
      <c r="N273" s="20"/>
      <c r="O273" s="22">
        <v>1</v>
      </c>
      <c r="P273" s="23">
        <v>0.5</v>
      </c>
      <c r="Q273" s="37">
        <v>1420</v>
      </c>
      <c r="R273" s="37">
        <f t="shared" si="4"/>
        <v>710</v>
      </c>
    </row>
    <row r="274" spans="1:18" x14ac:dyDescent="0.2">
      <c r="A274" s="13"/>
      <c r="B274" s="18" t="s">
        <v>1195</v>
      </c>
      <c r="F274" s="22"/>
      <c r="G274" s="36"/>
      <c r="H274" s="37"/>
      <c r="I274" s="37">
        <f>I266*0.05</f>
        <v>65.879589999999993</v>
      </c>
      <c r="J274" s="13"/>
      <c r="K274" s="18" t="s">
        <v>1160</v>
      </c>
      <c r="L274" s="19"/>
      <c r="M274" s="19"/>
      <c r="N274" s="20"/>
      <c r="O274" s="22">
        <v>2</v>
      </c>
      <c r="P274" s="23">
        <v>1</v>
      </c>
      <c r="Q274" s="37">
        <v>170</v>
      </c>
      <c r="R274" s="37">
        <f t="shared" si="4"/>
        <v>340</v>
      </c>
    </row>
    <row r="275" spans="1:18" x14ac:dyDescent="0.2">
      <c r="A275" s="13"/>
      <c r="B275" s="18"/>
      <c r="C275" s="19"/>
      <c r="D275" s="19"/>
      <c r="E275" s="20"/>
      <c r="F275" s="22"/>
      <c r="G275" s="36"/>
      <c r="H275" s="37"/>
      <c r="I275" s="37"/>
      <c r="J275" s="13"/>
      <c r="K275" s="18" t="s">
        <v>1159</v>
      </c>
      <c r="L275" s="19"/>
      <c r="M275" s="19"/>
      <c r="N275" s="20"/>
      <c r="O275" s="22">
        <v>1</v>
      </c>
      <c r="P275" s="23">
        <v>1</v>
      </c>
      <c r="Q275" s="37">
        <v>502</v>
      </c>
      <c r="R275" s="37">
        <f t="shared" si="4"/>
        <v>502</v>
      </c>
    </row>
    <row r="276" spans="1:18" x14ac:dyDescent="0.2">
      <c r="A276" s="13"/>
      <c r="B276" s="266" t="s">
        <v>65</v>
      </c>
      <c r="C276" s="267"/>
      <c r="D276" s="267"/>
      <c r="E276" s="268"/>
      <c r="F276" s="22"/>
      <c r="G276" s="36"/>
      <c r="H276" s="38"/>
      <c r="I276" s="38"/>
      <c r="J276" s="13"/>
      <c r="K276" s="3" t="s">
        <v>1158</v>
      </c>
      <c r="O276" s="22">
        <v>1</v>
      </c>
      <c r="P276" s="23">
        <v>0.2</v>
      </c>
      <c r="Q276" s="37">
        <v>1733</v>
      </c>
      <c r="R276" s="37">
        <f t="shared" si="4"/>
        <v>346.6</v>
      </c>
    </row>
    <row r="277" spans="1:18" x14ac:dyDescent="0.2">
      <c r="A277" s="13"/>
      <c r="B277" s="266"/>
      <c r="C277" s="267"/>
      <c r="D277" s="267"/>
      <c r="E277" s="268"/>
      <c r="F277" s="22"/>
      <c r="G277" s="36"/>
      <c r="H277" s="38"/>
      <c r="I277" s="38"/>
      <c r="J277" s="13"/>
      <c r="K277" s="3" t="s">
        <v>1157</v>
      </c>
      <c r="L277" s="19"/>
      <c r="M277" s="19"/>
      <c r="N277" s="20"/>
      <c r="O277" s="22">
        <v>1</v>
      </c>
      <c r="P277" s="23">
        <v>0.03</v>
      </c>
      <c r="Q277" s="37">
        <v>1733</v>
      </c>
      <c r="R277" s="37">
        <f t="shared" si="4"/>
        <v>51.989999999999995</v>
      </c>
    </row>
    <row r="278" spans="1:18" x14ac:dyDescent="0.2">
      <c r="A278" s="13"/>
      <c r="B278" s="18"/>
      <c r="C278" s="19"/>
      <c r="D278" s="19"/>
      <c r="E278" s="20"/>
      <c r="F278" s="22"/>
      <c r="G278" s="36"/>
      <c r="H278" s="38"/>
      <c r="I278" s="38"/>
      <c r="J278" s="13"/>
      <c r="K278" s="18" t="s">
        <v>1163</v>
      </c>
      <c r="L278" s="19"/>
      <c r="M278" s="19"/>
      <c r="N278" s="20"/>
      <c r="O278" s="22">
        <v>1</v>
      </c>
      <c r="P278" s="23">
        <v>0.05</v>
      </c>
      <c r="Q278" s="37">
        <v>2450</v>
      </c>
      <c r="R278" s="37">
        <f t="shared" si="4"/>
        <v>122.5</v>
      </c>
    </row>
    <row r="279" spans="1:18" x14ac:dyDescent="0.2">
      <c r="A279" s="13"/>
      <c r="B279" s="18"/>
      <c r="C279" s="19"/>
      <c r="D279" s="19"/>
      <c r="E279" s="20"/>
      <c r="F279" s="22"/>
      <c r="G279" s="36"/>
      <c r="H279" s="38"/>
      <c r="I279" s="38"/>
      <c r="J279" s="13"/>
      <c r="K279" s="18"/>
      <c r="L279" s="19"/>
      <c r="M279" s="19"/>
      <c r="N279" s="20"/>
      <c r="O279" s="22"/>
      <c r="P279" s="36"/>
      <c r="Q279" s="38"/>
      <c r="R279" s="38"/>
    </row>
    <row r="280" spans="1:18" x14ac:dyDescent="0.2">
      <c r="A280" s="13"/>
      <c r="B280" s="18"/>
      <c r="C280" s="19"/>
      <c r="D280" s="19"/>
      <c r="E280" s="20"/>
      <c r="F280" s="22"/>
      <c r="G280" s="36"/>
      <c r="H280" s="37"/>
      <c r="I280" s="37"/>
      <c r="J280" s="13"/>
      <c r="K280" s="18" t="s">
        <v>27</v>
      </c>
      <c r="L280" s="19"/>
      <c r="M280" s="19"/>
      <c r="N280" s="20"/>
      <c r="O280" s="22"/>
      <c r="P280" s="36"/>
      <c r="Q280" s="37"/>
      <c r="R280" s="37"/>
    </row>
    <row r="281" spans="1:18" x14ac:dyDescent="0.2">
      <c r="A281" s="13"/>
      <c r="B281" s="18"/>
      <c r="C281" s="19"/>
      <c r="D281" s="19"/>
      <c r="E281" s="20"/>
      <c r="F281" s="22"/>
      <c r="G281" s="36"/>
      <c r="H281" s="37"/>
      <c r="I281" s="37"/>
      <c r="J281" s="13"/>
      <c r="K281" s="18"/>
      <c r="L281" s="19"/>
      <c r="M281" s="19"/>
      <c r="N281" s="20"/>
      <c r="O281" s="22"/>
      <c r="P281" s="36"/>
      <c r="Q281" s="37"/>
      <c r="R281" s="37"/>
    </row>
    <row r="282" spans="1:18" x14ac:dyDescent="0.2">
      <c r="A282" s="13"/>
      <c r="B282" s="18"/>
      <c r="C282" s="19"/>
      <c r="D282" s="19"/>
      <c r="E282" s="20"/>
      <c r="F282" s="22"/>
      <c r="G282" s="36"/>
      <c r="H282" s="37"/>
      <c r="I282" s="37"/>
      <c r="J282" s="13"/>
      <c r="K282" s="18"/>
      <c r="L282" s="19"/>
      <c r="M282" s="19"/>
      <c r="N282" s="20"/>
      <c r="O282" s="22"/>
      <c r="P282" s="36"/>
      <c r="Q282" s="37"/>
      <c r="R282" s="37"/>
    </row>
    <row r="283" spans="1:18" x14ac:dyDescent="0.2">
      <c r="A283" s="13"/>
      <c r="B283" s="18"/>
      <c r="C283" s="19"/>
      <c r="D283" s="19"/>
      <c r="E283" s="20"/>
      <c r="F283" s="22"/>
      <c r="G283" s="22"/>
      <c r="H283" s="23"/>
      <c r="I283" s="23"/>
      <c r="J283" s="13"/>
      <c r="K283" s="18"/>
      <c r="L283" s="19"/>
      <c r="M283" s="19"/>
      <c r="N283" s="20"/>
      <c r="O283" s="22"/>
      <c r="P283" s="22"/>
      <c r="Q283" s="23"/>
      <c r="R283" s="23"/>
    </row>
    <row r="284" spans="1:18" x14ac:dyDescent="0.2">
      <c r="A284" s="13"/>
      <c r="B284" s="248" t="s">
        <v>30</v>
      </c>
      <c r="C284" s="249"/>
      <c r="D284" s="249"/>
      <c r="E284" s="250"/>
      <c r="F284" s="22"/>
      <c r="G284" s="22"/>
      <c r="H284" s="23"/>
      <c r="I284" s="23">
        <f>SUM(I271:I283)</f>
        <v>12730.428390000001</v>
      </c>
      <c r="J284" s="13"/>
      <c r="K284" s="248" t="s">
        <v>30</v>
      </c>
      <c r="L284" s="249"/>
      <c r="M284" s="249"/>
      <c r="N284" s="250"/>
      <c r="O284" s="22"/>
      <c r="P284" s="22"/>
      <c r="Q284" s="23"/>
      <c r="R284" s="23">
        <f>SUM(R271:R283)</f>
        <v>3041.3999999999996</v>
      </c>
    </row>
    <row r="285" spans="1:18" x14ac:dyDescent="0.2">
      <c r="A285" s="12" t="s">
        <v>31</v>
      </c>
      <c r="B285" s="260" t="s">
        <v>32</v>
      </c>
      <c r="C285" s="261"/>
      <c r="D285" s="261"/>
      <c r="E285" s="261"/>
      <c r="F285" s="39"/>
      <c r="G285" s="39"/>
      <c r="H285" s="40"/>
      <c r="I285" s="41">
        <f>SUM(I284+I266)</f>
        <v>14048.020190000001</v>
      </c>
      <c r="J285" s="12" t="s">
        <v>31</v>
      </c>
      <c r="K285" s="260" t="s">
        <v>32</v>
      </c>
      <c r="L285" s="261"/>
      <c r="M285" s="261"/>
      <c r="N285" s="261"/>
      <c r="O285" s="39"/>
      <c r="P285" s="39"/>
      <c r="Q285" s="40"/>
      <c r="R285" s="41">
        <f>SUM(R284+R266)</f>
        <v>3638.2799999999997</v>
      </c>
    </row>
    <row r="286" spans="1:18" x14ac:dyDescent="0.2">
      <c r="A286" s="13" t="s">
        <v>33</v>
      </c>
      <c r="B286" s="273">
        <f>E253</f>
        <v>1</v>
      </c>
      <c r="C286" s="274"/>
      <c r="D286" s="274"/>
      <c r="E286" s="274"/>
      <c r="F286" s="274"/>
      <c r="G286" s="274"/>
      <c r="H286" s="40"/>
      <c r="I286" s="41"/>
      <c r="J286" s="13" t="s">
        <v>33</v>
      </c>
      <c r="K286" s="275">
        <f>N253</f>
        <v>1.65</v>
      </c>
      <c r="L286" s="276"/>
      <c r="M286" s="276"/>
      <c r="N286" s="276"/>
      <c r="O286" s="276"/>
      <c r="P286" s="276"/>
      <c r="Q286" s="40"/>
      <c r="R286" s="41"/>
    </row>
    <row r="287" spans="1:18" x14ac:dyDescent="0.2">
      <c r="A287" s="13" t="s">
        <v>34</v>
      </c>
      <c r="B287" s="42" t="s">
        <v>35</v>
      </c>
      <c r="C287" s="43"/>
      <c r="D287" s="43"/>
      <c r="E287" s="39"/>
      <c r="F287" s="44"/>
      <c r="G287" s="44"/>
      <c r="H287" s="40"/>
      <c r="I287" s="41">
        <f>I285/E253</f>
        <v>14048.020190000001</v>
      </c>
      <c r="J287" s="13" t="s">
        <v>34</v>
      </c>
      <c r="K287" s="42" t="s">
        <v>35</v>
      </c>
      <c r="L287" s="43"/>
      <c r="M287" s="43"/>
      <c r="N287" s="39"/>
      <c r="O287" s="44"/>
      <c r="P287" s="44"/>
      <c r="Q287" s="40"/>
      <c r="R287" s="41">
        <f>R285/N253</f>
        <v>2205.0181818181818</v>
      </c>
    </row>
    <row r="288" spans="1:18" x14ac:dyDescent="0.2">
      <c r="A288" s="12"/>
      <c r="B288" s="251" t="s">
        <v>36</v>
      </c>
      <c r="C288" s="252"/>
      <c r="D288" s="252"/>
      <c r="E288" s="253"/>
      <c r="F288" s="244" t="s">
        <v>37</v>
      </c>
      <c r="G288" s="244" t="s">
        <v>38</v>
      </c>
      <c r="H288" s="244" t="s">
        <v>39</v>
      </c>
      <c r="I288" s="246" t="s">
        <v>15</v>
      </c>
      <c r="J288" s="12"/>
      <c r="K288" s="251" t="s">
        <v>36</v>
      </c>
      <c r="L288" s="252"/>
      <c r="M288" s="252"/>
      <c r="N288" s="253"/>
      <c r="O288" s="244" t="s">
        <v>37</v>
      </c>
      <c r="P288" s="244" t="s">
        <v>38</v>
      </c>
      <c r="Q288" s="244" t="s">
        <v>39</v>
      </c>
      <c r="R288" s="246" t="s">
        <v>15</v>
      </c>
    </row>
    <row r="289" spans="1:18" x14ac:dyDescent="0.2">
      <c r="A289" s="13"/>
      <c r="B289" s="254"/>
      <c r="C289" s="255"/>
      <c r="D289" s="255"/>
      <c r="E289" s="256"/>
      <c r="F289" s="245"/>
      <c r="G289" s="245"/>
      <c r="H289" s="245"/>
      <c r="I289" s="247"/>
      <c r="J289" s="13"/>
      <c r="K289" s="254"/>
      <c r="L289" s="255"/>
      <c r="M289" s="255"/>
      <c r="N289" s="256"/>
      <c r="O289" s="245"/>
      <c r="P289" s="245"/>
      <c r="Q289" s="245"/>
      <c r="R289" s="247"/>
    </row>
    <row r="290" spans="1:18" x14ac:dyDescent="0.2">
      <c r="A290" s="13" t="s">
        <v>40</v>
      </c>
      <c r="B290" s="18" t="s">
        <v>41</v>
      </c>
      <c r="C290" s="19"/>
      <c r="D290" s="19"/>
      <c r="E290" s="20"/>
      <c r="F290" s="22"/>
      <c r="G290" s="22"/>
      <c r="H290" s="23"/>
      <c r="I290" s="23"/>
      <c r="J290" s="13" t="s">
        <v>40</v>
      </c>
      <c r="K290" s="18" t="s">
        <v>41</v>
      </c>
      <c r="L290" s="19"/>
      <c r="M290" s="19"/>
      <c r="N290" s="20"/>
      <c r="O290" s="22"/>
      <c r="P290" s="22"/>
      <c r="Q290" s="23"/>
      <c r="R290" s="23"/>
    </row>
    <row r="291" spans="1:18" x14ac:dyDescent="0.2">
      <c r="A291" s="13"/>
      <c r="B291" s="18"/>
      <c r="C291" s="19"/>
      <c r="D291" s="19"/>
      <c r="E291" s="20"/>
      <c r="F291" s="22"/>
      <c r="G291" s="22"/>
      <c r="H291" s="23"/>
      <c r="I291" s="23"/>
      <c r="J291" s="13"/>
      <c r="K291" s="18"/>
      <c r="L291" s="19"/>
      <c r="M291" s="19"/>
      <c r="N291" s="20"/>
      <c r="O291" s="22"/>
      <c r="P291" s="22"/>
      <c r="Q291" s="23"/>
      <c r="R291" s="23"/>
    </row>
    <row r="292" spans="1:18" x14ac:dyDescent="0.2">
      <c r="A292" s="13"/>
      <c r="B292" s="18" t="s">
        <v>1133</v>
      </c>
      <c r="C292" s="19"/>
      <c r="D292" s="19"/>
      <c r="E292" s="20"/>
      <c r="F292" s="22" t="s">
        <v>66</v>
      </c>
      <c r="G292" s="62">
        <v>20</v>
      </c>
      <c r="H292" s="107">
        <v>3.5</v>
      </c>
      <c r="I292" s="23">
        <f>G292*H292/5</f>
        <v>14</v>
      </c>
      <c r="J292" s="13"/>
      <c r="K292" s="18" t="s">
        <v>76</v>
      </c>
      <c r="L292" s="19"/>
      <c r="M292" s="19"/>
      <c r="N292" s="20"/>
      <c r="O292" s="22" t="s">
        <v>77</v>
      </c>
      <c r="P292" s="62">
        <v>2</v>
      </c>
      <c r="Q292" s="107">
        <v>280</v>
      </c>
      <c r="R292" s="23">
        <f t="shared" ref="R292:R297" si="5">P292*Q292</f>
        <v>560</v>
      </c>
    </row>
    <row r="293" spans="1:18" x14ac:dyDescent="0.2">
      <c r="A293" s="13"/>
      <c r="B293" s="18"/>
      <c r="C293" s="19"/>
      <c r="D293" s="19"/>
      <c r="E293" s="20"/>
      <c r="F293" s="22"/>
      <c r="G293" s="22"/>
      <c r="H293" s="23"/>
      <c r="I293" s="23"/>
      <c r="J293" s="13"/>
      <c r="K293" s="18" t="s">
        <v>78</v>
      </c>
      <c r="L293" s="19"/>
      <c r="M293" s="19"/>
      <c r="N293" s="20"/>
      <c r="O293" s="22" t="s">
        <v>66</v>
      </c>
      <c r="P293" s="62">
        <v>1.4</v>
      </c>
      <c r="Q293" s="107">
        <v>80</v>
      </c>
      <c r="R293" s="23">
        <f t="shared" si="5"/>
        <v>112</v>
      </c>
    </row>
    <row r="294" spans="1:18" x14ac:dyDescent="0.2">
      <c r="A294" s="13"/>
      <c r="B294" s="18"/>
      <c r="C294" s="19"/>
      <c r="D294" s="19"/>
      <c r="E294" s="20"/>
      <c r="F294" s="22"/>
      <c r="G294" s="22"/>
      <c r="H294" s="38"/>
      <c r="I294" s="38"/>
      <c r="J294" s="13"/>
      <c r="K294" s="18" t="s">
        <v>79</v>
      </c>
      <c r="L294" s="19"/>
      <c r="M294" s="19"/>
      <c r="N294" s="20"/>
      <c r="O294" s="22" t="s">
        <v>80</v>
      </c>
      <c r="P294" s="62">
        <v>2</v>
      </c>
      <c r="Q294" s="107">
        <v>260</v>
      </c>
      <c r="R294" s="23">
        <f t="shared" si="5"/>
        <v>520</v>
      </c>
    </row>
    <row r="295" spans="1:18" x14ac:dyDescent="0.2">
      <c r="A295" s="13"/>
      <c r="B295" s="18"/>
      <c r="C295" s="19"/>
      <c r="D295" s="19"/>
      <c r="E295" s="20"/>
      <c r="F295" s="22"/>
      <c r="G295" s="22"/>
      <c r="H295" s="38"/>
      <c r="I295" s="38"/>
      <c r="J295" s="13"/>
      <c r="K295" s="18" t="s">
        <v>81</v>
      </c>
      <c r="L295" s="19"/>
      <c r="M295" s="19"/>
      <c r="N295" s="20"/>
      <c r="O295" s="22" t="s">
        <v>77</v>
      </c>
      <c r="P295" s="62">
        <v>1</v>
      </c>
      <c r="Q295" s="107">
        <v>75</v>
      </c>
      <c r="R295" s="23">
        <f t="shared" si="5"/>
        <v>75</v>
      </c>
    </row>
    <row r="296" spans="1:18" x14ac:dyDescent="0.2">
      <c r="A296" s="13"/>
      <c r="B296" s="18"/>
      <c r="C296" s="19"/>
      <c r="D296" s="19"/>
      <c r="E296" s="20"/>
      <c r="F296" s="22"/>
      <c r="G296" s="22"/>
      <c r="H296" s="45"/>
      <c r="I296" s="45"/>
      <c r="J296" s="13"/>
      <c r="K296" s="18" t="s">
        <v>82</v>
      </c>
      <c r="L296" s="19"/>
      <c r="M296" s="19"/>
      <c r="N296" s="20"/>
      <c r="O296" s="22" t="s">
        <v>80</v>
      </c>
      <c r="P296" s="62">
        <v>0.45</v>
      </c>
      <c r="Q296" s="107">
        <v>45</v>
      </c>
      <c r="R296" s="23">
        <f t="shared" si="5"/>
        <v>20.25</v>
      </c>
    </row>
    <row r="297" spans="1:18" x14ac:dyDescent="0.2">
      <c r="A297" s="13"/>
      <c r="B297" s="18"/>
      <c r="C297" s="19"/>
      <c r="D297" s="19"/>
      <c r="E297" s="20"/>
      <c r="F297" s="22"/>
      <c r="G297" s="22"/>
      <c r="H297" s="45"/>
      <c r="I297" s="45"/>
      <c r="J297" s="13"/>
      <c r="K297" s="18" t="s">
        <v>83</v>
      </c>
      <c r="L297" s="19"/>
      <c r="M297" s="19"/>
      <c r="N297" s="20"/>
      <c r="O297" s="22" t="s">
        <v>66</v>
      </c>
      <c r="P297" s="62">
        <v>0.1</v>
      </c>
      <c r="Q297" s="107">
        <v>40</v>
      </c>
      <c r="R297" s="23">
        <f t="shared" si="5"/>
        <v>4</v>
      </c>
    </row>
    <row r="298" spans="1:18" x14ac:dyDescent="0.2">
      <c r="A298" s="13"/>
      <c r="B298" s="18"/>
      <c r="C298" s="19"/>
      <c r="D298" s="19"/>
      <c r="E298" s="20"/>
      <c r="F298" s="22"/>
      <c r="G298" s="22"/>
      <c r="H298" s="23"/>
      <c r="I298" s="23"/>
      <c r="J298" s="13"/>
      <c r="K298" s="18"/>
      <c r="L298" s="19"/>
      <c r="M298" s="19"/>
      <c r="N298" s="20"/>
      <c r="O298" s="22"/>
      <c r="P298" s="22"/>
      <c r="Q298" s="23"/>
      <c r="R298" s="23"/>
    </row>
    <row r="299" spans="1:18" x14ac:dyDescent="0.2">
      <c r="A299" s="13"/>
      <c r="B299" s="18"/>
      <c r="C299" s="19"/>
      <c r="D299" s="19"/>
      <c r="E299" s="20"/>
      <c r="F299" s="22"/>
      <c r="G299" s="22"/>
      <c r="H299" s="23"/>
      <c r="I299" s="23"/>
      <c r="J299" s="13"/>
      <c r="K299" s="18"/>
      <c r="L299" s="19"/>
      <c r="M299" s="19"/>
      <c r="N299" s="20"/>
      <c r="O299" s="22"/>
      <c r="P299" s="22"/>
      <c r="Q299" s="23"/>
      <c r="R299" s="23"/>
    </row>
    <row r="300" spans="1:18" x14ac:dyDescent="0.2">
      <c r="A300" s="13"/>
      <c r="B300" s="18"/>
      <c r="C300" s="19"/>
      <c r="D300" s="19"/>
      <c r="E300" s="20"/>
      <c r="F300" s="22"/>
      <c r="G300" s="22"/>
      <c r="H300" s="23"/>
      <c r="I300" s="23"/>
      <c r="J300" s="13"/>
      <c r="K300" s="18"/>
      <c r="L300" s="19"/>
      <c r="M300" s="19"/>
      <c r="N300" s="20"/>
      <c r="O300" s="22"/>
      <c r="P300" s="22"/>
      <c r="Q300" s="23"/>
      <c r="R300" s="23"/>
    </row>
    <row r="301" spans="1:18" x14ac:dyDescent="0.2">
      <c r="A301" s="13"/>
      <c r="B301" s="18"/>
      <c r="C301" s="19"/>
      <c r="D301" s="19"/>
      <c r="E301" s="20"/>
      <c r="F301" s="22"/>
      <c r="G301" s="22"/>
      <c r="H301" s="23"/>
      <c r="I301" s="23"/>
      <c r="J301" s="13"/>
      <c r="K301" s="18"/>
      <c r="L301" s="19"/>
      <c r="M301" s="19"/>
      <c r="N301" s="20"/>
      <c r="O301" s="22"/>
      <c r="P301" s="22"/>
      <c r="Q301" s="23"/>
      <c r="R301" s="23"/>
    </row>
    <row r="302" spans="1:18" x14ac:dyDescent="0.2">
      <c r="A302" s="13"/>
      <c r="B302" s="18"/>
      <c r="C302" s="19"/>
      <c r="D302" s="19"/>
      <c r="E302" s="20"/>
      <c r="F302" s="22"/>
      <c r="G302" s="22"/>
      <c r="H302" s="23"/>
      <c r="I302" s="23"/>
      <c r="J302" s="13"/>
      <c r="K302" s="18"/>
      <c r="L302" s="19"/>
      <c r="M302" s="19"/>
      <c r="N302" s="20"/>
      <c r="O302" s="22"/>
      <c r="P302" s="22"/>
      <c r="Q302" s="23"/>
      <c r="R302" s="23"/>
    </row>
    <row r="303" spans="1:18" x14ac:dyDescent="0.2">
      <c r="A303" s="13"/>
      <c r="B303" s="18"/>
      <c r="C303" s="19"/>
      <c r="D303" s="19"/>
      <c r="E303" s="20"/>
      <c r="F303" s="22"/>
      <c r="G303" s="22"/>
      <c r="H303" s="23"/>
      <c r="I303" s="23"/>
      <c r="J303" s="13"/>
      <c r="K303" s="18"/>
      <c r="L303" s="19"/>
      <c r="M303" s="19"/>
      <c r="N303" s="20"/>
      <c r="O303" s="22"/>
      <c r="P303" s="22"/>
      <c r="Q303" s="23"/>
      <c r="R303" s="23"/>
    </row>
    <row r="304" spans="1:18" x14ac:dyDescent="0.2">
      <c r="A304" s="13"/>
      <c r="B304" s="18"/>
      <c r="C304" s="19"/>
      <c r="D304" s="19"/>
      <c r="E304" s="20"/>
      <c r="F304" s="22"/>
      <c r="G304" s="36"/>
      <c r="H304" s="37"/>
      <c r="I304" s="37"/>
      <c r="J304" s="13"/>
      <c r="K304" s="18"/>
      <c r="L304" s="19"/>
      <c r="M304" s="19"/>
      <c r="N304" s="20"/>
      <c r="O304" s="22"/>
      <c r="P304" s="36"/>
      <c r="Q304" s="37"/>
      <c r="R304" s="37"/>
    </row>
    <row r="305" spans="1:18" x14ac:dyDescent="0.2">
      <c r="A305" s="13"/>
      <c r="B305" s="248" t="s">
        <v>42</v>
      </c>
      <c r="C305" s="249"/>
      <c r="D305" s="249"/>
      <c r="E305" s="250"/>
      <c r="F305" s="46"/>
      <c r="G305" s="46"/>
      <c r="H305" s="47"/>
      <c r="I305" s="47">
        <f>SUM(I292:I304)</f>
        <v>14</v>
      </c>
      <c r="J305" s="13"/>
      <c r="K305" s="248" t="s">
        <v>42</v>
      </c>
      <c r="L305" s="249"/>
      <c r="M305" s="249"/>
      <c r="N305" s="250"/>
      <c r="O305" s="46"/>
      <c r="P305" s="46"/>
      <c r="Q305" s="47"/>
      <c r="R305" s="47">
        <f>SUM(R292:R304)</f>
        <v>1291.25</v>
      </c>
    </row>
    <row r="306" spans="1:18" x14ac:dyDescent="0.2">
      <c r="A306" s="12" t="s">
        <v>43</v>
      </c>
      <c r="B306" s="48" t="s">
        <v>44</v>
      </c>
      <c r="C306" s="43"/>
      <c r="D306" s="43"/>
      <c r="E306" s="39"/>
      <c r="F306" s="49"/>
      <c r="G306" s="49"/>
      <c r="H306" s="50"/>
      <c r="I306" s="51">
        <f>SUM(I287+I305)</f>
        <v>14062.020190000001</v>
      </c>
      <c r="J306" s="12" t="s">
        <v>43</v>
      </c>
      <c r="K306" s="48" t="s">
        <v>44</v>
      </c>
      <c r="L306" s="43"/>
      <c r="M306" s="43"/>
      <c r="N306" s="39"/>
      <c r="O306" s="49"/>
      <c r="P306" s="49"/>
      <c r="Q306" s="50"/>
      <c r="R306" s="51">
        <f>SUM(R287+R305)</f>
        <v>3496.2681818181818</v>
      </c>
    </row>
    <row r="307" spans="1:18" x14ac:dyDescent="0.2">
      <c r="A307" s="13" t="s">
        <v>45</v>
      </c>
      <c r="B307" s="48" t="s">
        <v>46</v>
      </c>
      <c r="C307" s="43"/>
      <c r="D307" s="43"/>
      <c r="E307" s="39"/>
      <c r="F307" s="49"/>
      <c r="G307" s="52">
        <v>0.09</v>
      </c>
      <c r="H307" s="53" t="s">
        <v>47</v>
      </c>
      <c r="I307" s="51">
        <f>G307*I306</f>
        <v>1265.5818171000001</v>
      </c>
      <c r="J307" s="13" t="s">
        <v>45</v>
      </c>
      <c r="K307" s="48" t="s">
        <v>46</v>
      </c>
      <c r="L307" s="43"/>
      <c r="M307" s="43"/>
      <c r="N307" s="39"/>
      <c r="O307" s="49"/>
      <c r="P307" s="52">
        <v>0.09</v>
      </c>
      <c r="Q307" s="53" t="s">
        <v>47</v>
      </c>
      <c r="R307" s="51">
        <f>P307*R306</f>
        <v>314.66413636363637</v>
      </c>
    </row>
    <row r="308" spans="1:18" x14ac:dyDescent="0.2">
      <c r="A308" s="13" t="s">
        <v>48</v>
      </c>
      <c r="B308" s="48" t="s">
        <v>49</v>
      </c>
      <c r="C308" s="43"/>
      <c r="D308" s="43"/>
      <c r="E308" s="39"/>
      <c r="F308" s="49"/>
      <c r="G308" s="52">
        <v>0.08</v>
      </c>
      <c r="H308" s="53" t="s">
        <v>47</v>
      </c>
      <c r="I308" s="51">
        <f>G308*I306</f>
        <v>1124.9616152000001</v>
      </c>
      <c r="J308" s="13" t="s">
        <v>48</v>
      </c>
      <c r="K308" s="48" t="s">
        <v>49</v>
      </c>
      <c r="L308" s="43"/>
      <c r="M308" s="43"/>
      <c r="N308" s="39"/>
      <c r="O308" s="49"/>
      <c r="P308" s="52">
        <v>0.08</v>
      </c>
      <c r="Q308" s="53" t="s">
        <v>47</v>
      </c>
      <c r="R308" s="51">
        <f>P308*R306</f>
        <v>279.70145454545457</v>
      </c>
    </row>
    <row r="309" spans="1:18" x14ac:dyDescent="0.2">
      <c r="A309" s="13" t="s">
        <v>50</v>
      </c>
      <c r="B309" s="48" t="s">
        <v>51</v>
      </c>
      <c r="C309" s="43"/>
      <c r="D309" s="43"/>
      <c r="E309" s="39"/>
      <c r="F309" s="49"/>
      <c r="G309" s="52">
        <f>5/100</f>
        <v>0.05</v>
      </c>
      <c r="H309" s="53" t="s">
        <v>52</v>
      </c>
      <c r="I309" s="51">
        <f>G309*(I306+I307+I308)</f>
        <v>822.62818111500019</v>
      </c>
      <c r="J309" s="13" t="s">
        <v>50</v>
      </c>
      <c r="K309" s="48" t="s">
        <v>51</v>
      </c>
      <c r="L309" s="43"/>
      <c r="M309" s="43"/>
      <c r="N309" s="39"/>
      <c r="O309" s="49"/>
      <c r="P309" s="52">
        <f>5/100</f>
        <v>0.05</v>
      </c>
      <c r="Q309" s="53" t="s">
        <v>52</v>
      </c>
      <c r="R309" s="51">
        <f>P309*(R306+R307+R308)</f>
        <v>204.53168863636364</v>
      </c>
    </row>
    <row r="310" spans="1:18" x14ac:dyDescent="0.2">
      <c r="A310" s="54" t="s">
        <v>53</v>
      </c>
      <c r="B310" s="48" t="s">
        <v>54</v>
      </c>
      <c r="C310" s="43"/>
      <c r="D310" s="43"/>
      <c r="E310" s="39"/>
      <c r="F310" s="49"/>
      <c r="G310" s="49"/>
      <c r="H310" s="55" t="s">
        <v>55</v>
      </c>
      <c r="I310" s="51">
        <f>SUM(I306+I307+I308+I309)</f>
        <v>17275.191803415004</v>
      </c>
      <c r="J310" s="54" t="s">
        <v>53</v>
      </c>
      <c r="K310" s="48" t="s">
        <v>54</v>
      </c>
      <c r="L310" s="43"/>
      <c r="M310" s="43"/>
      <c r="N310" s="39"/>
      <c r="O310" s="49"/>
      <c r="P310" s="49"/>
      <c r="Q310" s="55" t="s">
        <v>55</v>
      </c>
      <c r="R310" s="51">
        <f>SUM(R306+R307+R308+R309)</f>
        <v>4295.1654613636365</v>
      </c>
    </row>
    <row r="311" spans="1:18" s="1" customFormat="1" x14ac:dyDescent="0.2">
      <c r="A311" s="236" t="s">
        <v>0</v>
      </c>
      <c r="B311" s="236"/>
      <c r="C311" s="236"/>
      <c r="D311" s="236"/>
      <c r="E311" s="236"/>
      <c r="F311" s="236"/>
      <c r="G311" s="236"/>
      <c r="H311" s="236"/>
      <c r="I311" s="236"/>
      <c r="J311" s="236" t="s">
        <v>0</v>
      </c>
      <c r="K311" s="236"/>
      <c r="L311" s="236"/>
      <c r="M311" s="236"/>
      <c r="N311" s="236"/>
      <c r="O311" s="236"/>
      <c r="P311" s="236"/>
      <c r="Q311" s="236"/>
      <c r="R311" s="236"/>
    </row>
    <row r="313" spans="1:18" x14ac:dyDescent="0.2">
      <c r="A313" s="2" t="s">
        <v>1</v>
      </c>
      <c r="C313" s="4" t="s">
        <v>2</v>
      </c>
      <c r="D313" s="5" t="s">
        <v>88</v>
      </c>
      <c r="E313" s="237" t="s">
        <v>1184</v>
      </c>
      <c r="F313" s="237"/>
      <c r="G313" s="237"/>
      <c r="H313" s="237"/>
      <c r="J313" s="2" t="s">
        <v>1</v>
      </c>
      <c r="L313" s="4" t="s">
        <v>2</v>
      </c>
      <c r="M313" s="5" t="s">
        <v>90</v>
      </c>
      <c r="N313" s="237" t="s">
        <v>1198</v>
      </c>
      <c r="O313" s="237"/>
      <c r="P313" s="237"/>
      <c r="Q313" s="237"/>
    </row>
    <row r="314" spans="1:18" x14ac:dyDescent="0.2">
      <c r="A314" s="2" t="s">
        <v>7</v>
      </c>
      <c r="C314" s="4" t="s">
        <v>2</v>
      </c>
      <c r="E314" s="6" t="s">
        <v>1136</v>
      </c>
      <c r="F314" s="8"/>
      <c r="G314" s="8"/>
      <c r="H314" s="8"/>
      <c r="J314" s="2" t="s">
        <v>7</v>
      </c>
      <c r="L314" s="4" t="s">
        <v>2</v>
      </c>
      <c r="N314" s="2" t="s">
        <v>9</v>
      </c>
      <c r="O314" s="8"/>
      <c r="P314" s="8"/>
      <c r="Q314" s="8"/>
    </row>
    <row r="315" spans="1:18" x14ac:dyDescent="0.2">
      <c r="A315" s="2" t="s">
        <v>10</v>
      </c>
      <c r="C315" s="4" t="s">
        <v>2</v>
      </c>
      <c r="E315" s="9">
        <v>1</v>
      </c>
      <c r="F315" s="8"/>
      <c r="G315" s="8"/>
      <c r="H315" s="8"/>
      <c r="J315" s="2" t="s">
        <v>10</v>
      </c>
      <c r="L315" s="4" t="s">
        <v>2</v>
      </c>
      <c r="N315" s="9">
        <v>50</v>
      </c>
      <c r="O315" s="8"/>
      <c r="P315" s="8"/>
      <c r="Q315" s="8"/>
    </row>
    <row r="316" spans="1:18" x14ac:dyDescent="0.2">
      <c r="B316" s="8"/>
      <c r="F316" s="11"/>
      <c r="G316" s="8"/>
      <c r="H316" s="8"/>
      <c r="I316" s="8"/>
      <c r="K316" s="8"/>
      <c r="O316" s="11"/>
      <c r="P316" s="8"/>
      <c r="Q316" s="8"/>
      <c r="R316" s="8"/>
    </row>
    <row r="317" spans="1:18" x14ac:dyDescent="0.2">
      <c r="A317" s="12"/>
      <c r="B317" s="238" t="s">
        <v>11</v>
      </c>
      <c r="C317" s="239"/>
      <c r="D317" s="239"/>
      <c r="E317" s="240"/>
      <c r="F317" s="244" t="s">
        <v>12</v>
      </c>
      <c r="G317" s="244" t="s">
        <v>13</v>
      </c>
      <c r="H317" s="244" t="s">
        <v>14</v>
      </c>
      <c r="I317" s="246" t="s">
        <v>15</v>
      </c>
      <c r="J317" s="12"/>
      <c r="K317" s="238" t="s">
        <v>11</v>
      </c>
      <c r="L317" s="239"/>
      <c r="M317" s="239"/>
      <c r="N317" s="240"/>
      <c r="O317" s="244" t="s">
        <v>12</v>
      </c>
      <c r="P317" s="244" t="s">
        <v>13</v>
      </c>
      <c r="Q317" s="244" t="s">
        <v>14</v>
      </c>
      <c r="R317" s="246" t="s">
        <v>15</v>
      </c>
    </row>
    <row r="318" spans="1:18" x14ac:dyDescent="0.2">
      <c r="A318" s="13"/>
      <c r="B318" s="241"/>
      <c r="C318" s="242"/>
      <c r="D318" s="242"/>
      <c r="E318" s="243"/>
      <c r="F318" s="245"/>
      <c r="G318" s="245"/>
      <c r="H318" s="245"/>
      <c r="I318" s="247"/>
      <c r="J318" s="13"/>
      <c r="K318" s="241"/>
      <c r="L318" s="242"/>
      <c r="M318" s="242"/>
      <c r="N318" s="243"/>
      <c r="O318" s="245"/>
      <c r="P318" s="245"/>
      <c r="Q318" s="245"/>
      <c r="R318" s="247"/>
    </row>
    <row r="319" spans="1:18" x14ac:dyDescent="0.2">
      <c r="A319" s="13" t="s">
        <v>16</v>
      </c>
      <c r="B319" s="14" t="s">
        <v>17</v>
      </c>
      <c r="C319" s="15"/>
      <c r="D319" s="15"/>
      <c r="E319" s="16"/>
      <c r="F319" s="17"/>
      <c r="G319" s="17"/>
      <c r="H319" s="17"/>
      <c r="I319" s="17"/>
      <c r="J319" s="13" t="s">
        <v>16</v>
      </c>
      <c r="K319" s="14" t="s">
        <v>17</v>
      </c>
      <c r="L319" s="15"/>
      <c r="M319" s="15"/>
      <c r="N319" s="16"/>
      <c r="O319" s="17"/>
      <c r="P319" s="17"/>
      <c r="Q319" s="17"/>
      <c r="R319" s="17"/>
    </row>
    <row r="320" spans="1:18" x14ac:dyDescent="0.2">
      <c r="A320" s="13"/>
      <c r="B320" s="24"/>
      <c r="C320" s="19"/>
      <c r="D320" s="19"/>
      <c r="E320" s="63"/>
      <c r="F320" s="22"/>
      <c r="G320" s="22"/>
      <c r="H320" s="23"/>
      <c r="I320" s="22"/>
      <c r="J320" s="13"/>
      <c r="K320" s="18"/>
      <c r="L320" s="19"/>
      <c r="M320" s="19"/>
      <c r="N320" s="20"/>
      <c r="O320" s="21"/>
      <c r="P320" s="22"/>
      <c r="Q320" s="21"/>
      <c r="R320" s="21"/>
    </row>
    <row r="321" spans="1:18" x14ac:dyDescent="0.2">
      <c r="A321" s="13"/>
      <c r="B321" s="27" t="s">
        <v>1137</v>
      </c>
      <c r="C321" s="19"/>
      <c r="D321" s="19"/>
      <c r="E321" s="63"/>
      <c r="F321" s="22"/>
      <c r="G321" s="22"/>
      <c r="H321" s="23"/>
      <c r="I321" s="22">
        <f>F321*G321*H321</f>
        <v>0</v>
      </c>
      <c r="J321" s="13"/>
      <c r="K321" s="24" t="s">
        <v>18</v>
      </c>
      <c r="L321" s="25"/>
      <c r="M321" s="25"/>
      <c r="N321" s="26"/>
      <c r="O321" s="22">
        <v>1</v>
      </c>
      <c r="P321" s="62">
        <v>1</v>
      </c>
      <c r="Q321" s="23">
        <v>69.42</v>
      </c>
      <c r="R321" s="23">
        <f>P321*Q321*O321</f>
        <v>69.42</v>
      </c>
    </row>
    <row r="322" spans="1:18" x14ac:dyDescent="0.2">
      <c r="A322" s="13"/>
      <c r="B322" s="27"/>
      <c r="C322" s="19"/>
      <c r="D322" s="19"/>
      <c r="E322" s="63"/>
      <c r="F322" s="22"/>
      <c r="G322" s="22"/>
      <c r="H322" s="23"/>
      <c r="I322" s="22">
        <f>F322*G322*H322</f>
        <v>0</v>
      </c>
      <c r="J322" s="13"/>
      <c r="K322" s="24" t="s">
        <v>1179</v>
      </c>
      <c r="L322" s="25"/>
      <c r="M322" s="25"/>
      <c r="N322" s="26"/>
      <c r="O322" s="22">
        <v>2</v>
      </c>
      <c r="P322" s="62">
        <v>1</v>
      </c>
      <c r="Q322" s="23">
        <v>38.97</v>
      </c>
      <c r="R322" s="23">
        <f>P322*Q322*O322</f>
        <v>77.94</v>
      </c>
    </row>
    <row r="323" spans="1:18" x14ac:dyDescent="0.2">
      <c r="A323" s="13"/>
      <c r="B323" s="27"/>
      <c r="C323" s="19"/>
      <c r="D323" s="19"/>
      <c r="E323" s="63"/>
      <c r="F323" s="22"/>
      <c r="G323" s="22"/>
      <c r="H323" s="23"/>
      <c r="I323" s="22">
        <f>F323*G323*H323</f>
        <v>0</v>
      </c>
      <c r="J323" s="13"/>
      <c r="K323" s="27"/>
      <c r="L323" s="19"/>
      <c r="M323" s="19"/>
      <c r="N323" s="20"/>
      <c r="O323" s="22"/>
      <c r="P323" s="22"/>
      <c r="Q323" s="28"/>
      <c r="R323" s="23"/>
    </row>
    <row r="324" spans="1:18" ht="15" customHeight="1" x14ac:dyDescent="0.2">
      <c r="A324" s="13"/>
      <c r="B324" s="27"/>
      <c r="C324" s="19"/>
      <c r="D324" s="19"/>
      <c r="E324" s="63"/>
      <c r="F324" s="22"/>
      <c r="G324" s="22"/>
      <c r="H324" s="23"/>
      <c r="I324" s="22"/>
      <c r="J324" s="13"/>
      <c r="K324" s="27"/>
      <c r="L324" s="19"/>
      <c r="M324" s="19"/>
      <c r="N324" s="20"/>
      <c r="O324" s="22"/>
      <c r="P324" s="22"/>
      <c r="Q324" s="29"/>
      <c r="R324" s="30"/>
    </row>
    <row r="325" spans="1:18" x14ac:dyDescent="0.2">
      <c r="A325" s="13"/>
      <c r="B325" s="27"/>
      <c r="C325" s="19"/>
      <c r="D325" s="19"/>
      <c r="E325" s="63"/>
      <c r="F325" s="22"/>
      <c r="G325" s="22"/>
      <c r="H325" s="23"/>
      <c r="I325" s="22"/>
      <c r="J325" s="13"/>
      <c r="K325" s="27"/>
      <c r="L325" s="19"/>
      <c r="M325" s="19"/>
      <c r="N325" s="20"/>
      <c r="O325" s="22"/>
      <c r="P325" s="22"/>
      <c r="Q325" s="29"/>
      <c r="R325" s="30"/>
    </row>
    <row r="326" spans="1:18" x14ac:dyDescent="0.2">
      <c r="A326" s="13"/>
      <c r="B326" s="18"/>
      <c r="C326" s="19"/>
      <c r="D326" s="19"/>
      <c r="E326" s="63"/>
      <c r="F326" s="22"/>
      <c r="G326" s="22"/>
      <c r="H326" s="23"/>
      <c r="I326" s="22"/>
      <c r="J326" s="13"/>
      <c r="K326" s="18"/>
      <c r="L326" s="19"/>
      <c r="M326" s="19"/>
      <c r="N326" s="20"/>
      <c r="O326" s="22"/>
      <c r="P326" s="22"/>
      <c r="Q326" s="28"/>
      <c r="R326" s="23"/>
    </row>
    <row r="327" spans="1:18" x14ac:dyDescent="0.2">
      <c r="A327" s="13"/>
      <c r="B327" s="18"/>
      <c r="C327" s="19"/>
      <c r="D327" s="19"/>
      <c r="E327" s="20"/>
      <c r="F327" s="22"/>
      <c r="G327" s="22"/>
      <c r="H327" s="23"/>
      <c r="I327" s="22"/>
      <c r="J327" s="13"/>
      <c r="K327" s="18"/>
      <c r="L327" s="19"/>
      <c r="M327" s="19"/>
      <c r="N327" s="20"/>
      <c r="O327" s="22"/>
      <c r="P327" s="22"/>
      <c r="Q327" s="23"/>
      <c r="R327" s="23"/>
    </row>
    <row r="328" spans="1:18" x14ac:dyDescent="0.2">
      <c r="A328" s="13"/>
      <c r="B328" s="248" t="s">
        <v>20</v>
      </c>
      <c r="C328" s="249"/>
      <c r="D328" s="249"/>
      <c r="E328" s="250"/>
      <c r="F328" s="31"/>
      <c r="G328" s="31"/>
      <c r="H328" s="32"/>
      <c r="I328" s="32">
        <f>SUM(I320:I327)</f>
        <v>0</v>
      </c>
      <c r="J328" s="13"/>
      <c r="K328" s="248" t="s">
        <v>20</v>
      </c>
      <c r="L328" s="249"/>
      <c r="M328" s="249"/>
      <c r="N328" s="250"/>
      <c r="O328" s="31"/>
      <c r="P328" s="31"/>
      <c r="Q328" s="32"/>
      <c r="R328" s="32">
        <f>SUM(R321:R327)</f>
        <v>147.36000000000001</v>
      </c>
    </row>
    <row r="329" spans="1:18" x14ac:dyDescent="0.2">
      <c r="A329" s="12"/>
      <c r="B329" s="251" t="s">
        <v>21</v>
      </c>
      <c r="C329" s="252"/>
      <c r="D329" s="252"/>
      <c r="E329" s="253"/>
      <c r="F329" s="244" t="s">
        <v>22</v>
      </c>
      <c r="G329" s="244" t="s">
        <v>13</v>
      </c>
      <c r="H329" s="244" t="s">
        <v>14</v>
      </c>
      <c r="I329" s="246" t="s">
        <v>15</v>
      </c>
      <c r="J329" s="12"/>
      <c r="K329" s="251" t="s">
        <v>21</v>
      </c>
      <c r="L329" s="252"/>
      <c r="M329" s="252"/>
      <c r="N329" s="253"/>
      <c r="O329" s="244" t="s">
        <v>22</v>
      </c>
      <c r="P329" s="244" t="s">
        <v>13</v>
      </c>
      <c r="Q329" s="244" t="s">
        <v>14</v>
      </c>
      <c r="R329" s="246" t="s">
        <v>15</v>
      </c>
    </row>
    <row r="330" spans="1:18" x14ac:dyDescent="0.2">
      <c r="A330" s="13"/>
      <c r="B330" s="254"/>
      <c r="C330" s="255"/>
      <c r="D330" s="255"/>
      <c r="E330" s="256"/>
      <c r="F330" s="245"/>
      <c r="G330" s="245"/>
      <c r="H330" s="245"/>
      <c r="I330" s="247"/>
      <c r="J330" s="13"/>
      <c r="K330" s="254"/>
      <c r="L330" s="255"/>
      <c r="M330" s="255"/>
      <c r="N330" s="256"/>
      <c r="O330" s="245"/>
      <c r="P330" s="245"/>
      <c r="Q330" s="245"/>
      <c r="R330" s="247"/>
    </row>
    <row r="331" spans="1:18" x14ac:dyDescent="0.2">
      <c r="A331" s="13" t="s">
        <v>23</v>
      </c>
      <c r="B331" s="33" t="s">
        <v>24</v>
      </c>
      <c r="C331" s="15"/>
      <c r="D331" s="15"/>
      <c r="E331" s="16"/>
      <c r="F331" s="34"/>
      <c r="G331" s="34"/>
      <c r="H331" s="35"/>
      <c r="I331" s="35"/>
      <c r="J331" s="13" t="s">
        <v>23</v>
      </c>
      <c r="K331" s="33" t="s">
        <v>24</v>
      </c>
      <c r="L331" s="15"/>
      <c r="M331" s="15"/>
      <c r="N331" s="16"/>
      <c r="O331" s="34"/>
      <c r="P331" s="34"/>
      <c r="Q331" s="35"/>
      <c r="R331" s="35"/>
    </row>
    <row r="332" spans="1:18" x14ac:dyDescent="0.2">
      <c r="A332" s="13"/>
      <c r="B332" s="18"/>
      <c r="C332" s="19"/>
      <c r="D332" s="19"/>
      <c r="E332" s="20"/>
      <c r="F332" s="22"/>
      <c r="G332" s="22"/>
      <c r="H332" s="23"/>
      <c r="I332" s="23"/>
      <c r="J332" s="13"/>
      <c r="K332" s="18"/>
      <c r="L332" s="19"/>
      <c r="M332" s="19"/>
      <c r="N332" s="20"/>
      <c r="O332" s="22"/>
      <c r="P332" s="22"/>
      <c r="Q332" s="23"/>
      <c r="R332" s="23"/>
    </row>
    <row r="333" spans="1:18" ht="17.25" customHeight="1" x14ac:dyDescent="0.2">
      <c r="A333" s="13"/>
      <c r="B333" s="18"/>
      <c r="C333" s="66"/>
      <c r="D333" s="19"/>
      <c r="E333" s="20"/>
      <c r="F333" s="22"/>
      <c r="G333" s="36"/>
      <c r="H333" s="37"/>
      <c r="I333" s="37">
        <f>G333*H333*F333</f>
        <v>0</v>
      </c>
      <c r="J333" s="13"/>
      <c r="K333" s="18" t="s">
        <v>1155</v>
      </c>
      <c r="L333" s="19"/>
      <c r="M333" s="19"/>
      <c r="N333" s="20"/>
      <c r="O333" s="22">
        <v>1</v>
      </c>
      <c r="P333" s="23">
        <v>1</v>
      </c>
      <c r="Q333" s="37">
        <v>3379</v>
      </c>
      <c r="R333" s="37">
        <f>P333*Q333*O333</f>
        <v>3379</v>
      </c>
    </row>
    <row r="334" spans="1:18" ht="17.25" customHeight="1" x14ac:dyDescent="0.2">
      <c r="A334" s="13"/>
      <c r="B334" s="18"/>
      <c r="C334" s="19"/>
      <c r="D334" s="19"/>
      <c r="E334" s="20"/>
      <c r="F334" s="22"/>
      <c r="G334" s="36"/>
      <c r="H334" s="37"/>
      <c r="I334" s="37">
        <f>G334*H334*F334</f>
        <v>0</v>
      </c>
      <c r="J334" s="13"/>
      <c r="K334" s="18" t="s">
        <v>25</v>
      </c>
      <c r="L334" s="19"/>
      <c r="M334" s="19"/>
      <c r="N334" s="20"/>
      <c r="O334" s="22">
        <v>1</v>
      </c>
      <c r="P334" s="23">
        <v>1</v>
      </c>
      <c r="Q334" s="37">
        <v>1733</v>
      </c>
      <c r="R334" s="37">
        <f>P334*Q334*O334</f>
        <v>1733</v>
      </c>
    </row>
    <row r="335" spans="1:18" x14ac:dyDescent="0.2">
      <c r="A335" s="13"/>
      <c r="B335" s="18"/>
      <c r="C335" s="19"/>
      <c r="D335" s="19"/>
      <c r="E335" s="20"/>
      <c r="F335" s="22"/>
      <c r="G335" s="36"/>
      <c r="I335" s="37">
        <f>I328*0.1</f>
        <v>0</v>
      </c>
      <c r="J335" s="13"/>
      <c r="K335" s="18" t="s">
        <v>26</v>
      </c>
      <c r="L335" s="19"/>
      <c r="M335" s="19"/>
      <c r="N335" s="20"/>
      <c r="O335" s="22">
        <v>1</v>
      </c>
      <c r="P335" s="23">
        <v>0.2</v>
      </c>
      <c r="Q335" s="37">
        <v>1733</v>
      </c>
      <c r="R335" s="37">
        <f>P335*Q335*O335</f>
        <v>346.6</v>
      </c>
    </row>
    <row r="336" spans="1:18" x14ac:dyDescent="0.2">
      <c r="A336" s="13"/>
      <c r="B336" s="18"/>
      <c r="C336" s="19"/>
      <c r="D336" s="19"/>
      <c r="E336" s="20"/>
      <c r="F336" s="22"/>
      <c r="G336" s="36"/>
      <c r="H336" s="37"/>
      <c r="I336" s="37"/>
      <c r="J336" s="13"/>
      <c r="K336" s="18" t="s">
        <v>1164</v>
      </c>
      <c r="L336" s="19"/>
      <c r="M336" s="19"/>
      <c r="N336" s="20"/>
      <c r="O336" s="22">
        <v>2</v>
      </c>
      <c r="P336" s="23">
        <v>1</v>
      </c>
      <c r="Q336" s="37">
        <v>1420</v>
      </c>
      <c r="R336" s="37">
        <f>P336*Q336*O336</f>
        <v>2840</v>
      </c>
    </row>
    <row r="337" spans="1:18" x14ac:dyDescent="0.2">
      <c r="A337" s="13"/>
      <c r="B337" s="18"/>
      <c r="C337" s="19"/>
      <c r="D337" s="19"/>
      <c r="E337" s="20"/>
      <c r="F337" s="22"/>
      <c r="G337" s="36"/>
      <c r="H337" s="37"/>
      <c r="I337" s="37"/>
      <c r="J337" s="13"/>
      <c r="L337" s="19"/>
      <c r="M337" s="19"/>
      <c r="N337" s="20"/>
      <c r="O337" s="22"/>
      <c r="P337" s="36"/>
      <c r="Q337" s="37"/>
      <c r="R337" s="37"/>
    </row>
    <row r="338" spans="1:18" x14ac:dyDescent="0.2">
      <c r="A338" s="13"/>
      <c r="B338" s="145" t="s">
        <v>1137</v>
      </c>
      <c r="C338" s="19"/>
      <c r="D338" s="19"/>
      <c r="E338" s="20"/>
      <c r="F338" s="22"/>
      <c r="G338" s="36"/>
      <c r="H338" s="38"/>
      <c r="I338" s="38"/>
      <c r="J338" s="13"/>
      <c r="K338" s="18" t="s">
        <v>27</v>
      </c>
      <c r="L338" s="19"/>
      <c r="M338" s="19"/>
      <c r="N338" s="20"/>
      <c r="O338" s="22"/>
      <c r="P338" s="36"/>
      <c r="Q338" s="38"/>
      <c r="R338" s="38"/>
    </row>
    <row r="339" spans="1:18" x14ac:dyDescent="0.2">
      <c r="A339" s="13"/>
      <c r="B339" s="18"/>
      <c r="C339" s="19"/>
      <c r="D339" s="19"/>
      <c r="E339" s="20"/>
      <c r="F339" s="22"/>
      <c r="G339" s="36"/>
      <c r="H339" s="38"/>
      <c r="I339" s="38"/>
      <c r="J339" s="13"/>
      <c r="K339" s="18"/>
      <c r="L339" s="19"/>
      <c r="M339" s="19"/>
      <c r="N339" s="20"/>
      <c r="O339" s="22"/>
      <c r="P339" s="36"/>
      <c r="Q339" s="38"/>
      <c r="R339" s="38"/>
    </row>
    <row r="340" spans="1:18" x14ac:dyDescent="0.2">
      <c r="A340" s="13"/>
      <c r="B340" s="18"/>
      <c r="C340" s="19"/>
      <c r="D340" s="19"/>
      <c r="E340" s="20"/>
      <c r="F340" s="22"/>
      <c r="G340" s="36"/>
      <c r="H340" s="38"/>
      <c r="I340" s="38"/>
      <c r="J340" s="13"/>
      <c r="K340" s="18"/>
      <c r="L340" s="19"/>
      <c r="M340" s="19"/>
      <c r="N340" s="20"/>
      <c r="O340" s="22"/>
      <c r="P340" s="36"/>
      <c r="Q340" s="38"/>
      <c r="R340" s="38"/>
    </row>
    <row r="341" spans="1:18" x14ac:dyDescent="0.2">
      <c r="A341" s="13"/>
      <c r="B341" s="18"/>
      <c r="C341" s="19"/>
      <c r="D341" s="19"/>
      <c r="E341" s="20"/>
      <c r="F341" s="22"/>
      <c r="G341" s="36"/>
      <c r="H341" s="38"/>
      <c r="I341" s="38"/>
      <c r="J341" s="13"/>
      <c r="K341" s="18"/>
      <c r="L341" s="19"/>
      <c r="M341" s="19"/>
      <c r="N341" s="20"/>
      <c r="O341" s="22"/>
      <c r="P341" s="36"/>
      <c r="Q341" s="38"/>
      <c r="R341" s="38"/>
    </row>
    <row r="342" spans="1:18" x14ac:dyDescent="0.2">
      <c r="A342" s="13"/>
      <c r="B342" s="18"/>
      <c r="C342" s="19"/>
      <c r="D342" s="19"/>
      <c r="E342" s="20"/>
      <c r="F342" s="22"/>
      <c r="G342" s="36"/>
      <c r="H342" s="37"/>
      <c r="I342" s="37"/>
      <c r="J342" s="13"/>
      <c r="K342" s="18"/>
      <c r="L342" s="19"/>
      <c r="M342" s="19"/>
      <c r="N342" s="20"/>
      <c r="O342" s="22"/>
      <c r="P342" s="36"/>
      <c r="Q342" s="37"/>
      <c r="R342" s="37"/>
    </row>
    <row r="343" spans="1:18" x14ac:dyDescent="0.2">
      <c r="A343" s="13"/>
      <c r="B343" s="18"/>
      <c r="C343" s="19"/>
      <c r="D343" s="19"/>
      <c r="E343" s="20"/>
      <c r="F343" s="22"/>
      <c r="G343" s="36"/>
      <c r="H343" s="37"/>
      <c r="I343" s="37"/>
      <c r="J343" s="13"/>
      <c r="K343" s="18"/>
      <c r="L343" s="19"/>
      <c r="M343" s="19"/>
      <c r="N343" s="20"/>
      <c r="O343" s="22"/>
      <c r="P343" s="36"/>
      <c r="Q343" s="37"/>
      <c r="R343" s="37"/>
    </row>
    <row r="344" spans="1:18" ht="15" customHeight="1" x14ac:dyDescent="0.2">
      <c r="A344" s="13"/>
      <c r="B344" s="18"/>
      <c r="C344" s="19"/>
      <c r="D344" s="19"/>
      <c r="E344" s="20"/>
      <c r="F344" s="22"/>
      <c r="G344" s="36"/>
      <c r="H344" s="37"/>
      <c r="I344" s="37"/>
      <c r="J344" s="13"/>
      <c r="K344" s="18"/>
      <c r="L344" s="19"/>
      <c r="M344" s="19"/>
      <c r="N344" s="20"/>
      <c r="O344" s="22"/>
      <c r="P344" s="36"/>
      <c r="Q344" s="37"/>
      <c r="R344" s="37"/>
    </row>
    <row r="345" spans="1:18" x14ac:dyDescent="0.2">
      <c r="A345" s="13"/>
      <c r="B345" s="18"/>
      <c r="C345" s="19"/>
      <c r="D345" s="19"/>
      <c r="E345" s="20"/>
      <c r="F345" s="22"/>
      <c r="G345" s="22"/>
      <c r="H345" s="23"/>
      <c r="I345" s="23"/>
      <c r="J345" s="13"/>
      <c r="K345" s="18"/>
      <c r="L345" s="19"/>
      <c r="M345" s="19"/>
      <c r="N345" s="20"/>
      <c r="O345" s="22"/>
      <c r="P345" s="22"/>
      <c r="Q345" s="23"/>
      <c r="R345" s="23"/>
    </row>
    <row r="346" spans="1:18" x14ac:dyDescent="0.2">
      <c r="A346" s="13"/>
      <c r="B346" s="248" t="s">
        <v>30</v>
      </c>
      <c r="C346" s="249"/>
      <c r="D346" s="249"/>
      <c r="E346" s="250"/>
      <c r="F346" s="22"/>
      <c r="G346" s="22"/>
      <c r="H346" s="23"/>
      <c r="I346" s="23">
        <f>SUM(I333:I345)</f>
        <v>0</v>
      </c>
      <c r="J346" s="13"/>
      <c r="K346" s="248" t="s">
        <v>30</v>
      </c>
      <c r="L346" s="249"/>
      <c r="M346" s="249"/>
      <c r="N346" s="250"/>
      <c r="O346" s="22"/>
      <c r="P346" s="22"/>
      <c r="Q346" s="23"/>
      <c r="R346" s="23">
        <f>SUM(R333:R345)</f>
        <v>8298.6</v>
      </c>
    </row>
    <row r="347" spans="1:18" x14ac:dyDescent="0.2">
      <c r="A347" s="12" t="s">
        <v>31</v>
      </c>
      <c r="B347" s="260" t="s">
        <v>32</v>
      </c>
      <c r="C347" s="261"/>
      <c r="D347" s="261"/>
      <c r="E347" s="261"/>
      <c r="F347" s="39"/>
      <c r="G347" s="39"/>
      <c r="H347" s="40"/>
      <c r="I347" s="41">
        <f>SUM(I346+I328)</f>
        <v>0</v>
      </c>
      <c r="J347" s="12" t="s">
        <v>31</v>
      </c>
      <c r="K347" s="260" t="s">
        <v>32</v>
      </c>
      <c r="L347" s="261"/>
      <c r="M347" s="261"/>
      <c r="N347" s="261"/>
      <c r="O347" s="39"/>
      <c r="P347" s="39"/>
      <c r="Q347" s="40"/>
      <c r="R347" s="41">
        <f>SUM(R346+R328)</f>
        <v>8445.9600000000009</v>
      </c>
    </row>
    <row r="348" spans="1:18" x14ac:dyDescent="0.2">
      <c r="A348" s="13" t="s">
        <v>33</v>
      </c>
      <c r="B348" s="264">
        <f>E315</f>
        <v>1</v>
      </c>
      <c r="C348" s="265"/>
      <c r="D348" s="265"/>
      <c r="E348" s="265"/>
      <c r="F348" s="265"/>
      <c r="G348" s="265"/>
      <c r="H348" s="40"/>
      <c r="I348" s="41"/>
      <c r="J348" s="13" t="s">
        <v>33</v>
      </c>
      <c r="K348" s="264">
        <f>N315</f>
        <v>50</v>
      </c>
      <c r="L348" s="265"/>
      <c r="M348" s="265"/>
      <c r="N348" s="265"/>
      <c r="O348" s="265"/>
      <c r="P348" s="265"/>
      <c r="Q348" s="40"/>
      <c r="R348" s="41"/>
    </row>
    <row r="349" spans="1:18" x14ac:dyDescent="0.2">
      <c r="A349" s="13" t="s">
        <v>34</v>
      </c>
      <c r="B349" s="42" t="s">
        <v>35</v>
      </c>
      <c r="C349" s="43"/>
      <c r="D349" s="43"/>
      <c r="E349" s="39"/>
      <c r="F349" s="44"/>
      <c r="G349" s="44"/>
      <c r="H349" s="40"/>
      <c r="I349" s="41">
        <f>I347/E315</f>
        <v>0</v>
      </c>
      <c r="J349" s="13" t="s">
        <v>34</v>
      </c>
      <c r="K349" s="42" t="s">
        <v>35</v>
      </c>
      <c r="L349" s="43"/>
      <c r="M349" s="43"/>
      <c r="N349" s="39"/>
      <c r="O349" s="44"/>
      <c r="P349" s="44"/>
      <c r="Q349" s="40"/>
      <c r="R349" s="41">
        <f>R347/N315</f>
        <v>168.91920000000002</v>
      </c>
    </row>
    <row r="350" spans="1:18" x14ac:dyDescent="0.2">
      <c r="A350" s="12"/>
      <c r="B350" s="251" t="s">
        <v>36</v>
      </c>
      <c r="C350" s="252"/>
      <c r="D350" s="252"/>
      <c r="E350" s="253"/>
      <c r="F350" s="244" t="s">
        <v>37</v>
      </c>
      <c r="G350" s="244" t="s">
        <v>38</v>
      </c>
      <c r="H350" s="244" t="s">
        <v>39</v>
      </c>
      <c r="I350" s="246" t="s">
        <v>15</v>
      </c>
      <c r="J350" s="12"/>
      <c r="K350" s="251" t="s">
        <v>36</v>
      </c>
      <c r="L350" s="252"/>
      <c r="M350" s="252"/>
      <c r="N350" s="253"/>
      <c r="O350" s="244" t="s">
        <v>37</v>
      </c>
      <c r="P350" s="244" t="s">
        <v>38</v>
      </c>
      <c r="Q350" s="244" t="s">
        <v>39</v>
      </c>
      <c r="R350" s="246" t="s">
        <v>15</v>
      </c>
    </row>
    <row r="351" spans="1:18" x14ac:dyDescent="0.2">
      <c r="A351" s="13"/>
      <c r="B351" s="254"/>
      <c r="C351" s="255"/>
      <c r="D351" s="255"/>
      <c r="E351" s="256"/>
      <c r="F351" s="245"/>
      <c r="G351" s="245"/>
      <c r="H351" s="245"/>
      <c r="I351" s="247"/>
      <c r="J351" s="13"/>
      <c r="K351" s="254"/>
      <c r="L351" s="255"/>
      <c r="M351" s="255"/>
      <c r="N351" s="256"/>
      <c r="O351" s="245"/>
      <c r="P351" s="245"/>
      <c r="Q351" s="245"/>
      <c r="R351" s="247"/>
    </row>
    <row r="352" spans="1:18" x14ac:dyDescent="0.2">
      <c r="A352" s="13" t="s">
        <v>40</v>
      </c>
      <c r="B352" s="18" t="s">
        <v>41</v>
      </c>
      <c r="C352" s="19"/>
      <c r="D352" s="19"/>
      <c r="E352" s="20"/>
      <c r="F352" s="22"/>
      <c r="G352" s="22"/>
      <c r="H352" s="23"/>
      <c r="I352" s="23"/>
      <c r="J352" s="13" t="s">
        <v>40</v>
      </c>
      <c r="K352" s="18" t="s">
        <v>41</v>
      </c>
      <c r="L352" s="19"/>
      <c r="M352" s="19"/>
      <c r="N352" s="20"/>
      <c r="O352" s="22"/>
      <c r="P352" s="22"/>
      <c r="Q352" s="23"/>
      <c r="R352" s="23"/>
    </row>
    <row r="353" spans="1:18" x14ac:dyDescent="0.2">
      <c r="A353" s="13"/>
      <c r="B353" s="18"/>
      <c r="C353" s="19"/>
      <c r="D353" s="19"/>
      <c r="E353" s="20"/>
      <c r="F353" s="22"/>
      <c r="G353" s="22"/>
      <c r="H353" s="23"/>
      <c r="I353" s="23"/>
      <c r="J353" s="13"/>
      <c r="K353" s="18"/>
      <c r="L353" s="19"/>
      <c r="M353" s="19"/>
      <c r="N353" s="20"/>
      <c r="O353" s="22"/>
      <c r="P353" s="22"/>
      <c r="Q353" s="23"/>
      <c r="R353" s="23"/>
    </row>
    <row r="354" spans="1:18" x14ac:dyDescent="0.2">
      <c r="A354" s="13"/>
      <c r="B354" s="18"/>
      <c r="C354" s="19"/>
      <c r="D354" s="19"/>
      <c r="E354" s="20"/>
      <c r="F354" s="22"/>
      <c r="G354" s="22"/>
      <c r="H354" s="23"/>
      <c r="I354" s="23"/>
      <c r="J354" s="13"/>
      <c r="K354" s="18"/>
      <c r="L354" s="19"/>
      <c r="M354" s="19"/>
      <c r="N354" s="20"/>
      <c r="O354" s="22"/>
      <c r="P354" s="22"/>
      <c r="Q354" s="23"/>
      <c r="R354" s="23"/>
    </row>
    <row r="355" spans="1:18" x14ac:dyDescent="0.2">
      <c r="A355" s="13"/>
      <c r="B355" s="18"/>
      <c r="C355" s="19"/>
      <c r="D355" s="19"/>
      <c r="E355" s="20"/>
      <c r="F355" s="22"/>
      <c r="G355" s="22"/>
      <c r="H355" s="23"/>
      <c r="I355" s="23"/>
      <c r="J355" s="13"/>
      <c r="K355" s="18"/>
      <c r="L355" s="19"/>
      <c r="M355" s="19"/>
      <c r="N355" s="20"/>
      <c r="O355" s="22"/>
      <c r="P355" s="22"/>
      <c r="Q355" s="23"/>
      <c r="R355" s="23"/>
    </row>
    <row r="356" spans="1:18" x14ac:dyDescent="0.2">
      <c r="A356" s="13"/>
      <c r="B356" s="18"/>
      <c r="C356" s="19"/>
      <c r="D356" s="19"/>
      <c r="E356" s="20"/>
      <c r="F356" s="22"/>
      <c r="G356" s="62"/>
      <c r="H356" s="23"/>
      <c r="I356" s="23"/>
      <c r="J356" s="13"/>
      <c r="K356" s="18"/>
      <c r="L356" s="19"/>
      <c r="M356" s="19"/>
      <c r="N356" s="20"/>
      <c r="O356" s="22"/>
      <c r="P356" s="22"/>
      <c r="Q356" s="38"/>
      <c r="R356" s="38"/>
    </row>
    <row r="357" spans="1:18" x14ac:dyDescent="0.2">
      <c r="A357" s="13"/>
      <c r="B357" s="18"/>
      <c r="C357" s="19"/>
      <c r="D357" s="19"/>
      <c r="E357" s="20"/>
      <c r="F357" s="22"/>
      <c r="G357" s="62"/>
      <c r="H357" s="23"/>
      <c r="I357" s="23"/>
      <c r="J357" s="13"/>
      <c r="K357" s="18"/>
      <c r="L357" s="19"/>
      <c r="M357" s="19"/>
      <c r="N357" s="20"/>
      <c r="O357" s="22"/>
      <c r="P357" s="22"/>
      <c r="Q357" s="38"/>
      <c r="R357" s="38"/>
    </row>
    <row r="358" spans="1:18" x14ac:dyDescent="0.2">
      <c r="A358" s="13"/>
      <c r="B358" s="18"/>
      <c r="C358" s="19"/>
      <c r="D358" s="19"/>
      <c r="E358" s="20"/>
      <c r="F358" s="22"/>
      <c r="G358" s="62"/>
      <c r="H358" s="23"/>
      <c r="I358" s="23"/>
      <c r="J358" s="13"/>
      <c r="K358" s="18"/>
      <c r="L358" s="19"/>
      <c r="M358" s="19"/>
      <c r="N358" s="20"/>
      <c r="O358" s="22"/>
      <c r="P358" s="22"/>
      <c r="Q358" s="45"/>
      <c r="R358" s="45"/>
    </row>
    <row r="359" spans="1:18" x14ac:dyDescent="0.2">
      <c r="A359" s="13"/>
      <c r="B359" s="145" t="s">
        <v>1137</v>
      </c>
      <c r="C359" s="19"/>
      <c r="D359" s="19"/>
      <c r="E359" s="20"/>
      <c r="F359" s="22"/>
      <c r="G359" s="22"/>
      <c r="H359" s="23"/>
      <c r="I359" s="23"/>
      <c r="J359" s="13"/>
      <c r="K359" s="18"/>
      <c r="L359" s="19"/>
      <c r="M359" s="19"/>
      <c r="N359" s="20"/>
      <c r="O359" s="22"/>
      <c r="P359" s="22"/>
      <c r="Q359" s="45"/>
      <c r="R359" s="45"/>
    </row>
    <row r="360" spans="1:18" ht="15" customHeight="1" x14ac:dyDescent="0.2">
      <c r="A360" s="13"/>
      <c r="B360" s="18"/>
      <c r="C360" s="19"/>
      <c r="D360" s="19"/>
      <c r="E360" s="20"/>
      <c r="F360" s="22"/>
      <c r="G360" s="22"/>
      <c r="H360" s="23"/>
      <c r="I360" s="23"/>
      <c r="J360" s="13"/>
      <c r="K360" s="18"/>
      <c r="L360" s="19"/>
      <c r="M360" s="19"/>
      <c r="N360" s="20"/>
      <c r="O360" s="22"/>
      <c r="P360" s="22"/>
      <c r="Q360" s="23"/>
      <c r="R360" s="23"/>
    </row>
    <row r="361" spans="1:18" x14ac:dyDescent="0.2">
      <c r="A361" s="13"/>
      <c r="B361" s="18"/>
      <c r="C361" s="19"/>
      <c r="D361" s="19"/>
      <c r="E361" s="20"/>
      <c r="F361" s="22"/>
      <c r="G361" s="22"/>
      <c r="H361" s="23"/>
      <c r="I361" s="23"/>
      <c r="J361" s="13"/>
      <c r="K361" s="18"/>
      <c r="L361" s="19"/>
      <c r="M361" s="19"/>
      <c r="N361" s="20"/>
      <c r="O361" s="22"/>
      <c r="P361" s="22"/>
      <c r="Q361" s="23"/>
      <c r="R361" s="23"/>
    </row>
    <row r="362" spans="1:18" x14ac:dyDescent="0.2">
      <c r="A362" s="13"/>
      <c r="B362" s="18"/>
      <c r="C362" s="19"/>
      <c r="D362" s="19"/>
      <c r="E362" s="20"/>
      <c r="F362" s="22"/>
      <c r="G362" s="22"/>
      <c r="H362" s="23"/>
      <c r="I362" s="23"/>
      <c r="J362" s="13"/>
      <c r="K362" s="18"/>
      <c r="L362" s="19"/>
      <c r="M362" s="19"/>
      <c r="N362" s="20"/>
      <c r="O362" s="22"/>
      <c r="P362" s="22"/>
      <c r="Q362" s="23"/>
      <c r="R362" s="23"/>
    </row>
    <row r="363" spans="1:18" x14ac:dyDescent="0.2">
      <c r="A363" s="13"/>
      <c r="B363" s="18"/>
      <c r="C363" s="19"/>
      <c r="D363" s="19"/>
      <c r="E363" s="20"/>
      <c r="F363" s="22"/>
      <c r="G363" s="22"/>
      <c r="H363" s="23"/>
      <c r="I363" s="23"/>
      <c r="J363" s="13"/>
      <c r="K363" s="18"/>
      <c r="L363" s="19"/>
      <c r="M363" s="19"/>
      <c r="N363" s="20"/>
      <c r="O363" s="22"/>
      <c r="P363" s="22"/>
      <c r="Q363" s="23"/>
      <c r="R363" s="23"/>
    </row>
    <row r="364" spans="1:18" x14ac:dyDescent="0.2">
      <c r="A364" s="13"/>
      <c r="B364" s="18"/>
      <c r="C364" s="19"/>
      <c r="D364" s="19"/>
      <c r="E364" s="20"/>
      <c r="F364" s="22"/>
      <c r="G364" s="22"/>
      <c r="H364" s="23"/>
      <c r="I364" s="23"/>
      <c r="J364" s="13"/>
      <c r="K364" s="18"/>
      <c r="L364" s="19"/>
      <c r="M364" s="19"/>
      <c r="N364" s="20"/>
      <c r="O364" s="22"/>
      <c r="P364" s="22"/>
      <c r="Q364" s="23"/>
      <c r="R364" s="23"/>
    </row>
    <row r="365" spans="1:18" x14ac:dyDescent="0.2">
      <c r="A365" s="13"/>
      <c r="B365" s="18"/>
      <c r="C365" s="19"/>
      <c r="D365" s="19"/>
      <c r="E365" s="20"/>
      <c r="F365" s="22"/>
      <c r="G365" s="22"/>
      <c r="H365" s="23"/>
      <c r="I365" s="23"/>
      <c r="J365" s="13"/>
      <c r="K365" s="18"/>
      <c r="L365" s="19"/>
      <c r="M365" s="19"/>
      <c r="N365" s="20"/>
      <c r="O365" s="22"/>
      <c r="P365" s="22"/>
      <c r="Q365" s="23"/>
      <c r="R365" s="23"/>
    </row>
    <row r="366" spans="1:18" x14ac:dyDescent="0.2">
      <c r="A366" s="13"/>
      <c r="B366" s="18"/>
      <c r="C366" s="19"/>
      <c r="D366" s="19"/>
      <c r="E366" s="20"/>
      <c r="F366" s="22"/>
      <c r="G366" s="36"/>
      <c r="H366" s="37"/>
      <c r="I366" s="37"/>
      <c r="J366" s="13"/>
      <c r="K366" s="18"/>
      <c r="L366" s="19"/>
      <c r="M366" s="19"/>
      <c r="N366" s="20"/>
      <c r="O366" s="22"/>
      <c r="P366" s="36"/>
      <c r="Q366" s="37"/>
      <c r="R366" s="37"/>
    </row>
    <row r="367" spans="1:18" x14ac:dyDescent="0.2">
      <c r="A367" s="13"/>
      <c r="B367" s="248" t="s">
        <v>42</v>
      </c>
      <c r="C367" s="249"/>
      <c r="D367" s="249"/>
      <c r="E367" s="250"/>
      <c r="F367" s="46"/>
      <c r="G367" s="46"/>
      <c r="H367" s="47"/>
      <c r="I367" s="47">
        <f>SUM(I354:I366)</f>
        <v>0</v>
      </c>
      <c r="J367" s="13"/>
      <c r="K367" s="248" t="s">
        <v>42</v>
      </c>
      <c r="L367" s="249"/>
      <c r="M367" s="249"/>
      <c r="N367" s="250"/>
      <c r="O367" s="46"/>
      <c r="P367" s="46"/>
      <c r="Q367" s="47"/>
      <c r="R367" s="47">
        <f>SUM(R354:R366)</f>
        <v>0</v>
      </c>
    </row>
    <row r="368" spans="1:18" x14ac:dyDescent="0.2">
      <c r="A368" s="12" t="s">
        <v>43</v>
      </c>
      <c r="B368" s="48" t="s">
        <v>44</v>
      </c>
      <c r="C368" s="43"/>
      <c r="D368" s="43"/>
      <c r="E368" s="39"/>
      <c r="F368" s="49"/>
      <c r="G368" s="49"/>
      <c r="H368" s="50"/>
      <c r="I368" s="51">
        <f>SUM(I349+I367)</f>
        <v>0</v>
      </c>
      <c r="J368" s="12" t="s">
        <v>43</v>
      </c>
      <c r="K368" s="48" t="s">
        <v>44</v>
      </c>
      <c r="L368" s="43"/>
      <c r="M368" s="43"/>
      <c r="N368" s="39"/>
      <c r="O368" s="49"/>
      <c r="P368" s="49"/>
      <c r="Q368" s="50"/>
      <c r="R368" s="51">
        <f>SUM(R349+R367)</f>
        <v>168.91920000000002</v>
      </c>
    </row>
    <row r="369" spans="1:18" x14ac:dyDescent="0.2">
      <c r="A369" s="13" t="s">
        <v>45</v>
      </c>
      <c r="B369" s="48" t="s">
        <v>46</v>
      </c>
      <c r="C369" s="43"/>
      <c r="D369" s="43"/>
      <c r="E369" s="39"/>
      <c r="F369" s="49"/>
      <c r="G369" s="52">
        <v>0.09</v>
      </c>
      <c r="H369" s="53" t="s">
        <v>47</v>
      </c>
      <c r="I369" s="51">
        <f>G369*I368</f>
        <v>0</v>
      </c>
      <c r="J369" s="13" t="s">
        <v>45</v>
      </c>
      <c r="K369" s="48" t="s">
        <v>46</v>
      </c>
      <c r="L369" s="43"/>
      <c r="M369" s="43"/>
      <c r="N369" s="39"/>
      <c r="O369" s="49"/>
      <c r="P369" s="52">
        <v>0.09</v>
      </c>
      <c r="Q369" s="53" t="s">
        <v>47</v>
      </c>
      <c r="R369" s="51">
        <f>P369*R368</f>
        <v>15.202728</v>
      </c>
    </row>
    <row r="370" spans="1:18" x14ac:dyDescent="0.2">
      <c r="A370" s="13" t="s">
        <v>48</v>
      </c>
      <c r="B370" s="48" t="s">
        <v>49</v>
      </c>
      <c r="C370" s="43"/>
      <c r="D370" s="43"/>
      <c r="E370" s="39"/>
      <c r="F370" s="49"/>
      <c r="G370" s="52">
        <v>0.08</v>
      </c>
      <c r="H370" s="53" t="s">
        <v>47</v>
      </c>
      <c r="I370" s="51">
        <f>G370*I368</f>
        <v>0</v>
      </c>
      <c r="J370" s="13" t="s">
        <v>48</v>
      </c>
      <c r="K370" s="48" t="s">
        <v>49</v>
      </c>
      <c r="L370" s="43"/>
      <c r="M370" s="43"/>
      <c r="N370" s="39"/>
      <c r="O370" s="49"/>
      <c r="P370" s="52">
        <v>0.08</v>
      </c>
      <c r="Q370" s="53" t="s">
        <v>47</v>
      </c>
      <c r="R370" s="51">
        <f>P370*R368</f>
        <v>13.513536000000002</v>
      </c>
    </row>
    <row r="371" spans="1:18" x14ac:dyDescent="0.2">
      <c r="A371" s="13" t="s">
        <v>50</v>
      </c>
      <c r="B371" s="48" t="s">
        <v>51</v>
      </c>
      <c r="C371" s="43"/>
      <c r="D371" s="43"/>
      <c r="E371" s="39"/>
      <c r="F371" s="49"/>
      <c r="G371" s="52">
        <f>5/100</f>
        <v>0.05</v>
      </c>
      <c r="H371" s="53" t="s">
        <v>52</v>
      </c>
      <c r="I371" s="51">
        <f>G371*(I368+I369+I370)</f>
        <v>0</v>
      </c>
      <c r="J371" s="13" t="s">
        <v>50</v>
      </c>
      <c r="K371" s="48" t="s">
        <v>51</v>
      </c>
      <c r="L371" s="43"/>
      <c r="M371" s="43"/>
      <c r="N371" s="39"/>
      <c r="O371" s="49"/>
      <c r="P371" s="52">
        <f>5/100</f>
        <v>0.05</v>
      </c>
      <c r="Q371" s="53" t="s">
        <v>52</v>
      </c>
      <c r="R371" s="51">
        <f>P371*(R368+R369+R370)</f>
        <v>9.8817732000000014</v>
      </c>
    </row>
    <row r="372" spans="1:18" x14ac:dyDescent="0.2">
      <c r="A372" s="54" t="s">
        <v>53</v>
      </c>
      <c r="B372" s="48" t="s">
        <v>54</v>
      </c>
      <c r="C372" s="43"/>
      <c r="D372" s="43"/>
      <c r="E372" s="39"/>
      <c r="F372" s="49"/>
      <c r="G372" s="49"/>
      <c r="H372" s="55" t="s">
        <v>55</v>
      </c>
      <c r="I372" s="51">
        <f>SUM(I368+I369+I370+I371)</f>
        <v>0</v>
      </c>
      <c r="J372" s="54" t="s">
        <v>53</v>
      </c>
      <c r="K372" s="48" t="s">
        <v>54</v>
      </c>
      <c r="L372" s="43"/>
      <c r="M372" s="43"/>
      <c r="N372" s="39"/>
      <c r="O372" s="49"/>
      <c r="P372" s="49"/>
      <c r="Q372" s="55" t="s">
        <v>55</v>
      </c>
      <c r="R372" s="51">
        <f>SUM(R368+R369+R370+R371)</f>
        <v>207.51723720000001</v>
      </c>
    </row>
    <row r="373" spans="1:18" s="1" customFormat="1" x14ac:dyDescent="0.2">
      <c r="A373" s="236" t="s">
        <v>0</v>
      </c>
      <c r="B373" s="236"/>
      <c r="C373" s="236"/>
      <c r="D373" s="236"/>
      <c r="E373" s="236"/>
      <c r="F373" s="236"/>
      <c r="G373" s="236"/>
      <c r="H373" s="236"/>
      <c r="I373" s="236"/>
      <c r="J373" s="236" t="s">
        <v>0</v>
      </c>
      <c r="K373" s="236"/>
      <c r="L373" s="236"/>
      <c r="M373" s="236"/>
      <c r="N373" s="236"/>
      <c r="O373" s="236"/>
      <c r="P373" s="236"/>
      <c r="Q373" s="236"/>
      <c r="R373" s="236"/>
    </row>
    <row r="375" spans="1:18" x14ac:dyDescent="0.2">
      <c r="A375" s="2" t="s">
        <v>1</v>
      </c>
      <c r="C375" s="4" t="s">
        <v>2</v>
      </c>
      <c r="D375" s="5" t="s">
        <v>1138</v>
      </c>
      <c r="E375" s="237" t="s">
        <v>94</v>
      </c>
      <c r="F375" s="237"/>
      <c r="G375" s="237"/>
      <c r="H375" s="237"/>
      <c r="J375" s="2" t="s">
        <v>1</v>
      </c>
      <c r="L375" s="4" t="s">
        <v>2</v>
      </c>
      <c r="M375" s="5" t="s">
        <v>95</v>
      </c>
      <c r="N375" s="237" t="s">
        <v>96</v>
      </c>
      <c r="O375" s="237"/>
      <c r="P375" s="237"/>
      <c r="Q375" s="237"/>
    </row>
    <row r="376" spans="1:18" x14ac:dyDescent="0.2">
      <c r="A376" s="2" t="s">
        <v>7</v>
      </c>
      <c r="C376" s="4" t="s">
        <v>2</v>
      </c>
      <c r="E376" s="2" t="s">
        <v>9</v>
      </c>
      <c r="F376" s="8"/>
      <c r="G376" s="8"/>
      <c r="H376" s="8"/>
      <c r="J376" s="2" t="s">
        <v>7</v>
      </c>
      <c r="L376" s="4" t="s">
        <v>2</v>
      </c>
      <c r="N376" s="2" t="s">
        <v>9</v>
      </c>
      <c r="O376" s="8"/>
      <c r="P376" s="8"/>
      <c r="Q376" s="8"/>
    </row>
    <row r="377" spans="1:18" x14ac:dyDescent="0.2">
      <c r="A377" s="2" t="s">
        <v>10</v>
      </c>
      <c r="C377" s="4" t="s">
        <v>2</v>
      </c>
      <c r="E377" s="9">
        <v>1</v>
      </c>
      <c r="F377" s="8"/>
      <c r="G377" s="8"/>
      <c r="H377" s="8"/>
      <c r="J377" s="2" t="s">
        <v>10</v>
      </c>
      <c r="L377" s="4" t="s">
        <v>2</v>
      </c>
      <c r="N377" s="9">
        <v>20</v>
      </c>
      <c r="O377" s="8"/>
      <c r="P377" s="8"/>
      <c r="Q377" s="8"/>
    </row>
    <row r="378" spans="1:18" x14ac:dyDescent="0.2">
      <c r="B378" s="8"/>
      <c r="F378" s="11"/>
      <c r="G378" s="8"/>
      <c r="H378" s="8"/>
      <c r="I378" s="8"/>
      <c r="K378" s="8"/>
      <c r="O378" s="11"/>
      <c r="P378" s="8"/>
      <c r="Q378" s="8"/>
      <c r="R378" s="8"/>
    </row>
    <row r="379" spans="1:18" x14ac:dyDescent="0.2">
      <c r="A379" s="12"/>
      <c r="B379" s="238" t="s">
        <v>11</v>
      </c>
      <c r="C379" s="239"/>
      <c r="D379" s="239"/>
      <c r="E379" s="240"/>
      <c r="F379" s="244" t="s">
        <v>12</v>
      </c>
      <c r="G379" s="244" t="s">
        <v>13</v>
      </c>
      <c r="H379" s="244" t="s">
        <v>14</v>
      </c>
      <c r="I379" s="246" t="s">
        <v>15</v>
      </c>
      <c r="J379" s="12"/>
      <c r="K379" s="238" t="s">
        <v>11</v>
      </c>
      <c r="L379" s="239"/>
      <c r="M379" s="239"/>
      <c r="N379" s="240"/>
      <c r="O379" s="244" t="s">
        <v>12</v>
      </c>
      <c r="P379" s="244" t="s">
        <v>13</v>
      </c>
      <c r="Q379" s="244" t="s">
        <v>14</v>
      </c>
      <c r="R379" s="246" t="s">
        <v>15</v>
      </c>
    </row>
    <row r="380" spans="1:18" x14ac:dyDescent="0.2">
      <c r="A380" s="13"/>
      <c r="B380" s="241"/>
      <c r="C380" s="242"/>
      <c r="D380" s="242"/>
      <c r="E380" s="243"/>
      <c r="F380" s="245"/>
      <c r="G380" s="245"/>
      <c r="H380" s="245"/>
      <c r="I380" s="247"/>
      <c r="J380" s="13"/>
      <c r="K380" s="241"/>
      <c r="L380" s="242"/>
      <c r="M380" s="242"/>
      <c r="N380" s="243"/>
      <c r="O380" s="245"/>
      <c r="P380" s="245"/>
      <c r="Q380" s="245"/>
      <c r="R380" s="247"/>
    </row>
    <row r="381" spans="1:18" x14ac:dyDescent="0.2">
      <c r="A381" s="13" t="s">
        <v>16</v>
      </c>
      <c r="B381" s="14" t="s">
        <v>17</v>
      </c>
      <c r="C381" s="15"/>
      <c r="D381" s="15"/>
      <c r="E381" s="16"/>
      <c r="F381" s="17"/>
      <c r="G381" s="17"/>
      <c r="H381" s="17"/>
      <c r="I381" s="17"/>
      <c r="J381" s="13" t="s">
        <v>16</v>
      </c>
      <c r="K381" s="14" t="s">
        <v>17</v>
      </c>
      <c r="L381" s="15"/>
      <c r="M381" s="15"/>
      <c r="N381" s="16"/>
      <c r="O381" s="17"/>
      <c r="P381" s="17"/>
      <c r="Q381" s="17"/>
      <c r="R381" s="17"/>
    </row>
    <row r="382" spans="1:18" x14ac:dyDescent="0.2">
      <c r="A382" s="13"/>
      <c r="B382" s="18"/>
      <c r="C382" s="19"/>
      <c r="D382" s="19"/>
      <c r="E382" s="20"/>
      <c r="F382" s="21"/>
      <c r="G382" s="22"/>
      <c r="H382" s="21"/>
      <c r="I382" s="21"/>
      <c r="J382" s="13"/>
      <c r="K382" s="18"/>
      <c r="L382" s="19"/>
      <c r="M382" s="19"/>
      <c r="N382" s="20"/>
      <c r="O382" s="21"/>
      <c r="P382" s="22"/>
      <c r="Q382" s="21"/>
      <c r="R382" s="21"/>
    </row>
    <row r="383" spans="1:18" x14ac:dyDescent="0.2">
      <c r="A383" s="13"/>
      <c r="B383" s="24" t="s">
        <v>18</v>
      </c>
      <c r="C383" s="25"/>
      <c r="D383" s="25"/>
      <c r="E383" s="26"/>
      <c r="F383" s="22">
        <v>1</v>
      </c>
      <c r="G383" s="62">
        <v>1</v>
      </c>
      <c r="H383" s="23">
        <v>69.42</v>
      </c>
      <c r="I383" s="23">
        <f>G383*H383*F383</f>
        <v>69.42</v>
      </c>
      <c r="J383" s="13"/>
      <c r="K383" s="24" t="s">
        <v>18</v>
      </c>
      <c r="L383" s="25"/>
      <c r="M383" s="25"/>
      <c r="N383" s="26"/>
      <c r="O383" s="22">
        <v>1</v>
      </c>
      <c r="P383" s="62">
        <v>1</v>
      </c>
      <c r="Q383" s="23">
        <v>69.42</v>
      </c>
      <c r="R383" s="23">
        <f>P383*Q383*O383</f>
        <v>69.42</v>
      </c>
    </row>
    <row r="384" spans="1:18" x14ac:dyDescent="0.2">
      <c r="A384" s="13"/>
      <c r="B384" s="257" t="s">
        <v>1178</v>
      </c>
      <c r="C384" s="258"/>
      <c r="D384" s="25"/>
      <c r="E384" s="26"/>
      <c r="F384" s="22">
        <v>2</v>
      </c>
      <c r="G384" s="62">
        <v>1</v>
      </c>
      <c r="H384" s="23">
        <v>50.18</v>
      </c>
      <c r="I384" s="23">
        <f>G384*H384*F384</f>
        <v>100.36</v>
      </c>
      <c r="J384" s="13"/>
      <c r="K384" s="24" t="s">
        <v>1179</v>
      </c>
      <c r="L384" s="25"/>
      <c r="M384" s="25"/>
      <c r="N384" s="26"/>
      <c r="O384" s="22">
        <v>3</v>
      </c>
      <c r="P384" s="62">
        <v>1</v>
      </c>
      <c r="Q384" s="23">
        <v>38.97</v>
      </c>
      <c r="R384" s="23">
        <f>P384*Q384*O384</f>
        <v>116.91</v>
      </c>
    </row>
    <row r="385" spans="1:18" x14ac:dyDescent="0.2">
      <c r="A385" s="13"/>
      <c r="B385" s="257" t="s">
        <v>1177</v>
      </c>
      <c r="C385" s="258"/>
      <c r="D385" s="19"/>
      <c r="E385" s="20"/>
      <c r="F385" s="22">
        <v>4</v>
      </c>
      <c r="G385" s="62">
        <v>1</v>
      </c>
      <c r="H385" s="23">
        <v>38.97</v>
      </c>
      <c r="I385" s="23">
        <f>G385*H385*F385</f>
        <v>155.88</v>
      </c>
      <c r="J385" s="13"/>
      <c r="K385" s="27"/>
      <c r="L385" s="19"/>
      <c r="M385" s="19"/>
      <c r="N385" s="20"/>
      <c r="O385" s="22"/>
      <c r="P385" s="22"/>
      <c r="Q385" s="28"/>
      <c r="R385" s="23"/>
    </row>
    <row r="386" spans="1:18" ht="15" customHeight="1" x14ac:dyDescent="0.2">
      <c r="A386" s="13"/>
      <c r="B386" s="27"/>
      <c r="C386" s="19"/>
      <c r="D386" s="19"/>
      <c r="E386" s="20"/>
      <c r="F386" s="22"/>
      <c r="G386" s="22"/>
      <c r="H386" s="29"/>
      <c r="I386" s="30"/>
      <c r="J386" s="13"/>
      <c r="K386" s="27"/>
      <c r="L386" s="19"/>
      <c r="M386" s="19"/>
      <c r="N386" s="20"/>
      <c r="O386" s="22"/>
      <c r="P386" s="22"/>
      <c r="Q386" s="29"/>
      <c r="R386" s="30"/>
    </row>
    <row r="387" spans="1:18" x14ac:dyDescent="0.2">
      <c r="A387" s="13"/>
      <c r="B387" s="27"/>
      <c r="C387" s="19"/>
      <c r="D387" s="19"/>
      <c r="E387" s="20"/>
      <c r="F387" s="22"/>
      <c r="G387" s="22"/>
      <c r="H387" s="29"/>
      <c r="I387" s="30"/>
      <c r="J387" s="13"/>
      <c r="K387" s="27"/>
      <c r="L387" s="19"/>
      <c r="M387" s="19"/>
      <c r="N387" s="20"/>
      <c r="O387" s="22"/>
      <c r="P387" s="22"/>
      <c r="Q387" s="29"/>
      <c r="R387" s="30"/>
    </row>
    <row r="388" spans="1:18" x14ac:dyDescent="0.2">
      <c r="A388" s="13"/>
      <c r="B388" s="18"/>
      <c r="C388" s="19"/>
      <c r="D388" s="19"/>
      <c r="E388" s="20"/>
      <c r="F388" s="22"/>
      <c r="G388" s="22"/>
      <c r="H388" s="28"/>
      <c r="I388" s="23"/>
      <c r="J388" s="13"/>
      <c r="K388" s="18"/>
      <c r="L388" s="19"/>
      <c r="M388" s="19"/>
      <c r="N388" s="20"/>
      <c r="O388" s="22"/>
      <c r="P388" s="22"/>
      <c r="Q388" s="28"/>
      <c r="R388" s="23"/>
    </row>
    <row r="389" spans="1:18" x14ac:dyDescent="0.2">
      <c r="A389" s="13"/>
      <c r="B389" s="18"/>
      <c r="C389" s="19"/>
      <c r="D389" s="19"/>
      <c r="E389" s="20"/>
      <c r="F389" s="22"/>
      <c r="G389" s="22"/>
      <c r="H389" s="23"/>
      <c r="I389" s="23"/>
      <c r="J389" s="13"/>
      <c r="K389" s="18"/>
      <c r="L389" s="19"/>
      <c r="M389" s="19"/>
      <c r="N389" s="20"/>
      <c r="O389" s="22"/>
      <c r="P389" s="22"/>
      <c r="Q389" s="23"/>
      <c r="R389" s="23"/>
    </row>
    <row r="390" spans="1:18" x14ac:dyDescent="0.2">
      <c r="A390" s="13"/>
      <c r="B390" s="248" t="s">
        <v>20</v>
      </c>
      <c r="C390" s="249"/>
      <c r="D390" s="249"/>
      <c r="E390" s="250"/>
      <c r="F390" s="31"/>
      <c r="G390" s="31"/>
      <c r="H390" s="32"/>
      <c r="I390" s="32">
        <f>SUM(I383:I389)</f>
        <v>325.65999999999997</v>
      </c>
      <c r="J390" s="13"/>
      <c r="K390" s="248" t="s">
        <v>20</v>
      </c>
      <c r="L390" s="249"/>
      <c r="M390" s="249"/>
      <c r="N390" s="250"/>
      <c r="O390" s="31"/>
      <c r="P390" s="31"/>
      <c r="Q390" s="32"/>
      <c r="R390" s="32">
        <f>SUM(R383:R389)</f>
        <v>186.32999999999998</v>
      </c>
    </row>
    <row r="391" spans="1:18" x14ac:dyDescent="0.2">
      <c r="A391" s="12"/>
      <c r="B391" s="251" t="s">
        <v>21</v>
      </c>
      <c r="C391" s="252"/>
      <c r="D391" s="252"/>
      <c r="E391" s="253"/>
      <c r="F391" s="244" t="s">
        <v>22</v>
      </c>
      <c r="G391" s="244" t="s">
        <v>13</v>
      </c>
      <c r="H391" s="244" t="s">
        <v>14</v>
      </c>
      <c r="I391" s="246" t="s">
        <v>15</v>
      </c>
      <c r="J391" s="12"/>
      <c r="K391" s="251" t="s">
        <v>21</v>
      </c>
      <c r="L391" s="252"/>
      <c r="M391" s="252"/>
      <c r="N391" s="253"/>
      <c r="O391" s="244" t="s">
        <v>22</v>
      </c>
      <c r="P391" s="244" t="s">
        <v>13</v>
      </c>
      <c r="Q391" s="244" t="s">
        <v>14</v>
      </c>
      <c r="R391" s="246" t="s">
        <v>15</v>
      </c>
    </row>
    <row r="392" spans="1:18" x14ac:dyDescent="0.2">
      <c r="A392" s="13"/>
      <c r="B392" s="254"/>
      <c r="C392" s="255"/>
      <c r="D392" s="255"/>
      <c r="E392" s="256"/>
      <c r="F392" s="245"/>
      <c r="G392" s="245"/>
      <c r="H392" s="245"/>
      <c r="I392" s="247"/>
      <c r="J392" s="13"/>
      <c r="K392" s="254"/>
      <c r="L392" s="255"/>
      <c r="M392" s="255"/>
      <c r="N392" s="256"/>
      <c r="O392" s="245"/>
      <c r="P392" s="245"/>
      <c r="Q392" s="245"/>
      <c r="R392" s="247"/>
    </row>
    <row r="393" spans="1:18" x14ac:dyDescent="0.2">
      <c r="A393" s="13" t="s">
        <v>23</v>
      </c>
      <c r="B393" s="33" t="s">
        <v>24</v>
      </c>
      <c r="C393" s="15"/>
      <c r="D393" s="15"/>
      <c r="E393" s="16"/>
      <c r="F393" s="34"/>
      <c r="G393" s="34"/>
      <c r="H393" s="35"/>
      <c r="I393" s="35"/>
      <c r="J393" s="13" t="s">
        <v>23</v>
      </c>
      <c r="K393" s="33" t="s">
        <v>24</v>
      </c>
      <c r="L393" s="15"/>
      <c r="M393" s="15"/>
      <c r="N393" s="16"/>
      <c r="O393" s="34"/>
      <c r="P393" s="34"/>
      <c r="Q393" s="35"/>
      <c r="R393" s="35"/>
    </row>
    <row r="394" spans="1:18" x14ac:dyDescent="0.2">
      <c r="A394" s="13"/>
      <c r="B394" s="18"/>
      <c r="C394" s="19"/>
      <c r="D394" s="19"/>
      <c r="E394" s="20"/>
      <c r="F394" s="22"/>
      <c r="G394" s="22"/>
      <c r="H394" s="23"/>
      <c r="I394" s="23"/>
      <c r="J394" s="13"/>
      <c r="K394" s="18"/>
      <c r="L394" s="19"/>
      <c r="M394" s="19"/>
      <c r="N394" s="20"/>
      <c r="O394" s="22"/>
      <c r="P394" s="22"/>
      <c r="Q394" s="23"/>
      <c r="R394" s="23"/>
    </row>
    <row r="395" spans="1:18" ht="17.25" customHeight="1" x14ac:dyDescent="0.2">
      <c r="A395" s="13"/>
      <c r="B395" s="18" t="s">
        <v>97</v>
      </c>
      <c r="C395" s="19"/>
      <c r="D395" s="19"/>
      <c r="E395" s="20"/>
      <c r="F395" s="22">
        <v>1</v>
      </c>
      <c r="G395" s="23">
        <v>0.5</v>
      </c>
      <c r="H395" s="37">
        <v>1998.1</v>
      </c>
      <c r="I395" s="37">
        <f t="shared" ref="I395:I400" si="6">G395*H395*F395</f>
        <v>999.05</v>
      </c>
      <c r="J395" s="13"/>
      <c r="K395" s="18" t="s">
        <v>1130</v>
      </c>
      <c r="L395" s="19"/>
      <c r="M395" s="19"/>
      <c r="N395" s="20"/>
      <c r="O395" s="22">
        <v>2</v>
      </c>
      <c r="P395" s="62">
        <v>1</v>
      </c>
      <c r="Q395" s="37">
        <v>1420</v>
      </c>
      <c r="R395" s="37">
        <f>P395*Q395*O395</f>
        <v>2840</v>
      </c>
    </row>
    <row r="396" spans="1:18" ht="17.25" customHeight="1" x14ac:dyDescent="0.2">
      <c r="A396" s="13"/>
      <c r="B396" s="18" t="s">
        <v>98</v>
      </c>
      <c r="C396" s="19"/>
      <c r="D396" s="19"/>
      <c r="E396" s="20"/>
      <c r="F396" s="22">
        <v>2</v>
      </c>
      <c r="G396" s="23">
        <v>1</v>
      </c>
      <c r="H396" s="37">
        <v>150</v>
      </c>
      <c r="I396" s="37">
        <f t="shared" si="6"/>
        <v>300</v>
      </c>
      <c r="J396" s="13"/>
      <c r="K396" s="18" t="s">
        <v>99</v>
      </c>
      <c r="L396" s="19"/>
      <c r="M396" s="19"/>
      <c r="N396" s="20"/>
      <c r="O396" s="22">
        <v>1</v>
      </c>
      <c r="P396" s="62">
        <v>1</v>
      </c>
      <c r="Q396" s="37">
        <v>1537</v>
      </c>
      <c r="R396" s="37">
        <f>P396*Q396*O396</f>
        <v>1537</v>
      </c>
    </row>
    <row r="397" spans="1:18" x14ac:dyDescent="0.2">
      <c r="A397" s="13"/>
      <c r="B397" s="18" t="s">
        <v>1139</v>
      </c>
      <c r="C397" s="19"/>
      <c r="D397" s="19"/>
      <c r="E397" s="20"/>
      <c r="F397" s="22">
        <v>1</v>
      </c>
      <c r="G397" s="23">
        <v>1</v>
      </c>
      <c r="H397" s="37">
        <v>965</v>
      </c>
      <c r="I397" s="37">
        <f t="shared" si="6"/>
        <v>965</v>
      </c>
      <c r="J397" s="13"/>
      <c r="K397" s="18" t="s">
        <v>1192</v>
      </c>
      <c r="L397" s="19"/>
      <c r="M397" s="19"/>
      <c r="N397" s="20"/>
      <c r="O397" s="22"/>
      <c r="P397" s="23"/>
      <c r="R397" s="37">
        <f>0.1*R390</f>
        <v>18.632999999999999</v>
      </c>
    </row>
    <row r="398" spans="1:18" x14ac:dyDescent="0.2">
      <c r="A398" s="13"/>
      <c r="B398" s="18" t="s">
        <v>1140</v>
      </c>
      <c r="C398" s="19"/>
      <c r="D398" s="19"/>
      <c r="E398" s="20"/>
      <c r="F398" s="22">
        <v>1</v>
      </c>
      <c r="G398" s="68">
        <v>0.125</v>
      </c>
      <c r="H398" s="37">
        <v>1420</v>
      </c>
      <c r="I398" s="37">
        <f t="shared" si="6"/>
        <v>177.5</v>
      </c>
      <c r="J398" s="13"/>
      <c r="K398" s="18"/>
      <c r="O398" s="22"/>
      <c r="P398" s="36"/>
      <c r="Q398" s="37"/>
      <c r="R398" s="37"/>
    </row>
    <row r="399" spans="1:18" x14ac:dyDescent="0.2">
      <c r="A399" s="13"/>
      <c r="B399" s="18" t="s">
        <v>87</v>
      </c>
      <c r="C399" s="19"/>
      <c r="D399" s="19"/>
      <c r="E399" s="20"/>
      <c r="F399" s="22">
        <v>1</v>
      </c>
      <c r="G399" s="68">
        <v>0.125</v>
      </c>
      <c r="H399" s="37">
        <v>1733</v>
      </c>
      <c r="I399" s="37">
        <f t="shared" si="6"/>
        <v>216.625</v>
      </c>
      <c r="J399" s="13"/>
      <c r="K399" s="18"/>
      <c r="L399" s="19"/>
      <c r="M399" s="19"/>
      <c r="N399" s="20"/>
      <c r="O399" s="22"/>
      <c r="P399" s="36"/>
      <c r="Q399" s="37"/>
      <c r="R399" s="37"/>
    </row>
    <row r="400" spans="1:18" x14ac:dyDescent="0.2">
      <c r="A400" s="13"/>
      <c r="B400" s="18" t="s">
        <v>1141</v>
      </c>
      <c r="F400" s="22">
        <v>1</v>
      </c>
      <c r="G400" s="23">
        <v>0.25</v>
      </c>
      <c r="H400" s="37">
        <v>1861</v>
      </c>
      <c r="I400" s="37">
        <f t="shared" si="6"/>
        <v>465.25</v>
      </c>
      <c r="J400" s="13"/>
      <c r="K400" s="18"/>
      <c r="L400" s="19"/>
      <c r="M400" s="19"/>
      <c r="N400" s="20"/>
      <c r="O400" s="22"/>
      <c r="P400" s="36"/>
      <c r="Q400" s="38"/>
      <c r="R400" s="38"/>
    </row>
    <row r="401" spans="1:18" x14ac:dyDescent="0.2">
      <c r="A401" s="13"/>
      <c r="B401" s="18" t="s">
        <v>100</v>
      </c>
      <c r="F401" s="22">
        <v>1</v>
      </c>
      <c r="G401" s="23">
        <v>1</v>
      </c>
      <c r="H401" s="37">
        <v>45.45</v>
      </c>
      <c r="I401" s="37">
        <f>G401*H401*F401</f>
        <v>45.45</v>
      </c>
      <c r="J401" s="13"/>
      <c r="K401" s="18"/>
      <c r="L401" s="19"/>
      <c r="M401" s="19"/>
      <c r="N401" s="20"/>
      <c r="O401" s="22"/>
      <c r="P401" s="36"/>
      <c r="Q401" s="38"/>
      <c r="R401" s="38"/>
    </row>
    <row r="402" spans="1:18" x14ac:dyDescent="0.2">
      <c r="A402" s="13"/>
      <c r="B402" s="18"/>
      <c r="C402" s="19"/>
      <c r="D402" s="19"/>
      <c r="E402" s="20"/>
      <c r="F402" s="22"/>
      <c r="G402" s="36"/>
      <c r="H402" s="37"/>
      <c r="I402" s="37"/>
      <c r="J402" s="13"/>
      <c r="K402" s="18"/>
      <c r="L402" s="19"/>
      <c r="M402" s="19"/>
      <c r="N402" s="20"/>
      <c r="O402" s="22"/>
      <c r="P402" s="36"/>
      <c r="Q402" s="38"/>
      <c r="R402" s="38"/>
    </row>
    <row r="403" spans="1:18" x14ac:dyDescent="0.2">
      <c r="A403" s="13"/>
      <c r="B403" s="18" t="s">
        <v>101</v>
      </c>
      <c r="C403" s="19"/>
      <c r="D403" s="19"/>
      <c r="E403" s="20"/>
      <c r="F403" s="22"/>
      <c r="G403" s="36"/>
      <c r="H403" s="38"/>
      <c r="I403" s="38"/>
      <c r="J403" s="13"/>
      <c r="K403" s="18"/>
      <c r="L403" s="19"/>
      <c r="M403" s="19"/>
      <c r="N403" s="20"/>
      <c r="O403" s="22"/>
      <c r="P403" s="36"/>
      <c r="Q403" s="38"/>
      <c r="R403" s="38"/>
    </row>
    <row r="404" spans="1:18" x14ac:dyDescent="0.2">
      <c r="A404" s="13"/>
      <c r="B404" s="18"/>
      <c r="C404" s="19"/>
      <c r="D404" s="19"/>
      <c r="E404" s="20"/>
      <c r="F404" s="22"/>
      <c r="G404" s="36"/>
      <c r="H404" s="37"/>
      <c r="I404" s="37"/>
      <c r="J404" s="13"/>
      <c r="K404" s="18"/>
      <c r="L404" s="19"/>
      <c r="M404" s="19"/>
      <c r="N404" s="20"/>
      <c r="O404" s="22"/>
      <c r="P404" s="36"/>
      <c r="Q404" s="37"/>
      <c r="R404" s="37"/>
    </row>
    <row r="405" spans="1:18" x14ac:dyDescent="0.2">
      <c r="A405" s="13"/>
      <c r="B405" s="18"/>
      <c r="C405" s="19"/>
      <c r="D405" s="19"/>
      <c r="E405" s="20"/>
      <c r="F405" s="22"/>
      <c r="G405" s="36"/>
      <c r="H405" s="37"/>
      <c r="I405" s="37"/>
      <c r="J405" s="13"/>
      <c r="K405" s="18"/>
      <c r="L405" s="19"/>
      <c r="M405" s="19"/>
      <c r="N405" s="20"/>
      <c r="O405" s="22"/>
      <c r="P405" s="36"/>
      <c r="Q405" s="37"/>
      <c r="R405" s="37"/>
    </row>
    <row r="406" spans="1:18" ht="15" customHeight="1" x14ac:dyDescent="0.2">
      <c r="A406" s="13"/>
      <c r="B406" s="18"/>
      <c r="C406" s="19"/>
      <c r="D406" s="19"/>
      <c r="E406" s="20"/>
      <c r="F406" s="22"/>
      <c r="G406" s="36"/>
      <c r="H406" s="37"/>
      <c r="I406" s="37"/>
      <c r="J406" s="13"/>
      <c r="K406" s="18"/>
      <c r="L406" s="19"/>
      <c r="M406" s="19"/>
      <c r="N406" s="20"/>
      <c r="O406" s="22"/>
      <c r="P406" s="36"/>
      <c r="Q406" s="37"/>
      <c r="R406" s="37"/>
    </row>
    <row r="407" spans="1:18" x14ac:dyDescent="0.2">
      <c r="A407" s="13"/>
      <c r="B407" s="18"/>
      <c r="C407" s="19"/>
      <c r="D407" s="19"/>
      <c r="E407" s="20"/>
      <c r="F407" s="22"/>
      <c r="G407" s="22"/>
      <c r="H407" s="23"/>
      <c r="I407" s="23"/>
      <c r="J407" s="13"/>
      <c r="K407" s="18"/>
      <c r="L407" s="19"/>
      <c r="M407" s="19"/>
      <c r="N407" s="20"/>
      <c r="O407" s="22"/>
      <c r="P407" s="22"/>
      <c r="Q407" s="23"/>
      <c r="R407" s="23"/>
    </row>
    <row r="408" spans="1:18" x14ac:dyDescent="0.2">
      <c r="A408" s="13"/>
      <c r="B408" s="248" t="s">
        <v>30</v>
      </c>
      <c r="C408" s="249"/>
      <c r="D408" s="249"/>
      <c r="E408" s="250"/>
      <c r="F408" s="22"/>
      <c r="G408" s="22"/>
      <c r="H408" s="23"/>
      <c r="I408" s="23">
        <f>SUM(I395:I407)</f>
        <v>3168.875</v>
      </c>
      <c r="J408" s="13"/>
      <c r="K408" s="248" t="s">
        <v>30</v>
      </c>
      <c r="L408" s="249"/>
      <c r="M408" s="249"/>
      <c r="N408" s="250"/>
      <c r="O408" s="22"/>
      <c r="P408" s="22"/>
      <c r="Q408" s="23"/>
      <c r="R408" s="23">
        <f>SUM(R395:R407)</f>
        <v>4395.6329999999998</v>
      </c>
    </row>
    <row r="409" spans="1:18" x14ac:dyDescent="0.2">
      <c r="A409" s="12" t="s">
        <v>31</v>
      </c>
      <c r="B409" s="260" t="s">
        <v>32</v>
      </c>
      <c r="C409" s="261"/>
      <c r="D409" s="261"/>
      <c r="E409" s="261"/>
      <c r="F409" s="39"/>
      <c r="G409" s="39"/>
      <c r="H409" s="40"/>
      <c r="I409" s="41">
        <f>SUM(I408+I390)</f>
        <v>3494.5349999999999</v>
      </c>
      <c r="J409" s="12" t="s">
        <v>31</v>
      </c>
      <c r="K409" s="260" t="s">
        <v>32</v>
      </c>
      <c r="L409" s="261"/>
      <c r="M409" s="261"/>
      <c r="N409" s="261"/>
      <c r="O409" s="39"/>
      <c r="P409" s="39"/>
      <c r="Q409" s="40"/>
      <c r="R409" s="41">
        <f>SUM(R408+R390)</f>
        <v>4581.9629999999997</v>
      </c>
    </row>
    <row r="410" spans="1:18" x14ac:dyDescent="0.2">
      <c r="A410" s="13" t="s">
        <v>33</v>
      </c>
      <c r="B410" s="264">
        <f>E377</f>
        <v>1</v>
      </c>
      <c r="C410" s="265"/>
      <c r="D410" s="265"/>
      <c r="E410" s="265"/>
      <c r="F410" s="265"/>
      <c r="G410" s="265"/>
      <c r="H410" s="40"/>
      <c r="I410" s="41"/>
      <c r="J410" s="13" t="s">
        <v>33</v>
      </c>
      <c r="K410" s="264">
        <f>N377</f>
        <v>20</v>
      </c>
      <c r="L410" s="265"/>
      <c r="M410" s="265"/>
      <c r="N410" s="265"/>
      <c r="O410" s="265"/>
      <c r="P410" s="265"/>
      <c r="Q410" s="40"/>
      <c r="R410" s="41"/>
    </row>
    <row r="411" spans="1:18" x14ac:dyDescent="0.2">
      <c r="A411" s="13" t="s">
        <v>34</v>
      </c>
      <c r="B411" s="42" t="s">
        <v>35</v>
      </c>
      <c r="C411" s="43"/>
      <c r="D411" s="43"/>
      <c r="E411" s="39"/>
      <c r="F411" s="44"/>
      <c r="G411" s="44"/>
      <c r="H411" s="40"/>
      <c r="I411" s="41">
        <f>I409/E377</f>
        <v>3494.5349999999999</v>
      </c>
      <c r="J411" s="13" t="s">
        <v>34</v>
      </c>
      <c r="K411" s="42" t="s">
        <v>35</v>
      </c>
      <c r="L411" s="43"/>
      <c r="M411" s="43"/>
      <c r="N411" s="39"/>
      <c r="O411" s="44"/>
      <c r="P411" s="44"/>
      <c r="Q411" s="40"/>
      <c r="R411" s="41">
        <f>R409/N377</f>
        <v>229.09814999999998</v>
      </c>
    </row>
    <row r="412" spans="1:18" x14ac:dyDescent="0.2">
      <c r="A412" s="12"/>
      <c r="B412" s="251" t="s">
        <v>36</v>
      </c>
      <c r="C412" s="252"/>
      <c r="D412" s="252"/>
      <c r="E412" s="253"/>
      <c r="F412" s="244" t="s">
        <v>37</v>
      </c>
      <c r="G412" s="244" t="s">
        <v>38</v>
      </c>
      <c r="H412" s="244" t="s">
        <v>39</v>
      </c>
      <c r="I412" s="246" t="s">
        <v>15</v>
      </c>
      <c r="J412" s="12"/>
      <c r="K412" s="251" t="s">
        <v>36</v>
      </c>
      <c r="L412" s="252"/>
      <c r="M412" s="252"/>
      <c r="N412" s="253"/>
      <c r="O412" s="244" t="s">
        <v>37</v>
      </c>
      <c r="P412" s="244" t="s">
        <v>38</v>
      </c>
      <c r="Q412" s="244" t="s">
        <v>39</v>
      </c>
      <c r="R412" s="246" t="s">
        <v>15</v>
      </c>
    </row>
    <row r="413" spans="1:18" x14ac:dyDescent="0.2">
      <c r="A413" s="13"/>
      <c r="B413" s="254"/>
      <c r="C413" s="255"/>
      <c r="D413" s="255"/>
      <c r="E413" s="256"/>
      <c r="F413" s="245"/>
      <c r="G413" s="245"/>
      <c r="H413" s="245"/>
      <c r="I413" s="247"/>
      <c r="J413" s="13"/>
      <c r="K413" s="254"/>
      <c r="L413" s="255"/>
      <c r="M413" s="255"/>
      <c r="N413" s="256"/>
      <c r="O413" s="245"/>
      <c r="P413" s="245"/>
      <c r="Q413" s="245"/>
      <c r="R413" s="247"/>
    </row>
    <row r="414" spans="1:18" x14ac:dyDescent="0.2">
      <c r="A414" s="13" t="s">
        <v>40</v>
      </c>
      <c r="B414" s="18" t="s">
        <v>41</v>
      </c>
      <c r="C414" s="19"/>
      <c r="D414" s="19"/>
      <c r="E414" s="20"/>
      <c r="F414" s="22"/>
      <c r="G414" s="22"/>
      <c r="H414" s="23"/>
      <c r="I414" s="23"/>
      <c r="J414" s="13" t="s">
        <v>40</v>
      </c>
      <c r="K414" s="18" t="s">
        <v>41</v>
      </c>
      <c r="L414" s="19"/>
      <c r="M414" s="19"/>
      <c r="N414" s="20"/>
      <c r="O414" s="22"/>
      <c r="P414" s="22"/>
      <c r="Q414" s="23"/>
      <c r="R414" s="23"/>
    </row>
    <row r="415" spans="1:18" x14ac:dyDescent="0.2">
      <c r="A415" s="13"/>
      <c r="B415" s="18"/>
      <c r="C415" s="19"/>
      <c r="D415" s="19"/>
      <c r="E415" s="20"/>
      <c r="F415" s="22"/>
      <c r="G415" s="22"/>
      <c r="H415" s="23"/>
      <c r="I415" s="23"/>
      <c r="J415" s="13"/>
      <c r="K415" s="18"/>
      <c r="L415" s="19"/>
      <c r="M415" s="19"/>
      <c r="N415" s="20"/>
      <c r="O415" s="22"/>
      <c r="P415" s="22"/>
      <c r="Q415" s="23"/>
      <c r="R415" s="23"/>
    </row>
    <row r="416" spans="1:18" x14ac:dyDescent="0.2">
      <c r="A416" s="13"/>
      <c r="B416" s="18" t="s">
        <v>102</v>
      </c>
      <c r="C416" s="19"/>
      <c r="D416" s="19"/>
      <c r="E416" s="20"/>
      <c r="F416" s="22" t="s">
        <v>103</v>
      </c>
      <c r="G416" s="62">
        <v>0.1</v>
      </c>
      <c r="H416" s="107">
        <v>2500</v>
      </c>
      <c r="I416" s="23">
        <f>G416*H416</f>
        <v>250</v>
      </c>
      <c r="J416" s="13"/>
      <c r="K416" s="18"/>
      <c r="L416" s="19"/>
      <c r="M416" s="19"/>
      <c r="N416" s="20"/>
      <c r="O416" s="22"/>
      <c r="P416" s="22"/>
      <c r="Q416" s="23"/>
      <c r="R416" s="23"/>
    </row>
    <row r="417" spans="1:18" x14ac:dyDescent="0.2">
      <c r="A417" s="13"/>
      <c r="B417" s="18"/>
      <c r="C417" s="19"/>
      <c r="D417" s="19"/>
      <c r="E417" s="20"/>
      <c r="F417" s="22"/>
      <c r="G417" s="22"/>
      <c r="H417" s="23"/>
      <c r="I417" s="23"/>
      <c r="J417" s="13"/>
      <c r="K417" s="18"/>
      <c r="L417" s="19"/>
      <c r="M417" s="19"/>
      <c r="N417" s="20"/>
      <c r="O417" s="22"/>
      <c r="P417" s="22"/>
      <c r="Q417" s="23"/>
      <c r="R417" s="23"/>
    </row>
    <row r="418" spans="1:18" x14ac:dyDescent="0.2">
      <c r="A418" s="13"/>
      <c r="B418" s="18"/>
      <c r="C418" s="19"/>
      <c r="D418" s="19"/>
      <c r="E418" s="20"/>
      <c r="F418" s="22"/>
      <c r="G418" s="22"/>
      <c r="H418" s="38"/>
      <c r="I418" s="38"/>
      <c r="J418" s="13"/>
      <c r="K418" s="18"/>
      <c r="L418" s="19"/>
      <c r="M418" s="19"/>
      <c r="N418" s="20"/>
      <c r="O418" s="22"/>
      <c r="P418" s="22"/>
      <c r="Q418" s="38"/>
      <c r="R418" s="38"/>
    </row>
    <row r="419" spans="1:18" x14ac:dyDescent="0.2">
      <c r="A419" s="13"/>
      <c r="B419" s="18"/>
      <c r="C419" s="19"/>
      <c r="D419" s="19"/>
      <c r="E419" s="20"/>
      <c r="F419" s="22"/>
      <c r="G419" s="22"/>
      <c r="H419" s="38"/>
      <c r="I419" s="38"/>
      <c r="J419" s="13"/>
      <c r="K419" s="18"/>
      <c r="L419" s="19"/>
      <c r="M419" s="19"/>
      <c r="N419" s="20"/>
      <c r="O419" s="22"/>
      <c r="P419" s="22"/>
      <c r="Q419" s="38"/>
      <c r="R419" s="38"/>
    </row>
    <row r="420" spans="1:18" x14ac:dyDescent="0.2">
      <c r="A420" s="13"/>
      <c r="B420" s="18"/>
      <c r="C420" s="19"/>
      <c r="D420" s="19"/>
      <c r="E420" s="20"/>
      <c r="F420" s="22"/>
      <c r="G420" s="22"/>
      <c r="H420" s="45"/>
      <c r="I420" s="45"/>
      <c r="J420" s="13"/>
      <c r="K420" s="18"/>
      <c r="L420" s="19"/>
      <c r="M420" s="19"/>
      <c r="N420" s="20"/>
      <c r="O420" s="22"/>
      <c r="P420" s="22"/>
      <c r="Q420" s="45"/>
      <c r="R420" s="45"/>
    </row>
    <row r="421" spans="1:18" x14ac:dyDescent="0.2">
      <c r="A421" s="13"/>
      <c r="B421" s="18"/>
      <c r="C421" s="19"/>
      <c r="D421" s="19"/>
      <c r="E421" s="20"/>
      <c r="F421" s="22"/>
      <c r="G421" s="22"/>
      <c r="H421" s="45"/>
      <c r="I421" s="45"/>
      <c r="J421" s="13"/>
      <c r="K421" s="18"/>
      <c r="L421" s="19"/>
      <c r="M421" s="19"/>
      <c r="N421" s="20"/>
      <c r="O421" s="22"/>
      <c r="P421" s="22"/>
      <c r="Q421" s="45"/>
      <c r="R421" s="45"/>
    </row>
    <row r="422" spans="1:18" ht="15" customHeight="1" x14ac:dyDescent="0.2">
      <c r="A422" s="13"/>
      <c r="B422" s="18"/>
      <c r="C422" s="19"/>
      <c r="D422" s="19"/>
      <c r="E422" s="20"/>
      <c r="F422" s="22"/>
      <c r="G422" s="22"/>
      <c r="H422" s="23"/>
      <c r="I422" s="23"/>
      <c r="J422" s="13"/>
      <c r="K422" s="18"/>
      <c r="L422" s="19"/>
      <c r="M422" s="19"/>
      <c r="N422" s="20"/>
      <c r="O422" s="22"/>
      <c r="P422" s="22"/>
      <c r="Q422" s="23"/>
      <c r="R422" s="23"/>
    </row>
    <row r="423" spans="1:18" x14ac:dyDescent="0.2">
      <c r="A423" s="13"/>
      <c r="B423" s="18"/>
      <c r="C423" s="19"/>
      <c r="D423" s="19"/>
      <c r="E423" s="20"/>
      <c r="F423" s="22"/>
      <c r="G423" s="22"/>
      <c r="H423" s="23"/>
      <c r="I423" s="23"/>
      <c r="J423" s="13"/>
      <c r="K423" s="18"/>
      <c r="L423" s="19"/>
      <c r="M423" s="19"/>
      <c r="N423" s="20"/>
      <c r="O423" s="22"/>
      <c r="P423" s="22"/>
      <c r="Q423" s="23"/>
      <c r="R423" s="23"/>
    </row>
    <row r="424" spans="1:18" x14ac:dyDescent="0.2">
      <c r="A424" s="13"/>
      <c r="B424" s="18"/>
      <c r="C424" s="19"/>
      <c r="D424" s="19"/>
      <c r="E424" s="20"/>
      <c r="F424" s="22"/>
      <c r="G424" s="22"/>
      <c r="H424" s="23"/>
      <c r="I424" s="23"/>
      <c r="J424" s="13"/>
      <c r="K424" s="18"/>
      <c r="L424" s="19"/>
      <c r="M424" s="19"/>
      <c r="N424" s="20"/>
      <c r="O424" s="22"/>
      <c r="P424" s="22"/>
      <c r="Q424" s="23"/>
      <c r="R424" s="23"/>
    </row>
    <row r="425" spans="1:18" x14ac:dyDescent="0.2">
      <c r="A425" s="13"/>
      <c r="B425" s="18"/>
      <c r="C425" s="19"/>
      <c r="D425" s="19"/>
      <c r="E425" s="20"/>
      <c r="F425" s="22"/>
      <c r="G425" s="22"/>
      <c r="H425" s="23"/>
      <c r="I425" s="23"/>
      <c r="J425" s="13"/>
      <c r="K425" s="18"/>
      <c r="L425" s="19"/>
      <c r="M425" s="19"/>
      <c r="N425" s="20"/>
      <c r="O425" s="22"/>
      <c r="P425" s="22"/>
      <c r="Q425" s="23"/>
      <c r="R425" s="23"/>
    </row>
    <row r="426" spans="1:18" x14ac:dyDescent="0.2">
      <c r="A426" s="13"/>
      <c r="B426" s="18"/>
      <c r="C426" s="19"/>
      <c r="D426" s="19"/>
      <c r="E426" s="20"/>
      <c r="F426" s="22"/>
      <c r="G426" s="22"/>
      <c r="H426" s="23"/>
      <c r="I426" s="23"/>
      <c r="J426" s="13"/>
      <c r="K426" s="18"/>
      <c r="L426" s="19"/>
      <c r="M426" s="19"/>
      <c r="N426" s="20"/>
      <c r="O426" s="22"/>
      <c r="P426" s="22"/>
      <c r="Q426" s="23"/>
      <c r="R426" s="23"/>
    </row>
    <row r="427" spans="1:18" x14ac:dyDescent="0.2">
      <c r="A427" s="13"/>
      <c r="B427" s="18"/>
      <c r="C427" s="19"/>
      <c r="D427" s="19"/>
      <c r="E427" s="20"/>
      <c r="F427" s="22"/>
      <c r="G427" s="22"/>
      <c r="H427" s="23"/>
      <c r="I427" s="23"/>
      <c r="J427" s="13"/>
      <c r="K427" s="18"/>
      <c r="L427" s="19"/>
      <c r="M427" s="19"/>
      <c r="N427" s="20"/>
      <c r="O427" s="22"/>
      <c r="P427" s="22"/>
      <c r="Q427" s="23"/>
      <c r="R427" s="23"/>
    </row>
    <row r="428" spans="1:18" x14ac:dyDescent="0.2">
      <c r="A428" s="13"/>
      <c r="B428" s="18"/>
      <c r="C428" s="19"/>
      <c r="D428" s="19"/>
      <c r="E428" s="20"/>
      <c r="F428" s="22"/>
      <c r="G428" s="36"/>
      <c r="H428" s="37"/>
      <c r="I428" s="37"/>
      <c r="J428" s="13"/>
      <c r="K428" s="18"/>
      <c r="L428" s="19"/>
      <c r="M428" s="19"/>
      <c r="N428" s="20"/>
      <c r="O428" s="22"/>
      <c r="P428" s="36"/>
      <c r="Q428" s="37"/>
      <c r="R428" s="37"/>
    </row>
    <row r="429" spans="1:18" x14ac:dyDescent="0.2">
      <c r="A429" s="13"/>
      <c r="B429" s="248" t="s">
        <v>42</v>
      </c>
      <c r="C429" s="249"/>
      <c r="D429" s="249"/>
      <c r="E429" s="250"/>
      <c r="F429" s="46"/>
      <c r="G429" s="46"/>
      <c r="H429" s="47"/>
      <c r="I429" s="47">
        <f>SUM(I416:I428)</f>
        <v>250</v>
      </c>
      <c r="J429" s="13"/>
      <c r="K429" s="248" t="s">
        <v>42</v>
      </c>
      <c r="L429" s="249"/>
      <c r="M429" s="249"/>
      <c r="N429" s="250"/>
      <c r="O429" s="46"/>
      <c r="P429" s="46"/>
      <c r="Q429" s="47"/>
      <c r="R429" s="47">
        <f>SUM(R416:R428)</f>
        <v>0</v>
      </c>
    </row>
    <row r="430" spans="1:18" x14ac:dyDescent="0.2">
      <c r="A430" s="12" t="s">
        <v>43</v>
      </c>
      <c r="B430" s="48" t="s">
        <v>44</v>
      </c>
      <c r="C430" s="43"/>
      <c r="D430" s="43"/>
      <c r="E430" s="39"/>
      <c r="F430" s="49"/>
      <c r="G430" s="49"/>
      <c r="H430" s="50"/>
      <c r="I430" s="51">
        <f>SUM(I411+I429)</f>
        <v>3744.5349999999999</v>
      </c>
      <c r="J430" s="12" t="s">
        <v>43</v>
      </c>
      <c r="K430" s="48" t="s">
        <v>44</v>
      </c>
      <c r="L430" s="43"/>
      <c r="M430" s="43"/>
      <c r="N430" s="39"/>
      <c r="O430" s="49"/>
      <c r="P430" s="49"/>
      <c r="Q430" s="50"/>
      <c r="R430" s="51">
        <f>SUM(R411+R429)</f>
        <v>229.09814999999998</v>
      </c>
    </row>
    <row r="431" spans="1:18" x14ac:dyDescent="0.2">
      <c r="A431" s="13" t="s">
        <v>45</v>
      </c>
      <c r="B431" s="48" t="s">
        <v>46</v>
      </c>
      <c r="C431" s="43"/>
      <c r="D431" s="43"/>
      <c r="E431" s="39"/>
      <c r="F431" s="49"/>
      <c r="G431" s="52">
        <v>0.09</v>
      </c>
      <c r="H431" s="53" t="s">
        <v>47</v>
      </c>
      <c r="I431" s="51">
        <f>G431*I430</f>
        <v>337.00815</v>
      </c>
      <c r="J431" s="13" t="s">
        <v>45</v>
      </c>
      <c r="K431" s="48" t="s">
        <v>46</v>
      </c>
      <c r="L431" s="43"/>
      <c r="M431" s="43"/>
      <c r="N431" s="39"/>
      <c r="O431" s="49"/>
      <c r="P431" s="52">
        <v>0.09</v>
      </c>
      <c r="Q431" s="53" t="s">
        <v>47</v>
      </c>
      <c r="R431" s="51">
        <f>P431*R430</f>
        <v>20.618833499999997</v>
      </c>
    </row>
    <row r="432" spans="1:18" x14ac:dyDescent="0.2">
      <c r="A432" s="13" t="s">
        <v>48</v>
      </c>
      <c r="B432" s="48" t="s">
        <v>49</v>
      </c>
      <c r="C432" s="43"/>
      <c r="D432" s="43"/>
      <c r="E432" s="39"/>
      <c r="F432" s="49"/>
      <c r="G432" s="52">
        <v>0.08</v>
      </c>
      <c r="H432" s="53" t="s">
        <v>47</v>
      </c>
      <c r="I432" s="51">
        <f>G432*I430</f>
        <v>299.56279999999998</v>
      </c>
      <c r="J432" s="13" t="s">
        <v>48</v>
      </c>
      <c r="K432" s="48" t="s">
        <v>49</v>
      </c>
      <c r="L432" s="43"/>
      <c r="M432" s="43"/>
      <c r="N432" s="39"/>
      <c r="O432" s="49"/>
      <c r="P432" s="52">
        <v>0.08</v>
      </c>
      <c r="Q432" s="53" t="s">
        <v>47</v>
      </c>
      <c r="R432" s="51">
        <f>P432*R430</f>
        <v>18.327852</v>
      </c>
    </row>
    <row r="433" spans="1:18" x14ac:dyDescent="0.2">
      <c r="A433" s="13" t="s">
        <v>50</v>
      </c>
      <c r="B433" s="48" t="s">
        <v>51</v>
      </c>
      <c r="C433" s="43"/>
      <c r="D433" s="43"/>
      <c r="E433" s="39"/>
      <c r="F433" s="49"/>
      <c r="G433" s="52">
        <f>5/100</f>
        <v>0.05</v>
      </c>
      <c r="H433" s="53" t="s">
        <v>52</v>
      </c>
      <c r="I433" s="51">
        <f>G433*(I430+I431+I432)</f>
        <v>219.05529750000002</v>
      </c>
      <c r="J433" s="13" t="s">
        <v>50</v>
      </c>
      <c r="K433" s="48" t="s">
        <v>51</v>
      </c>
      <c r="L433" s="43"/>
      <c r="M433" s="43"/>
      <c r="N433" s="39"/>
      <c r="O433" s="49"/>
      <c r="P433" s="52">
        <f>5/100</f>
        <v>0.05</v>
      </c>
      <c r="Q433" s="53" t="s">
        <v>52</v>
      </c>
      <c r="R433" s="51">
        <f>P433*(R430+R431+R432)</f>
        <v>13.402241775</v>
      </c>
    </row>
    <row r="434" spans="1:18" x14ac:dyDescent="0.2">
      <c r="A434" s="54" t="s">
        <v>53</v>
      </c>
      <c r="B434" s="48" t="s">
        <v>54</v>
      </c>
      <c r="C434" s="43"/>
      <c r="D434" s="43"/>
      <c r="E434" s="39"/>
      <c r="F434" s="49"/>
      <c r="G434" s="49"/>
      <c r="H434" s="55" t="s">
        <v>55</v>
      </c>
      <c r="I434" s="51">
        <f>SUM(I430+I431+I432+I433)</f>
        <v>4600.1612475000002</v>
      </c>
      <c r="J434" s="54" t="s">
        <v>53</v>
      </c>
      <c r="K434" s="48" t="s">
        <v>54</v>
      </c>
      <c r="L434" s="43"/>
      <c r="M434" s="43"/>
      <c r="N434" s="39"/>
      <c r="O434" s="49"/>
      <c r="P434" s="49"/>
      <c r="Q434" s="55" t="s">
        <v>55</v>
      </c>
      <c r="R434" s="51">
        <f>SUM(R430+R431+R432+R433)</f>
        <v>281.44707727499997</v>
      </c>
    </row>
    <row r="435" spans="1:18" s="1" customFormat="1" x14ac:dyDescent="0.2">
      <c r="A435" s="236" t="s">
        <v>0</v>
      </c>
      <c r="B435" s="236"/>
      <c r="C435" s="236"/>
      <c r="D435" s="236"/>
      <c r="E435" s="236"/>
      <c r="F435" s="236"/>
      <c r="G435" s="236"/>
      <c r="H435" s="236"/>
      <c r="I435" s="236"/>
      <c r="J435" s="236" t="s">
        <v>0</v>
      </c>
      <c r="K435" s="236"/>
      <c r="L435" s="236"/>
      <c r="M435" s="236"/>
      <c r="N435" s="236"/>
      <c r="O435" s="236"/>
      <c r="P435" s="236"/>
      <c r="Q435" s="236"/>
      <c r="R435" s="236"/>
    </row>
    <row r="437" spans="1:18" x14ac:dyDescent="0.2">
      <c r="A437" s="2" t="s">
        <v>1</v>
      </c>
      <c r="C437" s="4" t="s">
        <v>2</v>
      </c>
      <c r="D437" s="5" t="s">
        <v>1142</v>
      </c>
      <c r="E437" s="237" t="s">
        <v>104</v>
      </c>
      <c r="F437" s="237"/>
      <c r="G437" s="237"/>
      <c r="H437" s="237"/>
      <c r="J437" s="2" t="s">
        <v>1</v>
      </c>
      <c r="L437" s="4" t="s">
        <v>2</v>
      </c>
      <c r="M437" s="5" t="s">
        <v>105</v>
      </c>
      <c r="N437" s="237" t="s">
        <v>106</v>
      </c>
      <c r="O437" s="237"/>
      <c r="P437" s="237"/>
      <c r="Q437" s="237"/>
    </row>
    <row r="438" spans="1:18" x14ac:dyDescent="0.2">
      <c r="A438" s="2" t="s">
        <v>7</v>
      </c>
      <c r="C438" s="4" t="s">
        <v>2</v>
      </c>
      <c r="E438" s="2" t="s">
        <v>77</v>
      </c>
      <c r="F438" s="8"/>
      <c r="G438" s="8"/>
      <c r="H438" s="8"/>
      <c r="J438" s="2" t="s">
        <v>7</v>
      </c>
      <c r="L438" s="4" t="s">
        <v>2</v>
      </c>
      <c r="N438" s="2" t="s">
        <v>9</v>
      </c>
      <c r="O438" s="8"/>
      <c r="P438" s="8"/>
      <c r="Q438" s="8"/>
    </row>
    <row r="439" spans="1:18" x14ac:dyDescent="0.2">
      <c r="A439" s="2" t="s">
        <v>10</v>
      </c>
      <c r="C439" s="4" t="s">
        <v>2</v>
      </c>
      <c r="E439" s="9">
        <v>1000</v>
      </c>
      <c r="F439" s="8"/>
      <c r="G439" s="8"/>
      <c r="H439" s="8"/>
      <c r="J439" s="2" t="s">
        <v>10</v>
      </c>
      <c r="L439" s="4" t="s">
        <v>2</v>
      </c>
      <c r="N439" s="9">
        <v>14</v>
      </c>
      <c r="O439" s="8"/>
      <c r="P439" s="8"/>
      <c r="Q439" s="8"/>
    </row>
    <row r="440" spans="1:18" x14ac:dyDescent="0.2">
      <c r="B440" s="8"/>
      <c r="F440" s="11"/>
      <c r="G440" s="8"/>
      <c r="H440" s="8"/>
      <c r="I440" s="8"/>
      <c r="K440" s="8"/>
      <c r="O440" s="11"/>
      <c r="P440" s="8"/>
      <c r="Q440" s="8"/>
      <c r="R440" s="8"/>
    </row>
    <row r="441" spans="1:18" x14ac:dyDescent="0.2">
      <c r="A441" s="12"/>
      <c r="B441" s="238" t="s">
        <v>11</v>
      </c>
      <c r="C441" s="239"/>
      <c r="D441" s="239"/>
      <c r="E441" s="240"/>
      <c r="F441" s="244" t="s">
        <v>12</v>
      </c>
      <c r="G441" s="244" t="s">
        <v>13</v>
      </c>
      <c r="H441" s="244" t="s">
        <v>14</v>
      </c>
      <c r="I441" s="246" t="s">
        <v>15</v>
      </c>
      <c r="J441" s="12"/>
      <c r="K441" s="238" t="s">
        <v>11</v>
      </c>
      <c r="L441" s="239"/>
      <c r="M441" s="239"/>
      <c r="N441" s="240"/>
      <c r="O441" s="244" t="s">
        <v>12</v>
      </c>
      <c r="P441" s="244" t="s">
        <v>13</v>
      </c>
      <c r="Q441" s="244" t="s">
        <v>14</v>
      </c>
      <c r="R441" s="246" t="s">
        <v>15</v>
      </c>
    </row>
    <row r="442" spans="1:18" x14ac:dyDescent="0.2">
      <c r="A442" s="13"/>
      <c r="B442" s="241"/>
      <c r="C442" s="242"/>
      <c r="D442" s="242"/>
      <c r="E442" s="243"/>
      <c r="F442" s="245"/>
      <c r="G442" s="245"/>
      <c r="H442" s="245"/>
      <c r="I442" s="247"/>
      <c r="J442" s="13"/>
      <c r="K442" s="241"/>
      <c r="L442" s="242"/>
      <c r="M442" s="242"/>
      <c r="N442" s="243"/>
      <c r="O442" s="245"/>
      <c r="P442" s="245"/>
      <c r="Q442" s="245"/>
      <c r="R442" s="247"/>
    </row>
    <row r="443" spans="1:18" x14ac:dyDescent="0.2">
      <c r="A443" s="13" t="s">
        <v>16</v>
      </c>
      <c r="B443" s="14" t="s">
        <v>17</v>
      </c>
      <c r="C443" s="15"/>
      <c r="D443" s="15"/>
      <c r="E443" s="16"/>
      <c r="F443" s="17"/>
      <c r="G443" s="17"/>
      <c r="H443" s="17"/>
      <c r="I443" s="17"/>
      <c r="J443" s="13" t="s">
        <v>16</v>
      </c>
      <c r="K443" s="14" t="s">
        <v>17</v>
      </c>
      <c r="L443" s="15"/>
      <c r="M443" s="15"/>
      <c r="N443" s="16"/>
      <c r="O443" s="17"/>
      <c r="P443" s="17"/>
      <c r="Q443" s="17"/>
      <c r="R443" s="17"/>
    </row>
    <row r="444" spans="1:18" x14ac:dyDescent="0.2">
      <c r="A444" s="13"/>
      <c r="B444" s="18"/>
      <c r="C444" s="19"/>
      <c r="D444" s="19"/>
      <c r="E444" s="20"/>
      <c r="F444" s="21"/>
      <c r="G444" s="22"/>
      <c r="H444" s="21"/>
      <c r="I444" s="21"/>
      <c r="J444" s="13"/>
      <c r="K444" s="18"/>
      <c r="L444" s="19"/>
      <c r="M444" s="19"/>
      <c r="N444" s="20"/>
      <c r="O444" s="21"/>
      <c r="P444" s="22"/>
      <c r="Q444" s="21"/>
      <c r="R444" s="21"/>
    </row>
    <row r="445" spans="1:18" x14ac:dyDescent="0.2">
      <c r="A445" s="13"/>
      <c r="B445" s="24" t="s">
        <v>18</v>
      </c>
      <c r="C445" s="25"/>
      <c r="D445" s="25"/>
      <c r="E445" s="26"/>
      <c r="F445" s="22">
        <v>1</v>
      </c>
      <c r="G445" s="62">
        <v>1</v>
      </c>
      <c r="H445" s="23">
        <v>69.42</v>
      </c>
      <c r="I445" s="23">
        <f>G445*H445*F445</f>
        <v>69.42</v>
      </c>
      <c r="J445" s="13"/>
      <c r="K445" s="24" t="s">
        <v>18</v>
      </c>
      <c r="L445" s="25"/>
      <c r="M445" s="25"/>
      <c r="N445" s="26"/>
      <c r="O445" s="22">
        <v>1</v>
      </c>
      <c r="P445" s="62">
        <v>1</v>
      </c>
      <c r="Q445" s="23">
        <v>69.42</v>
      </c>
      <c r="R445" s="23">
        <f>P445*Q445*O445</f>
        <v>69.42</v>
      </c>
    </row>
    <row r="446" spans="1:18" x14ac:dyDescent="0.2">
      <c r="A446" s="13"/>
      <c r="B446" s="257" t="s">
        <v>1178</v>
      </c>
      <c r="C446" s="258"/>
      <c r="D446" s="25"/>
      <c r="E446" s="26"/>
      <c r="F446" s="22">
        <v>2</v>
      </c>
      <c r="G446" s="62">
        <v>1</v>
      </c>
      <c r="H446" s="23">
        <v>50.18</v>
      </c>
      <c r="I446" s="23">
        <f>G446*H446*F446</f>
        <v>100.36</v>
      </c>
      <c r="J446" s="13"/>
      <c r="K446" s="24" t="s">
        <v>1179</v>
      </c>
      <c r="L446" s="25"/>
      <c r="M446" s="25"/>
      <c r="N446" s="26"/>
      <c r="O446" s="22">
        <v>3</v>
      </c>
      <c r="P446" s="62">
        <v>1</v>
      </c>
      <c r="Q446" s="23">
        <v>38.97</v>
      </c>
      <c r="R446" s="23">
        <f>P446*Q446*O446</f>
        <v>116.91</v>
      </c>
    </row>
    <row r="447" spans="1:18" x14ac:dyDescent="0.2">
      <c r="A447" s="13"/>
      <c r="B447" s="257" t="s">
        <v>1177</v>
      </c>
      <c r="C447" s="258"/>
      <c r="D447" s="19"/>
      <c r="E447" s="20"/>
      <c r="F447" s="22">
        <v>4</v>
      </c>
      <c r="G447" s="62">
        <v>1</v>
      </c>
      <c r="H447" s="23">
        <v>38.97</v>
      </c>
      <c r="I447" s="23">
        <f>G447*H447*F447</f>
        <v>155.88</v>
      </c>
      <c r="J447" s="13"/>
      <c r="K447" s="27"/>
      <c r="L447" s="19"/>
      <c r="M447" s="19"/>
      <c r="N447" s="20"/>
      <c r="O447" s="22"/>
      <c r="P447" s="22"/>
      <c r="Q447" s="28"/>
      <c r="R447" s="23"/>
    </row>
    <row r="448" spans="1:18" x14ac:dyDescent="0.2">
      <c r="A448" s="13"/>
      <c r="B448" s="27"/>
      <c r="C448" s="19"/>
      <c r="D448" s="19"/>
      <c r="E448" s="20"/>
      <c r="F448" s="22"/>
      <c r="G448" s="22"/>
      <c r="H448" s="29"/>
      <c r="I448" s="30"/>
      <c r="J448" s="13"/>
      <c r="K448" s="27"/>
      <c r="L448" s="19"/>
      <c r="M448" s="19"/>
      <c r="N448" s="20"/>
      <c r="O448" s="22"/>
      <c r="P448" s="22"/>
      <c r="Q448" s="29"/>
      <c r="R448" s="30"/>
    </row>
    <row r="449" spans="1:18" ht="15" customHeight="1" x14ac:dyDescent="0.2">
      <c r="A449" s="13"/>
      <c r="B449" s="27"/>
      <c r="C449" s="19"/>
      <c r="D449" s="19"/>
      <c r="E449" s="20"/>
      <c r="F449" s="22"/>
      <c r="G449" s="22"/>
      <c r="H449" s="29"/>
      <c r="I449" s="30"/>
      <c r="J449" s="13"/>
      <c r="K449" s="27"/>
      <c r="L449" s="19"/>
      <c r="M449" s="19"/>
      <c r="N449" s="20"/>
      <c r="O449" s="22"/>
      <c r="P449" s="22"/>
      <c r="Q449" s="29"/>
      <c r="R449" s="30"/>
    </row>
    <row r="450" spans="1:18" x14ac:dyDescent="0.2">
      <c r="A450" s="13"/>
      <c r="B450" s="18"/>
      <c r="C450" s="19"/>
      <c r="D450" s="19"/>
      <c r="E450" s="20"/>
      <c r="F450" s="22"/>
      <c r="G450" s="22"/>
      <c r="H450" s="28"/>
      <c r="I450" s="23"/>
      <c r="J450" s="13"/>
      <c r="K450" s="18"/>
      <c r="L450" s="19"/>
      <c r="M450" s="19"/>
      <c r="N450" s="20"/>
      <c r="O450" s="22"/>
      <c r="P450" s="22"/>
      <c r="Q450" s="28"/>
      <c r="R450" s="23"/>
    </row>
    <row r="451" spans="1:18" x14ac:dyDescent="0.2">
      <c r="A451" s="13"/>
      <c r="B451" s="18"/>
      <c r="C451" s="19"/>
      <c r="D451" s="19"/>
      <c r="E451" s="20"/>
      <c r="F451" s="22"/>
      <c r="G451" s="22"/>
      <c r="H451" s="23"/>
      <c r="I451" s="23"/>
      <c r="J451" s="13"/>
      <c r="K451" s="18"/>
      <c r="L451" s="19"/>
      <c r="M451" s="19"/>
      <c r="N451" s="20"/>
      <c r="O451" s="22"/>
      <c r="P451" s="22"/>
      <c r="Q451" s="23"/>
      <c r="R451" s="23"/>
    </row>
    <row r="452" spans="1:18" x14ac:dyDescent="0.2">
      <c r="A452" s="13"/>
      <c r="B452" s="248" t="s">
        <v>20</v>
      </c>
      <c r="C452" s="249"/>
      <c r="D452" s="249"/>
      <c r="E452" s="250"/>
      <c r="F452" s="31"/>
      <c r="G452" s="31"/>
      <c r="H452" s="32"/>
      <c r="I452" s="32">
        <f>SUM(I445:I451)</f>
        <v>325.65999999999997</v>
      </c>
      <c r="J452" s="13"/>
      <c r="K452" s="248" t="s">
        <v>20</v>
      </c>
      <c r="L452" s="249"/>
      <c r="M452" s="249"/>
      <c r="N452" s="250"/>
      <c r="O452" s="31"/>
      <c r="P452" s="31"/>
      <c r="Q452" s="32"/>
      <c r="R452" s="32">
        <f>SUM(R445:R451)</f>
        <v>186.32999999999998</v>
      </c>
    </row>
    <row r="453" spans="1:18" x14ac:dyDescent="0.2">
      <c r="A453" s="12"/>
      <c r="B453" s="251" t="s">
        <v>21</v>
      </c>
      <c r="C453" s="252"/>
      <c r="D453" s="252"/>
      <c r="E453" s="253"/>
      <c r="F453" s="244" t="s">
        <v>22</v>
      </c>
      <c r="G453" s="244" t="s">
        <v>13</v>
      </c>
      <c r="H453" s="244" t="s">
        <v>14</v>
      </c>
      <c r="I453" s="246" t="s">
        <v>15</v>
      </c>
      <c r="J453" s="12"/>
      <c r="K453" s="251" t="s">
        <v>21</v>
      </c>
      <c r="L453" s="252"/>
      <c r="M453" s="252"/>
      <c r="N453" s="253"/>
      <c r="O453" s="244" t="s">
        <v>22</v>
      </c>
      <c r="P453" s="244" t="s">
        <v>13</v>
      </c>
      <c r="Q453" s="244" t="s">
        <v>14</v>
      </c>
      <c r="R453" s="246" t="s">
        <v>15</v>
      </c>
    </row>
    <row r="454" spans="1:18" x14ac:dyDescent="0.2">
      <c r="A454" s="13"/>
      <c r="B454" s="254"/>
      <c r="C454" s="255"/>
      <c r="D454" s="255"/>
      <c r="E454" s="256"/>
      <c r="F454" s="245"/>
      <c r="G454" s="245"/>
      <c r="H454" s="245"/>
      <c r="I454" s="247"/>
      <c r="J454" s="13"/>
      <c r="K454" s="254"/>
      <c r="L454" s="255"/>
      <c r="M454" s="255"/>
      <c r="N454" s="256"/>
      <c r="O454" s="245"/>
      <c r="P454" s="245"/>
      <c r="Q454" s="245"/>
      <c r="R454" s="247"/>
    </row>
    <row r="455" spans="1:18" x14ac:dyDescent="0.2">
      <c r="A455" s="13" t="s">
        <v>23</v>
      </c>
      <c r="B455" s="33" t="s">
        <v>24</v>
      </c>
      <c r="C455" s="15"/>
      <c r="D455" s="15"/>
      <c r="E455" s="16"/>
      <c r="F455" s="34"/>
      <c r="G455" s="34"/>
      <c r="H455" s="35"/>
      <c r="I455" s="35"/>
      <c r="J455" s="13" t="s">
        <v>23</v>
      </c>
      <c r="K455" s="33" t="s">
        <v>24</v>
      </c>
      <c r="L455" s="15"/>
      <c r="M455" s="15"/>
      <c r="N455" s="16"/>
      <c r="O455" s="34"/>
      <c r="P455" s="34"/>
      <c r="Q455" s="35"/>
      <c r="R455" s="35"/>
    </row>
    <row r="456" spans="1:18" x14ac:dyDescent="0.2">
      <c r="A456" s="13"/>
      <c r="B456" s="18"/>
      <c r="C456" s="19"/>
      <c r="D456" s="19"/>
      <c r="E456" s="20"/>
      <c r="F456" s="22"/>
      <c r="G456" s="22"/>
      <c r="H456" s="23"/>
      <c r="I456" s="23"/>
      <c r="J456" s="13"/>
      <c r="K456" s="18"/>
      <c r="L456" s="19"/>
      <c r="M456" s="19"/>
      <c r="N456" s="20"/>
      <c r="O456" s="22"/>
      <c r="P456" s="22"/>
      <c r="Q456" s="23"/>
      <c r="R456" s="23"/>
    </row>
    <row r="457" spans="1:18" x14ac:dyDescent="0.2">
      <c r="A457" s="13"/>
      <c r="B457" s="18" t="s">
        <v>1143</v>
      </c>
      <c r="C457" s="19"/>
      <c r="D457" s="19"/>
      <c r="E457" s="20"/>
      <c r="F457" s="22">
        <v>1</v>
      </c>
      <c r="G457" s="23">
        <v>1</v>
      </c>
      <c r="H457" s="37">
        <v>1861</v>
      </c>
      <c r="I457" s="37">
        <f>G457*H457*F457</f>
        <v>1861</v>
      </c>
      <c r="J457" s="13"/>
      <c r="K457" s="18" t="s">
        <v>1130</v>
      </c>
      <c r="L457" s="19"/>
      <c r="M457" s="19"/>
      <c r="N457" s="20"/>
      <c r="O457" s="22">
        <v>2</v>
      </c>
      <c r="P457" s="23">
        <v>1</v>
      </c>
      <c r="Q457" s="37">
        <v>1420</v>
      </c>
      <c r="R457" s="37">
        <f>P457*Q457*O457</f>
        <v>2840</v>
      </c>
    </row>
    <row r="458" spans="1:18" ht="17.25" customHeight="1" x14ac:dyDescent="0.2">
      <c r="A458" s="13"/>
      <c r="B458" s="18" t="s">
        <v>1185</v>
      </c>
      <c r="C458" s="19"/>
      <c r="D458" s="19"/>
      <c r="E458" s="20"/>
      <c r="F458" s="22">
        <v>1</v>
      </c>
      <c r="G458" s="23">
        <v>1</v>
      </c>
      <c r="H458" s="37">
        <v>783</v>
      </c>
      <c r="I458" s="37">
        <f>G458*H458*F458</f>
        <v>783</v>
      </c>
      <c r="J458" s="13"/>
      <c r="K458" s="18" t="s">
        <v>99</v>
      </c>
      <c r="L458" s="19"/>
      <c r="M458" s="19"/>
      <c r="N458" s="20"/>
      <c r="O458" s="22">
        <v>1</v>
      </c>
      <c r="P458" s="23">
        <v>0.5</v>
      </c>
      <c r="Q458" s="37">
        <v>1537</v>
      </c>
      <c r="R458" s="37">
        <f>P458*Q458*O458</f>
        <v>768.5</v>
      </c>
    </row>
    <row r="459" spans="1:18" ht="17.25" customHeight="1" x14ac:dyDescent="0.2">
      <c r="A459" s="13"/>
      <c r="B459" s="18" t="s">
        <v>1144</v>
      </c>
      <c r="C459" s="19"/>
      <c r="D459" s="19"/>
      <c r="E459" s="20"/>
      <c r="F459" s="22">
        <v>1</v>
      </c>
      <c r="G459" s="23">
        <v>1</v>
      </c>
      <c r="H459" s="37">
        <v>371</v>
      </c>
      <c r="I459" s="37">
        <f>G459*H459*F459</f>
        <v>371</v>
      </c>
      <c r="J459" s="13"/>
      <c r="K459" s="18" t="s">
        <v>107</v>
      </c>
      <c r="L459" s="19"/>
      <c r="M459" s="19"/>
      <c r="N459" s="20"/>
      <c r="O459" s="22">
        <v>1</v>
      </c>
      <c r="P459" s="23">
        <v>0.5</v>
      </c>
      <c r="Q459" s="37">
        <v>1998.1</v>
      </c>
      <c r="R459" s="37">
        <f>P459*Q459*O459</f>
        <v>999.05</v>
      </c>
    </row>
    <row r="460" spans="1:18" x14ac:dyDescent="0.2">
      <c r="A460" s="13"/>
      <c r="B460" s="18" t="s">
        <v>108</v>
      </c>
      <c r="C460" s="19"/>
      <c r="D460" s="19"/>
      <c r="E460" s="20"/>
      <c r="F460" s="22">
        <v>1</v>
      </c>
      <c r="G460" s="23">
        <v>1</v>
      </c>
      <c r="H460" s="37">
        <v>45.45</v>
      </c>
      <c r="I460" s="37">
        <f>G460*H460*F460</f>
        <v>45.45</v>
      </c>
      <c r="J460" s="13"/>
      <c r="K460" s="18" t="s">
        <v>1199</v>
      </c>
      <c r="L460" s="19"/>
      <c r="M460" s="19"/>
      <c r="N460" s="20"/>
      <c r="O460" s="22"/>
      <c r="P460" s="23"/>
      <c r="R460" s="37">
        <f>0.1*R452</f>
        <v>18.632999999999999</v>
      </c>
    </row>
    <row r="461" spans="1:18" x14ac:dyDescent="0.2">
      <c r="A461" s="13"/>
      <c r="B461" s="18" t="s">
        <v>1192</v>
      </c>
      <c r="C461" s="19"/>
      <c r="D461" s="19"/>
      <c r="E461" s="20"/>
      <c r="F461" s="22"/>
      <c r="G461" s="68"/>
      <c r="H461" s="37"/>
      <c r="I461" s="37">
        <f>I452*0.1</f>
        <v>32.565999999999995</v>
      </c>
      <c r="J461" s="13"/>
      <c r="K461" s="18"/>
      <c r="L461" s="19"/>
      <c r="M461" s="19"/>
      <c r="N461" s="20"/>
      <c r="O461" s="22"/>
      <c r="P461" s="36"/>
      <c r="Q461" s="37"/>
      <c r="R461" s="37"/>
    </row>
    <row r="462" spans="1:18" x14ac:dyDescent="0.2">
      <c r="A462" s="13"/>
      <c r="B462" s="18"/>
      <c r="F462" s="22"/>
      <c r="G462" s="23"/>
      <c r="H462" s="37"/>
      <c r="I462" s="37"/>
      <c r="J462" s="13"/>
      <c r="K462" s="18"/>
      <c r="L462" s="19"/>
      <c r="M462" s="19"/>
      <c r="N462" s="20"/>
      <c r="O462" s="22"/>
      <c r="P462" s="36"/>
      <c r="Q462" s="38"/>
      <c r="R462" s="38"/>
    </row>
    <row r="463" spans="1:18" x14ac:dyDescent="0.2">
      <c r="A463" s="13"/>
      <c r="B463" s="18"/>
      <c r="F463" s="22"/>
      <c r="G463" s="36"/>
      <c r="H463" s="37"/>
      <c r="I463" s="37"/>
      <c r="J463" s="13"/>
      <c r="K463" s="18"/>
      <c r="L463" s="19"/>
      <c r="M463" s="19"/>
      <c r="N463" s="20"/>
      <c r="O463" s="22"/>
      <c r="P463" s="36"/>
      <c r="Q463" s="38"/>
      <c r="R463" s="38"/>
    </row>
    <row r="464" spans="1:18" x14ac:dyDescent="0.2">
      <c r="A464" s="13"/>
      <c r="B464" s="18"/>
      <c r="C464" s="19"/>
      <c r="D464" s="19"/>
      <c r="E464" s="20"/>
      <c r="F464" s="22"/>
      <c r="G464" s="36"/>
      <c r="H464" s="37"/>
      <c r="I464" s="37"/>
      <c r="J464" s="13"/>
      <c r="K464" s="18"/>
      <c r="L464" s="19"/>
      <c r="M464" s="19"/>
      <c r="N464" s="20"/>
      <c r="O464" s="22"/>
      <c r="P464" s="36"/>
      <c r="Q464" s="38"/>
      <c r="R464" s="38"/>
    </row>
    <row r="465" spans="1:18" x14ac:dyDescent="0.2">
      <c r="A465" s="13"/>
      <c r="C465" s="19"/>
      <c r="D465" s="19"/>
      <c r="E465" s="20"/>
      <c r="F465" s="22"/>
      <c r="G465" s="36"/>
      <c r="H465" s="38"/>
      <c r="I465" s="38"/>
      <c r="J465" s="13"/>
      <c r="K465" s="18"/>
      <c r="L465" s="19"/>
      <c r="M465" s="19"/>
      <c r="N465" s="20"/>
      <c r="O465" s="22"/>
      <c r="P465" s="36"/>
      <c r="Q465" s="38"/>
      <c r="R465" s="38"/>
    </row>
    <row r="466" spans="1:18" x14ac:dyDescent="0.2">
      <c r="A466" s="13"/>
      <c r="B466" s="18"/>
      <c r="C466" s="19"/>
      <c r="D466" s="19"/>
      <c r="E466" s="20"/>
      <c r="F466" s="22"/>
      <c r="G466" s="36"/>
      <c r="H466" s="37"/>
      <c r="I466" s="37"/>
      <c r="J466" s="13"/>
      <c r="K466" s="18"/>
      <c r="L466" s="19"/>
      <c r="M466" s="19"/>
      <c r="N466" s="20"/>
      <c r="O466" s="22"/>
      <c r="P466" s="36"/>
      <c r="Q466" s="37"/>
      <c r="R466" s="37"/>
    </row>
    <row r="467" spans="1:18" x14ac:dyDescent="0.2">
      <c r="A467" s="13"/>
      <c r="B467" s="18"/>
      <c r="C467" s="19"/>
      <c r="D467" s="19"/>
      <c r="E467" s="20"/>
      <c r="F467" s="22"/>
      <c r="G467" s="36"/>
      <c r="H467" s="37"/>
      <c r="I467" s="37"/>
      <c r="J467" s="13"/>
      <c r="K467" s="18"/>
      <c r="L467" s="19"/>
      <c r="M467" s="19"/>
      <c r="N467" s="20"/>
      <c r="O467" s="22"/>
      <c r="P467" s="36"/>
      <c r="Q467" s="37"/>
      <c r="R467" s="37"/>
    </row>
    <row r="468" spans="1:18" x14ac:dyDescent="0.2">
      <c r="A468" s="13"/>
      <c r="B468" s="18"/>
      <c r="C468" s="19"/>
      <c r="D468" s="19"/>
      <c r="E468" s="20"/>
      <c r="F468" s="22"/>
      <c r="G468" s="36"/>
      <c r="H468" s="37"/>
      <c r="I468" s="37"/>
      <c r="J468" s="13"/>
      <c r="K468" s="18"/>
      <c r="L468" s="19"/>
      <c r="M468" s="19"/>
      <c r="N468" s="20"/>
      <c r="O468" s="22"/>
      <c r="P468" s="36"/>
      <c r="Q468" s="37"/>
      <c r="R468" s="37"/>
    </row>
    <row r="469" spans="1:18" ht="15" customHeight="1" x14ac:dyDescent="0.2">
      <c r="A469" s="13"/>
      <c r="B469" s="18"/>
      <c r="C469" s="19"/>
      <c r="D469" s="19"/>
      <c r="E469" s="20"/>
      <c r="F469" s="22"/>
      <c r="G469" s="22"/>
      <c r="H469" s="23"/>
      <c r="I469" s="23"/>
      <c r="J469" s="13"/>
      <c r="K469" s="18"/>
      <c r="L469" s="19"/>
      <c r="M469" s="19"/>
      <c r="N469" s="20"/>
      <c r="O469" s="22"/>
      <c r="P469" s="22"/>
      <c r="Q469" s="23"/>
      <c r="R469" s="23"/>
    </row>
    <row r="470" spans="1:18" x14ac:dyDescent="0.2">
      <c r="A470" s="13"/>
      <c r="B470" s="248" t="s">
        <v>30</v>
      </c>
      <c r="C470" s="249"/>
      <c r="D470" s="249"/>
      <c r="E470" s="250"/>
      <c r="F470" s="22"/>
      <c r="G470" s="22"/>
      <c r="H470" s="23"/>
      <c r="I470" s="23">
        <f>SUM(I457:I469)</f>
        <v>3093.0159999999996</v>
      </c>
      <c r="J470" s="13"/>
      <c r="K470" s="248" t="s">
        <v>30</v>
      </c>
      <c r="L470" s="249"/>
      <c r="M470" s="249"/>
      <c r="N470" s="250"/>
      <c r="O470" s="22"/>
      <c r="P470" s="22"/>
      <c r="Q470" s="23"/>
      <c r="R470" s="23">
        <f>SUM(R457:R469)</f>
        <v>4626.183</v>
      </c>
    </row>
    <row r="471" spans="1:18" x14ac:dyDescent="0.2">
      <c r="A471" s="12" t="s">
        <v>31</v>
      </c>
      <c r="B471" s="260" t="s">
        <v>32</v>
      </c>
      <c r="C471" s="261"/>
      <c r="D471" s="261"/>
      <c r="E471" s="261"/>
      <c r="F471" s="39"/>
      <c r="G471" s="39"/>
      <c r="H471" s="40"/>
      <c r="I471" s="41">
        <f>SUM(I470+I452)</f>
        <v>3418.6759999999995</v>
      </c>
      <c r="J471" s="12" t="s">
        <v>31</v>
      </c>
      <c r="K471" s="260" t="s">
        <v>32</v>
      </c>
      <c r="L471" s="261"/>
      <c r="M471" s="261"/>
      <c r="N471" s="261"/>
      <c r="O471" s="39"/>
      <c r="P471" s="39"/>
      <c r="Q471" s="40"/>
      <c r="R471" s="41">
        <f>SUM(R470+R452)</f>
        <v>4812.5129999999999</v>
      </c>
    </row>
    <row r="472" spans="1:18" x14ac:dyDescent="0.2">
      <c r="A472" s="13" t="s">
        <v>33</v>
      </c>
      <c r="B472" s="277">
        <f>E439</f>
        <v>1000</v>
      </c>
      <c r="C472" s="278"/>
      <c r="D472" s="278"/>
      <c r="E472" s="278"/>
      <c r="F472" s="278"/>
      <c r="G472" s="278"/>
      <c r="H472" s="40"/>
      <c r="I472" s="41"/>
      <c r="J472" s="13" t="s">
        <v>33</v>
      </c>
      <c r="K472" s="264">
        <f>N439</f>
        <v>14</v>
      </c>
      <c r="L472" s="265"/>
      <c r="M472" s="265"/>
      <c r="N472" s="265"/>
      <c r="O472" s="265"/>
      <c r="P472" s="265"/>
      <c r="Q472" s="40"/>
      <c r="R472" s="41"/>
    </row>
    <row r="473" spans="1:18" x14ac:dyDescent="0.2">
      <c r="A473" s="13" t="s">
        <v>34</v>
      </c>
      <c r="B473" s="42" t="s">
        <v>35</v>
      </c>
      <c r="C473" s="43"/>
      <c r="D473" s="43"/>
      <c r="E473" s="39"/>
      <c r="F473" s="44"/>
      <c r="G473" s="44"/>
      <c r="H473" s="40"/>
      <c r="I473" s="41">
        <f>I471/E439</f>
        <v>3.4186759999999996</v>
      </c>
      <c r="J473" s="13" t="s">
        <v>34</v>
      </c>
      <c r="K473" s="42" t="s">
        <v>35</v>
      </c>
      <c r="L473" s="43"/>
      <c r="M473" s="43"/>
      <c r="N473" s="39"/>
      <c r="O473" s="44"/>
      <c r="P473" s="44"/>
      <c r="Q473" s="40"/>
      <c r="R473" s="41">
        <f>R471/N439</f>
        <v>343.75092857142857</v>
      </c>
    </row>
    <row r="474" spans="1:18" x14ac:dyDescent="0.2">
      <c r="A474" s="12"/>
      <c r="B474" s="251" t="s">
        <v>36</v>
      </c>
      <c r="C474" s="252"/>
      <c r="D474" s="252"/>
      <c r="E474" s="253"/>
      <c r="F474" s="244" t="s">
        <v>37</v>
      </c>
      <c r="G474" s="244" t="s">
        <v>38</v>
      </c>
      <c r="H474" s="244" t="s">
        <v>39</v>
      </c>
      <c r="I474" s="246" t="s">
        <v>15</v>
      </c>
      <c r="J474" s="12"/>
      <c r="K474" s="251" t="s">
        <v>36</v>
      </c>
      <c r="L474" s="252"/>
      <c r="M474" s="252"/>
      <c r="N474" s="253"/>
      <c r="O474" s="244" t="s">
        <v>37</v>
      </c>
      <c r="P474" s="244" t="s">
        <v>38</v>
      </c>
      <c r="Q474" s="244" t="s">
        <v>39</v>
      </c>
      <c r="R474" s="246" t="s">
        <v>15</v>
      </c>
    </row>
    <row r="475" spans="1:18" x14ac:dyDescent="0.2">
      <c r="A475" s="13"/>
      <c r="B475" s="254"/>
      <c r="C475" s="255"/>
      <c r="D475" s="255"/>
      <c r="E475" s="256"/>
      <c r="F475" s="245"/>
      <c r="G475" s="245"/>
      <c r="H475" s="245"/>
      <c r="I475" s="247"/>
      <c r="J475" s="13"/>
      <c r="K475" s="254"/>
      <c r="L475" s="255"/>
      <c r="M475" s="255"/>
      <c r="N475" s="256"/>
      <c r="O475" s="245"/>
      <c r="P475" s="245"/>
      <c r="Q475" s="245"/>
      <c r="R475" s="247"/>
    </row>
    <row r="476" spans="1:18" x14ac:dyDescent="0.2">
      <c r="A476" s="13" t="s">
        <v>40</v>
      </c>
      <c r="B476" s="18" t="s">
        <v>41</v>
      </c>
      <c r="C476" s="19"/>
      <c r="D476" s="19"/>
      <c r="E476" s="20"/>
      <c r="F476" s="22"/>
      <c r="G476" s="22"/>
      <c r="H476" s="23"/>
      <c r="I476" s="23"/>
      <c r="J476" s="13" t="s">
        <v>40</v>
      </c>
      <c r="K476" s="18" t="s">
        <v>41</v>
      </c>
      <c r="L476" s="19"/>
      <c r="M476" s="19"/>
      <c r="N476" s="20"/>
      <c r="O476" s="22"/>
      <c r="P476" s="22"/>
      <c r="Q476" s="23"/>
      <c r="R476" s="23"/>
    </row>
    <row r="477" spans="1:18" x14ac:dyDescent="0.2">
      <c r="A477" s="13"/>
      <c r="B477" s="18"/>
      <c r="C477" s="19"/>
      <c r="D477" s="19"/>
      <c r="E477" s="20"/>
      <c r="F477" s="22"/>
      <c r="G477" s="22"/>
      <c r="H477" s="23"/>
      <c r="I477" s="23"/>
      <c r="J477" s="13"/>
      <c r="K477" s="18"/>
      <c r="L477" s="19"/>
      <c r="M477" s="19"/>
      <c r="N477" s="20"/>
      <c r="O477" s="22"/>
      <c r="P477" s="22"/>
      <c r="Q477" s="23"/>
      <c r="R477" s="23"/>
    </row>
    <row r="478" spans="1:18" x14ac:dyDescent="0.2">
      <c r="A478" s="13"/>
      <c r="B478" s="18" t="s">
        <v>102</v>
      </c>
      <c r="C478" s="19"/>
      <c r="D478" s="19"/>
      <c r="E478" s="20"/>
      <c r="F478" s="22" t="s">
        <v>103</v>
      </c>
      <c r="G478" s="69">
        <f>0.25/1000</f>
        <v>2.5000000000000001E-4</v>
      </c>
      <c r="H478" s="107">
        <v>2500</v>
      </c>
      <c r="I478" s="23">
        <f>G478*H478</f>
        <v>0.625</v>
      </c>
      <c r="J478" s="13"/>
      <c r="K478" s="18"/>
      <c r="L478" s="19"/>
      <c r="M478" s="19"/>
      <c r="N478" s="20"/>
      <c r="O478" s="22"/>
      <c r="P478" s="22"/>
      <c r="Q478" s="23"/>
      <c r="R478" s="23"/>
    </row>
    <row r="479" spans="1:18" x14ac:dyDescent="0.2">
      <c r="A479" s="13"/>
      <c r="B479" s="18" t="s">
        <v>109</v>
      </c>
      <c r="C479" s="19"/>
      <c r="D479" s="19"/>
      <c r="E479" s="20"/>
      <c r="F479" s="22" t="s">
        <v>77</v>
      </c>
      <c r="G479" s="70">
        <f>2/1000</f>
        <v>2E-3</v>
      </c>
      <c r="H479" s="107">
        <v>90</v>
      </c>
      <c r="I479" s="23">
        <f>G479*H479</f>
        <v>0.18</v>
      </c>
      <c r="J479" s="13"/>
      <c r="K479" s="18"/>
      <c r="L479" s="19"/>
      <c r="M479" s="19"/>
      <c r="N479" s="20"/>
      <c r="O479" s="22"/>
      <c r="P479" s="22"/>
      <c r="Q479" s="23"/>
      <c r="R479" s="23"/>
    </row>
    <row r="480" spans="1:18" x14ac:dyDescent="0.2">
      <c r="A480" s="13"/>
      <c r="B480" s="18" t="s">
        <v>110</v>
      </c>
      <c r="C480" s="19"/>
      <c r="D480" s="19"/>
      <c r="E480" s="20"/>
      <c r="F480" s="22" t="s">
        <v>66</v>
      </c>
      <c r="G480" s="62">
        <f>50/1000</f>
        <v>0.05</v>
      </c>
      <c r="H480" s="107">
        <v>3.5</v>
      </c>
      <c r="I480" s="23">
        <f>G480*H480</f>
        <v>0.17500000000000002</v>
      </c>
      <c r="J480" s="13"/>
      <c r="K480" s="18"/>
      <c r="L480" s="19"/>
      <c r="M480" s="19"/>
      <c r="N480" s="20"/>
      <c r="O480" s="22"/>
      <c r="P480" s="22"/>
      <c r="Q480" s="38"/>
      <c r="R480" s="38"/>
    </row>
    <row r="481" spans="1:18" x14ac:dyDescent="0.2">
      <c r="A481" s="13"/>
      <c r="B481" s="18"/>
      <c r="C481" s="19"/>
      <c r="D481" s="19"/>
      <c r="E481" s="20"/>
      <c r="F481" s="22"/>
      <c r="G481" s="22"/>
      <c r="H481" s="38"/>
      <c r="I481" s="38"/>
      <c r="J481" s="13"/>
      <c r="K481" s="18"/>
      <c r="L481" s="19"/>
      <c r="M481" s="19"/>
      <c r="N481" s="20"/>
      <c r="O481" s="22"/>
      <c r="P481" s="22"/>
      <c r="Q481" s="38"/>
      <c r="R481" s="38"/>
    </row>
    <row r="482" spans="1:18" x14ac:dyDescent="0.2">
      <c r="A482" s="13"/>
      <c r="B482" s="266" t="s">
        <v>111</v>
      </c>
      <c r="C482" s="267"/>
      <c r="D482" s="267"/>
      <c r="E482" s="268"/>
      <c r="F482" s="22"/>
      <c r="G482" s="22"/>
      <c r="H482" s="45"/>
      <c r="I482" s="45"/>
      <c r="J482" s="13"/>
      <c r="K482" s="18"/>
      <c r="L482" s="19"/>
      <c r="M482" s="19"/>
      <c r="N482" s="20"/>
      <c r="O482" s="22"/>
      <c r="P482" s="22"/>
      <c r="Q482" s="45"/>
      <c r="R482" s="45"/>
    </row>
    <row r="483" spans="1:18" x14ac:dyDescent="0.2">
      <c r="A483" s="13"/>
      <c r="B483" s="266"/>
      <c r="C483" s="267"/>
      <c r="D483" s="267"/>
      <c r="E483" s="268"/>
      <c r="F483" s="22"/>
      <c r="G483" s="22"/>
      <c r="H483" s="45"/>
      <c r="I483" s="45"/>
      <c r="J483" s="13"/>
      <c r="K483" s="18"/>
      <c r="L483" s="19"/>
      <c r="M483" s="19"/>
      <c r="N483" s="20"/>
      <c r="O483" s="22"/>
      <c r="P483" s="22"/>
      <c r="Q483" s="45"/>
      <c r="R483" s="45"/>
    </row>
    <row r="484" spans="1:18" x14ac:dyDescent="0.2">
      <c r="A484" s="13"/>
      <c r="B484" s="18"/>
      <c r="C484" s="19"/>
      <c r="D484" s="19"/>
      <c r="E484" s="20"/>
      <c r="F484" s="22"/>
      <c r="G484" s="22"/>
      <c r="H484" s="23"/>
      <c r="I484" s="23"/>
      <c r="J484" s="13"/>
      <c r="K484" s="18"/>
      <c r="L484" s="19"/>
      <c r="M484" s="19"/>
      <c r="N484" s="20"/>
      <c r="O484" s="22"/>
      <c r="P484" s="22"/>
      <c r="Q484" s="23"/>
      <c r="R484" s="23"/>
    </row>
    <row r="485" spans="1:18" ht="15" customHeight="1" x14ac:dyDescent="0.2">
      <c r="A485" s="13"/>
      <c r="B485" s="18"/>
      <c r="C485" s="19"/>
      <c r="D485" s="19"/>
      <c r="E485" s="20"/>
      <c r="F485" s="22"/>
      <c r="G485" s="22"/>
      <c r="H485" s="23"/>
      <c r="I485" s="23"/>
      <c r="J485" s="13"/>
      <c r="K485" s="18"/>
      <c r="L485" s="19"/>
      <c r="M485" s="19"/>
      <c r="N485" s="20"/>
      <c r="O485" s="22"/>
      <c r="P485" s="22"/>
      <c r="Q485" s="23"/>
      <c r="R485" s="23"/>
    </row>
    <row r="486" spans="1:18" x14ac:dyDescent="0.2">
      <c r="A486" s="13"/>
      <c r="B486" s="18"/>
      <c r="C486" s="19"/>
      <c r="D486" s="19"/>
      <c r="E486" s="20"/>
      <c r="F486" s="22"/>
      <c r="G486" s="22"/>
      <c r="H486" s="23"/>
      <c r="I486" s="23"/>
      <c r="J486" s="13"/>
      <c r="K486" s="18"/>
      <c r="L486" s="19"/>
      <c r="M486" s="19"/>
      <c r="N486" s="20"/>
      <c r="O486" s="22"/>
      <c r="P486" s="22"/>
      <c r="Q486" s="23"/>
      <c r="R486" s="23"/>
    </row>
    <row r="487" spans="1:18" x14ac:dyDescent="0.2">
      <c r="A487" s="13"/>
      <c r="B487" s="18"/>
      <c r="C487" s="19"/>
      <c r="D487" s="19"/>
      <c r="E487" s="20"/>
      <c r="F487" s="22"/>
      <c r="G487" s="22"/>
      <c r="H487" s="23"/>
      <c r="I487" s="23"/>
      <c r="J487" s="13"/>
      <c r="K487" s="18"/>
      <c r="L487" s="19"/>
      <c r="M487" s="19"/>
      <c r="N487" s="20"/>
      <c r="O487" s="22"/>
      <c r="P487" s="22"/>
      <c r="Q487" s="23"/>
      <c r="R487" s="23"/>
    </row>
    <row r="488" spans="1:18" x14ac:dyDescent="0.2">
      <c r="A488" s="13"/>
      <c r="B488" s="18"/>
      <c r="C488" s="19"/>
      <c r="D488" s="19"/>
      <c r="E488" s="20"/>
      <c r="F488" s="22"/>
      <c r="G488" s="22"/>
      <c r="H488" s="23"/>
      <c r="I488" s="23"/>
      <c r="J488" s="13"/>
      <c r="K488" s="18"/>
      <c r="L488" s="19"/>
      <c r="M488" s="19"/>
      <c r="N488" s="20"/>
      <c r="O488" s="22"/>
      <c r="P488" s="22"/>
      <c r="Q488" s="23"/>
      <c r="R488" s="23"/>
    </row>
    <row r="489" spans="1:18" x14ac:dyDescent="0.2">
      <c r="A489" s="13"/>
      <c r="B489" s="18"/>
      <c r="C489" s="19"/>
      <c r="D489" s="19"/>
      <c r="E489" s="20"/>
      <c r="F489" s="22"/>
      <c r="G489" s="22"/>
      <c r="H489" s="23"/>
      <c r="I489" s="23"/>
      <c r="J489" s="13"/>
      <c r="K489" s="18"/>
      <c r="L489" s="19"/>
      <c r="M489" s="19"/>
      <c r="N489" s="20"/>
      <c r="O489" s="22"/>
      <c r="P489" s="22"/>
      <c r="Q489" s="23"/>
      <c r="R489" s="23"/>
    </row>
    <row r="490" spans="1:18" x14ac:dyDescent="0.2">
      <c r="A490" s="13"/>
      <c r="B490" s="18"/>
      <c r="C490" s="19"/>
      <c r="D490" s="19"/>
      <c r="E490" s="20"/>
      <c r="F490" s="22"/>
      <c r="G490" s="36"/>
      <c r="H490" s="37"/>
      <c r="I490" s="37"/>
      <c r="J490" s="13"/>
      <c r="K490" s="18"/>
      <c r="L490" s="19"/>
      <c r="M490" s="19"/>
      <c r="N490" s="20"/>
      <c r="O490" s="22"/>
      <c r="P490" s="36"/>
      <c r="Q490" s="37"/>
      <c r="R490" s="37"/>
    </row>
    <row r="491" spans="1:18" x14ac:dyDescent="0.2">
      <c r="A491" s="13"/>
      <c r="B491" s="248" t="s">
        <v>42</v>
      </c>
      <c r="C491" s="249"/>
      <c r="D491" s="249"/>
      <c r="E491" s="250"/>
      <c r="F491" s="46"/>
      <c r="G491" s="46"/>
      <c r="H491" s="47"/>
      <c r="I491" s="47">
        <f>SUM(I478:I490)</f>
        <v>0.98</v>
      </c>
      <c r="J491" s="13"/>
      <c r="K491" s="248" t="s">
        <v>42</v>
      </c>
      <c r="L491" s="249"/>
      <c r="M491" s="249"/>
      <c r="N491" s="250"/>
      <c r="O491" s="46"/>
      <c r="P491" s="46"/>
      <c r="Q491" s="47"/>
      <c r="R491" s="47">
        <f>SUM(R478:R490)</f>
        <v>0</v>
      </c>
    </row>
    <row r="492" spans="1:18" x14ac:dyDescent="0.2">
      <c r="A492" s="12" t="s">
        <v>43</v>
      </c>
      <c r="B492" s="48" t="s">
        <v>44</v>
      </c>
      <c r="C492" s="43"/>
      <c r="D492" s="43"/>
      <c r="E492" s="39"/>
      <c r="F492" s="49"/>
      <c r="G492" s="49"/>
      <c r="H492" s="50"/>
      <c r="I492" s="51">
        <f>SUM(I473+I491)</f>
        <v>4.398676</v>
      </c>
      <c r="J492" s="12" t="s">
        <v>43</v>
      </c>
      <c r="K492" s="48" t="s">
        <v>44</v>
      </c>
      <c r="L492" s="43"/>
      <c r="M492" s="43"/>
      <c r="N492" s="39"/>
      <c r="O492" s="49"/>
      <c r="P492" s="49"/>
      <c r="Q492" s="50"/>
      <c r="R492" s="51">
        <f>SUM(R473+R491)</f>
        <v>343.75092857142857</v>
      </c>
    </row>
    <row r="493" spans="1:18" x14ac:dyDescent="0.2">
      <c r="A493" s="13" t="s">
        <v>45</v>
      </c>
      <c r="B493" s="48" t="s">
        <v>46</v>
      </c>
      <c r="C493" s="43"/>
      <c r="D493" s="43"/>
      <c r="E493" s="39"/>
      <c r="F493" s="49"/>
      <c r="G493" s="52">
        <v>0.09</v>
      </c>
      <c r="H493" s="53" t="s">
        <v>47</v>
      </c>
      <c r="I493" s="51">
        <f>G493*I492</f>
        <v>0.39588084000000001</v>
      </c>
      <c r="J493" s="13" t="s">
        <v>45</v>
      </c>
      <c r="K493" s="48" t="s">
        <v>46</v>
      </c>
      <c r="L493" s="43"/>
      <c r="M493" s="43"/>
      <c r="N493" s="39"/>
      <c r="O493" s="49"/>
      <c r="P493" s="52">
        <v>0.09</v>
      </c>
      <c r="Q493" s="53" t="s">
        <v>47</v>
      </c>
      <c r="R493" s="51">
        <f>P493*R492</f>
        <v>30.937583571428572</v>
      </c>
    </row>
    <row r="494" spans="1:18" x14ac:dyDescent="0.2">
      <c r="A494" s="13" t="s">
        <v>48</v>
      </c>
      <c r="B494" s="48" t="s">
        <v>49</v>
      </c>
      <c r="C494" s="43"/>
      <c r="D494" s="43"/>
      <c r="E494" s="39"/>
      <c r="F494" s="49"/>
      <c r="G494" s="52">
        <v>0.08</v>
      </c>
      <c r="H494" s="53" t="s">
        <v>47</v>
      </c>
      <c r="I494" s="51">
        <f>G494*I492</f>
        <v>0.35189408</v>
      </c>
      <c r="J494" s="13" t="s">
        <v>48</v>
      </c>
      <c r="K494" s="48" t="s">
        <v>49</v>
      </c>
      <c r="L494" s="43"/>
      <c r="M494" s="43"/>
      <c r="N494" s="39"/>
      <c r="O494" s="49"/>
      <c r="P494" s="52">
        <v>0.08</v>
      </c>
      <c r="Q494" s="53" t="s">
        <v>47</v>
      </c>
      <c r="R494" s="51">
        <f>P494*R492</f>
        <v>27.500074285714287</v>
      </c>
    </row>
    <row r="495" spans="1:18" x14ac:dyDescent="0.2">
      <c r="A495" s="13" t="s">
        <v>50</v>
      </c>
      <c r="B495" s="48" t="s">
        <v>51</v>
      </c>
      <c r="C495" s="43"/>
      <c r="D495" s="43"/>
      <c r="E495" s="39"/>
      <c r="F495" s="49"/>
      <c r="G495" s="52">
        <f>5/100</f>
        <v>0.05</v>
      </c>
      <c r="H495" s="53" t="s">
        <v>52</v>
      </c>
      <c r="I495" s="51">
        <f>G495*(I492+I493+I494)</f>
        <v>0.25732254600000004</v>
      </c>
      <c r="J495" s="13" t="s">
        <v>50</v>
      </c>
      <c r="K495" s="48" t="s">
        <v>51</v>
      </c>
      <c r="L495" s="43"/>
      <c r="M495" s="43"/>
      <c r="N495" s="39"/>
      <c r="O495" s="49"/>
      <c r="P495" s="52">
        <f>5/100</f>
        <v>0.05</v>
      </c>
      <c r="Q495" s="53" t="s">
        <v>52</v>
      </c>
      <c r="R495" s="51">
        <f>P495*(R492+R493+R494)</f>
        <v>20.109429321428571</v>
      </c>
    </row>
    <row r="496" spans="1:18" x14ac:dyDescent="0.2">
      <c r="A496" s="54" t="s">
        <v>53</v>
      </c>
      <c r="B496" s="48" t="s">
        <v>54</v>
      </c>
      <c r="C496" s="43"/>
      <c r="D496" s="43"/>
      <c r="E496" s="39"/>
      <c r="F496" s="49"/>
      <c r="G496" s="49"/>
      <c r="H496" s="55" t="s">
        <v>55</v>
      </c>
      <c r="I496" s="51">
        <f>SUM(I492+I493+I494+I495)</f>
        <v>5.4037734660000005</v>
      </c>
      <c r="J496" s="54" t="s">
        <v>53</v>
      </c>
      <c r="K496" s="48" t="s">
        <v>54</v>
      </c>
      <c r="L496" s="43"/>
      <c r="M496" s="43"/>
      <c r="N496" s="39"/>
      <c r="O496" s="49"/>
      <c r="P496" s="49"/>
      <c r="Q496" s="55" t="s">
        <v>55</v>
      </c>
      <c r="R496" s="51">
        <f>SUM(R492+R493+R494+R495)</f>
        <v>422.29801574999999</v>
      </c>
    </row>
    <row r="497" spans="1:18" s="1" customFormat="1" x14ac:dyDescent="0.2">
      <c r="A497" s="236" t="s">
        <v>0</v>
      </c>
      <c r="B497" s="236"/>
      <c r="C497" s="236"/>
      <c r="D497" s="236"/>
      <c r="E497" s="236"/>
      <c r="F497" s="236"/>
      <c r="G497" s="236"/>
      <c r="H497" s="236"/>
      <c r="I497" s="236"/>
      <c r="J497" s="236" t="s">
        <v>0</v>
      </c>
      <c r="K497" s="236"/>
      <c r="L497" s="236"/>
      <c r="M497" s="236"/>
      <c r="N497" s="236"/>
      <c r="O497" s="236"/>
      <c r="P497" s="236"/>
      <c r="Q497" s="236"/>
      <c r="R497" s="236"/>
    </row>
    <row r="499" spans="1:18" x14ac:dyDescent="0.2">
      <c r="A499" s="2" t="s">
        <v>1</v>
      </c>
      <c r="C499" s="4" t="s">
        <v>2</v>
      </c>
      <c r="D499" s="5" t="s">
        <v>1145</v>
      </c>
      <c r="E499" s="2" t="s">
        <v>112</v>
      </c>
      <c r="F499" s="2"/>
      <c r="G499" s="2"/>
      <c r="H499" s="2"/>
      <c r="J499" s="2" t="s">
        <v>1</v>
      </c>
      <c r="L499" s="4" t="s">
        <v>2</v>
      </c>
      <c r="M499" s="5" t="s">
        <v>113</v>
      </c>
      <c r="N499" s="237" t="s">
        <v>114</v>
      </c>
      <c r="O499" s="237"/>
      <c r="P499" s="237"/>
      <c r="Q499" s="237"/>
    </row>
    <row r="500" spans="1:18" x14ac:dyDescent="0.2">
      <c r="A500" s="2" t="s">
        <v>7</v>
      </c>
      <c r="C500" s="4" t="s">
        <v>2</v>
      </c>
      <c r="E500" s="2" t="s">
        <v>9</v>
      </c>
      <c r="F500" s="8"/>
      <c r="G500" s="8"/>
      <c r="H500" s="8"/>
      <c r="J500" s="2" t="s">
        <v>7</v>
      </c>
      <c r="L500" s="4" t="s">
        <v>2</v>
      </c>
      <c r="N500" s="2" t="s">
        <v>9</v>
      </c>
      <c r="O500" s="8"/>
      <c r="P500" s="8"/>
      <c r="Q500" s="8"/>
    </row>
    <row r="501" spans="1:18" x14ac:dyDescent="0.2">
      <c r="A501" s="2" t="s">
        <v>10</v>
      </c>
      <c r="C501" s="4" t="s">
        <v>2</v>
      </c>
      <c r="E501" s="9">
        <v>10</v>
      </c>
      <c r="F501" s="8"/>
      <c r="G501" s="8"/>
      <c r="H501" s="8"/>
      <c r="J501" s="2" t="s">
        <v>10</v>
      </c>
      <c r="L501" s="4" t="s">
        <v>2</v>
      </c>
      <c r="N501" s="9">
        <v>4</v>
      </c>
      <c r="O501" s="8"/>
      <c r="P501" s="8"/>
      <c r="Q501" s="8"/>
    </row>
    <row r="502" spans="1:18" x14ac:dyDescent="0.2">
      <c r="B502" s="8"/>
      <c r="F502" s="11"/>
      <c r="G502" s="8"/>
      <c r="H502" s="8"/>
      <c r="I502" s="8"/>
      <c r="K502" s="8"/>
      <c r="O502" s="11"/>
      <c r="P502" s="8"/>
      <c r="Q502" s="8"/>
      <c r="R502" s="8"/>
    </row>
    <row r="503" spans="1:18" x14ac:dyDescent="0.2">
      <c r="A503" s="12"/>
      <c r="B503" s="238" t="s">
        <v>11</v>
      </c>
      <c r="C503" s="239"/>
      <c r="D503" s="239"/>
      <c r="E503" s="240"/>
      <c r="F503" s="244" t="s">
        <v>12</v>
      </c>
      <c r="G503" s="244" t="s">
        <v>13</v>
      </c>
      <c r="H503" s="244" t="s">
        <v>14</v>
      </c>
      <c r="I503" s="246" t="s">
        <v>15</v>
      </c>
      <c r="J503" s="12"/>
      <c r="K503" s="238" t="s">
        <v>11</v>
      </c>
      <c r="L503" s="239"/>
      <c r="M503" s="239"/>
      <c r="N503" s="240"/>
      <c r="O503" s="244" t="s">
        <v>12</v>
      </c>
      <c r="P503" s="244" t="s">
        <v>13</v>
      </c>
      <c r="Q503" s="244" t="s">
        <v>14</v>
      </c>
      <c r="R503" s="246" t="s">
        <v>15</v>
      </c>
    </row>
    <row r="504" spans="1:18" x14ac:dyDescent="0.2">
      <c r="A504" s="13"/>
      <c r="B504" s="241"/>
      <c r="C504" s="242"/>
      <c r="D504" s="242"/>
      <c r="E504" s="243"/>
      <c r="F504" s="245"/>
      <c r="G504" s="245"/>
      <c r="H504" s="245"/>
      <c r="I504" s="247"/>
      <c r="J504" s="13"/>
      <c r="K504" s="241"/>
      <c r="L504" s="242"/>
      <c r="M504" s="242"/>
      <c r="N504" s="243"/>
      <c r="O504" s="245"/>
      <c r="P504" s="245"/>
      <c r="Q504" s="245"/>
      <c r="R504" s="247"/>
    </row>
    <row r="505" spans="1:18" x14ac:dyDescent="0.2">
      <c r="A505" s="13" t="s">
        <v>16</v>
      </c>
      <c r="B505" s="14" t="s">
        <v>17</v>
      </c>
      <c r="C505" s="15"/>
      <c r="D505" s="15"/>
      <c r="E505" s="16"/>
      <c r="F505" s="17"/>
      <c r="G505" s="17"/>
      <c r="H505" s="17"/>
      <c r="I505" s="17"/>
      <c r="J505" s="13" t="s">
        <v>16</v>
      </c>
      <c r="K505" s="14" t="s">
        <v>17</v>
      </c>
      <c r="L505" s="15"/>
      <c r="M505" s="15"/>
      <c r="N505" s="16"/>
      <c r="O505" s="17"/>
      <c r="P505" s="17"/>
      <c r="Q505" s="17"/>
      <c r="R505" s="17"/>
    </row>
    <row r="506" spans="1:18" x14ac:dyDescent="0.2">
      <c r="A506" s="13"/>
      <c r="B506" s="18"/>
      <c r="C506" s="19"/>
      <c r="D506" s="19"/>
      <c r="E506" s="20"/>
      <c r="F506" s="21"/>
      <c r="G506" s="22"/>
      <c r="H506" s="21"/>
      <c r="I506" s="21"/>
      <c r="J506" s="13"/>
      <c r="K506" s="18"/>
      <c r="L506" s="19"/>
      <c r="M506" s="19"/>
      <c r="N506" s="20"/>
      <c r="O506" s="21"/>
      <c r="P506" s="22"/>
      <c r="Q506" s="21"/>
      <c r="R506" s="21"/>
    </row>
    <row r="507" spans="1:18" x14ac:dyDescent="0.2">
      <c r="A507" s="13"/>
      <c r="B507" s="24" t="s">
        <v>18</v>
      </c>
      <c r="C507" s="25"/>
      <c r="D507" s="25"/>
      <c r="E507" s="26"/>
      <c r="F507" s="22">
        <v>1</v>
      </c>
      <c r="G507" s="62">
        <f>16/16</f>
        <v>1</v>
      </c>
      <c r="H507" s="23">
        <v>69.42</v>
      </c>
      <c r="I507" s="23">
        <f>G507*H507*F507</f>
        <v>69.42</v>
      </c>
      <c r="J507" s="13"/>
      <c r="K507" s="24" t="s">
        <v>18</v>
      </c>
      <c r="L507" s="25"/>
      <c r="M507" s="25"/>
      <c r="N507" s="26"/>
      <c r="O507" s="22">
        <v>1</v>
      </c>
      <c r="P507" s="62">
        <v>1</v>
      </c>
      <c r="Q507" s="23">
        <v>69.42</v>
      </c>
      <c r="R507" s="23">
        <f>P507*Q507*O507</f>
        <v>69.42</v>
      </c>
    </row>
    <row r="508" spans="1:18" x14ac:dyDescent="0.2">
      <c r="A508" s="13"/>
      <c r="B508" s="257" t="s">
        <v>1179</v>
      </c>
      <c r="C508" s="258"/>
      <c r="D508" s="25"/>
      <c r="E508" s="26"/>
      <c r="F508" s="22">
        <v>2</v>
      </c>
      <c r="G508" s="62">
        <f>G507</f>
        <v>1</v>
      </c>
      <c r="H508" s="23">
        <v>38.97</v>
      </c>
      <c r="I508" s="23">
        <f>G508*H508*F508</f>
        <v>77.94</v>
      </c>
      <c r="J508" s="13"/>
      <c r="K508" s="24" t="s">
        <v>1179</v>
      </c>
      <c r="L508" s="25"/>
      <c r="M508" s="25"/>
      <c r="N508" s="26"/>
      <c r="O508" s="22">
        <v>3</v>
      </c>
      <c r="P508" s="62">
        <v>1</v>
      </c>
      <c r="Q508" s="23">
        <v>38.97</v>
      </c>
      <c r="R508" s="23">
        <f>P508*Q508*O508</f>
        <v>116.91</v>
      </c>
    </row>
    <row r="509" spans="1:18" x14ac:dyDescent="0.2">
      <c r="A509" s="13"/>
      <c r="B509" s="257"/>
      <c r="C509" s="258"/>
      <c r="D509" s="19"/>
      <c r="E509" s="20"/>
      <c r="F509" s="22"/>
      <c r="G509" s="22"/>
      <c r="H509" s="29"/>
      <c r="I509" s="23"/>
      <c r="J509" s="13"/>
      <c r="K509" s="27"/>
      <c r="L509" s="19"/>
      <c r="M509" s="19"/>
      <c r="N509" s="20"/>
      <c r="O509" s="22"/>
      <c r="P509" s="22"/>
      <c r="Q509" s="28"/>
      <c r="R509" s="23"/>
    </row>
    <row r="510" spans="1:18" ht="15" customHeight="1" x14ac:dyDescent="0.2">
      <c r="A510" s="13"/>
      <c r="B510" s="27"/>
      <c r="C510" s="19"/>
      <c r="D510" s="19"/>
      <c r="E510" s="20"/>
      <c r="F510" s="22"/>
      <c r="G510" s="22"/>
      <c r="H510" s="29"/>
      <c r="I510" s="30"/>
      <c r="J510" s="13"/>
      <c r="K510" s="27"/>
      <c r="L510" s="19"/>
      <c r="M510" s="19"/>
      <c r="N510" s="20"/>
      <c r="O510" s="22"/>
      <c r="P510" s="22"/>
      <c r="Q510" s="29"/>
      <c r="R510" s="30"/>
    </row>
    <row r="511" spans="1:18" x14ac:dyDescent="0.2">
      <c r="A511" s="13"/>
      <c r="B511" s="27"/>
      <c r="C511" s="19"/>
      <c r="D511" s="19"/>
      <c r="E511" s="20"/>
      <c r="F511" s="22"/>
      <c r="G511" s="22"/>
      <c r="H511" s="29"/>
      <c r="I511" s="30"/>
      <c r="J511" s="13"/>
      <c r="K511" s="27"/>
      <c r="L511" s="19"/>
      <c r="M511" s="19"/>
      <c r="N511" s="20"/>
      <c r="O511" s="22"/>
      <c r="P511" s="22"/>
      <c r="Q511" s="29"/>
      <c r="R511" s="30"/>
    </row>
    <row r="512" spans="1:18" x14ac:dyDescent="0.2">
      <c r="A512" s="13"/>
      <c r="B512" s="18"/>
      <c r="C512" s="19"/>
      <c r="D512" s="19"/>
      <c r="E512" s="20"/>
      <c r="F512" s="22"/>
      <c r="G512" s="22"/>
      <c r="H512" s="28"/>
      <c r="I512" s="23"/>
      <c r="J512" s="13"/>
      <c r="K512" s="18"/>
      <c r="L512" s="19"/>
      <c r="M512" s="19"/>
      <c r="N512" s="20"/>
      <c r="O512" s="22"/>
      <c r="P512" s="22"/>
      <c r="Q512" s="28"/>
      <c r="R512" s="23"/>
    </row>
    <row r="513" spans="1:18" x14ac:dyDescent="0.2">
      <c r="A513" s="13"/>
      <c r="B513" s="18"/>
      <c r="C513" s="19"/>
      <c r="D513" s="19"/>
      <c r="E513" s="20"/>
      <c r="F513" s="22"/>
      <c r="G513" s="22"/>
      <c r="H513" s="23"/>
      <c r="I513" s="23"/>
      <c r="J513" s="13"/>
      <c r="K513" s="18"/>
      <c r="L513" s="19"/>
      <c r="M513" s="19"/>
      <c r="N513" s="20"/>
      <c r="O513" s="22"/>
      <c r="P513" s="22"/>
      <c r="Q513" s="23"/>
      <c r="R513" s="23"/>
    </row>
    <row r="514" spans="1:18" x14ac:dyDescent="0.2">
      <c r="A514" s="13"/>
      <c r="B514" s="248" t="s">
        <v>20</v>
      </c>
      <c r="C514" s="249"/>
      <c r="D514" s="249"/>
      <c r="E514" s="250"/>
      <c r="F514" s="31"/>
      <c r="G514" s="31"/>
      <c r="H514" s="32"/>
      <c r="I514" s="32">
        <f>SUM(I507:I513)</f>
        <v>147.36000000000001</v>
      </c>
      <c r="J514" s="13"/>
      <c r="K514" s="248" t="s">
        <v>20</v>
      </c>
      <c r="L514" s="249"/>
      <c r="M514" s="249"/>
      <c r="N514" s="250"/>
      <c r="O514" s="31"/>
      <c r="P514" s="31"/>
      <c r="Q514" s="32"/>
      <c r="R514" s="32">
        <f>SUM(R507:R513)</f>
        <v>186.32999999999998</v>
      </c>
    </row>
    <row r="515" spans="1:18" x14ac:dyDescent="0.2">
      <c r="A515" s="12"/>
      <c r="B515" s="251" t="s">
        <v>21</v>
      </c>
      <c r="C515" s="252"/>
      <c r="D515" s="252"/>
      <c r="E515" s="253"/>
      <c r="F515" s="244" t="s">
        <v>22</v>
      </c>
      <c r="G515" s="244" t="s">
        <v>13</v>
      </c>
      <c r="H515" s="244" t="s">
        <v>14</v>
      </c>
      <c r="I515" s="246" t="s">
        <v>15</v>
      </c>
      <c r="J515" s="12"/>
      <c r="K515" s="251" t="s">
        <v>21</v>
      </c>
      <c r="L515" s="252"/>
      <c r="M515" s="252"/>
      <c r="N515" s="253"/>
      <c r="O515" s="244" t="s">
        <v>22</v>
      </c>
      <c r="P515" s="244" t="s">
        <v>13</v>
      </c>
      <c r="Q515" s="244" t="s">
        <v>14</v>
      </c>
      <c r="R515" s="246" t="s">
        <v>15</v>
      </c>
    </row>
    <row r="516" spans="1:18" x14ac:dyDescent="0.2">
      <c r="A516" s="13"/>
      <c r="B516" s="254"/>
      <c r="C516" s="255"/>
      <c r="D516" s="255"/>
      <c r="E516" s="256"/>
      <c r="F516" s="245"/>
      <c r="G516" s="245"/>
      <c r="H516" s="245"/>
      <c r="I516" s="247"/>
      <c r="J516" s="13"/>
      <c r="K516" s="254"/>
      <c r="L516" s="255"/>
      <c r="M516" s="255"/>
      <c r="N516" s="256"/>
      <c r="O516" s="245"/>
      <c r="P516" s="245"/>
      <c r="Q516" s="245"/>
      <c r="R516" s="247"/>
    </row>
    <row r="517" spans="1:18" x14ac:dyDescent="0.2">
      <c r="A517" s="13" t="s">
        <v>23</v>
      </c>
      <c r="B517" s="33" t="s">
        <v>24</v>
      </c>
      <c r="C517" s="15"/>
      <c r="D517" s="15"/>
      <c r="E517" s="16"/>
      <c r="F517" s="34"/>
      <c r="G517" s="34"/>
      <c r="H517" s="35"/>
      <c r="I517" s="35"/>
      <c r="J517" s="13" t="s">
        <v>23</v>
      </c>
      <c r="K517" s="33" t="s">
        <v>24</v>
      </c>
      <c r="L517" s="15"/>
      <c r="M517" s="15"/>
      <c r="N517" s="16"/>
      <c r="O517" s="34"/>
      <c r="P517" s="34"/>
      <c r="Q517" s="35"/>
      <c r="R517" s="35"/>
    </row>
    <row r="518" spans="1:18" x14ac:dyDescent="0.2">
      <c r="A518" s="13"/>
      <c r="B518" s="18"/>
      <c r="C518" s="19"/>
      <c r="D518" s="19"/>
      <c r="E518" s="20"/>
      <c r="F518" s="22"/>
      <c r="G518" s="22"/>
      <c r="H518" s="23"/>
      <c r="I518" s="23"/>
      <c r="J518" s="13"/>
      <c r="K518" s="18"/>
      <c r="L518" s="19"/>
      <c r="M518" s="19"/>
      <c r="N518" s="20"/>
      <c r="O518" s="22"/>
      <c r="P518" s="22"/>
      <c r="Q518" s="23"/>
      <c r="R518" s="23"/>
    </row>
    <row r="519" spans="1:18" ht="17.25" customHeight="1" x14ac:dyDescent="0.2">
      <c r="A519" s="13"/>
      <c r="B519" s="18" t="s">
        <v>97</v>
      </c>
      <c r="C519" s="19"/>
      <c r="D519" s="19"/>
      <c r="E519" s="20"/>
      <c r="F519" s="22">
        <v>1</v>
      </c>
      <c r="G519" s="23">
        <v>0.5</v>
      </c>
      <c r="H519" s="37">
        <v>1998.1</v>
      </c>
      <c r="I519" s="37">
        <f>G519*H519*F519</f>
        <v>999.05</v>
      </c>
      <c r="J519" s="13"/>
      <c r="K519" s="18" t="s">
        <v>1130</v>
      </c>
      <c r="L519" s="19"/>
      <c r="M519" s="19"/>
      <c r="N519" s="20"/>
      <c r="O519" s="22">
        <v>1</v>
      </c>
      <c r="P519" s="23">
        <v>1</v>
      </c>
      <c r="Q519" s="37">
        <v>1420</v>
      </c>
      <c r="R519" s="37">
        <f>P519*Q519*O519</f>
        <v>1420</v>
      </c>
    </row>
    <row r="520" spans="1:18" ht="17.25" customHeight="1" x14ac:dyDescent="0.2">
      <c r="A520" s="13"/>
      <c r="B520" s="18" t="s">
        <v>1146</v>
      </c>
      <c r="C520" s="19"/>
      <c r="D520" s="19"/>
      <c r="E520" s="20"/>
      <c r="F520" s="22">
        <v>1</v>
      </c>
      <c r="G520" s="23">
        <v>0.5</v>
      </c>
      <c r="H520" s="37">
        <v>1537</v>
      </c>
      <c r="I520" s="37">
        <f>G520*H520*F520</f>
        <v>768.5</v>
      </c>
      <c r="J520" s="13"/>
      <c r="K520" s="18" t="s">
        <v>99</v>
      </c>
      <c r="L520" s="19"/>
      <c r="M520" s="19"/>
      <c r="N520" s="20"/>
      <c r="O520" s="22">
        <v>1</v>
      </c>
      <c r="P520" s="23">
        <v>0.25</v>
      </c>
      <c r="Q520" s="37">
        <v>1537</v>
      </c>
      <c r="R520" s="37">
        <f>P520*Q520*O520</f>
        <v>384.25</v>
      </c>
    </row>
    <row r="521" spans="1:18" x14ac:dyDescent="0.2">
      <c r="A521" s="13"/>
      <c r="B521" s="18" t="s">
        <v>1147</v>
      </c>
      <c r="C521" s="19"/>
      <c r="D521" s="19"/>
      <c r="E521" s="20"/>
      <c r="F521" s="22">
        <v>1</v>
      </c>
      <c r="G521" s="23">
        <v>1</v>
      </c>
      <c r="H521" s="37">
        <v>1420</v>
      </c>
      <c r="I521" s="37">
        <f>G521*H521*F521</f>
        <v>1420</v>
      </c>
      <c r="J521" s="13"/>
      <c r="K521" s="18" t="s">
        <v>107</v>
      </c>
      <c r="L521" s="19"/>
      <c r="M521" s="19"/>
      <c r="N521" s="20"/>
      <c r="O521" s="22">
        <v>1</v>
      </c>
      <c r="P521" s="23">
        <v>0.75</v>
      </c>
      <c r="Q521" s="37">
        <v>1998.1</v>
      </c>
      <c r="R521" s="37">
        <f>P521*Q521*O521</f>
        <v>1498.5749999999998</v>
      </c>
    </row>
    <row r="522" spans="1:18" x14ac:dyDescent="0.2">
      <c r="A522" s="13"/>
      <c r="B522" s="18"/>
      <c r="C522" s="19"/>
      <c r="D522" s="19"/>
      <c r="E522" s="20"/>
      <c r="F522" s="22"/>
      <c r="G522" s="23"/>
      <c r="H522" s="37"/>
      <c r="I522" s="37"/>
      <c r="J522" s="13"/>
      <c r="K522" s="18" t="s">
        <v>1192</v>
      </c>
      <c r="L522" s="19"/>
      <c r="M522" s="19"/>
      <c r="N522" s="20"/>
      <c r="O522" s="22"/>
      <c r="P522" s="23"/>
      <c r="R522" s="37">
        <f>0.1*R514</f>
        <v>18.632999999999999</v>
      </c>
    </row>
    <row r="523" spans="1:18" x14ac:dyDescent="0.2">
      <c r="A523" s="13"/>
      <c r="B523" s="18" t="s">
        <v>101</v>
      </c>
      <c r="C523" s="19"/>
      <c r="D523" s="19"/>
      <c r="E523" s="20"/>
      <c r="F523" s="22"/>
      <c r="G523" s="36"/>
      <c r="H523" s="37"/>
      <c r="I523" s="37"/>
      <c r="J523" s="13"/>
      <c r="K523" s="18"/>
      <c r="L523" s="19"/>
      <c r="M523" s="19"/>
      <c r="N523" s="20"/>
      <c r="O523" s="22"/>
      <c r="P523" s="36"/>
      <c r="Q523" s="37"/>
      <c r="R523" s="37"/>
    </row>
    <row r="524" spans="1:18" x14ac:dyDescent="0.2">
      <c r="A524" s="13"/>
      <c r="B524" s="18"/>
      <c r="C524" s="19"/>
      <c r="D524" s="19"/>
      <c r="E524" s="20"/>
      <c r="F524" s="22"/>
      <c r="G524" s="36"/>
      <c r="H524" s="38"/>
      <c r="I524" s="38"/>
      <c r="J524" s="13"/>
      <c r="K524" s="18"/>
      <c r="L524" s="19"/>
      <c r="M524" s="19"/>
      <c r="N524" s="20"/>
      <c r="O524" s="22"/>
      <c r="P524" s="36"/>
      <c r="Q524" s="38"/>
      <c r="R524" s="38"/>
    </row>
    <row r="525" spans="1:18" x14ac:dyDescent="0.2">
      <c r="A525" s="13"/>
      <c r="C525" s="19"/>
      <c r="D525" s="19"/>
      <c r="E525" s="20"/>
      <c r="F525" s="22"/>
      <c r="G525" s="36"/>
      <c r="H525" s="38"/>
      <c r="I525" s="38"/>
      <c r="J525" s="13"/>
      <c r="K525" s="18"/>
      <c r="L525" s="19"/>
      <c r="M525" s="19"/>
      <c r="N525" s="20"/>
      <c r="O525" s="22"/>
      <c r="P525" s="36"/>
      <c r="Q525" s="38"/>
      <c r="R525" s="38"/>
    </row>
    <row r="526" spans="1:18" x14ac:dyDescent="0.2">
      <c r="A526" s="13"/>
      <c r="B526" s="18"/>
      <c r="C526" s="19"/>
      <c r="D526" s="19"/>
      <c r="E526" s="20"/>
      <c r="F526" s="22"/>
      <c r="G526" s="36"/>
      <c r="H526" s="38"/>
      <c r="I526" s="38"/>
      <c r="J526" s="13"/>
      <c r="K526" s="18"/>
      <c r="L526" s="19"/>
      <c r="M526" s="19"/>
      <c r="N526" s="20"/>
      <c r="O526" s="22"/>
      <c r="P526" s="36"/>
      <c r="Q526" s="38"/>
      <c r="R526" s="38"/>
    </row>
    <row r="527" spans="1:18" x14ac:dyDescent="0.2">
      <c r="A527" s="13"/>
      <c r="B527" s="18"/>
      <c r="C527" s="19"/>
      <c r="D527" s="19"/>
      <c r="E527" s="20"/>
      <c r="F527" s="22"/>
      <c r="G527" s="36"/>
      <c r="H527" s="38"/>
      <c r="I527" s="38"/>
      <c r="J527" s="13"/>
      <c r="K527" s="18"/>
      <c r="L527" s="19"/>
      <c r="M527" s="19"/>
      <c r="N527" s="20"/>
      <c r="O527" s="22"/>
      <c r="P527" s="36"/>
      <c r="Q527" s="38"/>
      <c r="R527" s="38"/>
    </row>
    <row r="528" spans="1:18" x14ac:dyDescent="0.2">
      <c r="A528" s="13"/>
      <c r="B528" s="18"/>
      <c r="C528" s="19"/>
      <c r="D528" s="19"/>
      <c r="E528" s="20"/>
      <c r="F528" s="22"/>
      <c r="G528" s="36"/>
      <c r="H528" s="37"/>
      <c r="I528" s="37"/>
      <c r="J528" s="13"/>
      <c r="K528" s="18"/>
      <c r="L528" s="19"/>
      <c r="M528" s="19"/>
      <c r="N528" s="20"/>
      <c r="O528" s="22"/>
      <c r="P528" s="36"/>
      <c r="Q528" s="37"/>
      <c r="R528" s="37"/>
    </row>
    <row r="529" spans="1:18" x14ac:dyDescent="0.2">
      <c r="A529" s="13"/>
      <c r="B529" s="18"/>
      <c r="C529" s="19"/>
      <c r="D529" s="19"/>
      <c r="E529" s="20"/>
      <c r="F529" s="22"/>
      <c r="G529" s="36"/>
      <c r="H529" s="37"/>
      <c r="I529" s="37"/>
      <c r="J529" s="13"/>
      <c r="K529" s="18"/>
      <c r="L529" s="19"/>
      <c r="M529" s="19"/>
      <c r="N529" s="20"/>
      <c r="O529" s="22"/>
      <c r="P529" s="36"/>
      <c r="Q529" s="37"/>
      <c r="R529" s="37"/>
    </row>
    <row r="530" spans="1:18" x14ac:dyDescent="0.2">
      <c r="A530" s="13"/>
      <c r="B530" s="18"/>
      <c r="C530" s="19"/>
      <c r="D530" s="19"/>
      <c r="E530" s="20"/>
      <c r="F530" s="22"/>
      <c r="G530" s="36"/>
      <c r="H530" s="37"/>
      <c r="I530" s="37"/>
      <c r="J530" s="13"/>
      <c r="K530" s="18"/>
      <c r="L530" s="19"/>
      <c r="M530" s="19"/>
      <c r="N530" s="20"/>
      <c r="O530" s="22"/>
      <c r="P530" s="36"/>
      <c r="Q530" s="37"/>
      <c r="R530" s="37"/>
    </row>
    <row r="531" spans="1:18" ht="15" customHeight="1" x14ac:dyDescent="0.2">
      <c r="A531" s="13"/>
      <c r="B531" s="18"/>
      <c r="C531" s="19"/>
      <c r="D531" s="19"/>
      <c r="E531" s="20"/>
      <c r="F531" s="22"/>
      <c r="G531" s="22"/>
      <c r="H531" s="23"/>
      <c r="I531" s="23"/>
      <c r="J531" s="13"/>
      <c r="K531" s="18"/>
      <c r="L531" s="19"/>
      <c r="M531" s="19"/>
      <c r="N531" s="20"/>
      <c r="O531" s="22"/>
      <c r="P531" s="22"/>
      <c r="Q531" s="23"/>
      <c r="R531" s="23"/>
    </row>
    <row r="532" spans="1:18" x14ac:dyDescent="0.2">
      <c r="A532" s="13"/>
      <c r="B532" s="248" t="s">
        <v>30</v>
      </c>
      <c r="C532" s="249"/>
      <c r="D532" s="249"/>
      <c r="E532" s="250"/>
      <c r="F532" s="22"/>
      <c r="G532" s="22"/>
      <c r="H532" s="23"/>
      <c r="I532" s="23">
        <f>SUM(I519:I531)</f>
        <v>3187.55</v>
      </c>
      <c r="J532" s="13"/>
      <c r="K532" s="248" t="s">
        <v>30</v>
      </c>
      <c r="L532" s="249"/>
      <c r="M532" s="249"/>
      <c r="N532" s="250"/>
      <c r="O532" s="22"/>
      <c r="P532" s="22"/>
      <c r="Q532" s="23"/>
      <c r="R532" s="23">
        <f>SUM(R519:R531)</f>
        <v>3321.4579999999996</v>
      </c>
    </row>
    <row r="533" spans="1:18" x14ac:dyDescent="0.2">
      <c r="A533" s="12" t="s">
        <v>31</v>
      </c>
      <c r="B533" s="260" t="s">
        <v>32</v>
      </c>
      <c r="C533" s="261"/>
      <c r="D533" s="261"/>
      <c r="E533" s="261"/>
      <c r="F533" s="39"/>
      <c r="G533" s="39"/>
      <c r="H533" s="40"/>
      <c r="I533" s="41">
        <f>SUM(I532+I514)</f>
        <v>3334.9100000000003</v>
      </c>
      <c r="J533" s="12" t="s">
        <v>31</v>
      </c>
      <c r="K533" s="260" t="s">
        <v>32</v>
      </c>
      <c r="L533" s="261"/>
      <c r="M533" s="261"/>
      <c r="N533" s="261"/>
      <c r="O533" s="39"/>
      <c r="P533" s="39"/>
      <c r="Q533" s="40"/>
      <c r="R533" s="41">
        <f>SUM(R532+R514)</f>
        <v>3507.7879999999996</v>
      </c>
    </row>
    <row r="534" spans="1:18" x14ac:dyDescent="0.2">
      <c r="A534" s="13" t="s">
        <v>33</v>
      </c>
      <c r="B534" s="264">
        <f>E501</f>
        <v>10</v>
      </c>
      <c r="C534" s="265"/>
      <c r="D534" s="265"/>
      <c r="E534" s="265"/>
      <c r="F534" s="265"/>
      <c r="G534" s="265"/>
      <c r="H534" s="40"/>
      <c r="I534" s="41"/>
      <c r="J534" s="13" t="s">
        <v>33</v>
      </c>
      <c r="K534" s="264">
        <f>N501</f>
        <v>4</v>
      </c>
      <c r="L534" s="265"/>
      <c r="M534" s="265"/>
      <c r="N534" s="265"/>
      <c r="O534" s="265"/>
      <c r="P534" s="265"/>
      <c r="Q534" s="40"/>
      <c r="R534" s="41"/>
    </row>
    <row r="535" spans="1:18" x14ac:dyDescent="0.2">
      <c r="A535" s="13" t="s">
        <v>34</v>
      </c>
      <c r="B535" s="42" t="s">
        <v>35</v>
      </c>
      <c r="C535" s="43"/>
      <c r="D535" s="43"/>
      <c r="E535" s="39"/>
      <c r="F535" s="44"/>
      <c r="G535" s="44"/>
      <c r="H535" s="40"/>
      <c r="I535" s="41">
        <f>I533/E501</f>
        <v>333.49100000000004</v>
      </c>
      <c r="J535" s="13" t="s">
        <v>34</v>
      </c>
      <c r="K535" s="42" t="s">
        <v>35</v>
      </c>
      <c r="L535" s="43"/>
      <c r="M535" s="43"/>
      <c r="N535" s="39"/>
      <c r="O535" s="44"/>
      <c r="P535" s="44"/>
      <c r="Q535" s="40"/>
      <c r="R535" s="41">
        <f>R533/N501</f>
        <v>876.94699999999989</v>
      </c>
    </row>
    <row r="536" spans="1:18" x14ac:dyDescent="0.2">
      <c r="A536" s="12"/>
      <c r="B536" s="251" t="s">
        <v>36</v>
      </c>
      <c r="C536" s="252"/>
      <c r="D536" s="252"/>
      <c r="E536" s="253"/>
      <c r="F536" s="244" t="s">
        <v>37</v>
      </c>
      <c r="G536" s="244" t="s">
        <v>38</v>
      </c>
      <c r="H536" s="244" t="s">
        <v>39</v>
      </c>
      <c r="I536" s="246" t="s">
        <v>15</v>
      </c>
      <c r="J536" s="12"/>
      <c r="K536" s="251" t="s">
        <v>36</v>
      </c>
      <c r="L536" s="252"/>
      <c r="M536" s="252"/>
      <c r="N536" s="253"/>
      <c r="O536" s="244" t="s">
        <v>37</v>
      </c>
      <c r="P536" s="244" t="s">
        <v>38</v>
      </c>
      <c r="Q536" s="244" t="s">
        <v>39</v>
      </c>
      <c r="R536" s="246" t="s">
        <v>15</v>
      </c>
    </row>
    <row r="537" spans="1:18" x14ac:dyDescent="0.2">
      <c r="A537" s="13"/>
      <c r="B537" s="254"/>
      <c r="C537" s="255"/>
      <c r="D537" s="255"/>
      <c r="E537" s="256"/>
      <c r="F537" s="245"/>
      <c r="G537" s="245"/>
      <c r="H537" s="245"/>
      <c r="I537" s="247"/>
      <c r="J537" s="13"/>
      <c r="K537" s="254"/>
      <c r="L537" s="255"/>
      <c r="M537" s="255"/>
      <c r="N537" s="256"/>
      <c r="O537" s="245"/>
      <c r="P537" s="245"/>
      <c r="Q537" s="245"/>
      <c r="R537" s="247"/>
    </row>
    <row r="538" spans="1:18" x14ac:dyDescent="0.2">
      <c r="A538" s="13" t="s">
        <v>40</v>
      </c>
      <c r="B538" s="18" t="s">
        <v>41</v>
      </c>
      <c r="C538" s="19"/>
      <c r="D538" s="19"/>
      <c r="E538" s="20"/>
      <c r="F538" s="22"/>
      <c r="G538" s="22"/>
      <c r="H538" s="23"/>
      <c r="I538" s="23"/>
      <c r="J538" s="13" t="s">
        <v>40</v>
      </c>
      <c r="K538" s="18" t="s">
        <v>41</v>
      </c>
      <c r="L538" s="19"/>
      <c r="M538" s="19"/>
      <c r="N538" s="20"/>
      <c r="O538" s="22"/>
      <c r="P538" s="22"/>
      <c r="Q538" s="23"/>
      <c r="R538" s="23"/>
    </row>
    <row r="539" spans="1:18" x14ac:dyDescent="0.2">
      <c r="A539" s="13"/>
      <c r="B539" s="18"/>
      <c r="C539" s="19"/>
      <c r="D539" s="19"/>
      <c r="E539" s="20"/>
      <c r="F539" s="22"/>
      <c r="G539" s="22"/>
      <c r="H539" s="23"/>
      <c r="I539" s="23"/>
      <c r="J539" s="13"/>
      <c r="K539" s="18"/>
      <c r="L539" s="19"/>
      <c r="M539" s="19"/>
      <c r="N539" s="20"/>
      <c r="O539" s="22"/>
      <c r="P539" s="22"/>
      <c r="Q539" s="23"/>
      <c r="R539" s="23"/>
    </row>
    <row r="540" spans="1:18" x14ac:dyDescent="0.2">
      <c r="A540" s="13"/>
      <c r="B540" s="18"/>
      <c r="C540" s="19"/>
      <c r="D540" s="19"/>
      <c r="E540" s="20"/>
      <c r="F540" s="22"/>
      <c r="G540" s="62"/>
      <c r="H540" s="23"/>
      <c r="I540" s="23"/>
      <c r="J540" s="13"/>
      <c r="K540" s="18"/>
      <c r="L540" s="19"/>
      <c r="M540" s="19"/>
      <c r="N540" s="20"/>
      <c r="O540" s="22"/>
      <c r="P540" s="22"/>
      <c r="Q540" s="23"/>
      <c r="R540" s="23"/>
    </row>
    <row r="541" spans="1:18" x14ac:dyDescent="0.2">
      <c r="A541" s="13"/>
      <c r="B541" s="18"/>
      <c r="C541" s="19"/>
      <c r="D541" s="19"/>
      <c r="E541" s="20"/>
      <c r="F541" s="22"/>
      <c r="G541" s="22"/>
      <c r="H541" s="23"/>
      <c r="I541" s="23"/>
      <c r="J541" s="13"/>
      <c r="K541" s="18"/>
      <c r="L541" s="19"/>
      <c r="M541" s="19"/>
      <c r="N541" s="20"/>
      <c r="O541" s="22"/>
      <c r="P541" s="22"/>
      <c r="Q541" s="23"/>
      <c r="R541" s="23"/>
    </row>
    <row r="542" spans="1:18" x14ac:dyDescent="0.2">
      <c r="A542" s="13"/>
      <c r="B542" s="18"/>
      <c r="C542" s="19"/>
      <c r="D542" s="19"/>
      <c r="E542" s="20"/>
      <c r="F542" s="22"/>
      <c r="G542" s="22"/>
      <c r="H542" s="38"/>
      <c r="I542" s="38"/>
      <c r="J542" s="13"/>
      <c r="K542" s="18"/>
      <c r="L542" s="19"/>
      <c r="M542" s="19"/>
      <c r="N542" s="20"/>
      <c r="O542" s="22"/>
      <c r="P542" s="22"/>
      <c r="Q542" s="38"/>
      <c r="R542" s="38"/>
    </row>
    <row r="543" spans="1:18" x14ac:dyDescent="0.2">
      <c r="A543" s="13"/>
      <c r="B543" s="18"/>
      <c r="C543" s="19"/>
      <c r="D543" s="19"/>
      <c r="E543" s="20"/>
      <c r="F543" s="22"/>
      <c r="G543" s="22"/>
      <c r="H543" s="38"/>
      <c r="I543" s="38"/>
      <c r="J543" s="13"/>
      <c r="K543" s="18"/>
      <c r="L543" s="19"/>
      <c r="M543" s="19"/>
      <c r="N543" s="20"/>
      <c r="O543" s="22"/>
      <c r="P543" s="22"/>
      <c r="Q543" s="38"/>
      <c r="R543" s="38"/>
    </row>
    <row r="544" spans="1:18" x14ac:dyDescent="0.2">
      <c r="A544" s="13"/>
      <c r="B544" s="18"/>
      <c r="C544" s="19"/>
      <c r="D544" s="19"/>
      <c r="E544" s="20"/>
      <c r="F544" s="22"/>
      <c r="G544" s="22"/>
      <c r="H544" s="45"/>
      <c r="I544" s="45"/>
      <c r="J544" s="13"/>
      <c r="K544" s="18"/>
      <c r="L544" s="19"/>
      <c r="M544" s="19"/>
      <c r="N544" s="20"/>
      <c r="O544" s="22"/>
      <c r="P544" s="22"/>
      <c r="Q544" s="45"/>
      <c r="R544" s="45"/>
    </row>
    <row r="545" spans="1:18" x14ac:dyDescent="0.2">
      <c r="A545" s="13"/>
      <c r="B545" s="18"/>
      <c r="C545" s="19"/>
      <c r="D545" s="19"/>
      <c r="E545" s="20"/>
      <c r="F545" s="22"/>
      <c r="G545" s="22"/>
      <c r="H545" s="45"/>
      <c r="I545" s="45"/>
      <c r="J545" s="13"/>
      <c r="K545" s="18"/>
      <c r="L545" s="19"/>
      <c r="M545" s="19"/>
      <c r="N545" s="20"/>
      <c r="O545" s="22"/>
      <c r="P545" s="22"/>
      <c r="Q545" s="45"/>
      <c r="R545" s="45"/>
    </row>
    <row r="546" spans="1:18" x14ac:dyDescent="0.2">
      <c r="A546" s="13"/>
      <c r="B546" s="18"/>
      <c r="C546" s="19"/>
      <c r="D546" s="19"/>
      <c r="E546" s="20"/>
      <c r="F546" s="22"/>
      <c r="G546" s="22"/>
      <c r="H546" s="23"/>
      <c r="I546" s="23"/>
      <c r="J546" s="13"/>
      <c r="K546" s="18"/>
      <c r="L546" s="19"/>
      <c r="M546" s="19"/>
      <c r="N546" s="20"/>
      <c r="O546" s="22"/>
      <c r="P546" s="22"/>
      <c r="Q546" s="23"/>
      <c r="R546" s="23"/>
    </row>
    <row r="547" spans="1:18" ht="15" customHeight="1" x14ac:dyDescent="0.2">
      <c r="A547" s="13"/>
      <c r="B547" s="18"/>
      <c r="C547" s="19"/>
      <c r="D547" s="19"/>
      <c r="E547" s="20"/>
      <c r="F547" s="22"/>
      <c r="G547" s="22"/>
      <c r="H547" s="23"/>
      <c r="I547" s="23"/>
      <c r="J547" s="13"/>
      <c r="K547" s="18"/>
      <c r="L547" s="19"/>
      <c r="M547" s="19"/>
      <c r="N547" s="20"/>
      <c r="O547" s="22"/>
      <c r="P547" s="22"/>
      <c r="Q547" s="23"/>
      <c r="R547" s="23"/>
    </row>
    <row r="548" spans="1:18" x14ac:dyDescent="0.2">
      <c r="A548" s="13"/>
      <c r="B548" s="18"/>
      <c r="C548" s="19"/>
      <c r="D548" s="19"/>
      <c r="E548" s="20"/>
      <c r="F548" s="22"/>
      <c r="G548" s="22"/>
      <c r="H548" s="23"/>
      <c r="I548" s="23"/>
      <c r="J548" s="13"/>
      <c r="K548" s="18"/>
      <c r="L548" s="19"/>
      <c r="M548" s="19"/>
      <c r="N548" s="20"/>
      <c r="O548" s="22"/>
      <c r="P548" s="22"/>
      <c r="Q548" s="23"/>
      <c r="R548" s="23"/>
    </row>
    <row r="549" spans="1:18" x14ac:dyDescent="0.2">
      <c r="A549" s="13"/>
      <c r="B549" s="18"/>
      <c r="C549" s="19"/>
      <c r="D549" s="19"/>
      <c r="E549" s="20"/>
      <c r="F549" s="22"/>
      <c r="G549" s="22"/>
      <c r="H549" s="23"/>
      <c r="I549" s="23"/>
      <c r="J549" s="13"/>
      <c r="K549" s="18"/>
      <c r="L549" s="19"/>
      <c r="M549" s="19"/>
      <c r="N549" s="20"/>
      <c r="O549" s="22"/>
      <c r="P549" s="22"/>
      <c r="Q549" s="23"/>
      <c r="R549" s="23"/>
    </row>
    <row r="550" spans="1:18" x14ac:dyDescent="0.2">
      <c r="A550" s="13"/>
      <c r="B550" s="18"/>
      <c r="C550" s="19"/>
      <c r="D550" s="19"/>
      <c r="E550" s="20"/>
      <c r="F550" s="22"/>
      <c r="G550" s="22"/>
      <c r="H550" s="23"/>
      <c r="I550" s="23"/>
      <c r="J550" s="13"/>
      <c r="K550" s="18"/>
      <c r="L550" s="19"/>
      <c r="M550" s="19"/>
      <c r="N550" s="20"/>
      <c r="O550" s="22"/>
      <c r="P550" s="22"/>
      <c r="Q550" s="23"/>
      <c r="R550" s="23"/>
    </row>
    <row r="551" spans="1:18" x14ac:dyDescent="0.2">
      <c r="A551" s="13"/>
      <c r="B551" s="18"/>
      <c r="C551" s="19"/>
      <c r="D551" s="19"/>
      <c r="E551" s="20"/>
      <c r="F551" s="22"/>
      <c r="G551" s="22"/>
      <c r="H551" s="23"/>
      <c r="I551" s="23"/>
      <c r="J551" s="13"/>
      <c r="K551" s="18"/>
      <c r="L551" s="19"/>
      <c r="M551" s="19"/>
      <c r="N551" s="20"/>
      <c r="O551" s="22"/>
      <c r="P551" s="22"/>
      <c r="Q551" s="23"/>
      <c r="R551" s="23"/>
    </row>
    <row r="552" spans="1:18" x14ac:dyDescent="0.2">
      <c r="A552" s="13"/>
      <c r="B552" s="18"/>
      <c r="C552" s="19"/>
      <c r="D552" s="19"/>
      <c r="E552" s="20"/>
      <c r="F552" s="22"/>
      <c r="G552" s="36"/>
      <c r="H552" s="37"/>
      <c r="I552" s="37"/>
      <c r="J552" s="13"/>
      <c r="K552" s="18"/>
      <c r="L552" s="19"/>
      <c r="M552" s="19"/>
      <c r="N552" s="20"/>
      <c r="O552" s="22"/>
      <c r="P552" s="36"/>
      <c r="Q552" s="37"/>
      <c r="R552" s="37"/>
    </row>
    <row r="553" spans="1:18" x14ac:dyDescent="0.2">
      <c r="A553" s="13"/>
      <c r="B553" s="248" t="s">
        <v>42</v>
      </c>
      <c r="C553" s="249"/>
      <c r="D553" s="249"/>
      <c r="E553" s="250"/>
      <c r="F553" s="46"/>
      <c r="G553" s="46"/>
      <c r="H553" s="47"/>
      <c r="I553" s="47">
        <f>SUM(I540:I552)</f>
        <v>0</v>
      </c>
      <c r="J553" s="13"/>
      <c r="K553" s="248" t="s">
        <v>42</v>
      </c>
      <c r="L553" s="249"/>
      <c r="M553" s="249"/>
      <c r="N553" s="250"/>
      <c r="O553" s="46"/>
      <c r="P553" s="46"/>
      <c r="Q553" s="47"/>
      <c r="R553" s="47">
        <f>SUM(R540:R552)</f>
        <v>0</v>
      </c>
    </row>
    <row r="554" spans="1:18" x14ac:dyDescent="0.2">
      <c r="A554" s="12" t="s">
        <v>43</v>
      </c>
      <c r="B554" s="48" t="s">
        <v>44</v>
      </c>
      <c r="C554" s="43"/>
      <c r="D554" s="43"/>
      <c r="E554" s="39"/>
      <c r="F554" s="49"/>
      <c r="G554" s="49"/>
      <c r="H554" s="50"/>
      <c r="I554" s="51">
        <f>SUM(I535+I553)</f>
        <v>333.49100000000004</v>
      </c>
      <c r="J554" s="12" t="s">
        <v>43</v>
      </c>
      <c r="K554" s="48" t="s">
        <v>44</v>
      </c>
      <c r="L554" s="43"/>
      <c r="M554" s="43"/>
      <c r="N554" s="39"/>
      <c r="O554" s="49"/>
      <c r="P554" s="49"/>
      <c r="Q554" s="50"/>
      <c r="R554" s="51">
        <f>SUM(R535+R553)</f>
        <v>876.94699999999989</v>
      </c>
    </row>
    <row r="555" spans="1:18" x14ac:dyDescent="0.2">
      <c r="A555" s="13" t="s">
        <v>45</v>
      </c>
      <c r="B555" s="48" t="s">
        <v>46</v>
      </c>
      <c r="C555" s="43"/>
      <c r="D555" s="43"/>
      <c r="E555" s="39"/>
      <c r="F555" s="49"/>
      <c r="G555" s="52">
        <v>0.09</v>
      </c>
      <c r="H555" s="53" t="s">
        <v>47</v>
      </c>
      <c r="I555" s="51">
        <f>G555*I554</f>
        <v>30.014190000000003</v>
      </c>
      <c r="J555" s="13" t="s">
        <v>45</v>
      </c>
      <c r="K555" s="48" t="s">
        <v>46</v>
      </c>
      <c r="L555" s="43"/>
      <c r="M555" s="43"/>
      <c r="N555" s="39"/>
      <c r="O555" s="49"/>
      <c r="P555" s="52">
        <v>0.09</v>
      </c>
      <c r="Q555" s="53" t="s">
        <v>47</v>
      </c>
      <c r="R555" s="51">
        <f>P555*R554</f>
        <v>78.925229999999985</v>
      </c>
    </row>
    <row r="556" spans="1:18" x14ac:dyDescent="0.2">
      <c r="A556" s="13" t="s">
        <v>48</v>
      </c>
      <c r="B556" s="48" t="s">
        <v>49</v>
      </c>
      <c r="C556" s="43"/>
      <c r="D556" s="43"/>
      <c r="E556" s="39"/>
      <c r="F556" s="49"/>
      <c r="G556" s="52">
        <v>0.08</v>
      </c>
      <c r="H556" s="53" t="s">
        <v>47</v>
      </c>
      <c r="I556" s="51">
        <f>G556*I554</f>
        <v>26.679280000000006</v>
      </c>
      <c r="J556" s="13" t="s">
        <v>48</v>
      </c>
      <c r="K556" s="48" t="s">
        <v>49</v>
      </c>
      <c r="L556" s="43"/>
      <c r="M556" s="43"/>
      <c r="N556" s="39"/>
      <c r="O556" s="49"/>
      <c r="P556" s="52">
        <v>0.08</v>
      </c>
      <c r="Q556" s="53" t="s">
        <v>47</v>
      </c>
      <c r="R556" s="51">
        <f>P556*R554</f>
        <v>70.155759999999987</v>
      </c>
    </row>
    <row r="557" spans="1:18" x14ac:dyDescent="0.2">
      <c r="A557" s="13" t="s">
        <v>50</v>
      </c>
      <c r="B557" s="48" t="s">
        <v>51</v>
      </c>
      <c r="C557" s="43"/>
      <c r="D557" s="43"/>
      <c r="E557" s="39"/>
      <c r="F557" s="49"/>
      <c r="G557" s="52">
        <f>5/100</f>
        <v>0.05</v>
      </c>
      <c r="H557" s="53" t="s">
        <v>52</v>
      </c>
      <c r="I557" s="51">
        <f>G557*(I554+I555+I556)</f>
        <v>19.509223500000004</v>
      </c>
      <c r="J557" s="13" t="s">
        <v>50</v>
      </c>
      <c r="K557" s="48" t="s">
        <v>51</v>
      </c>
      <c r="L557" s="43"/>
      <c r="M557" s="43"/>
      <c r="N557" s="39"/>
      <c r="O557" s="49"/>
      <c r="P557" s="52">
        <f>5/100</f>
        <v>0.05</v>
      </c>
      <c r="Q557" s="53" t="s">
        <v>52</v>
      </c>
      <c r="R557" s="51">
        <f>P557*(R554+R555+R556)</f>
        <v>51.301399499999995</v>
      </c>
    </row>
    <row r="558" spans="1:18" x14ac:dyDescent="0.2">
      <c r="A558" s="54" t="s">
        <v>53</v>
      </c>
      <c r="B558" s="48" t="s">
        <v>54</v>
      </c>
      <c r="C558" s="43"/>
      <c r="D558" s="43"/>
      <c r="E558" s="39"/>
      <c r="F558" s="49"/>
      <c r="G558" s="49"/>
      <c r="H558" s="55" t="s">
        <v>55</v>
      </c>
      <c r="I558" s="51">
        <f>SUM(I554+I555+I556+I557)</f>
        <v>409.69369350000005</v>
      </c>
      <c r="J558" s="54" t="s">
        <v>53</v>
      </c>
      <c r="K558" s="48" t="s">
        <v>54</v>
      </c>
      <c r="L558" s="43"/>
      <c r="M558" s="43"/>
      <c r="N558" s="39"/>
      <c r="O558" s="49"/>
      <c r="P558" s="49"/>
      <c r="Q558" s="55" t="s">
        <v>55</v>
      </c>
      <c r="R558" s="51">
        <f>SUM(R554+R555+R556+R557)</f>
        <v>1077.3293894999997</v>
      </c>
    </row>
    <row r="559" spans="1:18" s="1" customFormat="1" x14ac:dyDescent="0.2">
      <c r="A559" s="236" t="s">
        <v>0</v>
      </c>
      <c r="B559" s="236"/>
      <c r="C559" s="236"/>
      <c r="D559" s="236"/>
      <c r="E559" s="236"/>
      <c r="F559" s="236"/>
      <c r="G559" s="236"/>
      <c r="H559" s="236"/>
      <c r="I559" s="236"/>
      <c r="J559" s="236" t="s">
        <v>0</v>
      </c>
      <c r="K559" s="236"/>
      <c r="L559" s="236"/>
      <c r="M559" s="236"/>
      <c r="N559" s="236"/>
      <c r="O559" s="236"/>
      <c r="P559" s="236"/>
      <c r="Q559" s="236"/>
      <c r="R559" s="236"/>
    </row>
    <row r="560" spans="1:18" s="1" customFormat="1" x14ac:dyDescent="0.2">
      <c r="A560" s="10"/>
      <c r="B560" s="3"/>
      <c r="C560" s="4"/>
      <c r="D560" s="4"/>
      <c r="E560" s="5"/>
      <c r="F560" s="3"/>
      <c r="G560" s="3"/>
      <c r="H560" s="3"/>
      <c r="I560" s="3"/>
      <c r="J560" s="10"/>
      <c r="K560" s="3"/>
      <c r="L560" s="4"/>
      <c r="M560" s="4"/>
      <c r="N560" s="5"/>
      <c r="O560" s="3"/>
      <c r="P560" s="3"/>
      <c r="Q560" s="3"/>
      <c r="R560" s="3"/>
    </row>
    <row r="561" spans="1:18" x14ac:dyDescent="0.2">
      <c r="A561" s="2" t="s">
        <v>1</v>
      </c>
      <c r="C561" s="4" t="s">
        <v>2</v>
      </c>
      <c r="D561" s="5" t="s">
        <v>1148</v>
      </c>
      <c r="E561" s="2" t="s">
        <v>115</v>
      </c>
      <c r="F561" s="2"/>
      <c r="G561" s="2"/>
      <c r="H561" s="2"/>
      <c r="J561" s="2" t="s">
        <v>1</v>
      </c>
      <c r="L561" s="4" t="s">
        <v>2</v>
      </c>
      <c r="M561" s="5" t="s">
        <v>116</v>
      </c>
      <c r="N561" s="2" t="s">
        <v>117</v>
      </c>
      <c r="O561" s="2"/>
      <c r="P561" s="2"/>
      <c r="Q561" s="2"/>
    </row>
    <row r="562" spans="1:18" ht="15" customHeight="1" x14ac:dyDescent="0.2">
      <c r="A562" s="2" t="s">
        <v>7</v>
      </c>
      <c r="C562" s="4" t="s">
        <v>2</v>
      </c>
      <c r="E562" s="2" t="s">
        <v>9</v>
      </c>
      <c r="F562" s="8"/>
      <c r="G562" s="8"/>
      <c r="H562" s="8"/>
      <c r="J562" s="2" t="s">
        <v>7</v>
      </c>
      <c r="L562" s="4" t="s">
        <v>2</v>
      </c>
      <c r="N562" s="2" t="s">
        <v>9</v>
      </c>
      <c r="O562" s="8"/>
      <c r="P562" s="8"/>
      <c r="Q562" s="8"/>
    </row>
    <row r="563" spans="1:18" x14ac:dyDescent="0.2">
      <c r="A563" s="2" t="s">
        <v>10</v>
      </c>
      <c r="C563" s="4" t="s">
        <v>2</v>
      </c>
      <c r="E563" s="9">
        <v>2</v>
      </c>
      <c r="F563" s="8"/>
      <c r="G563" s="8"/>
      <c r="H563" s="8"/>
      <c r="J563" s="2" t="s">
        <v>10</v>
      </c>
      <c r="L563" s="4" t="s">
        <v>2</v>
      </c>
      <c r="N563" s="9">
        <v>20</v>
      </c>
      <c r="O563" s="8"/>
      <c r="P563" s="8"/>
      <c r="Q563" s="8"/>
    </row>
    <row r="564" spans="1:18" x14ac:dyDescent="0.2">
      <c r="B564" s="8"/>
      <c r="F564" s="11"/>
      <c r="G564" s="8"/>
      <c r="H564" s="8"/>
      <c r="I564" s="8"/>
      <c r="K564" s="8"/>
      <c r="O564" s="11"/>
      <c r="P564" s="8"/>
      <c r="Q564" s="8"/>
      <c r="R564" s="8"/>
    </row>
    <row r="565" spans="1:18" x14ac:dyDescent="0.2">
      <c r="A565" s="12"/>
      <c r="B565" s="238" t="s">
        <v>11</v>
      </c>
      <c r="C565" s="239"/>
      <c r="D565" s="239"/>
      <c r="E565" s="240"/>
      <c r="F565" s="244" t="s">
        <v>12</v>
      </c>
      <c r="G565" s="244" t="s">
        <v>13</v>
      </c>
      <c r="H565" s="244" t="s">
        <v>14</v>
      </c>
      <c r="I565" s="246" t="s">
        <v>15</v>
      </c>
      <c r="J565" s="12"/>
      <c r="K565" s="238" t="s">
        <v>11</v>
      </c>
      <c r="L565" s="239"/>
      <c r="M565" s="239"/>
      <c r="N565" s="240"/>
      <c r="O565" s="244" t="s">
        <v>12</v>
      </c>
      <c r="P565" s="244" t="s">
        <v>13</v>
      </c>
      <c r="Q565" s="244" t="s">
        <v>14</v>
      </c>
      <c r="R565" s="246" t="s">
        <v>15</v>
      </c>
    </row>
    <row r="566" spans="1:18" x14ac:dyDescent="0.2">
      <c r="A566" s="13"/>
      <c r="B566" s="241"/>
      <c r="C566" s="242"/>
      <c r="D566" s="242"/>
      <c r="E566" s="243"/>
      <c r="F566" s="245"/>
      <c r="G566" s="245"/>
      <c r="H566" s="245"/>
      <c r="I566" s="247"/>
      <c r="J566" s="13"/>
      <c r="K566" s="241"/>
      <c r="L566" s="242"/>
      <c r="M566" s="242"/>
      <c r="N566" s="243"/>
      <c r="O566" s="245"/>
      <c r="P566" s="245"/>
      <c r="Q566" s="245"/>
      <c r="R566" s="247"/>
    </row>
    <row r="567" spans="1:18" x14ac:dyDescent="0.2">
      <c r="A567" s="13" t="s">
        <v>16</v>
      </c>
      <c r="B567" s="14" t="s">
        <v>17</v>
      </c>
      <c r="C567" s="15"/>
      <c r="D567" s="15"/>
      <c r="E567" s="16"/>
      <c r="F567" s="17"/>
      <c r="G567" s="17"/>
      <c r="H567" s="17"/>
      <c r="I567" s="17"/>
      <c r="J567" s="13" t="s">
        <v>16</v>
      </c>
      <c r="K567" s="14" t="s">
        <v>17</v>
      </c>
      <c r="L567" s="15"/>
      <c r="M567" s="15"/>
      <c r="N567" s="16"/>
      <c r="O567" s="17"/>
      <c r="P567" s="17"/>
      <c r="Q567" s="17"/>
      <c r="R567" s="17"/>
    </row>
    <row r="568" spans="1:18" x14ac:dyDescent="0.2">
      <c r="A568" s="13"/>
      <c r="B568" s="18"/>
      <c r="C568" s="19"/>
      <c r="D568" s="19"/>
      <c r="E568" s="20"/>
      <c r="F568" s="21"/>
      <c r="G568" s="22"/>
      <c r="H568" s="21"/>
      <c r="I568" s="21"/>
      <c r="J568" s="13"/>
      <c r="K568" s="18"/>
      <c r="L568" s="19"/>
      <c r="M568" s="19"/>
      <c r="N568" s="20"/>
      <c r="O568" s="21"/>
      <c r="P568" s="22"/>
      <c r="Q568" s="21"/>
      <c r="R568" s="21"/>
    </row>
    <row r="569" spans="1:18" x14ac:dyDescent="0.2">
      <c r="A569" s="13"/>
      <c r="B569" s="24" t="s">
        <v>18</v>
      </c>
      <c r="C569" s="25"/>
      <c r="D569" s="25"/>
      <c r="E569" s="26"/>
      <c r="F569" s="22">
        <v>1</v>
      </c>
      <c r="G569" s="62">
        <f>16/16</f>
        <v>1</v>
      </c>
      <c r="H569" s="23">
        <v>69.42</v>
      </c>
      <c r="I569" s="23">
        <f>G569*H569*F569</f>
        <v>69.42</v>
      </c>
      <c r="J569" s="13"/>
      <c r="K569" s="24" t="s">
        <v>18</v>
      </c>
      <c r="L569" s="25"/>
      <c r="M569" s="25"/>
      <c r="N569" s="26"/>
      <c r="O569" s="22">
        <v>1</v>
      </c>
      <c r="P569" s="62">
        <f>16/16</f>
        <v>1</v>
      </c>
      <c r="Q569" s="23">
        <v>69.42</v>
      </c>
      <c r="R569" s="23">
        <f>P569*Q569*O569</f>
        <v>69.42</v>
      </c>
    </row>
    <row r="570" spans="1:18" x14ac:dyDescent="0.2">
      <c r="A570" s="13"/>
      <c r="B570" s="257" t="s">
        <v>1178</v>
      </c>
      <c r="C570" s="258"/>
      <c r="D570" s="25"/>
      <c r="E570" s="26"/>
      <c r="F570" s="22">
        <v>1</v>
      </c>
      <c r="G570" s="62">
        <f>G569</f>
        <v>1</v>
      </c>
      <c r="H570" s="23">
        <v>50.18</v>
      </c>
      <c r="I570" s="23">
        <f>G570*H570*F570</f>
        <v>50.18</v>
      </c>
      <c r="J570" s="13"/>
      <c r="K570" s="257" t="s">
        <v>1178</v>
      </c>
      <c r="L570" s="258"/>
      <c r="M570" s="25"/>
      <c r="N570" s="26"/>
      <c r="O570" s="22">
        <v>1</v>
      </c>
      <c r="P570" s="62">
        <f>P569</f>
        <v>1</v>
      </c>
      <c r="Q570" s="23">
        <v>50.18</v>
      </c>
      <c r="R570" s="23">
        <f>P570*Q570*O570</f>
        <v>50.18</v>
      </c>
    </row>
    <row r="571" spans="1:18" x14ac:dyDescent="0.2">
      <c r="A571" s="13"/>
      <c r="B571" s="257" t="s">
        <v>1177</v>
      </c>
      <c r="C571" s="258"/>
      <c r="D571" s="19"/>
      <c r="E571" s="20"/>
      <c r="F571" s="22">
        <v>2</v>
      </c>
      <c r="G571" s="62">
        <f>G569</f>
        <v>1</v>
      </c>
      <c r="H571" s="23">
        <v>38.97</v>
      </c>
      <c r="I571" s="23">
        <f>G571*H571*F571</f>
        <v>77.94</v>
      </c>
      <c r="J571" s="13"/>
      <c r="K571" s="257" t="s">
        <v>1177</v>
      </c>
      <c r="L571" s="258"/>
      <c r="M571" s="19"/>
      <c r="N571" s="20"/>
      <c r="O571" s="22">
        <v>2</v>
      </c>
      <c r="P571" s="62">
        <f>P569</f>
        <v>1</v>
      </c>
      <c r="Q571" s="23">
        <v>38.97</v>
      </c>
      <c r="R571" s="23">
        <f>P571*Q571*O571</f>
        <v>77.94</v>
      </c>
    </row>
    <row r="572" spans="1:18" x14ac:dyDescent="0.2">
      <c r="A572" s="13"/>
      <c r="B572" s="27"/>
      <c r="C572" s="19"/>
      <c r="D572" s="19"/>
      <c r="E572" s="20"/>
      <c r="F572" s="22"/>
      <c r="G572" s="22"/>
      <c r="H572" s="29"/>
      <c r="I572" s="30"/>
      <c r="J572" s="13"/>
      <c r="K572" s="27"/>
      <c r="L572" s="19"/>
      <c r="M572" s="19"/>
      <c r="N572" s="20"/>
      <c r="O572" s="22"/>
      <c r="P572" s="22"/>
      <c r="Q572" s="29"/>
      <c r="R572" s="30"/>
    </row>
    <row r="573" spans="1:18" ht="15" customHeight="1" x14ac:dyDescent="0.2">
      <c r="A573" s="13"/>
      <c r="B573" s="27"/>
      <c r="C573" s="19"/>
      <c r="D573" s="19"/>
      <c r="E573" s="20"/>
      <c r="F573" s="22"/>
      <c r="G573" s="22"/>
      <c r="H573" s="29"/>
      <c r="I573" s="30"/>
      <c r="J573" s="13"/>
      <c r="K573" s="27"/>
      <c r="L573" s="19"/>
      <c r="M573" s="19"/>
      <c r="N573" s="20"/>
      <c r="O573" s="22"/>
      <c r="P573" s="22"/>
      <c r="Q573" s="29"/>
      <c r="R573" s="30"/>
    </row>
    <row r="574" spans="1:18" x14ac:dyDescent="0.2">
      <c r="A574" s="13"/>
      <c r="B574" s="18"/>
      <c r="C574" s="19"/>
      <c r="D574" s="19"/>
      <c r="E574" s="20"/>
      <c r="F574" s="22"/>
      <c r="G574" s="22"/>
      <c r="H574" s="28"/>
      <c r="I574" s="23"/>
      <c r="J574" s="13"/>
      <c r="K574" s="18"/>
      <c r="L574" s="19"/>
      <c r="M574" s="19"/>
      <c r="N574" s="20"/>
      <c r="O574" s="22"/>
      <c r="P574" s="22"/>
      <c r="Q574" s="28"/>
      <c r="R574" s="23"/>
    </row>
    <row r="575" spans="1:18" x14ac:dyDescent="0.2">
      <c r="A575" s="13"/>
      <c r="B575" s="18"/>
      <c r="C575" s="19"/>
      <c r="D575" s="19"/>
      <c r="E575" s="20"/>
      <c r="F575" s="22"/>
      <c r="G575" s="22"/>
      <c r="H575" s="23"/>
      <c r="I575" s="23"/>
      <c r="J575" s="13"/>
      <c r="K575" s="18"/>
      <c r="L575" s="19"/>
      <c r="M575" s="19"/>
      <c r="N575" s="20"/>
      <c r="O575" s="22"/>
      <c r="P575" s="22"/>
      <c r="Q575" s="23"/>
      <c r="R575" s="23"/>
    </row>
    <row r="576" spans="1:18" x14ac:dyDescent="0.2">
      <c r="A576" s="13"/>
      <c r="B576" s="248" t="s">
        <v>20</v>
      </c>
      <c r="C576" s="249"/>
      <c r="D576" s="249"/>
      <c r="E576" s="250"/>
      <c r="F576" s="31"/>
      <c r="G576" s="31"/>
      <c r="H576" s="32"/>
      <c r="I576" s="32">
        <f>SUM(I569:I575)</f>
        <v>197.54</v>
      </c>
      <c r="J576" s="13"/>
      <c r="K576" s="248" t="s">
        <v>20</v>
      </c>
      <c r="L576" s="249"/>
      <c r="M576" s="249"/>
      <c r="N576" s="250"/>
      <c r="O576" s="31"/>
      <c r="P576" s="31"/>
      <c r="Q576" s="32"/>
      <c r="R576" s="32">
        <f>SUM(R569:R575)</f>
        <v>197.54</v>
      </c>
    </row>
    <row r="577" spans="1:18" x14ac:dyDescent="0.2">
      <c r="A577" s="12"/>
      <c r="B577" s="251" t="s">
        <v>21</v>
      </c>
      <c r="C577" s="252"/>
      <c r="D577" s="252"/>
      <c r="E577" s="253"/>
      <c r="F577" s="244" t="s">
        <v>22</v>
      </c>
      <c r="G577" s="244" t="s">
        <v>13</v>
      </c>
      <c r="H577" s="244" t="s">
        <v>14</v>
      </c>
      <c r="I577" s="246" t="s">
        <v>15</v>
      </c>
      <c r="J577" s="12"/>
      <c r="K577" s="251" t="s">
        <v>21</v>
      </c>
      <c r="L577" s="252"/>
      <c r="M577" s="252"/>
      <c r="N577" s="253"/>
      <c r="O577" s="244" t="s">
        <v>22</v>
      </c>
      <c r="P577" s="244" t="s">
        <v>13</v>
      </c>
      <c r="Q577" s="244" t="s">
        <v>14</v>
      </c>
      <c r="R577" s="246" t="s">
        <v>15</v>
      </c>
    </row>
    <row r="578" spans="1:18" x14ac:dyDescent="0.2">
      <c r="A578" s="13"/>
      <c r="B578" s="254"/>
      <c r="C578" s="255"/>
      <c r="D578" s="255"/>
      <c r="E578" s="256"/>
      <c r="F578" s="245"/>
      <c r="G578" s="245"/>
      <c r="H578" s="245"/>
      <c r="I578" s="247"/>
      <c r="J578" s="13"/>
      <c r="K578" s="254"/>
      <c r="L578" s="255"/>
      <c r="M578" s="255"/>
      <c r="N578" s="256"/>
      <c r="O578" s="245"/>
      <c r="P578" s="245"/>
      <c r="Q578" s="245"/>
      <c r="R578" s="247"/>
    </row>
    <row r="579" spans="1:18" x14ac:dyDescent="0.2">
      <c r="A579" s="13" t="s">
        <v>23</v>
      </c>
      <c r="B579" s="33" t="s">
        <v>24</v>
      </c>
      <c r="C579" s="15"/>
      <c r="D579" s="15"/>
      <c r="E579" s="16"/>
      <c r="F579" s="34"/>
      <c r="G579" s="34"/>
      <c r="H579" s="35"/>
      <c r="I579" s="35"/>
      <c r="J579" s="13" t="s">
        <v>23</v>
      </c>
      <c r="K579" s="33" t="s">
        <v>24</v>
      </c>
      <c r="L579" s="15"/>
      <c r="M579" s="15"/>
      <c r="N579" s="16"/>
      <c r="O579" s="34"/>
      <c r="P579" s="34"/>
      <c r="Q579" s="35"/>
      <c r="R579" s="35"/>
    </row>
    <row r="580" spans="1:18" x14ac:dyDescent="0.2">
      <c r="A580" s="13"/>
      <c r="B580" s="18"/>
      <c r="C580" s="19"/>
      <c r="D580" s="19"/>
      <c r="E580" s="20"/>
      <c r="F580" s="22"/>
      <c r="G580" s="22"/>
      <c r="H580" s="23"/>
      <c r="I580" s="23"/>
      <c r="J580" s="13"/>
      <c r="K580" s="18"/>
      <c r="L580" s="19"/>
      <c r="M580" s="19"/>
      <c r="N580" s="20"/>
      <c r="O580" s="22"/>
      <c r="P580" s="22"/>
      <c r="Q580" s="23"/>
      <c r="R580" s="23"/>
    </row>
    <row r="581" spans="1:18" x14ac:dyDescent="0.2">
      <c r="A581" s="13"/>
      <c r="B581" s="18" t="s">
        <v>97</v>
      </c>
      <c r="C581" s="19"/>
      <c r="D581" s="19"/>
      <c r="E581" s="20"/>
      <c r="F581" s="22">
        <v>1</v>
      </c>
      <c r="G581" s="23">
        <v>0.5</v>
      </c>
      <c r="H581" s="37">
        <v>1998.1</v>
      </c>
      <c r="I581" s="37">
        <f>G581*H581*F581</f>
        <v>999.05</v>
      </c>
      <c r="J581" s="13"/>
      <c r="K581" s="18" t="s">
        <v>99</v>
      </c>
      <c r="L581" s="19"/>
      <c r="M581" s="19"/>
      <c r="N581" s="20"/>
      <c r="O581" s="22">
        <v>1</v>
      </c>
      <c r="P581" s="23">
        <v>1</v>
      </c>
      <c r="Q581" s="37">
        <v>1537</v>
      </c>
      <c r="R581" s="37">
        <f>P581*Q581*O581</f>
        <v>1537</v>
      </c>
    </row>
    <row r="582" spans="1:18" ht="17.25" customHeight="1" x14ac:dyDescent="0.2">
      <c r="A582" s="13"/>
      <c r="B582" s="18" t="s">
        <v>1146</v>
      </c>
      <c r="C582" s="19"/>
      <c r="D582" s="19"/>
      <c r="E582" s="20"/>
      <c r="F582" s="22">
        <v>1</v>
      </c>
      <c r="G582" s="23">
        <v>0.25</v>
      </c>
      <c r="H582" s="37">
        <v>1537</v>
      </c>
      <c r="I582" s="37">
        <f>G582*H582*F582</f>
        <v>384.25</v>
      </c>
      <c r="J582" s="13"/>
      <c r="K582" s="18" t="s">
        <v>1132</v>
      </c>
      <c r="L582" s="19"/>
      <c r="M582" s="19"/>
      <c r="N582" s="20"/>
      <c r="O582" s="22">
        <v>2</v>
      </c>
      <c r="P582" s="23">
        <f>16/16</f>
        <v>1</v>
      </c>
      <c r="Q582" s="37">
        <v>1420</v>
      </c>
      <c r="R582" s="37">
        <f>P582*Q582*O582</f>
        <v>2840</v>
      </c>
    </row>
    <row r="583" spans="1:18" ht="17.25" customHeight="1" x14ac:dyDescent="0.2">
      <c r="A583" s="13"/>
      <c r="B583" s="18" t="s">
        <v>1147</v>
      </c>
      <c r="C583" s="19"/>
      <c r="D583" s="19"/>
      <c r="E583" s="20"/>
      <c r="F583" s="22">
        <v>1</v>
      </c>
      <c r="G583" s="23">
        <v>0.5</v>
      </c>
      <c r="H583" s="37">
        <v>1420</v>
      </c>
      <c r="I583" s="37">
        <f>G583*H583*F583</f>
        <v>710</v>
      </c>
      <c r="J583" s="13"/>
      <c r="K583" s="18" t="s">
        <v>1192</v>
      </c>
      <c r="L583" s="19"/>
      <c r="M583" s="19"/>
      <c r="N583" s="20"/>
      <c r="O583" s="22"/>
      <c r="P583" s="36"/>
      <c r="R583" s="37">
        <f>R576*0.1</f>
        <v>19.754000000000001</v>
      </c>
    </row>
    <row r="584" spans="1:18" x14ac:dyDescent="0.2">
      <c r="A584" s="13"/>
      <c r="B584" s="18" t="s">
        <v>108</v>
      </c>
      <c r="C584" s="19"/>
      <c r="D584" s="19"/>
      <c r="E584" s="20"/>
      <c r="F584" s="22">
        <v>1</v>
      </c>
      <c r="G584" s="23">
        <v>1</v>
      </c>
      <c r="H584" s="37">
        <v>45.45</v>
      </c>
      <c r="I584" s="37">
        <f>G584*H584*F584</f>
        <v>45.45</v>
      </c>
      <c r="J584" s="13"/>
      <c r="O584" s="21"/>
      <c r="P584" s="21"/>
      <c r="Q584" s="21"/>
      <c r="R584" s="37"/>
    </row>
    <row r="585" spans="1:18" x14ac:dyDescent="0.2">
      <c r="A585" s="13"/>
      <c r="B585" s="18"/>
      <c r="C585" s="19"/>
      <c r="D585" s="19"/>
      <c r="E585" s="20"/>
      <c r="F585" s="22"/>
      <c r="G585" s="36"/>
      <c r="H585" s="37"/>
      <c r="I585" s="37"/>
      <c r="J585" s="13"/>
      <c r="K585" s="18"/>
      <c r="L585" s="19"/>
      <c r="M585" s="19"/>
      <c r="N585" s="20"/>
      <c r="O585" s="22"/>
      <c r="P585" s="36"/>
      <c r="Q585" s="37"/>
      <c r="R585" s="37"/>
    </row>
    <row r="586" spans="1:18" x14ac:dyDescent="0.2">
      <c r="A586" s="13"/>
      <c r="B586" s="18" t="s">
        <v>101</v>
      </c>
      <c r="C586" s="19"/>
      <c r="D586" s="19"/>
      <c r="E586" s="20"/>
      <c r="F586" s="22"/>
      <c r="G586" s="36"/>
      <c r="H586" s="38"/>
      <c r="I586" s="38"/>
      <c r="J586" s="13"/>
      <c r="K586" s="18"/>
      <c r="L586" s="19"/>
      <c r="M586" s="19"/>
      <c r="N586" s="20"/>
      <c r="O586" s="22"/>
      <c r="P586" s="36"/>
      <c r="Q586" s="38"/>
      <c r="R586" s="38"/>
    </row>
    <row r="587" spans="1:18" x14ac:dyDescent="0.2">
      <c r="A587" s="13"/>
      <c r="C587" s="19"/>
      <c r="D587" s="19"/>
      <c r="E587" s="20"/>
      <c r="F587" s="22"/>
      <c r="G587" s="36"/>
      <c r="H587" s="38"/>
      <c r="I587" s="38"/>
      <c r="J587" s="13"/>
      <c r="K587" s="18"/>
      <c r="L587" s="19"/>
      <c r="M587" s="19"/>
      <c r="N587" s="20"/>
      <c r="O587" s="22"/>
      <c r="P587" s="36"/>
      <c r="Q587" s="38"/>
      <c r="R587" s="38"/>
    </row>
    <row r="588" spans="1:18" x14ac:dyDescent="0.2">
      <c r="A588" s="13"/>
      <c r="B588" s="18"/>
      <c r="C588" s="19"/>
      <c r="D588" s="19"/>
      <c r="E588" s="20"/>
      <c r="F588" s="22"/>
      <c r="G588" s="36"/>
      <c r="H588" s="38"/>
      <c r="I588" s="38"/>
      <c r="J588" s="13"/>
      <c r="K588" s="18"/>
      <c r="L588" s="19"/>
      <c r="M588" s="19"/>
      <c r="N588" s="20"/>
      <c r="O588" s="22"/>
      <c r="P588" s="36"/>
      <c r="Q588" s="38"/>
      <c r="R588" s="38"/>
    </row>
    <row r="589" spans="1:18" x14ac:dyDescent="0.2">
      <c r="A589" s="13"/>
      <c r="B589" s="18"/>
      <c r="C589" s="19"/>
      <c r="D589" s="19"/>
      <c r="E589" s="20"/>
      <c r="F589" s="22"/>
      <c r="G589" s="36"/>
      <c r="H589" s="38"/>
      <c r="I589" s="38"/>
      <c r="J589" s="13"/>
      <c r="K589" s="18"/>
      <c r="L589" s="19"/>
      <c r="M589" s="19"/>
      <c r="N589" s="20"/>
      <c r="O589" s="22"/>
      <c r="P589" s="36"/>
      <c r="Q589" s="38"/>
      <c r="R589" s="38"/>
    </row>
    <row r="590" spans="1:18" x14ac:dyDescent="0.2">
      <c r="A590" s="13"/>
      <c r="B590" s="18"/>
      <c r="C590" s="19"/>
      <c r="D590" s="19"/>
      <c r="E590" s="20"/>
      <c r="F590" s="22"/>
      <c r="G590" s="36"/>
      <c r="H590" s="37"/>
      <c r="I590" s="37"/>
      <c r="J590" s="13"/>
      <c r="K590" s="18"/>
      <c r="L590" s="19"/>
      <c r="M590" s="19"/>
      <c r="N590" s="20"/>
      <c r="O590" s="22"/>
      <c r="P590" s="36"/>
      <c r="Q590" s="37"/>
      <c r="R590" s="37"/>
    </row>
    <row r="591" spans="1:18" x14ac:dyDescent="0.2">
      <c r="A591" s="13"/>
      <c r="B591" s="18"/>
      <c r="C591" s="19"/>
      <c r="D591" s="19"/>
      <c r="E591" s="20"/>
      <c r="F591" s="22"/>
      <c r="G591" s="36"/>
      <c r="H591" s="37"/>
      <c r="I591" s="37"/>
      <c r="J591" s="13"/>
      <c r="K591" s="18"/>
      <c r="L591" s="19"/>
      <c r="M591" s="19"/>
      <c r="N591" s="20"/>
      <c r="O591" s="22"/>
      <c r="P591" s="36"/>
      <c r="Q591" s="37"/>
      <c r="R591" s="37"/>
    </row>
    <row r="592" spans="1:18" x14ac:dyDescent="0.2">
      <c r="A592" s="13"/>
      <c r="B592" s="18"/>
      <c r="C592" s="19"/>
      <c r="D592" s="19"/>
      <c r="E592" s="20"/>
      <c r="F592" s="22"/>
      <c r="G592" s="36"/>
      <c r="H592" s="37"/>
      <c r="I592" s="37"/>
      <c r="J592" s="13"/>
      <c r="K592" s="18"/>
      <c r="L592" s="19"/>
      <c r="M592" s="19"/>
      <c r="N592" s="20"/>
      <c r="O592" s="22"/>
      <c r="P592" s="36"/>
      <c r="Q592" s="37"/>
      <c r="R592" s="37"/>
    </row>
    <row r="593" spans="1:18" ht="15" customHeight="1" x14ac:dyDescent="0.2">
      <c r="A593" s="13"/>
      <c r="B593" s="18"/>
      <c r="C593" s="19"/>
      <c r="D593" s="19"/>
      <c r="E593" s="20"/>
      <c r="F593" s="22"/>
      <c r="G593" s="22"/>
      <c r="H593" s="23"/>
      <c r="I593" s="23"/>
      <c r="J593" s="13"/>
      <c r="K593" s="18"/>
      <c r="L593" s="19"/>
      <c r="M593" s="19"/>
      <c r="N593" s="20"/>
      <c r="O593" s="22"/>
      <c r="P593" s="22"/>
      <c r="Q593" s="23"/>
      <c r="R593" s="23"/>
    </row>
    <row r="594" spans="1:18" x14ac:dyDescent="0.2">
      <c r="A594" s="13"/>
      <c r="B594" s="248" t="s">
        <v>30</v>
      </c>
      <c r="C594" s="249"/>
      <c r="D594" s="249"/>
      <c r="E594" s="250"/>
      <c r="F594" s="22"/>
      <c r="G594" s="22"/>
      <c r="H594" s="23"/>
      <c r="I594" s="23">
        <f>SUM(I581:I593)</f>
        <v>2138.75</v>
      </c>
      <c r="J594" s="13"/>
      <c r="K594" s="248" t="s">
        <v>30</v>
      </c>
      <c r="L594" s="249"/>
      <c r="M594" s="249"/>
      <c r="N594" s="250"/>
      <c r="O594" s="22"/>
      <c r="P594" s="22"/>
      <c r="Q594" s="23"/>
      <c r="R594" s="23">
        <f>SUM(R581:R593)</f>
        <v>4396.7539999999999</v>
      </c>
    </row>
    <row r="595" spans="1:18" x14ac:dyDescent="0.2">
      <c r="A595" s="12" t="s">
        <v>31</v>
      </c>
      <c r="B595" s="260" t="s">
        <v>32</v>
      </c>
      <c r="C595" s="261"/>
      <c r="D595" s="261"/>
      <c r="E595" s="261"/>
      <c r="F595" s="39"/>
      <c r="G595" s="39"/>
      <c r="H595" s="40"/>
      <c r="I595" s="41">
        <f>SUM(I594+I576)</f>
        <v>2336.29</v>
      </c>
      <c r="J595" s="12" t="s">
        <v>31</v>
      </c>
      <c r="K595" s="260" t="s">
        <v>32</v>
      </c>
      <c r="L595" s="261"/>
      <c r="M595" s="261"/>
      <c r="N595" s="261"/>
      <c r="O595" s="39"/>
      <c r="P595" s="39"/>
      <c r="Q595" s="40"/>
      <c r="R595" s="41">
        <f>SUM(R594+R576)</f>
        <v>4594.2939999999999</v>
      </c>
    </row>
    <row r="596" spans="1:18" x14ac:dyDescent="0.2">
      <c r="A596" s="13" t="s">
        <v>33</v>
      </c>
      <c r="B596" s="264">
        <f>E563</f>
        <v>2</v>
      </c>
      <c r="C596" s="265"/>
      <c r="D596" s="265"/>
      <c r="E596" s="265"/>
      <c r="F596" s="265"/>
      <c r="G596" s="265"/>
      <c r="H596" s="40"/>
      <c r="I596" s="41"/>
      <c r="J596" s="13" t="s">
        <v>33</v>
      </c>
      <c r="K596" s="264">
        <f>N563</f>
        <v>20</v>
      </c>
      <c r="L596" s="265"/>
      <c r="M596" s="265"/>
      <c r="N596" s="265"/>
      <c r="O596" s="265"/>
      <c r="P596" s="265"/>
      <c r="Q596" s="40"/>
      <c r="R596" s="41"/>
    </row>
    <row r="597" spans="1:18" x14ac:dyDescent="0.2">
      <c r="A597" s="13" t="s">
        <v>34</v>
      </c>
      <c r="B597" s="42" t="s">
        <v>35</v>
      </c>
      <c r="C597" s="43"/>
      <c r="D597" s="43"/>
      <c r="E597" s="39"/>
      <c r="F597" s="44"/>
      <c r="G597" s="44"/>
      <c r="H597" s="40"/>
      <c r="I597" s="41">
        <f>I595/E563</f>
        <v>1168.145</v>
      </c>
      <c r="J597" s="13" t="s">
        <v>34</v>
      </c>
      <c r="K597" s="42" t="s">
        <v>35</v>
      </c>
      <c r="L597" s="43"/>
      <c r="M597" s="43"/>
      <c r="N597" s="39"/>
      <c r="O597" s="44"/>
      <c r="P597" s="44"/>
      <c r="Q597" s="40"/>
      <c r="R597" s="41">
        <f>R595/N563</f>
        <v>229.71469999999999</v>
      </c>
    </row>
    <row r="598" spans="1:18" x14ac:dyDescent="0.2">
      <c r="A598" s="12"/>
      <c r="B598" s="251" t="s">
        <v>36</v>
      </c>
      <c r="C598" s="252"/>
      <c r="D598" s="252"/>
      <c r="E598" s="253"/>
      <c r="F598" s="244" t="s">
        <v>37</v>
      </c>
      <c r="G598" s="244" t="s">
        <v>38</v>
      </c>
      <c r="H598" s="244" t="s">
        <v>39</v>
      </c>
      <c r="I598" s="246" t="s">
        <v>15</v>
      </c>
      <c r="J598" s="12"/>
      <c r="K598" s="251" t="s">
        <v>36</v>
      </c>
      <c r="L598" s="252"/>
      <c r="M598" s="252"/>
      <c r="N598" s="253"/>
      <c r="O598" s="244" t="s">
        <v>37</v>
      </c>
      <c r="P598" s="244" t="s">
        <v>38</v>
      </c>
      <c r="Q598" s="244" t="s">
        <v>39</v>
      </c>
      <c r="R598" s="246" t="s">
        <v>15</v>
      </c>
    </row>
    <row r="599" spans="1:18" x14ac:dyDescent="0.2">
      <c r="A599" s="13"/>
      <c r="B599" s="254"/>
      <c r="C599" s="255"/>
      <c r="D599" s="255"/>
      <c r="E599" s="256"/>
      <c r="F599" s="245"/>
      <c r="G599" s="245"/>
      <c r="H599" s="245"/>
      <c r="I599" s="247"/>
      <c r="J599" s="13"/>
      <c r="K599" s="254"/>
      <c r="L599" s="255"/>
      <c r="M599" s="255"/>
      <c r="N599" s="256"/>
      <c r="O599" s="245"/>
      <c r="P599" s="245"/>
      <c r="Q599" s="245"/>
      <c r="R599" s="247"/>
    </row>
    <row r="600" spans="1:18" x14ac:dyDescent="0.2">
      <c r="A600" s="13" t="s">
        <v>40</v>
      </c>
      <c r="B600" s="18" t="s">
        <v>41</v>
      </c>
      <c r="C600" s="19"/>
      <c r="D600" s="19"/>
      <c r="E600" s="20"/>
      <c r="F600" s="22"/>
      <c r="G600" s="22"/>
      <c r="H600" s="23"/>
      <c r="I600" s="23"/>
      <c r="J600" s="13" t="s">
        <v>40</v>
      </c>
      <c r="K600" s="18" t="s">
        <v>41</v>
      </c>
      <c r="L600" s="19"/>
      <c r="M600" s="19"/>
      <c r="N600" s="20"/>
      <c r="O600" s="22"/>
      <c r="P600" s="22"/>
      <c r="Q600" s="23"/>
      <c r="R600" s="23"/>
    </row>
    <row r="601" spans="1:18" x14ac:dyDescent="0.2">
      <c r="A601" s="13"/>
      <c r="B601" s="18"/>
      <c r="C601" s="19"/>
      <c r="D601" s="19"/>
      <c r="E601" s="20"/>
      <c r="F601" s="22"/>
      <c r="G601" s="22"/>
      <c r="H601" s="23"/>
      <c r="I601" s="23"/>
      <c r="J601" s="13"/>
      <c r="K601" s="18"/>
      <c r="L601" s="19"/>
      <c r="M601" s="19"/>
      <c r="N601" s="20"/>
      <c r="O601" s="22"/>
      <c r="P601" s="22"/>
      <c r="Q601" s="23"/>
      <c r="R601" s="23"/>
    </row>
    <row r="602" spans="1:18" x14ac:dyDescent="0.2">
      <c r="A602" s="13"/>
      <c r="B602" s="18" t="s">
        <v>118</v>
      </c>
      <c r="C602" s="19"/>
      <c r="D602" s="19"/>
      <c r="E602" s="20"/>
      <c r="F602" s="22" t="s">
        <v>103</v>
      </c>
      <c r="G602" s="62">
        <v>0.1</v>
      </c>
      <c r="H602" s="107">
        <v>2500</v>
      </c>
      <c r="I602" s="23">
        <f>G602*H602</f>
        <v>250</v>
      </c>
      <c r="J602" s="13"/>
      <c r="K602" s="18"/>
      <c r="L602" s="19"/>
      <c r="M602" s="19"/>
      <c r="N602" s="20"/>
      <c r="O602" s="22"/>
      <c r="P602" s="62"/>
      <c r="Q602" s="23"/>
      <c r="R602" s="23"/>
    </row>
    <row r="603" spans="1:18" x14ac:dyDescent="0.2">
      <c r="A603" s="13"/>
      <c r="B603" s="18"/>
      <c r="C603" s="19"/>
      <c r="D603" s="19"/>
      <c r="E603" s="20"/>
      <c r="F603" s="22"/>
      <c r="G603" s="22"/>
      <c r="H603" s="23"/>
      <c r="I603" s="23"/>
      <c r="J603" s="13"/>
      <c r="K603" s="18"/>
      <c r="L603" s="19"/>
      <c r="M603" s="19"/>
      <c r="N603" s="20"/>
      <c r="O603" s="22"/>
      <c r="P603" s="22"/>
      <c r="Q603" s="23"/>
      <c r="R603" s="23"/>
    </row>
    <row r="604" spans="1:18" x14ac:dyDescent="0.2">
      <c r="A604" s="13"/>
      <c r="B604" s="18"/>
      <c r="C604" s="19"/>
      <c r="D604" s="19"/>
      <c r="E604" s="20"/>
      <c r="F604" s="22"/>
      <c r="G604" s="22"/>
      <c r="H604" s="38"/>
      <c r="I604" s="38"/>
      <c r="J604" s="13"/>
      <c r="K604" s="18"/>
      <c r="L604" s="19"/>
      <c r="M604" s="19"/>
      <c r="N604" s="20"/>
      <c r="O604" s="22"/>
      <c r="P604" s="22"/>
      <c r="Q604" s="38"/>
      <c r="R604" s="38"/>
    </row>
    <row r="605" spans="1:18" x14ac:dyDescent="0.2">
      <c r="A605" s="13"/>
      <c r="B605" s="18"/>
      <c r="C605" s="19"/>
      <c r="D605" s="19"/>
      <c r="E605" s="20"/>
      <c r="F605" s="22"/>
      <c r="G605" s="22"/>
      <c r="H605" s="38"/>
      <c r="I605" s="38"/>
      <c r="J605" s="13"/>
      <c r="K605" s="18"/>
      <c r="L605" s="19"/>
      <c r="M605" s="19"/>
      <c r="N605" s="20"/>
      <c r="O605" s="22"/>
      <c r="P605" s="22"/>
      <c r="Q605" s="38"/>
      <c r="R605" s="38"/>
    </row>
    <row r="606" spans="1:18" x14ac:dyDescent="0.2">
      <c r="A606" s="13"/>
      <c r="B606" s="18"/>
      <c r="C606" s="19"/>
      <c r="D606" s="19"/>
      <c r="E606" s="20"/>
      <c r="F606" s="22"/>
      <c r="G606" s="22"/>
      <c r="H606" s="45"/>
      <c r="I606" s="45"/>
      <c r="J606" s="13"/>
      <c r="K606" s="18"/>
      <c r="L606" s="19"/>
      <c r="M606" s="19"/>
      <c r="N606" s="20"/>
      <c r="O606" s="22"/>
      <c r="P606" s="22"/>
      <c r="Q606" s="45"/>
      <c r="R606" s="45"/>
    </row>
    <row r="607" spans="1:18" x14ac:dyDescent="0.2">
      <c r="A607" s="13"/>
      <c r="B607" s="18"/>
      <c r="C607" s="19"/>
      <c r="D607" s="19"/>
      <c r="E607" s="20"/>
      <c r="F607" s="22"/>
      <c r="G607" s="22"/>
      <c r="H607" s="45"/>
      <c r="I607" s="45"/>
      <c r="J607" s="13"/>
      <c r="K607" s="18"/>
      <c r="L607" s="19"/>
      <c r="M607" s="19"/>
      <c r="N607" s="20"/>
      <c r="O607" s="22"/>
      <c r="P607" s="22"/>
      <c r="Q607" s="45"/>
      <c r="R607" s="45"/>
    </row>
    <row r="608" spans="1:18" x14ac:dyDescent="0.2">
      <c r="A608" s="13"/>
      <c r="B608" s="18"/>
      <c r="C608" s="19"/>
      <c r="D608" s="19"/>
      <c r="E608" s="20"/>
      <c r="F608" s="22"/>
      <c r="G608" s="22"/>
      <c r="H608" s="23"/>
      <c r="I608" s="23"/>
      <c r="J608" s="13"/>
      <c r="K608" s="18"/>
      <c r="L608" s="19"/>
      <c r="M608" s="19"/>
      <c r="N608" s="20"/>
      <c r="O608" s="22"/>
      <c r="P608" s="22"/>
      <c r="Q608" s="23"/>
      <c r="R608" s="23"/>
    </row>
    <row r="609" spans="1:18" ht="15" customHeight="1" x14ac:dyDescent="0.2">
      <c r="A609" s="13"/>
      <c r="B609" s="18"/>
      <c r="C609" s="19"/>
      <c r="D609" s="19"/>
      <c r="E609" s="20"/>
      <c r="F609" s="22"/>
      <c r="G609" s="22"/>
      <c r="H609" s="23"/>
      <c r="I609" s="23"/>
      <c r="J609" s="13"/>
      <c r="K609" s="18"/>
      <c r="L609" s="19"/>
      <c r="M609" s="19"/>
      <c r="N609" s="20"/>
      <c r="O609" s="22"/>
      <c r="P609" s="22"/>
      <c r="Q609" s="23"/>
      <c r="R609" s="23"/>
    </row>
    <row r="610" spans="1:18" x14ac:dyDescent="0.2">
      <c r="A610" s="13"/>
      <c r="B610" s="18"/>
      <c r="C610" s="19"/>
      <c r="D610" s="19"/>
      <c r="E610" s="20"/>
      <c r="F610" s="22"/>
      <c r="G610" s="22"/>
      <c r="H610" s="23"/>
      <c r="I610" s="23"/>
      <c r="J610" s="13"/>
      <c r="K610" s="18"/>
      <c r="L610" s="19"/>
      <c r="M610" s="19"/>
      <c r="N610" s="20"/>
      <c r="O610" s="22"/>
      <c r="P610" s="22"/>
      <c r="Q610" s="23"/>
      <c r="R610" s="23"/>
    </row>
    <row r="611" spans="1:18" x14ac:dyDescent="0.2">
      <c r="A611" s="13"/>
      <c r="B611" s="18"/>
      <c r="C611" s="19"/>
      <c r="D611" s="19"/>
      <c r="E611" s="20"/>
      <c r="F611" s="22"/>
      <c r="G611" s="22"/>
      <c r="H611" s="23"/>
      <c r="I611" s="23"/>
      <c r="J611" s="13"/>
      <c r="K611" s="18"/>
      <c r="L611" s="19"/>
      <c r="M611" s="19"/>
      <c r="N611" s="20"/>
      <c r="O611" s="22"/>
      <c r="P611" s="22"/>
      <c r="Q611" s="23"/>
      <c r="R611" s="23"/>
    </row>
    <row r="612" spans="1:18" x14ac:dyDescent="0.2">
      <c r="A612" s="13"/>
      <c r="B612" s="18"/>
      <c r="C612" s="19"/>
      <c r="D612" s="19"/>
      <c r="E612" s="20"/>
      <c r="F612" s="22"/>
      <c r="G612" s="22"/>
      <c r="H612" s="23"/>
      <c r="I612" s="23"/>
      <c r="J612" s="13"/>
      <c r="K612" s="18"/>
      <c r="L612" s="19"/>
      <c r="M612" s="19"/>
      <c r="N612" s="20"/>
      <c r="O612" s="22"/>
      <c r="P612" s="22"/>
      <c r="Q612" s="23"/>
      <c r="R612" s="23"/>
    </row>
    <row r="613" spans="1:18" x14ac:dyDescent="0.2">
      <c r="A613" s="13"/>
      <c r="B613" s="18"/>
      <c r="C613" s="19"/>
      <c r="D613" s="19"/>
      <c r="E613" s="20"/>
      <c r="F613" s="22"/>
      <c r="G613" s="22"/>
      <c r="H613" s="23"/>
      <c r="I613" s="23"/>
      <c r="J613" s="13"/>
      <c r="K613" s="18"/>
      <c r="L613" s="19"/>
      <c r="M613" s="19"/>
      <c r="N613" s="20"/>
      <c r="O613" s="22"/>
      <c r="P613" s="22"/>
      <c r="Q613" s="23"/>
      <c r="R613" s="23"/>
    </row>
    <row r="614" spans="1:18" x14ac:dyDescent="0.2">
      <c r="A614" s="13"/>
      <c r="B614" s="18"/>
      <c r="C614" s="19"/>
      <c r="D614" s="19"/>
      <c r="E614" s="20"/>
      <c r="F614" s="22"/>
      <c r="G614" s="36"/>
      <c r="H614" s="37"/>
      <c r="I614" s="37"/>
      <c r="J614" s="13"/>
      <c r="K614" s="18"/>
      <c r="L614" s="19"/>
      <c r="M614" s="19"/>
      <c r="N614" s="20"/>
      <c r="O614" s="22"/>
      <c r="P614" s="36"/>
      <c r="Q614" s="37"/>
      <c r="R614" s="37"/>
    </row>
    <row r="615" spans="1:18" x14ac:dyDescent="0.2">
      <c r="A615" s="13"/>
      <c r="B615" s="248" t="s">
        <v>42</v>
      </c>
      <c r="C615" s="249"/>
      <c r="D615" s="249"/>
      <c r="E615" s="250"/>
      <c r="F615" s="46"/>
      <c r="G615" s="46"/>
      <c r="H615" s="47"/>
      <c r="I615" s="47">
        <f>SUM(I602:I614)</f>
        <v>250</v>
      </c>
      <c r="J615" s="13"/>
      <c r="K615" s="248" t="s">
        <v>42</v>
      </c>
      <c r="L615" s="249"/>
      <c r="M615" s="249"/>
      <c r="N615" s="250"/>
      <c r="O615" s="46"/>
      <c r="P615" s="46"/>
      <c r="Q615" s="47"/>
      <c r="R615" s="47">
        <f>SUM(R602:R614)</f>
        <v>0</v>
      </c>
    </row>
    <row r="616" spans="1:18" x14ac:dyDescent="0.2">
      <c r="A616" s="12" t="s">
        <v>43</v>
      </c>
      <c r="B616" s="48" t="s">
        <v>44</v>
      </c>
      <c r="C616" s="43"/>
      <c r="D616" s="43"/>
      <c r="E616" s="39"/>
      <c r="F616" s="49"/>
      <c r="G616" s="49"/>
      <c r="H616" s="50"/>
      <c r="I616" s="51">
        <f>SUM(I597+I615)</f>
        <v>1418.145</v>
      </c>
      <c r="J616" s="12" t="s">
        <v>43</v>
      </c>
      <c r="K616" s="48" t="s">
        <v>44</v>
      </c>
      <c r="L616" s="43"/>
      <c r="M616" s="43"/>
      <c r="N616" s="39"/>
      <c r="O616" s="49"/>
      <c r="P616" s="49"/>
      <c r="Q616" s="50"/>
      <c r="R616" s="51">
        <f>SUM(R597+R615)</f>
        <v>229.71469999999999</v>
      </c>
    </row>
    <row r="617" spans="1:18" x14ac:dyDescent="0.2">
      <c r="A617" s="13" t="s">
        <v>45</v>
      </c>
      <c r="B617" s="48" t="s">
        <v>46</v>
      </c>
      <c r="C617" s="43"/>
      <c r="D617" s="43"/>
      <c r="E617" s="39"/>
      <c r="F617" s="49"/>
      <c r="G617" s="52">
        <v>0.09</v>
      </c>
      <c r="H617" s="53" t="s">
        <v>47</v>
      </c>
      <c r="I617" s="51">
        <f>G617*I616</f>
        <v>127.63305</v>
      </c>
      <c r="J617" s="13" t="s">
        <v>45</v>
      </c>
      <c r="K617" s="48" t="s">
        <v>46</v>
      </c>
      <c r="L617" s="43"/>
      <c r="M617" s="43"/>
      <c r="N617" s="39"/>
      <c r="O617" s="49"/>
      <c r="P617" s="52">
        <v>0.09</v>
      </c>
      <c r="Q617" s="53" t="s">
        <v>47</v>
      </c>
      <c r="R617" s="51">
        <f>P617*R616</f>
        <v>20.674322999999998</v>
      </c>
    </row>
    <row r="618" spans="1:18" x14ac:dyDescent="0.2">
      <c r="A618" s="13" t="s">
        <v>48</v>
      </c>
      <c r="B618" s="48" t="s">
        <v>49</v>
      </c>
      <c r="C618" s="43"/>
      <c r="D618" s="43"/>
      <c r="E618" s="39"/>
      <c r="F618" s="49"/>
      <c r="G618" s="52">
        <v>0.08</v>
      </c>
      <c r="H618" s="53" t="s">
        <v>47</v>
      </c>
      <c r="I618" s="51">
        <f>G618*I616</f>
        <v>113.4516</v>
      </c>
      <c r="J618" s="13" t="s">
        <v>48</v>
      </c>
      <c r="K618" s="48" t="s">
        <v>49</v>
      </c>
      <c r="L618" s="43"/>
      <c r="M618" s="43"/>
      <c r="N618" s="39"/>
      <c r="O618" s="49"/>
      <c r="P618" s="52">
        <v>0.08</v>
      </c>
      <c r="Q618" s="53" t="s">
        <v>47</v>
      </c>
      <c r="R618" s="51">
        <f>P618*R616</f>
        <v>18.377175999999999</v>
      </c>
    </row>
    <row r="619" spans="1:18" x14ac:dyDescent="0.2">
      <c r="A619" s="13" t="s">
        <v>50</v>
      </c>
      <c r="B619" s="48" t="s">
        <v>51</v>
      </c>
      <c r="C619" s="43"/>
      <c r="D619" s="43"/>
      <c r="E619" s="39"/>
      <c r="F619" s="49"/>
      <c r="G619" s="52">
        <f>5/100</f>
        <v>0.05</v>
      </c>
      <c r="H619" s="53" t="s">
        <v>52</v>
      </c>
      <c r="I619" s="51">
        <f>G619*(I616+I617+I618)</f>
        <v>82.961482500000002</v>
      </c>
      <c r="J619" s="13" t="s">
        <v>50</v>
      </c>
      <c r="K619" s="48" t="s">
        <v>51</v>
      </c>
      <c r="L619" s="43"/>
      <c r="M619" s="43"/>
      <c r="N619" s="39"/>
      <c r="O619" s="49"/>
      <c r="P619" s="52">
        <f>5/100</f>
        <v>0.05</v>
      </c>
      <c r="Q619" s="53" t="s">
        <v>52</v>
      </c>
      <c r="R619" s="51">
        <f>P619*(R616+R617+R618)</f>
        <v>13.438309949999999</v>
      </c>
    </row>
    <row r="620" spans="1:18" x14ac:dyDescent="0.2">
      <c r="A620" s="54" t="s">
        <v>53</v>
      </c>
      <c r="B620" s="48" t="s">
        <v>54</v>
      </c>
      <c r="C620" s="43"/>
      <c r="D620" s="43"/>
      <c r="E620" s="39"/>
      <c r="F620" s="49"/>
      <c r="G620" s="49"/>
      <c r="H620" s="55" t="s">
        <v>55</v>
      </c>
      <c r="I620" s="51">
        <f>SUM(I616+I617+I618+I619)</f>
        <v>1742.1911325000001</v>
      </c>
      <c r="J620" s="54" t="s">
        <v>53</v>
      </c>
      <c r="K620" s="48" t="s">
        <v>54</v>
      </c>
      <c r="L620" s="43"/>
      <c r="M620" s="43"/>
      <c r="N620" s="39"/>
      <c r="O620" s="49"/>
      <c r="P620" s="49"/>
      <c r="Q620" s="55" t="s">
        <v>55</v>
      </c>
      <c r="R620" s="51">
        <f>SUM(R616+R617+R618+R619)</f>
        <v>282.20450894999999</v>
      </c>
    </row>
    <row r="621" spans="1:18" s="1" customFormat="1" x14ac:dyDescent="0.2">
      <c r="A621" s="236" t="s">
        <v>0</v>
      </c>
      <c r="B621" s="236"/>
      <c r="C621" s="236"/>
      <c r="D621" s="236"/>
      <c r="E621" s="236"/>
      <c r="F621" s="236"/>
      <c r="G621" s="236"/>
      <c r="H621" s="236"/>
      <c r="I621" s="236"/>
      <c r="J621" s="236" t="s">
        <v>0</v>
      </c>
      <c r="K621" s="236"/>
      <c r="L621" s="236"/>
      <c r="M621" s="236"/>
      <c r="N621" s="236"/>
      <c r="O621" s="236"/>
      <c r="P621" s="236"/>
      <c r="Q621" s="236"/>
      <c r="R621" s="236"/>
    </row>
    <row r="623" spans="1:18" x14ac:dyDescent="0.2">
      <c r="A623" s="2" t="s">
        <v>1</v>
      </c>
      <c r="C623" s="4" t="s">
        <v>2</v>
      </c>
      <c r="D623" s="5" t="s">
        <v>119</v>
      </c>
      <c r="E623" s="8" t="s">
        <v>1186</v>
      </c>
      <c r="F623" s="8"/>
      <c r="G623" s="8"/>
      <c r="H623" s="8"/>
      <c r="I623" s="8"/>
      <c r="J623" s="2" t="s">
        <v>1</v>
      </c>
      <c r="L623" s="4" t="s">
        <v>2</v>
      </c>
      <c r="M623" s="5" t="s">
        <v>121</v>
      </c>
      <c r="N623" s="2" t="s">
        <v>122</v>
      </c>
      <c r="O623" s="2"/>
      <c r="P623" s="2"/>
      <c r="Q623" s="2"/>
    </row>
    <row r="624" spans="1:18" x14ac:dyDescent="0.2">
      <c r="A624" s="2" t="s">
        <v>7</v>
      </c>
      <c r="C624" s="4" t="s">
        <v>2</v>
      </c>
      <c r="E624" s="144" t="s">
        <v>1150</v>
      </c>
      <c r="F624" s="8"/>
      <c r="G624" s="8"/>
      <c r="H624" s="8"/>
      <c r="J624" s="2" t="s">
        <v>7</v>
      </c>
      <c r="L624" s="4" t="s">
        <v>2</v>
      </c>
      <c r="N624" s="2" t="s">
        <v>9</v>
      </c>
      <c r="O624" s="8"/>
      <c r="P624" s="8"/>
      <c r="Q624" s="8"/>
    </row>
    <row r="625" spans="1:18" x14ac:dyDescent="0.2">
      <c r="A625" s="2" t="s">
        <v>10</v>
      </c>
      <c r="C625" s="4" t="s">
        <v>2</v>
      </c>
      <c r="E625" s="9">
        <v>6</v>
      </c>
      <c r="F625" s="8"/>
      <c r="G625" s="8"/>
      <c r="H625" s="8"/>
      <c r="J625" s="2" t="s">
        <v>10</v>
      </c>
      <c r="L625" s="4" t="s">
        <v>2</v>
      </c>
      <c r="N625" s="9">
        <v>14</v>
      </c>
      <c r="O625" s="8"/>
      <c r="P625" s="8"/>
      <c r="Q625" s="8"/>
    </row>
    <row r="626" spans="1:18" x14ac:dyDescent="0.2">
      <c r="B626" s="8"/>
      <c r="F626" s="11"/>
      <c r="G626" s="8"/>
      <c r="H626" s="8"/>
      <c r="I626" s="8"/>
      <c r="K626" s="8"/>
      <c r="O626" s="11"/>
      <c r="P626" s="8"/>
      <c r="Q626" s="8"/>
      <c r="R626" s="8"/>
    </row>
    <row r="627" spans="1:18" x14ac:dyDescent="0.2">
      <c r="A627" s="12"/>
      <c r="B627" s="238" t="s">
        <v>11</v>
      </c>
      <c r="C627" s="239"/>
      <c r="D627" s="239"/>
      <c r="E627" s="240"/>
      <c r="F627" s="244" t="s">
        <v>12</v>
      </c>
      <c r="G627" s="244" t="s">
        <v>13</v>
      </c>
      <c r="H627" s="244" t="s">
        <v>14</v>
      </c>
      <c r="I627" s="246" t="s">
        <v>15</v>
      </c>
      <c r="J627" s="12"/>
      <c r="K627" s="238" t="s">
        <v>11</v>
      </c>
      <c r="L627" s="239"/>
      <c r="M627" s="239"/>
      <c r="N627" s="240"/>
      <c r="O627" s="244" t="s">
        <v>12</v>
      </c>
      <c r="P627" s="244" t="s">
        <v>13</v>
      </c>
      <c r="Q627" s="244" t="s">
        <v>14</v>
      </c>
      <c r="R627" s="246" t="s">
        <v>15</v>
      </c>
    </row>
    <row r="628" spans="1:18" x14ac:dyDescent="0.2">
      <c r="A628" s="13"/>
      <c r="B628" s="241"/>
      <c r="C628" s="242"/>
      <c r="D628" s="242"/>
      <c r="E628" s="243"/>
      <c r="F628" s="245"/>
      <c r="G628" s="245"/>
      <c r="H628" s="245"/>
      <c r="I628" s="247"/>
      <c r="J628" s="13"/>
      <c r="K628" s="241"/>
      <c r="L628" s="242"/>
      <c r="M628" s="242"/>
      <c r="N628" s="243"/>
      <c r="O628" s="245"/>
      <c r="P628" s="245"/>
      <c r="Q628" s="245"/>
      <c r="R628" s="247"/>
    </row>
    <row r="629" spans="1:18" x14ac:dyDescent="0.2">
      <c r="A629" s="13" t="s">
        <v>16</v>
      </c>
      <c r="B629" s="14" t="s">
        <v>17</v>
      </c>
      <c r="C629" s="15"/>
      <c r="D629" s="15"/>
      <c r="E629" s="16"/>
      <c r="F629" s="17"/>
      <c r="G629" s="17"/>
      <c r="H629" s="17"/>
      <c r="I629" s="17"/>
      <c r="J629" s="13" t="s">
        <v>16</v>
      </c>
      <c r="K629" s="14" t="s">
        <v>17</v>
      </c>
      <c r="L629" s="15"/>
      <c r="M629" s="15"/>
      <c r="N629" s="16"/>
      <c r="O629" s="17"/>
      <c r="P629" s="17"/>
      <c r="Q629" s="17"/>
      <c r="R629" s="17"/>
    </row>
    <row r="630" spans="1:18" x14ac:dyDescent="0.2">
      <c r="A630" s="13"/>
      <c r="B630" s="18"/>
      <c r="C630" s="19"/>
      <c r="D630" s="19"/>
      <c r="E630" s="20"/>
      <c r="F630" s="21"/>
      <c r="G630" s="22"/>
      <c r="H630" s="21"/>
      <c r="I630" s="21"/>
      <c r="J630" s="13"/>
      <c r="K630" s="18"/>
      <c r="L630" s="19"/>
      <c r="M630" s="19"/>
      <c r="N630" s="20"/>
      <c r="O630" s="21"/>
      <c r="P630" s="22"/>
      <c r="Q630" s="21"/>
      <c r="R630" s="21"/>
    </row>
    <row r="631" spans="1:18" x14ac:dyDescent="0.2">
      <c r="A631" s="13"/>
      <c r="B631" s="24" t="s">
        <v>18</v>
      </c>
      <c r="C631" s="25"/>
      <c r="D631" s="25"/>
      <c r="E631" s="26"/>
      <c r="F631" s="22">
        <v>1</v>
      </c>
      <c r="G631" s="62">
        <v>1</v>
      </c>
      <c r="H631" s="23">
        <v>69.42</v>
      </c>
      <c r="I631" s="23">
        <f>G631*H631*F631</f>
        <v>69.42</v>
      </c>
      <c r="J631" s="13"/>
      <c r="K631" s="24" t="s">
        <v>18</v>
      </c>
      <c r="L631" s="25"/>
      <c r="M631" s="25"/>
      <c r="N631" s="26"/>
      <c r="O631" s="22">
        <v>1</v>
      </c>
      <c r="P631" s="62">
        <f>16/16</f>
        <v>1</v>
      </c>
      <c r="Q631" s="23">
        <v>69.42</v>
      </c>
      <c r="R631" s="23">
        <f>P631*Q631*O631</f>
        <v>69.42</v>
      </c>
    </row>
    <row r="632" spans="1:18" x14ac:dyDescent="0.2">
      <c r="A632" s="13"/>
      <c r="B632" s="257" t="s">
        <v>1179</v>
      </c>
      <c r="C632" s="258"/>
      <c r="D632" s="19"/>
      <c r="E632" s="20"/>
      <c r="F632" s="22">
        <v>2</v>
      </c>
      <c r="G632" s="62">
        <v>1</v>
      </c>
      <c r="H632" s="23">
        <v>38.97</v>
      </c>
      <c r="I632" s="23">
        <f>G632*H632*F632</f>
        <v>77.94</v>
      </c>
      <c r="J632" s="13"/>
      <c r="K632" s="257" t="s">
        <v>1178</v>
      </c>
      <c r="L632" s="258"/>
      <c r="M632" s="25"/>
      <c r="N632" s="26"/>
      <c r="O632" s="22">
        <v>1</v>
      </c>
      <c r="P632" s="62">
        <f>P631</f>
        <v>1</v>
      </c>
      <c r="Q632" s="23">
        <v>50.18</v>
      </c>
      <c r="R632" s="23">
        <f>P632*Q632*O632</f>
        <v>50.18</v>
      </c>
    </row>
    <row r="633" spans="1:18" x14ac:dyDescent="0.2">
      <c r="A633" s="13"/>
      <c r="B633" s="257"/>
      <c r="C633" s="258"/>
      <c r="D633" s="19"/>
      <c r="E633" s="20"/>
      <c r="F633" s="22"/>
      <c r="G633" s="22"/>
      <c r="H633" s="23"/>
      <c r="I633" s="23"/>
      <c r="J633" s="13"/>
      <c r="K633" s="257" t="s">
        <v>1177</v>
      </c>
      <c r="L633" s="258"/>
      <c r="M633" s="19"/>
      <c r="N633" s="20"/>
      <c r="O633" s="22">
        <v>2</v>
      </c>
      <c r="P633" s="62">
        <f>P631</f>
        <v>1</v>
      </c>
      <c r="Q633" s="23">
        <v>38.97</v>
      </c>
      <c r="R633" s="23">
        <f>P633*Q633*O633</f>
        <v>77.94</v>
      </c>
    </row>
    <row r="634" spans="1:18" x14ac:dyDescent="0.2">
      <c r="A634" s="13"/>
      <c r="B634" s="27"/>
      <c r="C634" s="63"/>
      <c r="D634" s="19"/>
      <c r="E634" s="20"/>
      <c r="F634" s="22"/>
      <c r="G634" s="22"/>
      <c r="H634" s="29"/>
      <c r="I634" s="30"/>
      <c r="J634" s="13"/>
      <c r="K634" s="27"/>
      <c r="L634" s="19"/>
      <c r="M634" s="19"/>
      <c r="N634" s="20"/>
      <c r="O634" s="22"/>
      <c r="P634" s="22"/>
      <c r="Q634" s="29"/>
      <c r="R634" s="30"/>
    </row>
    <row r="635" spans="1:18" ht="15" customHeight="1" x14ac:dyDescent="0.2">
      <c r="A635" s="13"/>
      <c r="B635" s="27"/>
      <c r="C635" s="63"/>
      <c r="D635" s="19"/>
      <c r="E635" s="20"/>
      <c r="F635" s="22"/>
      <c r="G635" s="22"/>
      <c r="H635" s="29"/>
      <c r="I635" s="30"/>
      <c r="J635" s="13"/>
      <c r="K635" s="27"/>
      <c r="L635" s="19"/>
      <c r="M635" s="19"/>
      <c r="N635" s="20"/>
      <c r="O635" s="22"/>
      <c r="P635" s="22"/>
      <c r="Q635" s="29"/>
      <c r="R635" s="30"/>
    </row>
    <row r="636" spans="1:18" x14ac:dyDescent="0.2">
      <c r="A636" s="13"/>
      <c r="B636" s="24"/>
      <c r="C636" s="25"/>
      <c r="D636" s="19"/>
      <c r="E636" s="20"/>
      <c r="F636" s="22"/>
      <c r="G636" s="22"/>
      <c r="H636" s="23"/>
      <c r="I636" s="23"/>
      <c r="J636" s="13"/>
      <c r="K636" s="18"/>
      <c r="L636" s="19"/>
      <c r="M636" s="19"/>
      <c r="N636" s="20"/>
      <c r="O636" s="22"/>
      <c r="P636" s="22"/>
      <c r="Q636" s="28"/>
      <c r="R636" s="23"/>
    </row>
    <row r="637" spans="1:18" x14ac:dyDescent="0.2">
      <c r="A637" s="13"/>
      <c r="B637" s="24"/>
      <c r="C637" s="25"/>
      <c r="D637" s="19"/>
      <c r="E637" s="20"/>
      <c r="F637" s="22"/>
      <c r="G637" s="22"/>
      <c r="H637" s="23"/>
      <c r="I637" s="23"/>
      <c r="J637" s="13"/>
      <c r="K637" s="18"/>
      <c r="L637" s="19"/>
      <c r="M637" s="19"/>
      <c r="N637" s="20"/>
      <c r="O637" s="22"/>
      <c r="P637" s="22"/>
      <c r="Q637" s="23"/>
      <c r="R637" s="23"/>
    </row>
    <row r="638" spans="1:18" x14ac:dyDescent="0.2">
      <c r="A638" s="13"/>
      <c r="B638" s="248" t="s">
        <v>20</v>
      </c>
      <c r="C638" s="249"/>
      <c r="D638" s="249"/>
      <c r="E638" s="250"/>
      <c r="F638" s="31"/>
      <c r="G638" s="31"/>
      <c r="H638" s="32"/>
      <c r="I638" s="32">
        <f>SUM(I631:I637)</f>
        <v>147.36000000000001</v>
      </c>
      <c r="J638" s="13"/>
      <c r="K638" s="248" t="s">
        <v>20</v>
      </c>
      <c r="L638" s="249"/>
      <c r="M638" s="249"/>
      <c r="N638" s="250"/>
      <c r="O638" s="31"/>
      <c r="P638" s="31"/>
      <c r="Q638" s="32"/>
      <c r="R638" s="32">
        <f>SUM(R631:R637)</f>
        <v>197.54</v>
      </c>
    </row>
    <row r="639" spans="1:18" x14ac:dyDescent="0.2">
      <c r="A639" s="12"/>
      <c r="B639" s="251" t="s">
        <v>21</v>
      </c>
      <c r="C639" s="252"/>
      <c r="D639" s="252"/>
      <c r="E639" s="253"/>
      <c r="F639" s="244" t="s">
        <v>22</v>
      </c>
      <c r="G639" s="244" t="s">
        <v>13</v>
      </c>
      <c r="H639" s="244" t="s">
        <v>14</v>
      </c>
      <c r="I639" s="246" t="s">
        <v>15</v>
      </c>
      <c r="J639" s="12"/>
      <c r="K639" s="251" t="s">
        <v>21</v>
      </c>
      <c r="L639" s="252"/>
      <c r="M639" s="252"/>
      <c r="N639" s="253"/>
      <c r="O639" s="244" t="s">
        <v>22</v>
      </c>
      <c r="P639" s="244" t="s">
        <v>13</v>
      </c>
      <c r="Q639" s="244" t="s">
        <v>14</v>
      </c>
      <c r="R639" s="246" t="s">
        <v>15</v>
      </c>
    </row>
    <row r="640" spans="1:18" x14ac:dyDescent="0.2">
      <c r="A640" s="13"/>
      <c r="B640" s="254"/>
      <c r="C640" s="255"/>
      <c r="D640" s="255"/>
      <c r="E640" s="256"/>
      <c r="F640" s="245"/>
      <c r="G640" s="245"/>
      <c r="H640" s="245"/>
      <c r="I640" s="247"/>
      <c r="J640" s="13"/>
      <c r="K640" s="254"/>
      <c r="L640" s="255"/>
      <c r="M640" s="255"/>
      <c r="N640" s="256"/>
      <c r="O640" s="245"/>
      <c r="P640" s="245"/>
      <c r="Q640" s="245"/>
      <c r="R640" s="247"/>
    </row>
    <row r="641" spans="1:18" x14ac:dyDescent="0.2">
      <c r="A641" s="13" t="s">
        <v>23</v>
      </c>
      <c r="B641" s="33" t="s">
        <v>24</v>
      </c>
      <c r="C641" s="15"/>
      <c r="D641" s="15"/>
      <c r="E641" s="16"/>
      <c r="F641" s="34"/>
      <c r="G641" s="34"/>
      <c r="H641" s="35"/>
      <c r="I641" s="35"/>
      <c r="J641" s="13" t="s">
        <v>23</v>
      </c>
      <c r="K641" s="33" t="s">
        <v>24</v>
      </c>
      <c r="L641" s="15"/>
      <c r="M641" s="15"/>
      <c r="N641" s="16"/>
      <c r="O641" s="34"/>
      <c r="P641" s="34"/>
      <c r="Q641" s="35"/>
      <c r="R641" s="35"/>
    </row>
    <row r="642" spans="1:18" x14ac:dyDescent="0.2">
      <c r="A642" s="13"/>
      <c r="B642" s="18"/>
      <c r="C642" s="19"/>
      <c r="D642" s="19"/>
      <c r="E642" s="20"/>
      <c r="F642" s="22"/>
      <c r="G642" s="22"/>
      <c r="H642" s="23"/>
      <c r="I642" s="23"/>
      <c r="J642" s="13"/>
      <c r="K642" s="18"/>
      <c r="L642" s="19"/>
      <c r="M642" s="19"/>
      <c r="N642" s="20"/>
      <c r="O642" s="22"/>
      <c r="P642" s="22"/>
      <c r="Q642" s="23"/>
      <c r="R642" s="23"/>
    </row>
    <row r="643" spans="1:18" x14ac:dyDescent="0.2">
      <c r="A643" s="13"/>
      <c r="B643" s="18" t="s">
        <v>62</v>
      </c>
      <c r="C643" s="66"/>
      <c r="D643" s="19"/>
      <c r="E643" s="20"/>
      <c r="F643" s="22">
        <v>1</v>
      </c>
      <c r="G643" s="23">
        <v>1</v>
      </c>
      <c r="H643" s="37">
        <v>1537</v>
      </c>
      <c r="I643" s="37">
        <f>G643*H643*F643</f>
        <v>1537</v>
      </c>
      <c r="J643" s="13"/>
      <c r="K643" s="18" t="s">
        <v>62</v>
      </c>
      <c r="L643" s="19"/>
      <c r="M643" s="19"/>
      <c r="N643" s="20"/>
      <c r="O643" s="22">
        <v>1</v>
      </c>
      <c r="P643" s="23">
        <v>0.5</v>
      </c>
      <c r="Q643" s="37">
        <v>1537</v>
      </c>
      <c r="R643" s="37">
        <f>P643*Q643*O643</f>
        <v>768.5</v>
      </c>
    </row>
    <row r="644" spans="1:18" ht="17.25" customHeight="1" x14ac:dyDescent="0.2">
      <c r="A644" s="13"/>
      <c r="B644" s="18" t="s">
        <v>1149</v>
      </c>
      <c r="C644" s="66"/>
      <c r="D644" s="19"/>
      <c r="E644" s="20"/>
      <c r="F644" s="22">
        <v>1</v>
      </c>
      <c r="G644" s="23">
        <v>0.5</v>
      </c>
      <c r="H644" s="37">
        <v>1017.9</v>
      </c>
      <c r="I644" s="37">
        <f>G644*H644*F644</f>
        <v>508.95</v>
      </c>
      <c r="J644" s="13"/>
      <c r="K644" s="18" t="s">
        <v>124</v>
      </c>
      <c r="L644" s="19"/>
      <c r="M644" s="19"/>
      <c r="N644" s="20"/>
      <c r="O644" s="22">
        <v>1</v>
      </c>
      <c r="P644" s="23">
        <v>0.5</v>
      </c>
      <c r="Q644" s="37">
        <v>1998.1</v>
      </c>
      <c r="R644" s="37">
        <f>P644*Q644*O644</f>
        <v>999.05</v>
      </c>
    </row>
    <row r="645" spans="1:18" ht="17.25" customHeight="1" x14ac:dyDescent="0.2">
      <c r="A645" s="13"/>
      <c r="B645" s="18" t="s">
        <v>1194</v>
      </c>
      <c r="C645" s="66"/>
      <c r="D645" s="19"/>
      <c r="E645" s="20"/>
      <c r="F645" s="22"/>
      <c r="G645" s="71"/>
      <c r="I645" s="37">
        <f>0.1*I638</f>
        <v>14.736000000000002</v>
      </c>
      <c r="J645" s="13"/>
      <c r="K645" s="18" t="s">
        <v>1175</v>
      </c>
      <c r="L645" s="19"/>
      <c r="M645" s="19"/>
      <c r="N645" s="20"/>
      <c r="O645" s="22">
        <v>2</v>
      </c>
      <c r="P645" s="23">
        <f>16/16</f>
        <v>1</v>
      </c>
      <c r="Q645" s="37">
        <v>1420</v>
      </c>
      <c r="R645" s="37">
        <f>P645*Q645*O645</f>
        <v>2840</v>
      </c>
    </row>
    <row r="646" spans="1:18" x14ac:dyDescent="0.2">
      <c r="A646" s="13"/>
      <c r="B646" s="18"/>
      <c r="C646" s="66"/>
      <c r="F646" s="22"/>
      <c r="G646" s="23"/>
      <c r="H646" s="37"/>
      <c r="I646" s="37"/>
      <c r="J646" s="13"/>
      <c r="K646" s="18" t="s">
        <v>1192</v>
      </c>
      <c r="L646" s="19"/>
      <c r="M646" s="19"/>
      <c r="N646" s="20"/>
      <c r="O646" s="22"/>
      <c r="P646" s="36"/>
      <c r="R646" s="37">
        <f>R638*0.1</f>
        <v>19.754000000000001</v>
      </c>
    </row>
    <row r="647" spans="1:18" x14ac:dyDescent="0.2">
      <c r="A647" s="13"/>
      <c r="B647" s="18"/>
      <c r="C647" s="19"/>
      <c r="D647" s="19"/>
      <c r="E647" s="20"/>
      <c r="F647" s="22"/>
      <c r="G647" s="36"/>
      <c r="H647" s="37"/>
      <c r="I647" s="37"/>
      <c r="J647" s="13"/>
      <c r="K647" s="18"/>
      <c r="L647" s="19"/>
      <c r="M647" s="19"/>
      <c r="N647" s="20"/>
      <c r="O647" s="22"/>
      <c r="P647" s="36"/>
      <c r="Q647" s="37"/>
      <c r="R647" s="37"/>
    </row>
    <row r="648" spans="1:18" x14ac:dyDescent="0.2">
      <c r="A648" s="13"/>
      <c r="B648" s="18" t="s">
        <v>126</v>
      </c>
      <c r="C648" s="19"/>
      <c r="D648" s="19"/>
      <c r="E648" s="20"/>
      <c r="F648" s="22"/>
      <c r="G648" s="36"/>
      <c r="H648" s="37"/>
      <c r="I648" s="37"/>
      <c r="J648" s="13"/>
      <c r="K648" s="18"/>
      <c r="L648" s="19"/>
      <c r="M648" s="19"/>
      <c r="N648" s="20"/>
      <c r="O648" s="22"/>
      <c r="P648" s="36"/>
      <c r="Q648" s="38"/>
      <c r="R648" s="38"/>
    </row>
    <row r="649" spans="1:18" x14ac:dyDescent="0.2">
      <c r="A649" s="13"/>
      <c r="C649" s="19"/>
      <c r="D649" s="19"/>
      <c r="E649" s="20"/>
      <c r="F649" s="22"/>
      <c r="G649" s="36"/>
      <c r="H649" s="37"/>
      <c r="I649" s="37"/>
      <c r="J649" s="13"/>
      <c r="K649" s="18"/>
      <c r="L649" s="19"/>
      <c r="M649" s="19"/>
      <c r="N649" s="20"/>
      <c r="O649" s="22"/>
      <c r="P649" s="36"/>
      <c r="Q649" s="38"/>
      <c r="R649" s="38"/>
    </row>
    <row r="650" spans="1:18" x14ac:dyDescent="0.2">
      <c r="A650" s="13"/>
      <c r="B650" s="18"/>
      <c r="C650" s="19"/>
      <c r="D650" s="19"/>
      <c r="E650" s="20"/>
      <c r="F650" s="22"/>
      <c r="G650" s="23"/>
      <c r="H650" s="37"/>
      <c r="I650" s="37"/>
      <c r="J650" s="13"/>
      <c r="K650" s="18"/>
      <c r="L650" s="19"/>
      <c r="M650" s="19"/>
      <c r="N650" s="20"/>
      <c r="O650" s="22"/>
      <c r="P650" s="36"/>
      <c r="Q650" s="38"/>
      <c r="R650" s="38"/>
    </row>
    <row r="651" spans="1:18" x14ac:dyDescent="0.2">
      <c r="A651" s="13"/>
      <c r="B651" s="18" t="s">
        <v>101</v>
      </c>
      <c r="C651" s="19"/>
      <c r="D651" s="19"/>
      <c r="E651" s="20"/>
      <c r="F651" s="22"/>
      <c r="G651" s="23"/>
      <c r="H651" s="37"/>
      <c r="I651" s="37"/>
      <c r="J651" s="13"/>
      <c r="K651" s="18"/>
      <c r="L651" s="19"/>
      <c r="M651" s="19"/>
      <c r="N651" s="20"/>
      <c r="O651" s="22"/>
      <c r="P651" s="36"/>
      <c r="Q651" s="38"/>
      <c r="R651" s="38"/>
    </row>
    <row r="652" spans="1:18" x14ac:dyDescent="0.2">
      <c r="A652" s="13"/>
      <c r="B652" s="7"/>
      <c r="C652" s="7"/>
      <c r="D652" s="7"/>
      <c r="E652" s="7"/>
      <c r="F652" s="72"/>
      <c r="G652" s="72"/>
      <c r="H652" s="72"/>
      <c r="I652" s="72"/>
      <c r="J652" s="13"/>
      <c r="K652" s="18"/>
      <c r="L652" s="19"/>
      <c r="M652" s="19"/>
      <c r="N652" s="20"/>
      <c r="O652" s="22"/>
      <c r="P652" s="36"/>
      <c r="Q652" s="37"/>
      <c r="R652" s="37"/>
    </row>
    <row r="653" spans="1:18" x14ac:dyDescent="0.2">
      <c r="A653" s="13"/>
      <c r="B653" s="18"/>
      <c r="C653" s="19"/>
      <c r="D653" s="19"/>
      <c r="E653" s="20"/>
      <c r="F653" s="22"/>
      <c r="G653" s="36"/>
      <c r="H653" s="37"/>
      <c r="I653" s="37"/>
      <c r="J653" s="13"/>
      <c r="K653" s="18"/>
      <c r="L653" s="19"/>
      <c r="M653" s="19"/>
      <c r="N653" s="20"/>
      <c r="O653" s="22"/>
      <c r="P653" s="36"/>
      <c r="Q653" s="37"/>
      <c r="R653" s="37"/>
    </row>
    <row r="654" spans="1:18" x14ac:dyDescent="0.2">
      <c r="A654" s="13"/>
      <c r="B654" s="18"/>
      <c r="C654" s="19"/>
      <c r="D654" s="19"/>
      <c r="E654" s="20"/>
      <c r="F654" s="22"/>
      <c r="G654" s="36"/>
      <c r="H654" s="37"/>
      <c r="I654" s="37"/>
      <c r="J654" s="13"/>
      <c r="K654" s="18"/>
      <c r="L654" s="19"/>
      <c r="M654" s="19"/>
      <c r="N654" s="20"/>
      <c r="O654" s="22"/>
      <c r="P654" s="36"/>
      <c r="Q654" s="37"/>
      <c r="R654" s="37"/>
    </row>
    <row r="655" spans="1:18" ht="15" customHeight="1" x14ac:dyDescent="0.2">
      <c r="A655" s="13"/>
      <c r="B655" s="18"/>
      <c r="C655" s="19"/>
      <c r="D655" s="19"/>
      <c r="E655" s="20"/>
      <c r="F655" s="22"/>
      <c r="G655" s="22"/>
      <c r="H655" s="23"/>
      <c r="I655" s="23"/>
      <c r="J655" s="13"/>
      <c r="K655" s="18"/>
      <c r="L655" s="19"/>
      <c r="M655" s="19"/>
      <c r="N655" s="20"/>
      <c r="O655" s="22"/>
      <c r="P655" s="22"/>
      <c r="Q655" s="23"/>
      <c r="R655" s="23"/>
    </row>
    <row r="656" spans="1:18" x14ac:dyDescent="0.2">
      <c r="A656" s="13"/>
      <c r="B656" s="248" t="s">
        <v>30</v>
      </c>
      <c r="C656" s="249"/>
      <c r="D656" s="249"/>
      <c r="E656" s="250"/>
      <c r="F656" s="22"/>
      <c r="G656" s="22"/>
      <c r="H656" s="23"/>
      <c r="I656" s="23">
        <f>SUM(I643:I655)</f>
        <v>2060.6860000000001</v>
      </c>
      <c r="J656" s="13"/>
      <c r="K656" s="248" t="s">
        <v>30</v>
      </c>
      <c r="L656" s="249"/>
      <c r="M656" s="249"/>
      <c r="N656" s="250"/>
      <c r="O656" s="22"/>
      <c r="P656" s="22"/>
      <c r="Q656" s="23"/>
      <c r="R656" s="23">
        <f>SUM(R643:R655)</f>
        <v>4627.3040000000001</v>
      </c>
    </row>
    <row r="657" spans="1:18" x14ac:dyDescent="0.2">
      <c r="A657" s="12" t="s">
        <v>31</v>
      </c>
      <c r="B657" s="260" t="s">
        <v>32</v>
      </c>
      <c r="C657" s="261"/>
      <c r="D657" s="261"/>
      <c r="E657" s="261"/>
      <c r="F657" s="39"/>
      <c r="G657" s="39"/>
      <c r="H657" s="40"/>
      <c r="I657" s="41">
        <f>SUM(I656+I638)</f>
        <v>2208.0460000000003</v>
      </c>
      <c r="J657" s="12" t="s">
        <v>31</v>
      </c>
      <c r="K657" s="260" t="s">
        <v>32</v>
      </c>
      <c r="L657" s="261"/>
      <c r="M657" s="261"/>
      <c r="N657" s="261"/>
      <c r="O657" s="39"/>
      <c r="P657" s="39"/>
      <c r="Q657" s="40"/>
      <c r="R657" s="41">
        <f>SUM(R656+R638)</f>
        <v>4824.8440000000001</v>
      </c>
    </row>
    <row r="658" spans="1:18" x14ac:dyDescent="0.2">
      <c r="A658" s="13" t="s">
        <v>33</v>
      </c>
      <c r="B658" s="269">
        <f>E625</f>
        <v>6</v>
      </c>
      <c r="C658" s="270"/>
      <c r="D658" s="270"/>
      <c r="E658" s="270"/>
      <c r="F658" s="270"/>
      <c r="G658" s="270"/>
      <c r="H658" s="40"/>
      <c r="I658" s="41"/>
      <c r="J658" s="13" t="s">
        <v>33</v>
      </c>
      <c r="K658" s="264">
        <f>N625</f>
        <v>14</v>
      </c>
      <c r="L658" s="265"/>
      <c r="M658" s="265"/>
      <c r="N658" s="265"/>
      <c r="O658" s="265"/>
      <c r="P658" s="265"/>
      <c r="Q658" s="40"/>
      <c r="R658" s="41"/>
    </row>
    <row r="659" spans="1:18" x14ac:dyDescent="0.2">
      <c r="A659" s="13" t="s">
        <v>34</v>
      </c>
      <c r="B659" s="42" t="s">
        <v>35</v>
      </c>
      <c r="C659" s="43"/>
      <c r="D659" s="43"/>
      <c r="E659" s="39"/>
      <c r="F659" s="44"/>
      <c r="G659" s="44"/>
      <c r="H659" s="40"/>
      <c r="I659" s="41">
        <f>I657/E625</f>
        <v>368.00766666666669</v>
      </c>
      <c r="J659" s="13" t="s">
        <v>34</v>
      </c>
      <c r="K659" s="42" t="s">
        <v>35</v>
      </c>
      <c r="L659" s="43"/>
      <c r="M659" s="43"/>
      <c r="N659" s="39"/>
      <c r="O659" s="44"/>
      <c r="P659" s="44"/>
      <c r="Q659" s="40"/>
      <c r="R659" s="41">
        <f>R657/N625</f>
        <v>344.63171428571428</v>
      </c>
    </row>
    <row r="660" spans="1:18" x14ac:dyDescent="0.2">
      <c r="A660" s="12"/>
      <c r="B660" s="251" t="s">
        <v>36</v>
      </c>
      <c r="C660" s="252"/>
      <c r="D660" s="252"/>
      <c r="E660" s="253"/>
      <c r="F660" s="244" t="s">
        <v>37</v>
      </c>
      <c r="G660" s="244" t="s">
        <v>38</v>
      </c>
      <c r="H660" s="244" t="s">
        <v>39</v>
      </c>
      <c r="I660" s="246" t="s">
        <v>15</v>
      </c>
      <c r="J660" s="12"/>
      <c r="K660" s="251" t="s">
        <v>36</v>
      </c>
      <c r="L660" s="252"/>
      <c r="M660" s="252"/>
      <c r="N660" s="253"/>
      <c r="O660" s="244" t="s">
        <v>37</v>
      </c>
      <c r="P660" s="244" t="s">
        <v>38</v>
      </c>
      <c r="Q660" s="244" t="s">
        <v>39</v>
      </c>
      <c r="R660" s="246" t="s">
        <v>15</v>
      </c>
    </row>
    <row r="661" spans="1:18" x14ac:dyDescent="0.2">
      <c r="A661" s="13"/>
      <c r="B661" s="254"/>
      <c r="C661" s="255"/>
      <c r="D661" s="255"/>
      <c r="E661" s="256"/>
      <c r="F661" s="245"/>
      <c r="G661" s="245"/>
      <c r="H661" s="245"/>
      <c r="I661" s="247"/>
      <c r="J661" s="13"/>
      <c r="K661" s="254"/>
      <c r="L661" s="255"/>
      <c r="M661" s="255"/>
      <c r="N661" s="256"/>
      <c r="O661" s="245"/>
      <c r="P661" s="245"/>
      <c r="Q661" s="245"/>
      <c r="R661" s="247"/>
    </row>
    <row r="662" spans="1:18" x14ac:dyDescent="0.2">
      <c r="A662" s="13" t="s">
        <v>40</v>
      </c>
      <c r="B662" s="18" t="s">
        <v>41</v>
      </c>
      <c r="C662" s="19"/>
      <c r="D662" s="19"/>
      <c r="E662" s="20"/>
      <c r="F662" s="22"/>
      <c r="G662" s="22"/>
      <c r="H662" s="23"/>
      <c r="I662" s="23"/>
      <c r="J662" s="13" t="s">
        <v>40</v>
      </c>
      <c r="K662" s="18" t="s">
        <v>41</v>
      </c>
      <c r="L662" s="19"/>
      <c r="M662" s="19"/>
      <c r="N662" s="20"/>
      <c r="O662" s="22"/>
      <c r="P662" s="22"/>
      <c r="Q662" s="23"/>
      <c r="R662" s="23"/>
    </row>
    <row r="663" spans="1:18" x14ac:dyDescent="0.2">
      <c r="A663" s="13"/>
      <c r="B663" s="18"/>
      <c r="C663" s="19"/>
      <c r="D663" s="19"/>
      <c r="E663" s="20"/>
      <c r="F663" s="22"/>
      <c r="G663" s="22"/>
      <c r="H663" s="23"/>
      <c r="I663" s="23"/>
      <c r="J663" s="13"/>
      <c r="K663" s="18"/>
      <c r="L663" s="19"/>
      <c r="M663" s="19"/>
      <c r="N663" s="20"/>
      <c r="O663" s="22"/>
      <c r="P663" s="22"/>
      <c r="Q663" s="23"/>
      <c r="R663" s="23"/>
    </row>
    <row r="664" spans="1:18" x14ac:dyDescent="0.2">
      <c r="A664" s="13"/>
      <c r="B664" s="18"/>
      <c r="C664" s="66"/>
      <c r="D664" s="19"/>
      <c r="E664" s="20"/>
      <c r="F664" s="22"/>
      <c r="G664" s="70"/>
      <c r="H664" s="23"/>
      <c r="I664" s="23"/>
      <c r="J664" s="13"/>
      <c r="K664" s="18"/>
      <c r="L664" s="19"/>
      <c r="M664" s="19"/>
      <c r="N664" s="20"/>
      <c r="O664" s="22"/>
      <c r="P664" s="62"/>
      <c r="Q664" s="23"/>
      <c r="R664" s="23"/>
    </row>
    <row r="665" spans="1:18" x14ac:dyDescent="0.2">
      <c r="A665" s="13"/>
      <c r="B665" s="18"/>
      <c r="C665" s="66"/>
      <c r="D665" s="19"/>
      <c r="E665" s="20"/>
      <c r="F665" s="22"/>
      <c r="G665" s="70"/>
      <c r="H665" s="23"/>
      <c r="I665" s="23"/>
      <c r="J665" s="13"/>
      <c r="K665" s="18"/>
      <c r="L665" s="19"/>
      <c r="M665" s="19"/>
      <c r="N665" s="20"/>
      <c r="O665" s="22"/>
      <c r="P665" s="22"/>
      <c r="Q665" s="23"/>
      <c r="R665" s="23"/>
    </row>
    <row r="666" spans="1:18" x14ac:dyDescent="0.2">
      <c r="A666" s="13"/>
      <c r="B666" s="18"/>
      <c r="C666" s="19"/>
      <c r="D666" s="19"/>
      <c r="E666" s="20"/>
      <c r="F666" s="22"/>
      <c r="G666" s="22"/>
      <c r="H666" s="23"/>
      <c r="I666" s="23"/>
      <c r="J666" s="13"/>
      <c r="K666" s="18"/>
      <c r="L666" s="19"/>
      <c r="M666" s="19"/>
      <c r="N666" s="20"/>
      <c r="O666" s="22"/>
      <c r="P666" s="22"/>
      <c r="Q666" s="38"/>
      <c r="R666" s="38"/>
    </row>
    <row r="667" spans="1:18" x14ac:dyDescent="0.2">
      <c r="A667" s="13"/>
      <c r="B667" s="18"/>
      <c r="C667" s="19"/>
      <c r="D667" s="19"/>
      <c r="E667" s="20"/>
      <c r="F667" s="22"/>
      <c r="G667" s="22"/>
      <c r="H667" s="23"/>
      <c r="I667" s="23"/>
      <c r="J667" s="13"/>
      <c r="K667" s="18"/>
      <c r="L667" s="19"/>
      <c r="M667" s="19"/>
      <c r="N667" s="20"/>
      <c r="O667" s="22"/>
      <c r="P667" s="22"/>
      <c r="Q667" s="38"/>
      <c r="R667" s="38"/>
    </row>
    <row r="668" spans="1:18" x14ac:dyDescent="0.2">
      <c r="A668" s="13"/>
      <c r="B668" s="18"/>
      <c r="C668" s="19"/>
      <c r="D668" s="19"/>
      <c r="E668" s="20"/>
      <c r="F668" s="22"/>
      <c r="G668" s="22"/>
      <c r="H668" s="23"/>
      <c r="I668" s="23"/>
      <c r="J668" s="13"/>
      <c r="K668" s="18"/>
      <c r="L668" s="19"/>
      <c r="M668" s="19"/>
      <c r="N668" s="20"/>
      <c r="O668" s="22"/>
      <c r="P668" s="22"/>
      <c r="Q668" s="45"/>
      <c r="R668" s="45"/>
    </row>
    <row r="669" spans="1:18" x14ac:dyDescent="0.2">
      <c r="A669" s="13"/>
      <c r="B669" s="18"/>
      <c r="C669" s="19"/>
      <c r="D669" s="19"/>
      <c r="E669" s="20"/>
      <c r="F669" s="22"/>
      <c r="G669" s="22"/>
      <c r="H669" s="23"/>
      <c r="I669" s="23"/>
      <c r="J669" s="13"/>
      <c r="K669" s="18"/>
      <c r="L669" s="19"/>
      <c r="M669" s="19"/>
      <c r="N669" s="20"/>
      <c r="O669" s="22"/>
      <c r="P669" s="22"/>
      <c r="Q669" s="45"/>
      <c r="R669" s="45"/>
    </row>
    <row r="670" spans="1:18" x14ac:dyDescent="0.2">
      <c r="A670" s="13"/>
      <c r="B670" s="18"/>
      <c r="C670" s="19"/>
      <c r="D670" s="19"/>
      <c r="E670" s="20"/>
      <c r="F670" s="22"/>
      <c r="G670" s="22"/>
      <c r="H670" s="23"/>
      <c r="I670" s="23"/>
      <c r="J670" s="13"/>
      <c r="K670" s="18"/>
      <c r="L670" s="19"/>
      <c r="M670" s="19"/>
      <c r="N670" s="20"/>
      <c r="O670" s="22"/>
      <c r="P670" s="22"/>
      <c r="Q670" s="23"/>
      <c r="R670" s="23"/>
    </row>
    <row r="671" spans="1:18" ht="15" customHeight="1" x14ac:dyDescent="0.2">
      <c r="A671" s="13"/>
      <c r="B671" s="18"/>
      <c r="C671" s="19"/>
      <c r="D671" s="19"/>
      <c r="E671" s="20"/>
      <c r="F671" s="22"/>
      <c r="G671" s="22"/>
      <c r="H671" s="23"/>
      <c r="I671" s="23"/>
      <c r="J671" s="13"/>
      <c r="K671" s="18"/>
      <c r="L671" s="19"/>
      <c r="M671" s="19"/>
      <c r="N671" s="20"/>
      <c r="O671" s="22"/>
      <c r="P671" s="22"/>
      <c r="Q671" s="23"/>
      <c r="R671" s="23"/>
    </row>
    <row r="672" spans="1:18" x14ac:dyDescent="0.2">
      <c r="A672" s="13"/>
      <c r="B672" s="18"/>
      <c r="C672" s="19"/>
      <c r="D672" s="19"/>
      <c r="E672" s="20"/>
      <c r="F672" s="22"/>
      <c r="G672" s="22"/>
      <c r="H672" s="23"/>
      <c r="I672" s="23"/>
      <c r="J672" s="13"/>
      <c r="K672" s="18"/>
      <c r="L672" s="19"/>
      <c r="M672" s="19"/>
      <c r="N672" s="20"/>
      <c r="O672" s="22"/>
      <c r="P672" s="22"/>
      <c r="Q672" s="23"/>
      <c r="R672" s="23"/>
    </row>
    <row r="673" spans="1:18" x14ac:dyDescent="0.2">
      <c r="A673" s="13"/>
      <c r="B673" s="18"/>
      <c r="C673" s="19"/>
      <c r="D673" s="19"/>
      <c r="E673" s="20"/>
      <c r="F673" s="22"/>
      <c r="G673" s="22"/>
      <c r="H673" s="23"/>
      <c r="I673" s="23"/>
      <c r="J673" s="13"/>
      <c r="K673" s="18"/>
      <c r="L673" s="19"/>
      <c r="M673" s="19"/>
      <c r="N673" s="20"/>
      <c r="O673" s="22"/>
      <c r="P673" s="22"/>
      <c r="Q673" s="23"/>
      <c r="R673" s="23"/>
    </row>
    <row r="674" spans="1:18" x14ac:dyDescent="0.2">
      <c r="A674" s="13"/>
      <c r="B674" s="18"/>
      <c r="C674" s="19"/>
      <c r="D674" s="19"/>
      <c r="E674" s="20"/>
      <c r="F674" s="22"/>
      <c r="G674" s="22"/>
      <c r="H674" s="23"/>
      <c r="I674" s="23"/>
      <c r="J674" s="13"/>
      <c r="K674" s="18"/>
      <c r="L674" s="19"/>
      <c r="M674" s="19"/>
      <c r="N674" s="20"/>
      <c r="O674" s="22"/>
      <c r="P674" s="22"/>
      <c r="Q674" s="23"/>
      <c r="R674" s="23"/>
    </row>
    <row r="675" spans="1:18" x14ac:dyDescent="0.2">
      <c r="A675" s="13"/>
      <c r="B675" s="18"/>
      <c r="C675" s="19"/>
      <c r="D675" s="19"/>
      <c r="E675" s="20"/>
      <c r="F675" s="22"/>
      <c r="G675" s="22"/>
      <c r="H675" s="23"/>
      <c r="I675" s="23"/>
      <c r="J675" s="13"/>
      <c r="K675" s="18"/>
      <c r="L675" s="19"/>
      <c r="M675" s="19"/>
      <c r="N675" s="20"/>
      <c r="O675" s="22"/>
      <c r="P675" s="22"/>
      <c r="Q675" s="23"/>
      <c r="R675" s="23"/>
    </row>
    <row r="676" spans="1:18" x14ac:dyDescent="0.2">
      <c r="A676" s="13"/>
      <c r="B676" s="18"/>
      <c r="C676" s="19"/>
      <c r="D676" s="19"/>
      <c r="E676" s="20"/>
      <c r="F676" s="22"/>
      <c r="G676" s="36"/>
      <c r="H676" s="37"/>
      <c r="I676" s="37"/>
      <c r="J676" s="13"/>
      <c r="K676" s="18"/>
      <c r="L676" s="19"/>
      <c r="M676" s="19"/>
      <c r="N676" s="20"/>
      <c r="O676" s="22"/>
      <c r="P676" s="36"/>
      <c r="Q676" s="37"/>
      <c r="R676" s="37"/>
    </row>
    <row r="677" spans="1:18" x14ac:dyDescent="0.2">
      <c r="A677" s="13"/>
      <c r="B677" s="248" t="s">
        <v>42</v>
      </c>
      <c r="C677" s="249"/>
      <c r="D677" s="249"/>
      <c r="E677" s="250"/>
      <c r="F677" s="46"/>
      <c r="G677" s="46"/>
      <c r="H677" s="47"/>
      <c r="I677" s="47">
        <f>SUM(I664:I676)</f>
        <v>0</v>
      </c>
      <c r="J677" s="13"/>
      <c r="K677" s="248" t="s">
        <v>42</v>
      </c>
      <c r="L677" s="249"/>
      <c r="M677" s="249"/>
      <c r="N677" s="250"/>
      <c r="O677" s="46"/>
      <c r="P677" s="46"/>
      <c r="Q677" s="47"/>
      <c r="R677" s="47">
        <f>SUM(R664:R676)</f>
        <v>0</v>
      </c>
    </row>
    <row r="678" spans="1:18" x14ac:dyDescent="0.2">
      <c r="A678" s="12" t="s">
        <v>43</v>
      </c>
      <c r="B678" s="48" t="s">
        <v>44</v>
      </c>
      <c r="C678" s="43"/>
      <c r="D678" s="43"/>
      <c r="E678" s="39"/>
      <c r="F678" s="49"/>
      <c r="G678" s="49"/>
      <c r="H678" s="50"/>
      <c r="I678" s="51">
        <f>SUM(I659+I677)</f>
        <v>368.00766666666669</v>
      </c>
      <c r="J678" s="12" t="s">
        <v>43</v>
      </c>
      <c r="K678" s="48" t="s">
        <v>44</v>
      </c>
      <c r="L678" s="43"/>
      <c r="M678" s="43"/>
      <c r="N678" s="39"/>
      <c r="O678" s="49"/>
      <c r="P678" s="49"/>
      <c r="Q678" s="50"/>
      <c r="R678" s="51">
        <f>SUM(R659+R677)</f>
        <v>344.63171428571428</v>
      </c>
    </row>
    <row r="679" spans="1:18" x14ac:dyDescent="0.2">
      <c r="A679" s="13" t="s">
        <v>45</v>
      </c>
      <c r="B679" s="48" t="s">
        <v>46</v>
      </c>
      <c r="C679" s="43"/>
      <c r="D679" s="43"/>
      <c r="E679" s="39"/>
      <c r="F679" s="49"/>
      <c r="G679" s="52">
        <v>0.09</v>
      </c>
      <c r="H679" s="53" t="s">
        <v>47</v>
      </c>
      <c r="I679" s="51">
        <f>G679*I678</f>
        <v>33.120690000000003</v>
      </c>
      <c r="J679" s="13" t="s">
        <v>45</v>
      </c>
      <c r="K679" s="48" t="s">
        <v>46</v>
      </c>
      <c r="L679" s="43"/>
      <c r="M679" s="43"/>
      <c r="N679" s="39"/>
      <c r="O679" s="49"/>
      <c r="P679" s="52">
        <v>0.09</v>
      </c>
      <c r="Q679" s="53" t="s">
        <v>47</v>
      </c>
      <c r="R679" s="51">
        <f>P679*R678</f>
        <v>31.016854285714285</v>
      </c>
    </row>
    <row r="680" spans="1:18" x14ac:dyDescent="0.2">
      <c r="A680" s="13" t="s">
        <v>48</v>
      </c>
      <c r="B680" s="48" t="s">
        <v>49</v>
      </c>
      <c r="C680" s="43"/>
      <c r="D680" s="43"/>
      <c r="E680" s="39"/>
      <c r="F680" s="49"/>
      <c r="G680" s="52">
        <v>0.08</v>
      </c>
      <c r="H680" s="53" t="s">
        <v>47</v>
      </c>
      <c r="I680" s="51">
        <f>G680*I678</f>
        <v>29.440613333333335</v>
      </c>
      <c r="J680" s="13" t="s">
        <v>48</v>
      </c>
      <c r="K680" s="48" t="s">
        <v>49</v>
      </c>
      <c r="L680" s="43"/>
      <c r="M680" s="43"/>
      <c r="N680" s="39"/>
      <c r="O680" s="49"/>
      <c r="P680" s="52">
        <v>0.08</v>
      </c>
      <c r="Q680" s="53" t="s">
        <v>47</v>
      </c>
      <c r="R680" s="51">
        <f>P680*R678</f>
        <v>27.570537142857145</v>
      </c>
    </row>
    <row r="681" spans="1:18" x14ac:dyDescent="0.2">
      <c r="A681" s="13" t="s">
        <v>50</v>
      </c>
      <c r="B681" s="48" t="s">
        <v>51</v>
      </c>
      <c r="C681" s="43"/>
      <c r="D681" s="43"/>
      <c r="E681" s="39"/>
      <c r="F681" s="49"/>
      <c r="G681" s="52">
        <f>5/100</f>
        <v>0.05</v>
      </c>
      <c r="H681" s="53" t="s">
        <v>52</v>
      </c>
      <c r="I681" s="51">
        <f>G681*(I678+I679+I680)</f>
        <v>21.528448500000003</v>
      </c>
      <c r="J681" s="13" t="s">
        <v>50</v>
      </c>
      <c r="K681" s="48" t="s">
        <v>51</v>
      </c>
      <c r="L681" s="43"/>
      <c r="M681" s="43"/>
      <c r="N681" s="39"/>
      <c r="O681" s="49"/>
      <c r="P681" s="52">
        <f>5/100</f>
        <v>0.05</v>
      </c>
      <c r="Q681" s="53" t="s">
        <v>52</v>
      </c>
      <c r="R681" s="51">
        <f>P681*(R678+R679+R680)</f>
        <v>20.160955285714284</v>
      </c>
    </row>
    <row r="682" spans="1:18" x14ac:dyDescent="0.2">
      <c r="A682" s="54" t="s">
        <v>53</v>
      </c>
      <c r="B682" s="48" t="s">
        <v>54</v>
      </c>
      <c r="C682" s="43"/>
      <c r="D682" s="43"/>
      <c r="E682" s="39"/>
      <c r="F682" s="49"/>
      <c r="G682" s="49"/>
      <c r="H682" s="55" t="s">
        <v>55</v>
      </c>
      <c r="I682" s="51">
        <f>SUM(I678+I679+I680+I681)</f>
        <v>452.09741850000006</v>
      </c>
      <c r="J682" s="54" t="s">
        <v>53</v>
      </c>
      <c r="K682" s="48" t="s">
        <v>54</v>
      </c>
      <c r="L682" s="43"/>
      <c r="M682" s="43"/>
      <c r="N682" s="39"/>
      <c r="O682" s="49"/>
      <c r="P682" s="49"/>
      <c r="Q682" s="55" t="s">
        <v>55</v>
      </c>
      <c r="R682" s="51">
        <f>SUM(R678+R679+R680+R681)</f>
        <v>423.38006099999996</v>
      </c>
    </row>
    <row r="683" spans="1:18" s="1" customFormat="1" x14ac:dyDescent="0.2">
      <c r="A683" s="236" t="s">
        <v>0</v>
      </c>
      <c r="B683" s="236"/>
      <c r="C683" s="236"/>
      <c r="D683" s="236"/>
      <c r="E683" s="236"/>
      <c r="F683" s="236"/>
      <c r="G683" s="236"/>
      <c r="H683" s="236"/>
      <c r="I683" s="236"/>
      <c r="J683" s="236" t="s">
        <v>0</v>
      </c>
      <c r="K683" s="236"/>
      <c r="L683" s="236"/>
      <c r="M683" s="236"/>
      <c r="N683" s="236"/>
      <c r="O683" s="236"/>
      <c r="P683" s="236"/>
      <c r="Q683" s="236"/>
      <c r="R683" s="236"/>
    </row>
    <row r="684" spans="1:18" x14ac:dyDescent="0.2">
      <c r="J684" s="73"/>
      <c r="K684" s="74"/>
      <c r="L684" s="75"/>
      <c r="M684" s="75"/>
      <c r="N684" s="76"/>
      <c r="O684" s="74"/>
      <c r="P684" s="74"/>
      <c r="Q684" s="74"/>
      <c r="R684" s="74"/>
    </row>
    <row r="685" spans="1:18" x14ac:dyDescent="0.2">
      <c r="A685" s="2" t="s">
        <v>1</v>
      </c>
      <c r="C685" s="4" t="s">
        <v>2</v>
      </c>
      <c r="D685" s="5" t="s">
        <v>127</v>
      </c>
      <c r="E685" s="237" t="s">
        <v>1187</v>
      </c>
      <c r="F685" s="237"/>
      <c r="G685" s="237"/>
      <c r="H685" s="237"/>
      <c r="I685" s="8"/>
      <c r="J685" s="2" t="s">
        <v>1</v>
      </c>
      <c r="L685" s="4" t="s">
        <v>2</v>
      </c>
      <c r="M685" s="5" t="s">
        <v>129</v>
      </c>
      <c r="N685" s="2" t="s">
        <v>130</v>
      </c>
      <c r="O685" s="2"/>
      <c r="P685" s="2"/>
      <c r="Q685" s="2"/>
    </row>
    <row r="686" spans="1:18" x14ac:dyDescent="0.2">
      <c r="A686" s="2" t="s">
        <v>7</v>
      </c>
      <c r="C686" s="4" t="s">
        <v>2</v>
      </c>
      <c r="E686" s="144" t="s">
        <v>1150</v>
      </c>
      <c r="F686" s="8"/>
      <c r="G686" s="8"/>
      <c r="H686" s="8"/>
      <c r="J686" s="2" t="s">
        <v>7</v>
      </c>
      <c r="L686" s="4" t="s">
        <v>2</v>
      </c>
      <c r="N686" s="2" t="s">
        <v>9</v>
      </c>
      <c r="O686" s="8"/>
      <c r="P686" s="8"/>
      <c r="Q686" s="8"/>
    </row>
    <row r="687" spans="1:18" x14ac:dyDescent="0.2">
      <c r="A687" s="2" t="s">
        <v>10</v>
      </c>
      <c r="C687" s="4" t="s">
        <v>2</v>
      </c>
      <c r="E687" s="9">
        <v>5</v>
      </c>
      <c r="F687" s="8"/>
      <c r="G687" s="8"/>
      <c r="H687" s="8"/>
      <c r="J687" s="2" t="s">
        <v>10</v>
      </c>
      <c r="L687" s="4" t="s">
        <v>2</v>
      </c>
      <c r="N687" s="9">
        <v>4</v>
      </c>
      <c r="O687" s="8"/>
      <c r="P687" s="8"/>
      <c r="Q687" s="8"/>
    </row>
    <row r="688" spans="1:18" x14ac:dyDescent="0.2">
      <c r="B688" s="8"/>
      <c r="F688" s="11"/>
      <c r="G688" s="8"/>
      <c r="H688" s="8"/>
      <c r="I688" s="8"/>
      <c r="K688" s="8"/>
      <c r="O688" s="11"/>
      <c r="P688" s="8"/>
      <c r="Q688" s="8"/>
      <c r="R688" s="8"/>
    </row>
    <row r="689" spans="1:18" x14ac:dyDescent="0.2">
      <c r="A689" s="12"/>
      <c r="B689" s="238" t="s">
        <v>11</v>
      </c>
      <c r="C689" s="239"/>
      <c r="D689" s="239"/>
      <c r="E689" s="240"/>
      <c r="F689" s="244" t="s">
        <v>12</v>
      </c>
      <c r="G689" s="244" t="s">
        <v>13</v>
      </c>
      <c r="H689" s="244" t="s">
        <v>14</v>
      </c>
      <c r="I689" s="246" t="s">
        <v>15</v>
      </c>
      <c r="J689" s="12"/>
      <c r="K689" s="238" t="s">
        <v>11</v>
      </c>
      <c r="L689" s="239"/>
      <c r="M689" s="239"/>
      <c r="N689" s="240"/>
      <c r="O689" s="244" t="s">
        <v>12</v>
      </c>
      <c r="P689" s="244" t="s">
        <v>13</v>
      </c>
      <c r="Q689" s="244" t="s">
        <v>14</v>
      </c>
      <c r="R689" s="246" t="s">
        <v>15</v>
      </c>
    </row>
    <row r="690" spans="1:18" x14ac:dyDescent="0.2">
      <c r="A690" s="13"/>
      <c r="B690" s="241"/>
      <c r="C690" s="242"/>
      <c r="D690" s="242"/>
      <c r="E690" s="243"/>
      <c r="F690" s="245"/>
      <c r="G690" s="245"/>
      <c r="H690" s="245"/>
      <c r="I690" s="247"/>
      <c r="J690" s="13"/>
      <c r="K690" s="241"/>
      <c r="L690" s="242"/>
      <c r="M690" s="242"/>
      <c r="N690" s="243"/>
      <c r="O690" s="245"/>
      <c r="P690" s="245"/>
      <c r="Q690" s="245"/>
      <c r="R690" s="247"/>
    </row>
    <row r="691" spans="1:18" x14ac:dyDescent="0.2">
      <c r="A691" s="13" t="s">
        <v>16</v>
      </c>
      <c r="B691" s="14" t="s">
        <v>17</v>
      </c>
      <c r="C691" s="15"/>
      <c r="D691" s="15"/>
      <c r="E691" s="16"/>
      <c r="F691" s="17"/>
      <c r="G691" s="17"/>
      <c r="H691" s="17"/>
      <c r="I691" s="17"/>
      <c r="J691" s="13" t="s">
        <v>16</v>
      </c>
      <c r="K691" s="14" t="s">
        <v>17</v>
      </c>
      <c r="L691" s="15"/>
      <c r="M691" s="15"/>
      <c r="N691" s="16"/>
      <c r="O691" s="17"/>
      <c r="P691" s="17"/>
      <c r="Q691" s="17"/>
      <c r="R691" s="17"/>
    </row>
    <row r="692" spans="1:18" x14ac:dyDescent="0.2">
      <c r="A692" s="13"/>
      <c r="B692" s="18"/>
      <c r="C692" s="19"/>
      <c r="D692" s="19"/>
      <c r="E692" s="20"/>
      <c r="F692" s="21"/>
      <c r="G692" s="22"/>
      <c r="H692" s="21"/>
      <c r="I692" s="21"/>
      <c r="J692" s="13"/>
      <c r="K692" s="18"/>
      <c r="L692" s="19"/>
      <c r="M692" s="19"/>
      <c r="N692" s="20"/>
      <c r="O692" s="21"/>
      <c r="P692" s="22"/>
      <c r="Q692" s="21"/>
      <c r="R692" s="21"/>
    </row>
    <row r="693" spans="1:18" x14ac:dyDescent="0.2">
      <c r="A693" s="13"/>
      <c r="B693" s="24" t="s">
        <v>18</v>
      </c>
      <c r="C693" s="25"/>
      <c r="D693" s="25"/>
      <c r="E693" s="26"/>
      <c r="F693" s="22">
        <v>1</v>
      </c>
      <c r="G693" s="62">
        <v>1</v>
      </c>
      <c r="H693" s="23">
        <v>69.42</v>
      </c>
      <c r="I693" s="23">
        <f>G693*H693*F693</f>
        <v>69.42</v>
      </c>
      <c r="J693" s="13"/>
      <c r="K693" s="24" t="s">
        <v>18</v>
      </c>
      <c r="L693" s="25"/>
      <c r="M693" s="25"/>
      <c r="N693" s="26"/>
      <c r="O693" s="22">
        <v>1</v>
      </c>
      <c r="P693" s="62">
        <f>16/16</f>
        <v>1</v>
      </c>
      <c r="Q693" s="23">
        <v>69.42</v>
      </c>
      <c r="R693" s="23">
        <f>P693*Q693*O693</f>
        <v>69.42</v>
      </c>
    </row>
    <row r="694" spans="1:18" ht="15" customHeight="1" x14ac:dyDescent="0.2">
      <c r="A694" s="13"/>
      <c r="B694" s="257" t="s">
        <v>1179</v>
      </c>
      <c r="C694" s="258"/>
      <c r="D694" s="19"/>
      <c r="E694" s="20"/>
      <c r="F694" s="22">
        <v>2</v>
      </c>
      <c r="G694" s="62">
        <v>1</v>
      </c>
      <c r="H694" s="23">
        <v>38.97</v>
      </c>
      <c r="I694" s="23">
        <f>G694*H694*F694</f>
        <v>77.94</v>
      </c>
      <c r="J694" s="13"/>
      <c r="K694" s="257" t="s">
        <v>1178</v>
      </c>
      <c r="L694" s="258"/>
      <c r="M694" s="25"/>
      <c r="N694" s="26"/>
      <c r="O694" s="22">
        <v>1</v>
      </c>
      <c r="P694" s="62">
        <f>P693</f>
        <v>1</v>
      </c>
      <c r="Q694" s="23">
        <v>50.18</v>
      </c>
      <c r="R694" s="23">
        <f>P694*Q694*O694</f>
        <v>50.18</v>
      </c>
    </row>
    <row r="695" spans="1:18" x14ac:dyDescent="0.2">
      <c r="A695" s="13"/>
      <c r="B695" s="257"/>
      <c r="C695" s="258"/>
      <c r="D695" s="19"/>
      <c r="E695" s="20"/>
      <c r="F695" s="22"/>
      <c r="G695" s="22"/>
      <c r="H695" s="23"/>
      <c r="I695" s="23"/>
      <c r="J695" s="13"/>
      <c r="K695" s="257" t="s">
        <v>1177</v>
      </c>
      <c r="L695" s="258"/>
      <c r="M695" s="19"/>
      <c r="N695" s="20"/>
      <c r="O695" s="22">
        <v>2</v>
      </c>
      <c r="P695" s="62">
        <f>P693</f>
        <v>1</v>
      </c>
      <c r="Q695" s="23">
        <v>38.97</v>
      </c>
      <c r="R695" s="23">
        <f>P695*Q695*O695</f>
        <v>77.94</v>
      </c>
    </row>
    <row r="696" spans="1:18" x14ac:dyDescent="0.2">
      <c r="A696" s="13"/>
      <c r="B696" s="27"/>
      <c r="C696" s="63"/>
      <c r="D696" s="19"/>
      <c r="E696" s="20"/>
      <c r="F696" s="22"/>
      <c r="G696" s="22"/>
      <c r="H696" s="29"/>
      <c r="I696" s="30"/>
      <c r="J696" s="13"/>
      <c r="K696" s="27"/>
      <c r="L696" s="19"/>
      <c r="M696" s="19"/>
      <c r="N696" s="20"/>
      <c r="O696" s="22"/>
      <c r="P696" s="22"/>
      <c r="Q696" s="29"/>
      <c r="R696" s="30"/>
    </row>
    <row r="697" spans="1:18" ht="15" customHeight="1" x14ac:dyDescent="0.2">
      <c r="A697" s="13"/>
      <c r="B697" s="27"/>
      <c r="C697" s="63"/>
      <c r="D697" s="19"/>
      <c r="E697" s="20"/>
      <c r="F697" s="22"/>
      <c r="G697" s="22"/>
      <c r="H697" s="29"/>
      <c r="I697" s="30"/>
      <c r="J697" s="13"/>
      <c r="K697" s="27"/>
      <c r="L697" s="19"/>
      <c r="M697" s="19"/>
      <c r="N697" s="20"/>
      <c r="O697" s="22"/>
      <c r="P697" s="22"/>
      <c r="Q697" s="29"/>
      <c r="R697" s="30"/>
    </row>
    <row r="698" spans="1:18" x14ac:dyDescent="0.2">
      <c r="A698" s="13"/>
      <c r="B698" s="24"/>
      <c r="C698" s="25"/>
      <c r="D698" s="19"/>
      <c r="E698" s="20"/>
      <c r="F698" s="22"/>
      <c r="G698" s="22"/>
      <c r="H698" s="23"/>
      <c r="I698" s="23"/>
      <c r="J698" s="13"/>
      <c r="K698" s="18"/>
      <c r="L698" s="19"/>
      <c r="M698" s="19"/>
      <c r="N698" s="20"/>
      <c r="O698" s="22"/>
      <c r="P698" s="22"/>
      <c r="Q698" s="28"/>
      <c r="R698" s="23"/>
    </row>
    <row r="699" spans="1:18" x14ac:dyDescent="0.2">
      <c r="A699" s="13"/>
      <c r="B699" s="24"/>
      <c r="C699" s="25"/>
      <c r="D699" s="19"/>
      <c r="E699" s="20"/>
      <c r="F699" s="22"/>
      <c r="G699" s="22"/>
      <c r="H699" s="23"/>
      <c r="I699" s="23"/>
      <c r="J699" s="13"/>
      <c r="K699" s="18"/>
      <c r="L699" s="19"/>
      <c r="M699" s="19"/>
      <c r="N699" s="20"/>
      <c r="O699" s="22"/>
      <c r="P699" s="22"/>
      <c r="Q699" s="23"/>
      <c r="R699" s="23"/>
    </row>
    <row r="700" spans="1:18" x14ac:dyDescent="0.2">
      <c r="A700" s="13"/>
      <c r="B700" s="248" t="s">
        <v>20</v>
      </c>
      <c r="C700" s="249"/>
      <c r="D700" s="249"/>
      <c r="E700" s="250"/>
      <c r="F700" s="31"/>
      <c r="G700" s="31"/>
      <c r="H700" s="32"/>
      <c r="I700" s="32">
        <f>SUM(I693:I699)</f>
        <v>147.36000000000001</v>
      </c>
      <c r="J700" s="13"/>
      <c r="K700" s="248" t="s">
        <v>20</v>
      </c>
      <c r="L700" s="249"/>
      <c r="M700" s="249"/>
      <c r="N700" s="250"/>
      <c r="O700" s="31"/>
      <c r="P700" s="31"/>
      <c r="Q700" s="32"/>
      <c r="R700" s="32">
        <f>SUM(R693:R699)</f>
        <v>197.54</v>
      </c>
    </row>
    <row r="701" spans="1:18" x14ac:dyDescent="0.2">
      <c r="A701" s="12"/>
      <c r="B701" s="251" t="s">
        <v>21</v>
      </c>
      <c r="C701" s="252"/>
      <c r="D701" s="252"/>
      <c r="E701" s="253"/>
      <c r="F701" s="244" t="s">
        <v>22</v>
      </c>
      <c r="G701" s="244" t="s">
        <v>13</v>
      </c>
      <c r="H701" s="244" t="s">
        <v>14</v>
      </c>
      <c r="I701" s="246" t="s">
        <v>15</v>
      </c>
      <c r="J701" s="12"/>
      <c r="K701" s="251" t="s">
        <v>21</v>
      </c>
      <c r="L701" s="252"/>
      <c r="M701" s="252"/>
      <c r="N701" s="253"/>
      <c r="O701" s="244" t="s">
        <v>22</v>
      </c>
      <c r="P701" s="244" t="s">
        <v>13</v>
      </c>
      <c r="Q701" s="244" t="s">
        <v>14</v>
      </c>
      <c r="R701" s="246" t="s">
        <v>15</v>
      </c>
    </row>
    <row r="702" spans="1:18" x14ac:dyDescent="0.2">
      <c r="A702" s="13"/>
      <c r="B702" s="254"/>
      <c r="C702" s="255"/>
      <c r="D702" s="255"/>
      <c r="E702" s="256"/>
      <c r="F702" s="245"/>
      <c r="G702" s="245"/>
      <c r="H702" s="245"/>
      <c r="I702" s="247"/>
      <c r="J702" s="13"/>
      <c r="K702" s="254"/>
      <c r="L702" s="255"/>
      <c r="M702" s="255"/>
      <c r="N702" s="256"/>
      <c r="O702" s="245"/>
      <c r="P702" s="245"/>
      <c r="Q702" s="245"/>
      <c r="R702" s="247"/>
    </row>
    <row r="703" spans="1:18" x14ac:dyDescent="0.2">
      <c r="A703" s="13" t="s">
        <v>23</v>
      </c>
      <c r="B703" s="33" t="s">
        <v>24</v>
      </c>
      <c r="C703" s="15"/>
      <c r="D703" s="15"/>
      <c r="E703" s="16"/>
      <c r="F703" s="34"/>
      <c r="G703" s="34"/>
      <c r="H703" s="35"/>
      <c r="I703" s="35"/>
      <c r="J703" s="13" t="s">
        <v>23</v>
      </c>
      <c r="K703" s="33" t="s">
        <v>24</v>
      </c>
      <c r="L703" s="15"/>
      <c r="M703" s="15"/>
      <c r="N703" s="16"/>
      <c r="O703" s="34"/>
      <c r="P703" s="34"/>
      <c r="Q703" s="35"/>
      <c r="R703" s="35"/>
    </row>
    <row r="704" spans="1:18" x14ac:dyDescent="0.2">
      <c r="A704" s="13"/>
      <c r="B704" s="18"/>
      <c r="C704" s="19"/>
      <c r="D704" s="19"/>
      <c r="E704" s="20"/>
      <c r="F704" s="22"/>
      <c r="G704" s="22"/>
      <c r="H704" s="23"/>
      <c r="I704" s="23"/>
      <c r="J704" s="13"/>
      <c r="K704" s="18"/>
      <c r="L704" s="19"/>
      <c r="M704" s="19"/>
      <c r="N704" s="20"/>
      <c r="O704" s="22"/>
      <c r="P704" s="22"/>
      <c r="Q704" s="23"/>
      <c r="R704" s="23"/>
    </row>
    <row r="705" spans="1:18" x14ac:dyDescent="0.2">
      <c r="A705" s="13"/>
      <c r="B705" s="18" t="s">
        <v>62</v>
      </c>
      <c r="C705" s="66"/>
      <c r="D705" s="19"/>
      <c r="E705" s="20"/>
      <c r="F705" s="22">
        <v>1</v>
      </c>
      <c r="G705" s="36">
        <v>1</v>
      </c>
      <c r="H705" s="37">
        <v>1537</v>
      </c>
      <c r="I705" s="37">
        <f>G705*H705*F705</f>
        <v>1537</v>
      </c>
      <c r="J705" s="13"/>
      <c r="K705" s="18" t="s">
        <v>62</v>
      </c>
      <c r="L705" s="19"/>
      <c r="M705" s="19"/>
      <c r="N705" s="20"/>
      <c r="O705" s="22">
        <v>1</v>
      </c>
      <c r="P705" s="23">
        <v>0.5</v>
      </c>
      <c r="Q705" s="37">
        <v>1537</v>
      </c>
      <c r="R705" s="37">
        <f>P705*Q705*O705</f>
        <v>768.5</v>
      </c>
    </row>
    <row r="706" spans="1:18" ht="17.25" customHeight="1" x14ac:dyDescent="0.2">
      <c r="A706" s="13"/>
      <c r="B706" s="18" t="s">
        <v>1149</v>
      </c>
      <c r="C706" s="66"/>
      <c r="D706" s="19"/>
      <c r="E706" s="20"/>
      <c r="F706" s="22">
        <v>1</v>
      </c>
      <c r="G706" s="23">
        <v>0.5</v>
      </c>
      <c r="H706" s="37">
        <v>1017.9</v>
      </c>
      <c r="I706" s="37">
        <f>G706*H706*F706</f>
        <v>508.95</v>
      </c>
      <c r="J706" s="13"/>
      <c r="K706" s="18" t="s">
        <v>124</v>
      </c>
      <c r="L706" s="19"/>
      <c r="M706" s="19"/>
      <c r="N706" s="20"/>
      <c r="O706" s="22">
        <v>1</v>
      </c>
      <c r="P706" s="23">
        <v>1</v>
      </c>
      <c r="Q706" s="37">
        <v>1998.1</v>
      </c>
      <c r="R706" s="37">
        <f>P706*Q706*O706</f>
        <v>1998.1</v>
      </c>
    </row>
    <row r="707" spans="1:18" ht="17.25" customHeight="1" x14ac:dyDescent="0.2">
      <c r="A707" s="13"/>
      <c r="B707" s="18" t="s">
        <v>1194</v>
      </c>
      <c r="C707" s="66"/>
      <c r="D707" s="19"/>
      <c r="E707" s="20"/>
      <c r="F707" s="22"/>
      <c r="G707" s="71"/>
      <c r="I707" s="37">
        <f>0.1*I700</f>
        <v>14.736000000000002</v>
      </c>
      <c r="J707" s="13"/>
      <c r="K707" s="18" t="s">
        <v>1147</v>
      </c>
      <c r="L707" s="19"/>
      <c r="M707" s="19"/>
      <c r="N707" s="20"/>
      <c r="O707" s="22">
        <v>1</v>
      </c>
      <c r="P707" s="23">
        <v>0.5</v>
      </c>
      <c r="Q707" s="37">
        <v>1420</v>
      </c>
      <c r="R707" s="37">
        <f>P707*Q707*O707</f>
        <v>710</v>
      </c>
    </row>
    <row r="708" spans="1:18" x14ac:dyDescent="0.2">
      <c r="A708" s="13"/>
      <c r="B708" s="18"/>
      <c r="C708" s="66"/>
      <c r="F708" s="22"/>
      <c r="G708" s="23"/>
      <c r="H708" s="37"/>
      <c r="I708" s="37"/>
      <c r="J708" s="13"/>
      <c r="K708" s="18" t="s">
        <v>1192</v>
      </c>
      <c r="L708" s="19"/>
      <c r="M708" s="19"/>
      <c r="N708" s="20"/>
      <c r="O708" s="22"/>
      <c r="P708" s="36"/>
      <c r="R708" s="37">
        <f>R700*0.1</f>
        <v>19.754000000000001</v>
      </c>
    </row>
    <row r="709" spans="1:18" x14ac:dyDescent="0.2">
      <c r="A709" s="13"/>
      <c r="B709" s="18"/>
      <c r="C709" s="19"/>
      <c r="D709" s="19"/>
      <c r="E709" s="20"/>
      <c r="F709" s="22"/>
      <c r="G709" s="36"/>
      <c r="H709" s="37"/>
      <c r="I709" s="37"/>
      <c r="J709" s="13"/>
      <c r="K709" s="18"/>
      <c r="L709" s="19"/>
      <c r="M709" s="19"/>
      <c r="N709" s="20"/>
      <c r="O709" s="22"/>
      <c r="P709" s="36"/>
      <c r="Q709" s="37"/>
      <c r="R709" s="37"/>
    </row>
    <row r="710" spans="1:18" x14ac:dyDescent="0.2">
      <c r="A710" s="13"/>
      <c r="B710" s="18" t="s">
        <v>126</v>
      </c>
      <c r="C710" s="19"/>
      <c r="D710" s="19"/>
      <c r="E710" s="20"/>
      <c r="F710" s="22"/>
      <c r="G710" s="36"/>
      <c r="H710" s="37"/>
      <c r="I710" s="37"/>
      <c r="J710" s="13"/>
      <c r="K710" s="18"/>
      <c r="L710" s="19"/>
      <c r="M710" s="19"/>
      <c r="N710" s="20"/>
      <c r="O710" s="22"/>
      <c r="P710" s="36"/>
      <c r="Q710" s="38"/>
      <c r="R710" s="38"/>
    </row>
    <row r="711" spans="1:18" x14ac:dyDescent="0.2">
      <c r="A711" s="13"/>
      <c r="B711" s="18"/>
      <c r="C711" s="19"/>
      <c r="D711" s="19"/>
      <c r="E711" s="20"/>
      <c r="F711" s="22"/>
      <c r="G711" s="23"/>
      <c r="H711" s="37"/>
      <c r="I711" s="37"/>
      <c r="J711" s="13"/>
      <c r="K711" s="18"/>
      <c r="L711" s="19"/>
      <c r="M711" s="19"/>
      <c r="N711" s="20"/>
      <c r="O711" s="22"/>
      <c r="P711" s="36"/>
      <c r="Q711" s="38"/>
      <c r="R711" s="38"/>
    </row>
    <row r="712" spans="1:18" x14ac:dyDescent="0.2">
      <c r="A712" s="13"/>
      <c r="C712" s="19"/>
      <c r="D712" s="19"/>
      <c r="E712" s="20"/>
      <c r="F712" s="22"/>
      <c r="G712" s="23"/>
      <c r="H712" s="37"/>
      <c r="I712" s="37"/>
      <c r="J712" s="13"/>
      <c r="K712" s="18"/>
      <c r="L712" s="19"/>
      <c r="M712" s="19"/>
      <c r="N712" s="20"/>
      <c r="O712" s="22"/>
      <c r="P712" s="36"/>
      <c r="Q712" s="38"/>
      <c r="R712" s="38"/>
    </row>
    <row r="713" spans="1:18" x14ac:dyDescent="0.2">
      <c r="A713" s="13"/>
      <c r="B713" s="18" t="s">
        <v>101</v>
      </c>
      <c r="C713" s="7"/>
      <c r="D713" s="7"/>
      <c r="E713" s="7"/>
      <c r="F713" s="72"/>
      <c r="G713" s="72"/>
      <c r="H713" s="72"/>
      <c r="I713" s="72"/>
      <c r="J713" s="13"/>
      <c r="K713" s="18"/>
      <c r="L713" s="19"/>
      <c r="M713" s="19"/>
      <c r="N713" s="20"/>
      <c r="O713" s="22"/>
      <c r="P713" s="36"/>
      <c r="Q713" s="38"/>
      <c r="R713" s="38"/>
    </row>
    <row r="714" spans="1:18" x14ac:dyDescent="0.2">
      <c r="A714" s="13"/>
      <c r="B714" s="18"/>
      <c r="C714" s="19"/>
      <c r="D714" s="19"/>
      <c r="E714" s="20"/>
      <c r="F714" s="22"/>
      <c r="G714" s="36"/>
      <c r="H714" s="37"/>
      <c r="I714" s="37"/>
      <c r="J714" s="13"/>
      <c r="K714" s="18"/>
      <c r="L714" s="19"/>
      <c r="M714" s="19"/>
      <c r="N714" s="20"/>
      <c r="O714" s="22"/>
      <c r="P714" s="36"/>
      <c r="Q714" s="37"/>
      <c r="R714" s="37"/>
    </row>
    <row r="715" spans="1:18" x14ac:dyDescent="0.2">
      <c r="A715" s="13"/>
      <c r="B715" s="18"/>
      <c r="C715" s="19"/>
      <c r="D715" s="19"/>
      <c r="E715" s="20"/>
      <c r="F715" s="22"/>
      <c r="G715" s="36"/>
      <c r="H715" s="37"/>
      <c r="I715" s="37"/>
      <c r="J715" s="13"/>
      <c r="K715" s="18"/>
      <c r="L715" s="19"/>
      <c r="M715" s="19"/>
      <c r="N715" s="20"/>
      <c r="O715" s="22"/>
      <c r="P715" s="36"/>
      <c r="Q715" s="37"/>
      <c r="R715" s="37"/>
    </row>
    <row r="716" spans="1:18" x14ac:dyDescent="0.2">
      <c r="A716" s="13"/>
      <c r="B716" s="18"/>
      <c r="C716" s="19"/>
      <c r="D716" s="19"/>
      <c r="E716" s="20"/>
      <c r="F716" s="22"/>
      <c r="G716" s="36"/>
      <c r="H716" s="37"/>
      <c r="I716" s="37"/>
      <c r="J716" s="13"/>
      <c r="K716" s="18"/>
      <c r="L716" s="19"/>
      <c r="M716" s="19"/>
      <c r="N716" s="20"/>
      <c r="O716" s="22"/>
      <c r="P716" s="36"/>
      <c r="Q716" s="37"/>
      <c r="R716" s="37"/>
    </row>
    <row r="717" spans="1:18" ht="15" customHeight="1" x14ac:dyDescent="0.2">
      <c r="A717" s="13"/>
      <c r="B717" s="18"/>
      <c r="C717" s="19"/>
      <c r="D717" s="19"/>
      <c r="E717" s="20"/>
      <c r="F717" s="22"/>
      <c r="G717" s="22"/>
      <c r="H717" s="23"/>
      <c r="I717" s="23"/>
      <c r="J717" s="13"/>
      <c r="K717" s="18"/>
      <c r="L717" s="19"/>
      <c r="M717" s="19"/>
      <c r="N717" s="20"/>
      <c r="O717" s="22"/>
      <c r="P717" s="22"/>
      <c r="Q717" s="23"/>
      <c r="R717" s="23"/>
    </row>
    <row r="718" spans="1:18" x14ac:dyDescent="0.2">
      <c r="A718" s="13"/>
      <c r="B718" s="248" t="s">
        <v>30</v>
      </c>
      <c r="C718" s="249"/>
      <c r="D718" s="249"/>
      <c r="E718" s="250"/>
      <c r="F718" s="22"/>
      <c r="G718" s="22"/>
      <c r="H718" s="23"/>
      <c r="I718" s="23">
        <f>SUM(I705:I717)</f>
        <v>2060.6860000000001</v>
      </c>
      <c r="J718" s="13"/>
      <c r="K718" s="248" t="s">
        <v>30</v>
      </c>
      <c r="L718" s="249"/>
      <c r="M718" s="249"/>
      <c r="N718" s="250"/>
      <c r="O718" s="22"/>
      <c r="P718" s="22"/>
      <c r="Q718" s="23"/>
      <c r="R718" s="23">
        <f>SUM(R705:R717)</f>
        <v>3496.3539999999998</v>
      </c>
    </row>
    <row r="719" spans="1:18" x14ac:dyDescent="0.2">
      <c r="A719" s="12" t="s">
        <v>31</v>
      </c>
      <c r="B719" s="260" t="s">
        <v>32</v>
      </c>
      <c r="C719" s="261"/>
      <c r="D719" s="261"/>
      <c r="E719" s="261"/>
      <c r="F719" s="39"/>
      <c r="G719" s="39"/>
      <c r="H719" s="40"/>
      <c r="I719" s="41">
        <f>SUM(I718+I700)</f>
        <v>2208.0460000000003</v>
      </c>
      <c r="J719" s="12" t="s">
        <v>31</v>
      </c>
      <c r="K719" s="260" t="s">
        <v>32</v>
      </c>
      <c r="L719" s="261"/>
      <c r="M719" s="261"/>
      <c r="N719" s="261"/>
      <c r="O719" s="39"/>
      <c r="P719" s="39"/>
      <c r="Q719" s="40"/>
      <c r="R719" s="41">
        <f>SUM(R718+R700)</f>
        <v>3693.8939999999998</v>
      </c>
    </row>
    <row r="720" spans="1:18" x14ac:dyDescent="0.2">
      <c r="A720" s="13" t="s">
        <v>33</v>
      </c>
      <c r="B720" s="269">
        <f>E687</f>
        <v>5</v>
      </c>
      <c r="C720" s="270"/>
      <c r="D720" s="270"/>
      <c r="E720" s="270"/>
      <c r="F720" s="270"/>
      <c r="G720" s="270"/>
      <c r="H720" s="40"/>
      <c r="I720" s="41"/>
      <c r="J720" s="13" t="s">
        <v>33</v>
      </c>
      <c r="K720" s="264">
        <f>N687</f>
        <v>4</v>
      </c>
      <c r="L720" s="265"/>
      <c r="M720" s="265"/>
      <c r="N720" s="265"/>
      <c r="O720" s="265"/>
      <c r="P720" s="265"/>
      <c r="Q720" s="40"/>
      <c r="R720" s="41"/>
    </row>
    <row r="721" spans="1:18" x14ac:dyDescent="0.2">
      <c r="A721" s="13" t="s">
        <v>34</v>
      </c>
      <c r="B721" s="42" t="s">
        <v>35</v>
      </c>
      <c r="C721" s="43"/>
      <c r="D721" s="43"/>
      <c r="E721" s="39"/>
      <c r="F721" s="44"/>
      <c r="G721" s="44"/>
      <c r="H721" s="40"/>
      <c r="I721" s="41">
        <f>I719/E687</f>
        <v>441.60920000000004</v>
      </c>
      <c r="J721" s="13" t="s">
        <v>34</v>
      </c>
      <c r="K721" s="42" t="s">
        <v>35</v>
      </c>
      <c r="L721" s="43"/>
      <c r="M721" s="43"/>
      <c r="N721" s="39"/>
      <c r="O721" s="44"/>
      <c r="P721" s="44"/>
      <c r="Q721" s="40"/>
      <c r="R721" s="41">
        <f>R719/N687</f>
        <v>923.47349999999994</v>
      </c>
    </row>
    <row r="722" spans="1:18" x14ac:dyDescent="0.2">
      <c r="A722" s="12"/>
      <c r="B722" s="251" t="s">
        <v>36</v>
      </c>
      <c r="C722" s="252"/>
      <c r="D722" s="252"/>
      <c r="E722" s="253"/>
      <c r="F722" s="244" t="s">
        <v>37</v>
      </c>
      <c r="G722" s="244" t="s">
        <v>38</v>
      </c>
      <c r="H722" s="244" t="s">
        <v>39</v>
      </c>
      <c r="I722" s="246" t="s">
        <v>15</v>
      </c>
      <c r="J722" s="12"/>
      <c r="K722" s="251" t="s">
        <v>36</v>
      </c>
      <c r="L722" s="252"/>
      <c r="M722" s="252"/>
      <c r="N722" s="253"/>
      <c r="O722" s="244" t="s">
        <v>37</v>
      </c>
      <c r="P722" s="244" t="s">
        <v>38</v>
      </c>
      <c r="Q722" s="244" t="s">
        <v>39</v>
      </c>
      <c r="R722" s="246" t="s">
        <v>15</v>
      </c>
    </row>
    <row r="723" spans="1:18" x14ac:dyDescent="0.2">
      <c r="A723" s="13"/>
      <c r="B723" s="254"/>
      <c r="C723" s="255"/>
      <c r="D723" s="255"/>
      <c r="E723" s="256"/>
      <c r="F723" s="245"/>
      <c r="G723" s="245"/>
      <c r="H723" s="245"/>
      <c r="I723" s="247"/>
      <c r="J723" s="13"/>
      <c r="K723" s="254"/>
      <c r="L723" s="255"/>
      <c r="M723" s="255"/>
      <c r="N723" s="256"/>
      <c r="O723" s="245"/>
      <c r="P723" s="245"/>
      <c r="Q723" s="245"/>
      <c r="R723" s="247"/>
    </row>
    <row r="724" spans="1:18" x14ac:dyDescent="0.2">
      <c r="A724" s="13" t="s">
        <v>40</v>
      </c>
      <c r="B724" s="18" t="s">
        <v>41</v>
      </c>
      <c r="C724" s="19"/>
      <c r="D724" s="19"/>
      <c r="E724" s="20"/>
      <c r="F724" s="22"/>
      <c r="G724" s="22"/>
      <c r="H724" s="23"/>
      <c r="I724" s="23"/>
      <c r="J724" s="13" t="s">
        <v>40</v>
      </c>
      <c r="K724" s="18" t="s">
        <v>41</v>
      </c>
      <c r="L724" s="19"/>
      <c r="M724" s="19"/>
      <c r="N724" s="20"/>
      <c r="O724" s="22"/>
      <c r="P724" s="22"/>
      <c r="Q724" s="23"/>
      <c r="R724" s="23"/>
    </row>
    <row r="725" spans="1:18" x14ac:dyDescent="0.2">
      <c r="A725" s="13"/>
      <c r="B725" s="18"/>
      <c r="C725" s="19"/>
      <c r="D725" s="19"/>
      <c r="E725" s="20"/>
      <c r="F725" s="22"/>
      <c r="G725" s="22"/>
      <c r="H725" s="23"/>
      <c r="I725" s="23"/>
      <c r="J725" s="13"/>
      <c r="K725" s="18"/>
      <c r="L725" s="19"/>
      <c r="M725" s="19"/>
      <c r="N725" s="20"/>
      <c r="O725" s="22"/>
      <c r="P725" s="22"/>
      <c r="Q725" s="23"/>
      <c r="R725" s="23"/>
    </row>
    <row r="726" spans="1:18" x14ac:dyDescent="0.2">
      <c r="A726" s="13"/>
      <c r="B726" s="18"/>
      <c r="C726" s="66"/>
      <c r="D726" s="19"/>
      <c r="E726" s="20"/>
      <c r="F726" s="22"/>
      <c r="G726" s="62"/>
      <c r="H726" s="23"/>
      <c r="I726" s="23"/>
      <c r="J726" s="13"/>
      <c r="K726" s="18"/>
      <c r="L726" s="19"/>
      <c r="M726" s="19"/>
      <c r="N726" s="20"/>
      <c r="O726" s="22"/>
      <c r="P726" s="62"/>
      <c r="Q726" s="23"/>
      <c r="R726" s="23"/>
    </row>
    <row r="727" spans="1:18" x14ac:dyDescent="0.2">
      <c r="A727" s="13"/>
      <c r="B727" s="18"/>
      <c r="C727" s="66"/>
      <c r="D727" s="19"/>
      <c r="E727" s="20"/>
      <c r="F727" s="22"/>
      <c r="G727" s="62"/>
      <c r="H727" s="23"/>
      <c r="I727" s="23"/>
      <c r="J727" s="13"/>
      <c r="K727" s="18"/>
      <c r="L727" s="19"/>
      <c r="M727" s="19"/>
      <c r="N727" s="20"/>
      <c r="O727" s="22"/>
      <c r="P727" s="22"/>
      <c r="Q727" s="23"/>
      <c r="R727" s="23"/>
    </row>
    <row r="728" spans="1:18" x14ac:dyDescent="0.2">
      <c r="A728" s="13"/>
      <c r="B728" s="18"/>
      <c r="C728" s="19"/>
      <c r="D728" s="19"/>
      <c r="E728" s="20"/>
      <c r="F728" s="22"/>
      <c r="G728" s="22"/>
      <c r="H728" s="23"/>
      <c r="I728" s="23"/>
      <c r="J728" s="13"/>
      <c r="K728" s="18"/>
      <c r="L728" s="19"/>
      <c r="M728" s="19"/>
      <c r="N728" s="20"/>
      <c r="O728" s="22"/>
      <c r="P728" s="22"/>
      <c r="Q728" s="38"/>
      <c r="R728" s="38"/>
    </row>
    <row r="729" spans="1:18" x14ac:dyDescent="0.2">
      <c r="A729" s="13"/>
      <c r="B729" s="18"/>
      <c r="C729" s="19"/>
      <c r="D729" s="19"/>
      <c r="E729" s="20"/>
      <c r="F729" s="22"/>
      <c r="G729" s="22"/>
      <c r="H729" s="23"/>
      <c r="I729" s="23"/>
      <c r="J729" s="13"/>
      <c r="K729" s="18"/>
      <c r="L729" s="19"/>
      <c r="M729" s="19"/>
      <c r="N729" s="20"/>
      <c r="O729" s="22"/>
      <c r="P729" s="22"/>
      <c r="Q729" s="38"/>
      <c r="R729" s="38"/>
    </row>
    <row r="730" spans="1:18" x14ac:dyDescent="0.2">
      <c r="A730" s="13"/>
      <c r="B730" s="18"/>
      <c r="C730" s="19"/>
      <c r="D730" s="19"/>
      <c r="E730" s="20"/>
      <c r="F730" s="22"/>
      <c r="G730" s="22"/>
      <c r="H730" s="23"/>
      <c r="I730" s="23"/>
      <c r="J730" s="13"/>
      <c r="K730" s="18"/>
      <c r="L730" s="19"/>
      <c r="M730" s="19"/>
      <c r="N730" s="20"/>
      <c r="O730" s="22"/>
      <c r="P730" s="22"/>
      <c r="Q730" s="45"/>
      <c r="R730" s="45"/>
    </row>
    <row r="731" spans="1:18" x14ac:dyDescent="0.2">
      <c r="A731" s="13"/>
      <c r="B731" s="7"/>
      <c r="C731" s="19"/>
      <c r="D731" s="19"/>
      <c r="E731" s="20"/>
      <c r="F731" s="22"/>
      <c r="G731" s="22"/>
      <c r="H731" s="23"/>
      <c r="I731" s="23"/>
      <c r="J731" s="13"/>
      <c r="K731" s="18"/>
      <c r="L731" s="19"/>
      <c r="M731" s="19"/>
      <c r="N731" s="20"/>
      <c r="O731" s="22"/>
      <c r="P731" s="22"/>
      <c r="Q731" s="45"/>
      <c r="R731" s="45"/>
    </row>
    <row r="732" spans="1:18" x14ac:dyDescent="0.2">
      <c r="A732" s="13"/>
      <c r="B732" s="18"/>
      <c r="C732" s="19"/>
      <c r="D732" s="19"/>
      <c r="E732" s="20"/>
      <c r="F732" s="22"/>
      <c r="G732" s="22"/>
      <c r="H732" s="23"/>
      <c r="I732" s="23"/>
      <c r="J732" s="13"/>
      <c r="K732" s="18"/>
      <c r="L732" s="19"/>
      <c r="M732" s="19"/>
      <c r="N732" s="20"/>
      <c r="O732" s="22"/>
      <c r="P732" s="22"/>
      <c r="Q732" s="23"/>
      <c r="R732" s="23"/>
    </row>
    <row r="733" spans="1:18" ht="15" customHeight="1" x14ac:dyDescent="0.2">
      <c r="A733" s="13"/>
      <c r="B733" s="18"/>
      <c r="C733" s="19"/>
      <c r="D733" s="19"/>
      <c r="E733" s="20"/>
      <c r="F733" s="22"/>
      <c r="G733" s="22"/>
      <c r="H733" s="23"/>
      <c r="I733" s="23"/>
      <c r="J733" s="13"/>
      <c r="K733" s="18"/>
      <c r="L733" s="19"/>
      <c r="M733" s="19"/>
      <c r="N733" s="20"/>
      <c r="O733" s="22"/>
      <c r="P733" s="22"/>
      <c r="Q733" s="23"/>
      <c r="R733" s="23"/>
    </row>
    <row r="734" spans="1:18" x14ac:dyDescent="0.2">
      <c r="A734" s="13"/>
      <c r="B734" s="18"/>
      <c r="C734" s="19"/>
      <c r="D734" s="19"/>
      <c r="E734" s="20"/>
      <c r="F734" s="22"/>
      <c r="G734" s="22"/>
      <c r="H734" s="23"/>
      <c r="I734" s="23"/>
      <c r="J734" s="13"/>
      <c r="K734" s="18"/>
      <c r="L734" s="19"/>
      <c r="M734" s="19"/>
      <c r="N734" s="20"/>
      <c r="O734" s="22"/>
      <c r="P734" s="22"/>
      <c r="Q734" s="23"/>
      <c r="R734" s="23"/>
    </row>
    <row r="735" spans="1:18" x14ac:dyDescent="0.2">
      <c r="A735" s="13"/>
      <c r="B735" s="18"/>
      <c r="C735" s="19"/>
      <c r="D735" s="19"/>
      <c r="E735" s="20"/>
      <c r="F735" s="22"/>
      <c r="G735" s="22"/>
      <c r="H735" s="23"/>
      <c r="I735" s="23"/>
      <c r="J735" s="13"/>
      <c r="K735" s="18"/>
      <c r="L735" s="19"/>
      <c r="M735" s="19"/>
      <c r="N735" s="20"/>
      <c r="O735" s="22"/>
      <c r="P735" s="22"/>
      <c r="Q735" s="23"/>
      <c r="R735" s="23"/>
    </row>
    <row r="736" spans="1:18" x14ac:dyDescent="0.2">
      <c r="A736" s="13"/>
      <c r="B736" s="18"/>
      <c r="C736" s="19"/>
      <c r="D736" s="19"/>
      <c r="E736" s="20"/>
      <c r="F736" s="22"/>
      <c r="G736" s="22"/>
      <c r="H736" s="23"/>
      <c r="I736" s="23"/>
      <c r="J736" s="13"/>
      <c r="K736" s="18"/>
      <c r="L736" s="19"/>
      <c r="M736" s="19"/>
      <c r="N736" s="20"/>
      <c r="O736" s="22"/>
      <c r="P736" s="22"/>
      <c r="Q736" s="23"/>
      <c r="R736" s="23"/>
    </row>
    <row r="737" spans="1:18" x14ac:dyDescent="0.2">
      <c r="A737" s="13"/>
      <c r="B737" s="18"/>
      <c r="C737" s="19"/>
      <c r="D737" s="19"/>
      <c r="E737" s="20"/>
      <c r="F737" s="22"/>
      <c r="G737" s="22"/>
      <c r="H737" s="23"/>
      <c r="I737" s="23"/>
      <c r="J737" s="13"/>
      <c r="K737" s="18"/>
      <c r="L737" s="19"/>
      <c r="M737" s="19"/>
      <c r="N737" s="20"/>
      <c r="O737" s="22"/>
      <c r="P737" s="22"/>
      <c r="Q737" s="23"/>
      <c r="R737" s="23"/>
    </row>
    <row r="738" spans="1:18" x14ac:dyDescent="0.2">
      <c r="A738" s="13"/>
      <c r="B738" s="18"/>
      <c r="C738" s="19"/>
      <c r="D738" s="19"/>
      <c r="E738" s="20"/>
      <c r="F738" s="22"/>
      <c r="G738" s="36"/>
      <c r="H738" s="37"/>
      <c r="I738" s="37"/>
      <c r="J738" s="13"/>
      <c r="K738" s="18"/>
      <c r="L738" s="19"/>
      <c r="M738" s="19"/>
      <c r="N738" s="20"/>
      <c r="O738" s="22"/>
      <c r="P738" s="36"/>
      <c r="Q738" s="37"/>
      <c r="R738" s="37"/>
    </row>
    <row r="739" spans="1:18" x14ac:dyDescent="0.2">
      <c r="A739" s="13"/>
      <c r="B739" s="248" t="s">
        <v>42</v>
      </c>
      <c r="C739" s="249"/>
      <c r="D739" s="249"/>
      <c r="E739" s="250"/>
      <c r="F739" s="46"/>
      <c r="G739" s="46"/>
      <c r="H739" s="47"/>
      <c r="I739" s="47">
        <f>SUM(I726:I738)</f>
        <v>0</v>
      </c>
      <c r="J739" s="13"/>
      <c r="K739" s="248" t="s">
        <v>42</v>
      </c>
      <c r="L739" s="249"/>
      <c r="M739" s="249"/>
      <c r="N739" s="250"/>
      <c r="O739" s="46"/>
      <c r="P739" s="46"/>
      <c r="Q739" s="47"/>
      <c r="R739" s="47">
        <f>SUM(R726:R738)</f>
        <v>0</v>
      </c>
    </row>
    <row r="740" spans="1:18" x14ac:dyDescent="0.2">
      <c r="A740" s="12" t="s">
        <v>43</v>
      </c>
      <c r="B740" s="48" t="s">
        <v>44</v>
      </c>
      <c r="C740" s="43"/>
      <c r="D740" s="43"/>
      <c r="E740" s="39"/>
      <c r="F740" s="49"/>
      <c r="G740" s="49"/>
      <c r="H740" s="50"/>
      <c r="I740" s="51">
        <f>SUM(I721+I739)</f>
        <v>441.60920000000004</v>
      </c>
      <c r="J740" s="12" t="s">
        <v>43</v>
      </c>
      <c r="K740" s="48" t="s">
        <v>44</v>
      </c>
      <c r="L740" s="43"/>
      <c r="M740" s="43"/>
      <c r="N740" s="39"/>
      <c r="O740" s="49"/>
      <c r="P740" s="49"/>
      <c r="Q740" s="50"/>
      <c r="R740" s="51">
        <f>SUM(R721+R739)</f>
        <v>923.47349999999994</v>
      </c>
    </row>
    <row r="741" spans="1:18" x14ac:dyDescent="0.2">
      <c r="A741" s="13" t="s">
        <v>45</v>
      </c>
      <c r="B741" s="48" t="s">
        <v>46</v>
      </c>
      <c r="C741" s="43"/>
      <c r="D741" s="43"/>
      <c r="E741" s="39"/>
      <c r="F741" s="49"/>
      <c r="G741" s="52">
        <v>0.09</v>
      </c>
      <c r="H741" s="53" t="s">
        <v>47</v>
      </c>
      <c r="I741" s="51">
        <f>G741*I740</f>
        <v>39.744828000000005</v>
      </c>
      <c r="J741" s="13" t="s">
        <v>45</v>
      </c>
      <c r="K741" s="48" t="s">
        <v>46</v>
      </c>
      <c r="L741" s="43"/>
      <c r="M741" s="43"/>
      <c r="N741" s="39"/>
      <c r="O741" s="49"/>
      <c r="P741" s="52">
        <v>0.09</v>
      </c>
      <c r="Q741" s="53" t="s">
        <v>47</v>
      </c>
      <c r="R741" s="51">
        <f>P741*R740</f>
        <v>83.112614999999991</v>
      </c>
    </row>
    <row r="742" spans="1:18" x14ac:dyDescent="0.2">
      <c r="A742" s="13" t="s">
        <v>48</v>
      </c>
      <c r="B742" s="48" t="s">
        <v>49</v>
      </c>
      <c r="C742" s="43"/>
      <c r="D742" s="43"/>
      <c r="E742" s="39"/>
      <c r="F742" s="49"/>
      <c r="G742" s="52">
        <v>0.08</v>
      </c>
      <c r="H742" s="53" t="s">
        <v>47</v>
      </c>
      <c r="I742" s="51">
        <f>G742*I740</f>
        <v>35.328736000000006</v>
      </c>
      <c r="J742" s="13" t="s">
        <v>48</v>
      </c>
      <c r="K742" s="48" t="s">
        <v>49</v>
      </c>
      <c r="L742" s="43"/>
      <c r="M742" s="43"/>
      <c r="N742" s="39"/>
      <c r="O742" s="49"/>
      <c r="P742" s="52">
        <v>0.08</v>
      </c>
      <c r="Q742" s="53" t="s">
        <v>47</v>
      </c>
      <c r="R742" s="51">
        <f>P742*R740</f>
        <v>73.87787999999999</v>
      </c>
    </row>
    <row r="743" spans="1:18" x14ac:dyDescent="0.2">
      <c r="A743" s="13" t="s">
        <v>50</v>
      </c>
      <c r="B743" s="48" t="s">
        <v>51</v>
      </c>
      <c r="C743" s="43"/>
      <c r="D743" s="43"/>
      <c r="E743" s="39"/>
      <c r="F743" s="49"/>
      <c r="G743" s="52">
        <f>5/100</f>
        <v>0.05</v>
      </c>
      <c r="H743" s="53" t="s">
        <v>52</v>
      </c>
      <c r="I743" s="51">
        <f>G743*(I740+I741+I742)</f>
        <v>25.834138200000002</v>
      </c>
      <c r="J743" s="13" t="s">
        <v>50</v>
      </c>
      <c r="K743" s="48" t="s">
        <v>51</v>
      </c>
      <c r="L743" s="43"/>
      <c r="M743" s="43"/>
      <c r="N743" s="39"/>
      <c r="O743" s="49"/>
      <c r="P743" s="52">
        <f>5/100</f>
        <v>0.05</v>
      </c>
      <c r="Q743" s="53" t="s">
        <v>52</v>
      </c>
      <c r="R743" s="51">
        <f>P743*(R740+R741+R742)</f>
        <v>54.023199749999996</v>
      </c>
    </row>
    <row r="744" spans="1:18" x14ac:dyDescent="0.2">
      <c r="A744" s="54" t="s">
        <v>53</v>
      </c>
      <c r="B744" s="48" t="s">
        <v>54</v>
      </c>
      <c r="C744" s="43"/>
      <c r="D744" s="43"/>
      <c r="E744" s="39"/>
      <c r="F744" s="49"/>
      <c r="G744" s="49"/>
      <c r="H744" s="55" t="s">
        <v>55</v>
      </c>
      <c r="I744" s="51">
        <f>SUM(I740+I741+I742+I743)</f>
        <v>542.5169022</v>
      </c>
      <c r="J744" s="54" t="s">
        <v>53</v>
      </c>
      <c r="K744" s="48" t="s">
        <v>54</v>
      </c>
      <c r="L744" s="43"/>
      <c r="M744" s="43"/>
      <c r="N744" s="39"/>
      <c r="O744" s="49"/>
      <c r="P744" s="49"/>
      <c r="Q744" s="55" t="s">
        <v>55</v>
      </c>
      <c r="R744" s="51">
        <f>SUM(R740+R741+R742+R743)</f>
        <v>1134.4871947499998</v>
      </c>
    </row>
    <row r="745" spans="1:18" s="1" customFormat="1" x14ac:dyDescent="0.2">
      <c r="A745" s="236" t="s">
        <v>0</v>
      </c>
      <c r="B745" s="236"/>
      <c r="C745" s="236"/>
      <c r="D745" s="236"/>
      <c r="E745" s="236"/>
      <c r="F745" s="236"/>
      <c r="G745" s="236"/>
      <c r="H745" s="236"/>
      <c r="I745" s="236"/>
      <c r="J745" s="236" t="s">
        <v>0</v>
      </c>
      <c r="K745" s="236"/>
      <c r="L745" s="236"/>
      <c r="M745" s="236"/>
      <c r="N745" s="236"/>
      <c r="O745" s="236"/>
      <c r="P745" s="236"/>
      <c r="Q745" s="236"/>
      <c r="R745" s="236"/>
    </row>
    <row r="746" spans="1:18" x14ac:dyDescent="0.2">
      <c r="J746" s="73"/>
      <c r="K746" s="74"/>
      <c r="L746" s="75"/>
      <c r="M746" s="75"/>
      <c r="N746" s="76"/>
      <c r="O746" s="74"/>
      <c r="P746" s="74"/>
      <c r="Q746" s="74"/>
      <c r="R746" s="74"/>
    </row>
    <row r="747" spans="1:18" x14ac:dyDescent="0.2">
      <c r="A747" s="2" t="s">
        <v>1</v>
      </c>
      <c r="C747" s="4" t="s">
        <v>2</v>
      </c>
      <c r="D747" s="5" t="s">
        <v>131</v>
      </c>
      <c r="E747" s="237" t="s">
        <v>1188</v>
      </c>
      <c r="F747" s="237"/>
      <c r="G747" s="237"/>
      <c r="H747" s="237"/>
      <c r="I747" s="8"/>
      <c r="J747" s="144" t="s">
        <v>1</v>
      </c>
      <c r="L747" s="4" t="s">
        <v>2</v>
      </c>
      <c r="M747" s="5" t="s">
        <v>1165</v>
      </c>
      <c r="N747" s="144" t="s">
        <v>130</v>
      </c>
      <c r="O747" s="144"/>
      <c r="P747" s="144"/>
      <c r="Q747" s="144"/>
    </row>
    <row r="748" spans="1:18" x14ac:dyDescent="0.2">
      <c r="A748" s="2" t="s">
        <v>7</v>
      </c>
      <c r="C748" s="4" t="s">
        <v>2</v>
      </c>
      <c r="E748" s="144" t="s">
        <v>1150</v>
      </c>
      <c r="F748" s="8"/>
      <c r="G748" s="8"/>
      <c r="H748" s="8"/>
      <c r="J748" s="144" t="s">
        <v>7</v>
      </c>
      <c r="L748" s="4" t="s">
        <v>2</v>
      </c>
      <c r="N748" s="144" t="s">
        <v>9</v>
      </c>
      <c r="O748" s="8"/>
      <c r="P748" s="8"/>
      <c r="Q748" s="8"/>
    </row>
    <row r="749" spans="1:18" x14ac:dyDescent="0.2">
      <c r="A749" s="2" t="s">
        <v>10</v>
      </c>
      <c r="C749" s="4" t="s">
        <v>2</v>
      </c>
      <c r="E749" s="9">
        <v>4</v>
      </c>
      <c r="F749" s="8"/>
      <c r="G749" s="8"/>
      <c r="H749" s="8"/>
      <c r="J749" s="144" t="s">
        <v>10</v>
      </c>
      <c r="L749" s="4" t="s">
        <v>2</v>
      </c>
      <c r="N749" s="9">
        <v>1.5</v>
      </c>
      <c r="O749" s="8"/>
      <c r="P749" s="8"/>
      <c r="Q749" s="8"/>
    </row>
    <row r="750" spans="1:18" x14ac:dyDescent="0.2">
      <c r="B750" s="8"/>
      <c r="F750" s="11"/>
      <c r="G750" s="8"/>
      <c r="H750" s="8"/>
      <c r="I750" s="8"/>
      <c r="K750" s="8"/>
      <c r="O750" s="11"/>
      <c r="P750" s="8"/>
      <c r="Q750" s="8"/>
      <c r="R750" s="8"/>
    </row>
    <row r="751" spans="1:18" x14ac:dyDescent="0.2">
      <c r="A751" s="12"/>
      <c r="B751" s="238" t="s">
        <v>11</v>
      </c>
      <c r="C751" s="239"/>
      <c r="D751" s="239"/>
      <c r="E751" s="240"/>
      <c r="F751" s="244" t="s">
        <v>12</v>
      </c>
      <c r="G751" s="244" t="s">
        <v>13</v>
      </c>
      <c r="H751" s="244" t="s">
        <v>14</v>
      </c>
      <c r="I751" s="246" t="s">
        <v>15</v>
      </c>
      <c r="J751" s="12"/>
      <c r="K751" s="238" t="s">
        <v>11</v>
      </c>
      <c r="L751" s="239"/>
      <c r="M751" s="239"/>
      <c r="N751" s="240"/>
      <c r="O751" s="244" t="s">
        <v>12</v>
      </c>
      <c r="P751" s="244" t="s">
        <v>13</v>
      </c>
      <c r="Q751" s="244" t="s">
        <v>14</v>
      </c>
      <c r="R751" s="246" t="s">
        <v>15</v>
      </c>
    </row>
    <row r="752" spans="1:18" x14ac:dyDescent="0.2">
      <c r="A752" s="13"/>
      <c r="B752" s="241"/>
      <c r="C752" s="242"/>
      <c r="D752" s="242"/>
      <c r="E752" s="243"/>
      <c r="F752" s="245"/>
      <c r="G752" s="245"/>
      <c r="H752" s="245"/>
      <c r="I752" s="247"/>
      <c r="J752" s="13"/>
      <c r="K752" s="241"/>
      <c r="L752" s="242"/>
      <c r="M752" s="242"/>
      <c r="N752" s="243"/>
      <c r="O752" s="245"/>
      <c r="P752" s="245"/>
      <c r="Q752" s="245"/>
      <c r="R752" s="247"/>
    </row>
    <row r="753" spans="1:18" x14ac:dyDescent="0.2">
      <c r="A753" s="13" t="s">
        <v>16</v>
      </c>
      <c r="B753" s="14" t="s">
        <v>17</v>
      </c>
      <c r="C753" s="15"/>
      <c r="D753" s="15"/>
      <c r="E753" s="16"/>
      <c r="F753" s="17"/>
      <c r="G753" s="17"/>
      <c r="H753" s="17"/>
      <c r="I753" s="17"/>
      <c r="J753" s="13" t="s">
        <v>16</v>
      </c>
      <c r="K753" s="14" t="s">
        <v>17</v>
      </c>
      <c r="L753" s="15"/>
      <c r="M753" s="15"/>
      <c r="N753" s="16"/>
      <c r="O753" s="17"/>
      <c r="P753" s="17"/>
      <c r="Q753" s="17"/>
      <c r="R753" s="17"/>
    </row>
    <row r="754" spans="1:18" x14ac:dyDescent="0.2">
      <c r="A754" s="13"/>
      <c r="B754" s="18"/>
      <c r="C754" s="19"/>
      <c r="D754" s="19"/>
      <c r="E754" s="20"/>
      <c r="F754" s="21"/>
      <c r="G754" s="22"/>
      <c r="H754" s="21"/>
      <c r="I754" s="21"/>
      <c r="J754" s="13"/>
      <c r="K754" s="18"/>
      <c r="L754" s="19"/>
      <c r="M754" s="19"/>
      <c r="N754" s="20"/>
      <c r="O754" s="21"/>
      <c r="P754" s="22"/>
      <c r="Q754" s="21"/>
      <c r="R754" s="21"/>
    </row>
    <row r="755" spans="1:18" x14ac:dyDescent="0.2">
      <c r="A755" s="13"/>
      <c r="B755" s="24" t="s">
        <v>18</v>
      </c>
      <c r="C755" s="25"/>
      <c r="D755" s="25"/>
      <c r="E755" s="26"/>
      <c r="F755" s="22">
        <v>1</v>
      </c>
      <c r="G755" s="62">
        <v>1</v>
      </c>
      <c r="H755" s="23">
        <v>69.42</v>
      </c>
      <c r="I755" s="23">
        <f>G755*H755*F755</f>
        <v>69.42</v>
      </c>
      <c r="J755" s="13"/>
      <c r="K755" s="24" t="s">
        <v>18</v>
      </c>
      <c r="L755" s="25"/>
      <c r="M755" s="25"/>
      <c r="N755" s="26"/>
      <c r="O755" s="22">
        <v>1</v>
      </c>
      <c r="P755" s="62">
        <f>16/16</f>
        <v>1</v>
      </c>
      <c r="Q755" s="23">
        <v>69.42</v>
      </c>
      <c r="R755" s="23">
        <f>P755*Q755*O755</f>
        <v>69.42</v>
      </c>
    </row>
    <row r="756" spans="1:18" x14ac:dyDescent="0.2">
      <c r="A756" s="13"/>
      <c r="B756" s="257" t="s">
        <v>1179</v>
      </c>
      <c r="C756" s="258"/>
      <c r="D756" s="19"/>
      <c r="E756" s="20"/>
      <c r="F756" s="22">
        <v>2</v>
      </c>
      <c r="G756" s="62">
        <v>1</v>
      </c>
      <c r="H756" s="23">
        <v>38.97</v>
      </c>
      <c r="I756" s="23">
        <f>G756*H756*F756</f>
        <v>77.94</v>
      </c>
      <c r="J756" s="13"/>
      <c r="K756" s="257" t="s">
        <v>1178</v>
      </c>
      <c r="L756" s="258"/>
      <c r="M756" s="25"/>
      <c r="N756" s="26"/>
      <c r="O756" s="22">
        <v>1</v>
      </c>
      <c r="P756" s="62">
        <f>P755</f>
        <v>1</v>
      </c>
      <c r="Q756" s="23">
        <v>50.18</v>
      </c>
      <c r="R756" s="23">
        <f>P756*Q756*O756</f>
        <v>50.18</v>
      </c>
    </row>
    <row r="757" spans="1:18" x14ac:dyDescent="0.2">
      <c r="A757" s="13"/>
      <c r="B757" s="257"/>
      <c r="C757" s="258"/>
      <c r="D757" s="19"/>
      <c r="E757" s="20"/>
      <c r="F757" s="22"/>
      <c r="G757" s="22"/>
      <c r="H757" s="23"/>
      <c r="I757" s="23"/>
      <c r="J757" s="13"/>
      <c r="K757" s="257" t="s">
        <v>1177</v>
      </c>
      <c r="L757" s="258"/>
      <c r="M757" s="19"/>
      <c r="N757" s="20"/>
      <c r="O757" s="22">
        <v>2</v>
      </c>
      <c r="P757" s="62">
        <f>P755</f>
        <v>1</v>
      </c>
      <c r="Q757" s="23">
        <v>38.97</v>
      </c>
      <c r="R757" s="23">
        <f>P757*Q757*O757</f>
        <v>77.94</v>
      </c>
    </row>
    <row r="758" spans="1:18" x14ac:dyDescent="0.2">
      <c r="A758" s="13"/>
      <c r="B758" s="27"/>
      <c r="C758" s="63"/>
      <c r="D758" s="19"/>
      <c r="E758" s="20"/>
      <c r="F758" s="22"/>
      <c r="G758" s="22"/>
      <c r="H758" s="29"/>
      <c r="I758" s="30"/>
      <c r="J758" s="13"/>
      <c r="K758" s="145"/>
      <c r="L758" s="19"/>
      <c r="M758" s="19"/>
      <c r="N758" s="20"/>
      <c r="O758" s="22"/>
      <c r="P758" s="22"/>
      <c r="Q758" s="29"/>
      <c r="R758" s="30"/>
    </row>
    <row r="759" spans="1:18" ht="15" customHeight="1" x14ac:dyDescent="0.2">
      <c r="A759" s="13"/>
      <c r="B759" s="27"/>
      <c r="C759" s="63"/>
      <c r="D759" s="19"/>
      <c r="E759" s="20"/>
      <c r="F759" s="22"/>
      <c r="G759" s="22"/>
      <c r="H759" s="29"/>
      <c r="I759" s="30"/>
      <c r="J759" s="13"/>
      <c r="K759" s="145"/>
      <c r="L759" s="19"/>
      <c r="M759" s="19"/>
      <c r="N759" s="20"/>
      <c r="O759" s="22"/>
      <c r="P759" s="22"/>
      <c r="Q759" s="29"/>
      <c r="R759" s="30"/>
    </row>
    <row r="760" spans="1:18" x14ac:dyDescent="0.2">
      <c r="A760" s="13"/>
      <c r="B760" s="24"/>
      <c r="C760" s="25"/>
      <c r="D760" s="19"/>
      <c r="E760" s="20"/>
      <c r="F760" s="22"/>
      <c r="G760" s="22"/>
      <c r="H760" s="23"/>
      <c r="I760" s="23"/>
      <c r="J760" s="13"/>
      <c r="K760" s="18"/>
      <c r="L760" s="19"/>
      <c r="M760" s="19"/>
      <c r="N760" s="20"/>
      <c r="O760" s="22"/>
      <c r="P760" s="22"/>
      <c r="Q760" s="28"/>
      <c r="R760" s="23"/>
    </row>
    <row r="761" spans="1:18" x14ac:dyDescent="0.2">
      <c r="A761" s="13"/>
      <c r="B761" s="24"/>
      <c r="C761" s="25"/>
      <c r="D761" s="19"/>
      <c r="E761" s="20"/>
      <c r="F761" s="22"/>
      <c r="G761" s="22"/>
      <c r="H761" s="23"/>
      <c r="I761" s="23"/>
      <c r="J761" s="13"/>
      <c r="K761" s="18"/>
      <c r="L761" s="19"/>
      <c r="M761" s="19"/>
      <c r="N761" s="20"/>
      <c r="O761" s="22"/>
      <c r="P761" s="22"/>
      <c r="Q761" s="23"/>
      <c r="R761" s="23"/>
    </row>
    <row r="762" spans="1:18" x14ac:dyDescent="0.2">
      <c r="A762" s="13"/>
      <c r="B762" s="248" t="s">
        <v>20</v>
      </c>
      <c r="C762" s="249"/>
      <c r="D762" s="249"/>
      <c r="E762" s="250"/>
      <c r="F762" s="31"/>
      <c r="G762" s="31"/>
      <c r="H762" s="32"/>
      <c r="I762" s="32">
        <f>SUM(I755:I761)</f>
        <v>147.36000000000001</v>
      </c>
      <c r="J762" s="13"/>
      <c r="K762" s="248" t="s">
        <v>20</v>
      </c>
      <c r="L762" s="249"/>
      <c r="M762" s="249"/>
      <c r="N762" s="250"/>
      <c r="O762" s="31"/>
      <c r="P762" s="31"/>
      <c r="Q762" s="32"/>
      <c r="R762" s="32">
        <f>SUM(R755:R761)</f>
        <v>197.54</v>
      </c>
    </row>
    <row r="763" spans="1:18" x14ac:dyDescent="0.2">
      <c r="A763" s="12"/>
      <c r="B763" s="251" t="s">
        <v>21</v>
      </c>
      <c r="C763" s="252"/>
      <c r="D763" s="252"/>
      <c r="E763" s="253"/>
      <c r="F763" s="244" t="s">
        <v>22</v>
      </c>
      <c r="G763" s="244" t="s">
        <v>13</v>
      </c>
      <c r="H763" s="244" t="s">
        <v>14</v>
      </c>
      <c r="I763" s="246" t="s">
        <v>15</v>
      </c>
      <c r="J763" s="12"/>
      <c r="K763" s="251" t="s">
        <v>21</v>
      </c>
      <c r="L763" s="252"/>
      <c r="M763" s="252"/>
      <c r="N763" s="253"/>
      <c r="O763" s="244" t="s">
        <v>22</v>
      </c>
      <c r="P763" s="244" t="s">
        <v>13</v>
      </c>
      <c r="Q763" s="244" t="s">
        <v>14</v>
      </c>
      <c r="R763" s="246" t="s">
        <v>15</v>
      </c>
    </row>
    <row r="764" spans="1:18" x14ac:dyDescent="0.2">
      <c r="A764" s="13"/>
      <c r="B764" s="254"/>
      <c r="C764" s="255"/>
      <c r="D764" s="255"/>
      <c r="E764" s="256"/>
      <c r="F764" s="245"/>
      <c r="G764" s="245"/>
      <c r="H764" s="245"/>
      <c r="I764" s="247"/>
      <c r="J764" s="13"/>
      <c r="K764" s="254"/>
      <c r="L764" s="255"/>
      <c r="M764" s="255"/>
      <c r="N764" s="256"/>
      <c r="O764" s="245"/>
      <c r="P764" s="245"/>
      <c r="Q764" s="245"/>
      <c r="R764" s="247"/>
    </row>
    <row r="765" spans="1:18" x14ac:dyDescent="0.2">
      <c r="A765" s="13" t="s">
        <v>23</v>
      </c>
      <c r="B765" s="33" t="s">
        <v>24</v>
      </c>
      <c r="C765" s="15"/>
      <c r="D765" s="15"/>
      <c r="E765" s="16"/>
      <c r="F765" s="34"/>
      <c r="G765" s="34"/>
      <c r="H765" s="35"/>
      <c r="I765" s="35"/>
      <c r="J765" s="13" t="s">
        <v>23</v>
      </c>
      <c r="K765" s="33" t="s">
        <v>24</v>
      </c>
      <c r="L765" s="15"/>
      <c r="M765" s="15"/>
      <c r="N765" s="16"/>
      <c r="O765" s="34"/>
      <c r="P765" s="34"/>
      <c r="Q765" s="35"/>
      <c r="R765" s="35"/>
    </row>
    <row r="766" spans="1:18" x14ac:dyDescent="0.2">
      <c r="A766" s="13"/>
      <c r="B766" s="18"/>
      <c r="C766" s="19"/>
      <c r="D766" s="19"/>
      <c r="E766" s="20"/>
      <c r="F766" s="22"/>
      <c r="G766" s="22"/>
      <c r="H766" s="23"/>
      <c r="I766" s="23"/>
      <c r="J766" s="13"/>
      <c r="K766" s="18"/>
      <c r="L766" s="19"/>
      <c r="M766" s="19"/>
      <c r="N766" s="20"/>
      <c r="O766" s="22"/>
      <c r="P766" s="22"/>
      <c r="Q766" s="23"/>
      <c r="R766" s="23"/>
    </row>
    <row r="767" spans="1:18" x14ac:dyDescent="0.2">
      <c r="A767" s="13"/>
      <c r="B767" s="18" t="s">
        <v>62</v>
      </c>
      <c r="C767" s="66"/>
      <c r="D767" s="19"/>
      <c r="E767" s="20"/>
      <c r="F767" s="22">
        <v>1</v>
      </c>
      <c r="G767" s="23">
        <v>1</v>
      </c>
      <c r="H767" s="37">
        <v>1537</v>
      </c>
      <c r="I767" s="37">
        <f>G767*H767*F767</f>
        <v>1537</v>
      </c>
      <c r="J767" s="13"/>
      <c r="K767" s="18" t="s">
        <v>1166</v>
      </c>
      <c r="L767" s="19"/>
      <c r="M767" s="19"/>
      <c r="N767" s="20"/>
      <c r="O767" s="22">
        <v>2</v>
      </c>
      <c r="P767" s="23">
        <v>1</v>
      </c>
      <c r="Q767" s="37">
        <v>150</v>
      </c>
      <c r="R767" s="37">
        <f>P767*Q767*O767</f>
        <v>300</v>
      </c>
    </row>
    <row r="768" spans="1:18" ht="17.25" customHeight="1" x14ac:dyDescent="0.2">
      <c r="A768" s="13"/>
      <c r="B768" s="18" t="s">
        <v>1149</v>
      </c>
      <c r="C768" s="66"/>
      <c r="D768" s="19"/>
      <c r="E768" s="20"/>
      <c r="F768" s="22">
        <v>1</v>
      </c>
      <c r="G768" s="23">
        <v>0.5</v>
      </c>
      <c r="H768" s="37">
        <v>1017.9</v>
      </c>
      <c r="I768" s="37">
        <f>G768*H768*F768</f>
        <v>508.95</v>
      </c>
      <c r="J768" s="13"/>
      <c r="K768" s="18" t="s">
        <v>1168</v>
      </c>
      <c r="L768" s="19"/>
      <c r="M768" s="19"/>
      <c r="N768" s="20"/>
      <c r="O768" s="22">
        <v>1</v>
      </c>
      <c r="P768" s="23">
        <v>1</v>
      </c>
      <c r="Q768" s="37">
        <v>965</v>
      </c>
      <c r="R768" s="37">
        <f>P768*Q768*O768</f>
        <v>965</v>
      </c>
    </row>
    <row r="769" spans="1:18" ht="17.25" customHeight="1" x14ac:dyDescent="0.2">
      <c r="A769" s="13"/>
      <c r="B769" s="18" t="s">
        <v>1194</v>
      </c>
      <c r="C769" s="66"/>
      <c r="D769" s="19"/>
      <c r="E769" s="20"/>
      <c r="F769" s="22"/>
      <c r="G769" s="71"/>
      <c r="I769" s="37">
        <f>0.1*I762</f>
        <v>14.736000000000002</v>
      </c>
      <c r="J769" s="13"/>
      <c r="K769" s="18" t="s">
        <v>1167</v>
      </c>
      <c r="L769" s="19"/>
      <c r="M769" s="19"/>
      <c r="N769" s="20"/>
      <c r="O769" s="22">
        <v>1</v>
      </c>
      <c r="P769" s="23">
        <v>0.15</v>
      </c>
      <c r="Q769" s="37">
        <v>1537</v>
      </c>
      <c r="R769" s="37">
        <f>P769*Q769*O769</f>
        <v>230.54999999999998</v>
      </c>
    </row>
    <row r="770" spans="1:18" x14ac:dyDescent="0.2">
      <c r="A770" s="13"/>
      <c r="B770" s="18"/>
      <c r="C770" s="66"/>
      <c r="F770" s="22"/>
      <c r="G770" s="23"/>
      <c r="H770" s="37"/>
      <c r="I770" s="37"/>
      <c r="J770" s="13"/>
      <c r="K770" s="18" t="s">
        <v>1164</v>
      </c>
      <c r="L770" s="19"/>
      <c r="M770" s="19"/>
      <c r="N770" s="20"/>
      <c r="O770" s="22">
        <v>1</v>
      </c>
      <c r="P770" s="23">
        <v>0.15</v>
      </c>
      <c r="Q770" s="37">
        <v>1420</v>
      </c>
      <c r="R770" s="37">
        <f>P770*Q770*O770</f>
        <v>213</v>
      </c>
    </row>
    <row r="771" spans="1:18" x14ac:dyDescent="0.2">
      <c r="A771" s="13"/>
      <c r="B771" s="18"/>
      <c r="C771" s="19"/>
      <c r="D771" s="19"/>
      <c r="E771" s="20"/>
      <c r="F771" s="22"/>
      <c r="G771" s="36"/>
      <c r="H771" s="37"/>
      <c r="I771" s="37"/>
      <c r="J771" s="13"/>
      <c r="K771" s="18" t="s">
        <v>1192</v>
      </c>
      <c r="L771" s="19"/>
      <c r="M771" s="19"/>
      <c r="N771" s="20"/>
      <c r="O771" s="22"/>
      <c r="P771" s="36"/>
      <c r="R771" s="37">
        <f>R762*0.1</f>
        <v>19.754000000000001</v>
      </c>
    </row>
    <row r="772" spans="1:18" x14ac:dyDescent="0.2">
      <c r="A772" s="13"/>
      <c r="B772" s="18" t="s">
        <v>126</v>
      </c>
      <c r="C772" s="19"/>
      <c r="D772" s="19"/>
      <c r="E772" s="20"/>
      <c r="F772" s="22"/>
      <c r="G772" s="36"/>
      <c r="H772" s="37"/>
      <c r="I772" s="37"/>
      <c r="J772" s="13"/>
      <c r="K772" s="18"/>
      <c r="L772" s="19"/>
      <c r="M772" s="19"/>
      <c r="N772" s="20"/>
      <c r="O772" s="22"/>
      <c r="P772" s="36"/>
      <c r="Q772" s="38"/>
      <c r="R772" s="38"/>
    </row>
    <row r="773" spans="1:18" x14ac:dyDescent="0.2">
      <c r="A773" s="13"/>
      <c r="B773" s="7"/>
      <c r="C773" s="19"/>
      <c r="D773" s="19"/>
      <c r="E773" s="20"/>
      <c r="F773" s="22"/>
      <c r="G773" s="36"/>
      <c r="H773" s="37"/>
      <c r="I773" s="37"/>
      <c r="J773" s="13"/>
      <c r="K773" s="18"/>
      <c r="L773" s="19"/>
      <c r="M773" s="19"/>
      <c r="N773" s="20"/>
      <c r="O773" s="22"/>
      <c r="P773" s="36"/>
      <c r="Q773" s="38"/>
      <c r="R773" s="38"/>
    </row>
    <row r="774" spans="1:18" x14ac:dyDescent="0.2">
      <c r="A774" s="13"/>
      <c r="B774" s="18"/>
      <c r="C774" s="19"/>
      <c r="D774" s="19"/>
      <c r="E774" s="20"/>
      <c r="F774" s="22"/>
      <c r="G774" s="23"/>
      <c r="H774" s="37"/>
      <c r="I774" s="37"/>
      <c r="J774" s="13"/>
      <c r="K774" s="18"/>
      <c r="L774" s="19"/>
      <c r="M774" s="19"/>
      <c r="N774" s="20"/>
      <c r="O774" s="22"/>
      <c r="P774" s="36"/>
      <c r="Q774" s="38"/>
      <c r="R774" s="38"/>
    </row>
    <row r="775" spans="1:18" x14ac:dyDescent="0.2">
      <c r="A775" s="13"/>
      <c r="B775" s="18" t="s">
        <v>101</v>
      </c>
      <c r="C775" s="19"/>
      <c r="D775" s="19"/>
      <c r="E775" s="20"/>
      <c r="F775" s="22"/>
      <c r="G775" s="23"/>
      <c r="H775" s="37"/>
      <c r="I775" s="37"/>
      <c r="J775" s="13"/>
      <c r="K775" s="18"/>
      <c r="L775" s="19"/>
      <c r="M775" s="19"/>
      <c r="N775" s="20"/>
      <c r="O775" s="22"/>
      <c r="P775" s="36"/>
      <c r="Q775" s="38"/>
      <c r="R775" s="38"/>
    </row>
    <row r="776" spans="1:18" x14ac:dyDescent="0.2">
      <c r="A776" s="13"/>
      <c r="B776" s="7"/>
      <c r="C776" s="7"/>
      <c r="D776" s="7"/>
      <c r="E776" s="7"/>
      <c r="F776" s="72"/>
      <c r="G776" s="72"/>
      <c r="H776" s="72"/>
      <c r="I776" s="72"/>
      <c r="J776" s="13"/>
      <c r="K776" s="18"/>
      <c r="L776" s="19"/>
      <c r="M776" s="19"/>
      <c r="N776" s="20"/>
      <c r="O776" s="22"/>
      <c r="P776" s="36"/>
      <c r="Q776" s="37"/>
      <c r="R776" s="37"/>
    </row>
    <row r="777" spans="1:18" x14ac:dyDescent="0.2">
      <c r="A777" s="13"/>
      <c r="B777" s="18"/>
      <c r="C777" s="19"/>
      <c r="D777" s="19"/>
      <c r="E777" s="20"/>
      <c r="F777" s="22"/>
      <c r="G777" s="36"/>
      <c r="H777" s="37"/>
      <c r="I777" s="37"/>
      <c r="J777" s="13"/>
      <c r="K777" s="18"/>
      <c r="L777" s="19"/>
      <c r="M777" s="19"/>
      <c r="N777" s="20"/>
      <c r="O777" s="22"/>
      <c r="P777" s="36"/>
      <c r="Q777" s="37"/>
      <c r="R777" s="37"/>
    </row>
    <row r="778" spans="1:18" x14ac:dyDescent="0.2">
      <c r="A778" s="13"/>
      <c r="B778" s="18"/>
      <c r="C778" s="19"/>
      <c r="D778" s="19"/>
      <c r="E778" s="20"/>
      <c r="F778" s="22"/>
      <c r="G778" s="36"/>
      <c r="H778" s="37"/>
      <c r="I778" s="37"/>
      <c r="J778" s="13"/>
      <c r="K778" s="18"/>
      <c r="L778" s="19"/>
      <c r="M778" s="19"/>
      <c r="N778" s="20"/>
      <c r="O778" s="22"/>
      <c r="P778" s="36"/>
      <c r="Q778" s="37"/>
      <c r="R778" s="37"/>
    </row>
    <row r="779" spans="1:18" ht="15" customHeight="1" x14ac:dyDescent="0.2">
      <c r="A779" s="13"/>
      <c r="B779" s="18"/>
      <c r="C779" s="19"/>
      <c r="D779" s="19"/>
      <c r="E779" s="20"/>
      <c r="F779" s="22"/>
      <c r="G779" s="22"/>
      <c r="H779" s="23"/>
      <c r="I779" s="23"/>
      <c r="J779" s="13"/>
      <c r="K779" s="18"/>
      <c r="L779" s="19"/>
      <c r="M779" s="19"/>
      <c r="N779" s="20"/>
      <c r="O779" s="22"/>
      <c r="P779" s="22"/>
      <c r="Q779" s="23"/>
      <c r="R779" s="23"/>
    </row>
    <row r="780" spans="1:18" x14ac:dyDescent="0.2">
      <c r="A780" s="13"/>
      <c r="B780" s="248" t="s">
        <v>30</v>
      </c>
      <c r="C780" s="249"/>
      <c r="D780" s="249"/>
      <c r="E780" s="250"/>
      <c r="F780" s="22"/>
      <c r="G780" s="22"/>
      <c r="H780" s="23"/>
      <c r="I780" s="23">
        <f>SUM(I767:I779)</f>
        <v>2060.6860000000001</v>
      </c>
      <c r="J780" s="13"/>
      <c r="K780" s="248" t="s">
        <v>30</v>
      </c>
      <c r="L780" s="249"/>
      <c r="M780" s="249"/>
      <c r="N780" s="250"/>
      <c r="O780" s="22"/>
      <c r="P780" s="22"/>
      <c r="Q780" s="23"/>
      <c r="R780" s="23">
        <f>SUM(R767:R779)</f>
        <v>1728.3039999999999</v>
      </c>
    </row>
    <row r="781" spans="1:18" x14ac:dyDescent="0.2">
      <c r="A781" s="12" t="s">
        <v>31</v>
      </c>
      <c r="B781" s="260" t="s">
        <v>32</v>
      </c>
      <c r="C781" s="261"/>
      <c r="D781" s="261"/>
      <c r="E781" s="261"/>
      <c r="F781" s="39"/>
      <c r="G781" s="39"/>
      <c r="H781" s="40"/>
      <c r="I781" s="41">
        <f>SUM(I780+I762)</f>
        <v>2208.0460000000003</v>
      </c>
      <c r="J781" s="12" t="s">
        <v>31</v>
      </c>
      <c r="K781" s="260" t="s">
        <v>32</v>
      </c>
      <c r="L781" s="261"/>
      <c r="M781" s="261"/>
      <c r="N781" s="261"/>
      <c r="O781" s="143"/>
      <c r="P781" s="143"/>
      <c r="Q781" s="40"/>
      <c r="R781" s="41">
        <f>SUM(R780+R762)</f>
        <v>1925.8439999999998</v>
      </c>
    </row>
    <row r="782" spans="1:18" x14ac:dyDescent="0.2">
      <c r="A782" s="13" t="s">
        <v>33</v>
      </c>
      <c r="B782" s="269">
        <f>E749</f>
        <v>4</v>
      </c>
      <c r="C782" s="270"/>
      <c r="D782" s="270"/>
      <c r="E782" s="270"/>
      <c r="F782" s="270"/>
      <c r="G782" s="270"/>
      <c r="H782" s="40"/>
      <c r="I782" s="41"/>
      <c r="J782" s="13" t="s">
        <v>33</v>
      </c>
      <c r="K782" s="279">
        <f>N749</f>
        <v>1.5</v>
      </c>
      <c r="L782" s="280"/>
      <c r="M782" s="280"/>
      <c r="N782" s="280"/>
      <c r="O782" s="280"/>
      <c r="P782" s="280"/>
      <c r="Q782" s="40"/>
      <c r="R782" s="41"/>
    </row>
    <row r="783" spans="1:18" x14ac:dyDescent="0.2">
      <c r="A783" s="13" t="s">
        <v>34</v>
      </c>
      <c r="B783" s="42" t="s">
        <v>35</v>
      </c>
      <c r="C783" s="43"/>
      <c r="D783" s="43"/>
      <c r="E783" s="39"/>
      <c r="F783" s="44"/>
      <c r="G783" s="44"/>
      <c r="H783" s="40"/>
      <c r="I783" s="41">
        <f>I781/E749</f>
        <v>552.01150000000007</v>
      </c>
      <c r="J783" s="13" t="s">
        <v>34</v>
      </c>
      <c r="K783" s="147" t="s">
        <v>35</v>
      </c>
      <c r="L783" s="43"/>
      <c r="M783" s="43"/>
      <c r="N783" s="143"/>
      <c r="O783" s="148"/>
      <c r="P783" s="148"/>
      <c r="Q783" s="40"/>
      <c r="R783" s="41">
        <f>R781/N749</f>
        <v>1283.896</v>
      </c>
    </row>
    <row r="784" spans="1:18" x14ac:dyDescent="0.2">
      <c r="A784" s="12"/>
      <c r="B784" s="251" t="s">
        <v>36</v>
      </c>
      <c r="C784" s="252"/>
      <c r="D784" s="252"/>
      <c r="E784" s="253"/>
      <c r="F784" s="244" t="s">
        <v>37</v>
      </c>
      <c r="G784" s="244" t="s">
        <v>38</v>
      </c>
      <c r="H784" s="244" t="s">
        <v>39</v>
      </c>
      <c r="I784" s="246" t="s">
        <v>15</v>
      </c>
      <c r="J784" s="12"/>
      <c r="K784" s="251" t="s">
        <v>36</v>
      </c>
      <c r="L784" s="252"/>
      <c r="M784" s="252"/>
      <c r="N784" s="253"/>
      <c r="O784" s="244" t="s">
        <v>37</v>
      </c>
      <c r="P784" s="244" t="s">
        <v>38</v>
      </c>
      <c r="Q784" s="244" t="s">
        <v>39</v>
      </c>
      <c r="R784" s="246" t="s">
        <v>15</v>
      </c>
    </row>
    <row r="785" spans="1:18" x14ac:dyDescent="0.2">
      <c r="A785" s="13"/>
      <c r="B785" s="254"/>
      <c r="C785" s="255"/>
      <c r="D785" s="255"/>
      <c r="E785" s="256"/>
      <c r="F785" s="245"/>
      <c r="G785" s="245"/>
      <c r="H785" s="245"/>
      <c r="I785" s="247"/>
      <c r="J785" s="13"/>
      <c r="K785" s="254"/>
      <c r="L785" s="255"/>
      <c r="M785" s="255"/>
      <c r="N785" s="256"/>
      <c r="O785" s="245"/>
      <c r="P785" s="245"/>
      <c r="Q785" s="245"/>
      <c r="R785" s="247"/>
    </row>
    <row r="786" spans="1:18" x14ac:dyDescent="0.2">
      <c r="A786" s="13" t="s">
        <v>40</v>
      </c>
      <c r="B786" s="18" t="s">
        <v>41</v>
      </c>
      <c r="C786" s="19"/>
      <c r="D786" s="19"/>
      <c r="E786" s="20"/>
      <c r="F786" s="22"/>
      <c r="G786" s="22"/>
      <c r="H786" s="23"/>
      <c r="I786" s="23"/>
      <c r="J786" s="13" t="s">
        <v>40</v>
      </c>
      <c r="K786" s="18" t="s">
        <v>41</v>
      </c>
      <c r="L786" s="19"/>
      <c r="M786" s="19"/>
      <c r="N786" s="20"/>
      <c r="O786" s="22"/>
      <c r="P786" s="22"/>
      <c r="Q786" s="23"/>
      <c r="R786" s="23"/>
    </row>
    <row r="787" spans="1:18" x14ac:dyDescent="0.2">
      <c r="A787" s="13"/>
      <c r="B787" s="18"/>
      <c r="C787" s="19"/>
      <c r="D787" s="19"/>
      <c r="E787" s="20"/>
      <c r="F787" s="22"/>
      <c r="G787" s="22"/>
      <c r="H787" s="23"/>
      <c r="I787" s="23"/>
      <c r="J787" s="13"/>
      <c r="K787" s="18"/>
      <c r="L787" s="19"/>
      <c r="M787" s="19"/>
      <c r="N787" s="20"/>
      <c r="O787" s="22"/>
      <c r="P787" s="22"/>
      <c r="Q787" s="23"/>
      <c r="R787" s="23"/>
    </row>
    <row r="788" spans="1:18" x14ac:dyDescent="0.2">
      <c r="A788" s="13"/>
      <c r="B788" s="18"/>
      <c r="C788" s="66"/>
      <c r="D788" s="19"/>
      <c r="E788" s="20"/>
      <c r="F788" s="22"/>
      <c r="G788" s="62"/>
      <c r="H788" s="23"/>
      <c r="I788" s="23"/>
      <c r="J788" s="13"/>
      <c r="K788" s="18"/>
      <c r="L788" s="19"/>
      <c r="M788" s="19"/>
      <c r="N788" s="20"/>
      <c r="O788" s="22"/>
      <c r="P788" s="62"/>
      <c r="Q788" s="23"/>
      <c r="R788" s="23"/>
    </row>
    <row r="789" spans="1:18" x14ac:dyDescent="0.2">
      <c r="A789" s="13"/>
      <c r="B789" s="18"/>
      <c r="C789" s="66"/>
      <c r="D789" s="19"/>
      <c r="E789" s="20"/>
      <c r="F789" s="22"/>
      <c r="G789" s="62"/>
      <c r="H789" s="23"/>
      <c r="I789" s="23"/>
      <c r="J789" s="13"/>
      <c r="K789" s="18"/>
      <c r="L789" s="19"/>
      <c r="M789" s="19"/>
      <c r="N789" s="20"/>
      <c r="O789" s="22"/>
      <c r="P789" s="22"/>
      <c r="Q789" s="23"/>
      <c r="R789" s="23"/>
    </row>
    <row r="790" spans="1:18" x14ac:dyDescent="0.2">
      <c r="A790" s="13"/>
      <c r="B790" s="18"/>
      <c r="C790" s="19"/>
      <c r="D790" s="19"/>
      <c r="E790" s="20"/>
      <c r="F790" s="22"/>
      <c r="G790" s="22"/>
      <c r="H790" s="23"/>
      <c r="I790" s="23"/>
      <c r="J790" s="13"/>
      <c r="K790" s="18"/>
      <c r="L790" s="19"/>
      <c r="M790" s="19"/>
      <c r="N790" s="20"/>
      <c r="O790" s="22"/>
      <c r="P790" s="22"/>
      <c r="Q790" s="38"/>
      <c r="R790" s="38"/>
    </row>
    <row r="791" spans="1:18" x14ac:dyDescent="0.2">
      <c r="A791" s="13"/>
      <c r="B791" s="18"/>
      <c r="C791" s="19"/>
      <c r="D791" s="19"/>
      <c r="E791" s="20"/>
      <c r="F791" s="22"/>
      <c r="G791" s="22"/>
      <c r="H791" s="23"/>
      <c r="I791" s="23"/>
      <c r="J791" s="13"/>
      <c r="K791" s="18"/>
      <c r="L791" s="19"/>
      <c r="M791" s="19"/>
      <c r="N791" s="20"/>
      <c r="O791" s="22"/>
      <c r="P791" s="22"/>
      <c r="Q791" s="38"/>
      <c r="R791" s="38"/>
    </row>
    <row r="792" spans="1:18" x14ac:dyDescent="0.2">
      <c r="A792" s="13"/>
      <c r="B792" s="18"/>
      <c r="C792" s="19"/>
      <c r="D792" s="19"/>
      <c r="E792" s="20"/>
      <c r="F792" s="22"/>
      <c r="G792" s="22"/>
      <c r="H792" s="23"/>
      <c r="I792" s="23"/>
      <c r="J792" s="13"/>
      <c r="K792" s="18"/>
      <c r="L792" s="19"/>
      <c r="M792" s="19"/>
      <c r="N792" s="20"/>
      <c r="O792" s="22"/>
      <c r="P792" s="22"/>
      <c r="Q792" s="45"/>
      <c r="R792" s="45"/>
    </row>
    <row r="793" spans="1:18" x14ac:dyDescent="0.2">
      <c r="A793" s="13"/>
      <c r="B793" s="18"/>
      <c r="C793" s="19"/>
      <c r="D793" s="19"/>
      <c r="E793" s="20"/>
      <c r="F793" s="22"/>
      <c r="G793" s="22"/>
      <c r="H793" s="23"/>
      <c r="I793" s="23"/>
      <c r="J793" s="13"/>
      <c r="K793" s="18"/>
      <c r="L793" s="19"/>
      <c r="M793" s="19"/>
      <c r="N793" s="20"/>
      <c r="O793" s="22"/>
      <c r="P793" s="22"/>
      <c r="Q793" s="45"/>
      <c r="R793" s="45"/>
    </row>
    <row r="794" spans="1:18" x14ac:dyDescent="0.2">
      <c r="A794" s="13"/>
      <c r="B794" s="18"/>
      <c r="C794" s="19"/>
      <c r="D794" s="19"/>
      <c r="E794" s="20"/>
      <c r="F794" s="22"/>
      <c r="G794" s="22"/>
      <c r="H794" s="23"/>
      <c r="I794" s="23"/>
      <c r="J794" s="13"/>
      <c r="K794" s="18"/>
      <c r="L794" s="19"/>
      <c r="M794" s="19"/>
      <c r="N794" s="20"/>
      <c r="O794" s="22"/>
      <c r="P794" s="22"/>
      <c r="Q794" s="23"/>
      <c r="R794" s="23"/>
    </row>
    <row r="795" spans="1:18" ht="15" customHeight="1" x14ac:dyDescent="0.2">
      <c r="A795" s="13"/>
      <c r="B795" s="18"/>
      <c r="C795" s="19"/>
      <c r="D795" s="19"/>
      <c r="E795" s="20"/>
      <c r="F795" s="22"/>
      <c r="G795" s="22"/>
      <c r="H795" s="23"/>
      <c r="I795" s="23"/>
      <c r="J795" s="13"/>
      <c r="K795" s="18"/>
      <c r="L795" s="19"/>
      <c r="M795" s="19"/>
      <c r="N795" s="20"/>
      <c r="O795" s="22"/>
      <c r="P795" s="22"/>
      <c r="Q795" s="23"/>
      <c r="R795" s="23"/>
    </row>
    <row r="796" spans="1:18" x14ac:dyDescent="0.2">
      <c r="A796" s="13"/>
      <c r="B796" s="18"/>
      <c r="C796" s="19"/>
      <c r="D796" s="19"/>
      <c r="E796" s="20"/>
      <c r="F796" s="22"/>
      <c r="G796" s="22"/>
      <c r="H796" s="23"/>
      <c r="I796" s="23"/>
      <c r="J796" s="13"/>
      <c r="K796" s="18"/>
      <c r="L796" s="19"/>
      <c r="M796" s="19"/>
      <c r="N796" s="20"/>
      <c r="O796" s="22"/>
      <c r="P796" s="22"/>
      <c r="Q796" s="23"/>
      <c r="R796" s="23"/>
    </row>
    <row r="797" spans="1:18" x14ac:dyDescent="0.2">
      <c r="A797" s="13"/>
      <c r="B797" s="18"/>
      <c r="C797" s="19"/>
      <c r="D797" s="19"/>
      <c r="E797" s="20"/>
      <c r="F797" s="22"/>
      <c r="G797" s="22"/>
      <c r="H797" s="23"/>
      <c r="I797" s="23"/>
      <c r="J797" s="13"/>
      <c r="K797" s="18"/>
      <c r="L797" s="19"/>
      <c r="M797" s="19"/>
      <c r="N797" s="20"/>
      <c r="O797" s="22"/>
      <c r="P797" s="22"/>
      <c r="Q797" s="23"/>
      <c r="R797" s="23"/>
    </row>
    <row r="798" spans="1:18" x14ac:dyDescent="0.2">
      <c r="A798" s="13"/>
      <c r="B798" s="18"/>
      <c r="C798" s="19"/>
      <c r="D798" s="19"/>
      <c r="E798" s="20"/>
      <c r="F798" s="22"/>
      <c r="G798" s="22"/>
      <c r="H798" s="23"/>
      <c r="I798" s="23"/>
      <c r="J798" s="13"/>
      <c r="K798" s="18"/>
      <c r="L798" s="19"/>
      <c r="M798" s="19"/>
      <c r="N798" s="20"/>
      <c r="O798" s="22"/>
      <c r="P798" s="22"/>
      <c r="Q798" s="23"/>
      <c r="R798" s="23"/>
    </row>
    <row r="799" spans="1:18" x14ac:dyDescent="0.2">
      <c r="A799" s="13"/>
      <c r="B799" s="18"/>
      <c r="C799" s="19"/>
      <c r="D799" s="19"/>
      <c r="E799" s="20"/>
      <c r="F799" s="22"/>
      <c r="G799" s="22"/>
      <c r="H799" s="23"/>
      <c r="I799" s="23"/>
      <c r="J799" s="13"/>
      <c r="K799" s="18"/>
      <c r="L799" s="19"/>
      <c r="M799" s="19"/>
      <c r="N799" s="20"/>
      <c r="O799" s="22"/>
      <c r="P799" s="22"/>
      <c r="Q799" s="23"/>
      <c r="R799" s="23"/>
    </row>
    <row r="800" spans="1:18" x14ac:dyDescent="0.2">
      <c r="A800" s="13"/>
      <c r="B800" s="18"/>
      <c r="C800" s="19"/>
      <c r="D800" s="19"/>
      <c r="E800" s="20"/>
      <c r="F800" s="22"/>
      <c r="G800" s="36"/>
      <c r="H800" s="37"/>
      <c r="I800" s="37"/>
      <c r="J800" s="13"/>
      <c r="K800" s="18"/>
      <c r="L800" s="19"/>
      <c r="M800" s="19"/>
      <c r="N800" s="20"/>
      <c r="O800" s="22"/>
      <c r="P800" s="36"/>
      <c r="Q800" s="37"/>
      <c r="R800" s="37"/>
    </row>
    <row r="801" spans="1:20" x14ac:dyDescent="0.2">
      <c r="A801" s="13"/>
      <c r="B801" s="248" t="s">
        <v>42</v>
      </c>
      <c r="C801" s="249"/>
      <c r="D801" s="249"/>
      <c r="E801" s="250"/>
      <c r="F801" s="46"/>
      <c r="G801" s="46"/>
      <c r="H801" s="47"/>
      <c r="I801" s="47">
        <f>SUM(I788:I800)</f>
        <v>0</v>
      </c>
      <c r="J801" s="13"/>
      <c r="K801" s="248" t="s">
        <v>42</v>
      </c>
      <c r="L801" s="249"/>
      <c r="M801" s="249"/>
      <c r="N801" s="250"/>
      <c r="O801" s="46"/>
      <c r="P801" s="46"/>
      <c r="Q801" s="47"/>
      <c r="R801" s="47">
        <f>SUM(R788:R800)</f>
        <v>0</v>
      </c>
    </row>
    <row r="802" spans="1:20" x14ac:dyDescent="0.2">
      <c r="A802" s="12" t="s">
        <v>43</v>
      </c>
      <c r="B802" s="48" t="s">
        <v>44</v>
      </c>
      <c r="C802" s="43"/>
      <c r="D802" s="43"/>
      <c r="E802" s="39"/>
      <c r="F802" s="49"/>
      <c r="G802" s="49"/>
      <c r="H802" s="50"/>
      <c r="I802" s="51">
        <f>SUM(I783+I801)</f>
        <v>552.01150000000007</v>
      </c>
      <c r="J802" s="12" t="s">
        <v>43</v>
      </c>
      <c r="K802" s="48" t="s">
        <v>44</v>
      </c>
      <c r="L802" s="43"/>
      <c r="M802" s="43"/>
      <c r="N802" s="143"/>
      <c r="O802" s="49"/>
      <c r="P802" s="49"/>
      <c r="Q802" s="50"/>
      <c r="R802" s="51">
        <f>SUM(R783+R801)</f>
        <v>1283.896</v>
      </c>
    </row>
    <row r="803" spans="1:20" x14ac:dyDescent="0.2">
      <c r="A803" s="13" t="s">
        <v>45</v>
      </c>
      <c r="B803" s="48" t="s">
        <v>46</v>
      </c>
      <c r="C803" s="43"/>
      <c r="D803" s="43"/>
      <c r="E803" s="39"/>
      <c r="F803" s="49"/>
      <c r="G803" s="52">
        <v>0.09</v>
      </c>
      <c r="H803" s="53" t="s">
        <v>47</v>
      </c>
      <c r="I803" s="51">
        <f>G803*I802</f>
        <v>49.681035000000001</v>
      </c>
      <c r="J803" s="13" t="s">
        <v>45</v>
      </c>
      <c r="K803" s="48" t="s">
        <v>46</v>
      </c>
      <c r="L803" s="43"/>
      <c r="M803" s="43"/>
      <c r="N803" s="143"/>
      <c r="O803" s="49"/>
      <c r="P803" s="52">
        <v>0.09</v>
      </c>
      <c r="Q803" s="53" t="s">
        <v>47</v>
      </c>
      <c r="R803" s="51">
        <f>P803*R802</f>
        <v>115.55063999999999</v>
      </c>
    </row>
    <row r="804" spans="1:20" x14ac:dyDescent="0.2">
      <c r="A804" s="13" t="s">
        <v>48</v>
      </c>
      <c r="B804" s="48" t="s">
        <v>49</v>
      </c>
      <c r="C804" s="43"/>
      <c r="D804" s="43"/>
      <c r="E804" s="39"/>
      <c r="F804" s="49"/>
      <c r="G804" s="52">
        <v>0.08</v>
      </c>
      <c r="H804" s="53" t="s">
        <v>47</v>
      </c>
      <c r="I804" s="51">
        <f>G804*I802</f>
        <v>44.160920000000004</v>
      </c>
      <c r="J804" s="13" t="s">
        <v>48</v>
      </c>
      <c r="K804" s="48" t="s">
        <v>49</v>
      </c>
      <c r="L804" s="43"/>
      <c r="M804" s="43"/>
      <c r="N804" s="143"/>
      <c r="O804" s="49"/>
      <c r="P804" s="52">
        <v>0.08</v>
      </c>
      <c r="Q804" s="53" t="s">
        <v>47</v>
      </c>
      <c r="R804" s="51">
        <f>P804*R802</f>
        <v>102.71168</v>
      </c>
    </row>
    <row r="805" spans="1:20" x14ac:dyDescent="0.2">
      <c r="A805" s="13" t="s">
        <v>50</v>
      </c>
      <c r="B805" s="48" t="s">
        <v>51</v>
      </c>
      <c r="C805" s="43"/>
      <c r="D805" s="43"/>
      <c r="E805" s="39"/>
      <c r="F805" s="49"/>
      <c r="G805" s="52">
        <f>5/100</f>
        <v>0.05</v>
      </c>
      <c r="H805" s="53" t="s">
        <v>52</v>
      </c>
      <c r="I805" s="51">
        <f>G805*(I802+I803+I804)</f>
        <v>32.292672750000001</v>
      </c>
      <c r="J805" s="13" t="s">
        <v>50</v>
      </c>
      <c r="K805" s="48" t="s">
        <v>51</v>
      </c>
      <c r="L805" s="43"/>
      <c r="M805" s="43"/>
      <c r="N805" s="143"/>
      <c r="O805" s="49"/>
      <c r="P805" s="52">
        <f>5/100</f>
        <v>0.05</v>
      </c>
      <c r="Q805" s="53" t="s">
        <v>52</v>
      </c>
      <c r="R805" s="51">
        <f>P805*(R802+R803+R804)</f>
        <v>75.107916000000003</v>
      </c>
      <c r="S805" s="77">
        <f>R930*15</f>
        <v>4221.7061591249994</v>
      </c>
    </row>
    <row r="806" spans="1:20" x14ac:dyDescent="0.2">
      <c r="A806" s="54" t="s">
        <v>53</v>
      </c>
      <c r="B806" s="48" t="s">
        <v>54</v>
      </c>
      <c r="C806" s="43"/>
      <c r="D806" s="43"/>
      <c r="E806" s="39"/>
      <c r="F806" s="49"/>
      <c r="G806" s="49"/>
      <c r="H806" s="55" t="s">
        <v>55</v>
      </c>
      <c r="I806" s="51">
        <f>SUM(I802+I803+I804+I805)</f>
        <v>678.14612775000001</v>
      </c>
      <c r="J806" s="54" t="s">
        <v>53</v>
      </c>
      <c r="K806" s="48" t="s">
        <v>54</v>
      </c>
      <c r="L806" s="43"/>
      <c r="M806" s="43"/>
      <c r="N806" s="143"/>
      <c r="O806" s="49"/>
      <c r="P806" s="49"/>
      <c r="Q806" s="55" t="s">
        <v>55</v>
      </c>
      <c r="R806" s="51">
        <f>SUM(R802+R803+R804+R805)</f>
        <v>1577.2662359999999</v>
      </c>
      <c r="S806" s="77">
        <v>687547.73505600006</v>
      </c>
      <c r="T806" s="78"/>
    </row>
    <row r="807" spans="1:20" s="1" customFormat="1" x14ac:dyDescent="0.2">
      <c r="A807" s="236" t="s">
        <v>0</v>
      </c>
      <c r="B807" s="236"/>
      <c r="C807" s="236"/>
      <c r="D807" s="236"/>
      <c r="E807" s="236"/>
      <c r="F807" s="236"/>
      <c r="G807" s="236"/>
      <c r="H807" s="236"/>
      <c r="I807" s="236"/>
      <c r="J807" s="236" t="s">
        <v>0</v>
      </c>
      <c r="K807" s="236"/>
      <c r="L807" s="236"/>
      <c r="M807" s="236"/>
      <c r="N807" s="236"/>
      <c r="O807" s="236"/>
      <c r="P807" s="236"/>
      <c r="Q807" s="236"/>
      <c r="R807" s="236"/>
      <c r="T807" s="79"/>
    </row>
    <row r="808" spans="1:20" x14ac:dyDescent="0.2">
      <c r="J808" s="73"/>
      <c r="K808" s="74"/>
      <c r="L808" s="75"/>
      <c r="M808" s="75"/>
      <c r="N808" s="76"/>
      <c r="O808" s="74"/>
      <c r="P808" s="74"/>
      <c r="Q808" s="74"/>
      <c r="R808" s="74"/>
    </row>
    <row r="809" spans="1:20" x14ac:dyDescent="0.2">
      <c r="A809" s="2" t="s">
        <v>1</v>
      </c>
      <c r="C809" s="4" t="s">
        <v>2</v>
      </c>
      <c r="D809" s="5" t="s">
        <v>138</v>
      </c>
      <c r="E809" s="237" t="s">
        <v>1189</v>
      </c>
      <c r="F809" s="237"/>
      <c r="G809" s="237"/>
      <c r="H809" s="237"/>
      <c r="I809" s="8"/>
      <c r="J809" s="144" t="s">
        <v>1</v>
      </c>
      <c r="L809" s="4" t="s">
        <v>2</v>
      </c>
      <c r="M809" s="5" t="s">
        <v>133</v>
      </c>
      <c r="N809" s="144" t="s">
        <v>134</v>
      </c>
      <c r="O809" s="144"/>
      <c r="P809" s="144"/>
      <c r="Q809" s="144"/>
    </row>
    <row r="810" spans="1:20" x14ac:dyDescent="0.2">
      <c r="A810" s="2" t="s">
        <v>7</v>
      </c>
      <c r="C810" s="4" t="s">
        <v>2</v>
      </c>
      <c r="E810" s="144" t="s">
        <v>1150</v>
      </c>
      <c r="F810" s="8"/>
      <c r="G810" s="8"/>
      <c r="H810" s="8"/>
      <c r="J810" s="144" t="s">
        <v>7</v>
      </c>
      <c r="L810" s="4" t="s">
        <v>2</v>
      </c>
      <c r="N810" s="144" t="s">
        <v>9</v>
      </c>
      <c r="O810" s="8"/>
      <c r="P810" s="8"/>
      <c r="Q810" s="8"/>
    </row>
    <row r="811" spans="1:20" x14ac:dyDescent="0.2">
      <c r="A811" s="2" t="s">
        <v>10</v>
      </c>
      <c r="C811" s="4" t="s">
        <v>2</v>
      </c>
      <c r="E811" s="9">
        <v>4</v>
      </c>
      <c r="F811" s="8"/>
      <c r="G811" s="8"/>
      <c r="H811" s="8"/>
      <c r="J811" s="144" t="s">
        <v>10</v>
      </c>
      <c r="L811" s="4" t="s">
        <v>2</v>
      </c>
      <c r="N811" s="9">
        <v>1.25</v>
      </c>
      <c r="O811" s="8"/>
      <c r="P811" s="8"/>
      <c r="Q811" s="8"/>
    </row>
    <row r="812" spans="1:20" x14ac:dyDescent="0.2">
      <c r="B812" s="8"/>
      <c r="F812" s="11"/>
      <c r="G812" s="8"/>
      <c r="H812" s="8"/>
      <c r="I812" s="8"/>
      <c r="K812" s="8"/>
      <c r="O812" s="11"/>
      <c r="P812" s="8"/>
      <c r="Q812" s="8"/>
      <c r="R812" s="8"/>
    </row>
    <row r="813" spans="1:20" x14ac:dyDescent="0.2">
      <c r="A813" s="12"/>
      <c r="B813" s="238" t="s">
        <v>11</v>
      </c>
      <c r="C813" s="239"/>
      <c r="D813" s="239"/>
      <c r="E813" s="240"/>
      <c r="F813" s="244" t="s">
        <v>12</v>
      </c>
      <c r="G813" s="244" t="s">
        <v>13</v>
      </c>
      <c r="H813" s="244" t="s">
        <v>14</v>
      </c>
      <c r="I813" s="246" t="s">
        <v>15</v>
      </c>
      <c r="J813" s="12"/>
      <c r="K813" s="238" t="s">
        <v>11</v>
      </c>
      <c r="L813" s="239"/>
      <c r="M813" s="239"/>
      <c r="N813" s="240"/>
      <c r="O813" s="244" t="s">
        <v>12</v>
      </c>
      <c r="P813" s="244" t="s">
        <v>13</v>
      </c>
      <c r="Q813" s="244" t="s">
        <v>14</v>
      </c>
      <c r="R813" s="246" t="s">
        <v>15</v>
      </c>
    </row>
    <row r="814" spans="1:20" x14ac:dyDescent="0.2">
      <c r="A814" s="13"/>
      <c r="B814" s="241"/>
      <c r="C814" s="242"/>
      <c r="D814" s="242"/>
      <c r="E814" s="243"/>
      <c r="F814" s="245"/>
      <c r="G814" s="245"/>
      <c r="H814" s="245"/>
      <c r="I814" s="247"/>
      <c r="J814" s="13"/>
      <c r="K814" s="241"/>
      <c r="L814" s="242"/>
      <c r="M814" s="242"/>
      <c r="N814" s="243"/>
      <c r="O814" s="245"/>
      <c r="P814" s="245"/>
      <c r="Q814" s="245"/>
      <c r="R814" s="247"/>
    </row>
    <row r="815" spans="1:20" ht="15" customHeight="1" x14ac:dyDescent="0.2">
      <c r="A815" s="13" t="s">
        <v>16</v>
      </c>
      <c r="B815" s="14" t="s">
        <v>17</v>
      </c>
      <c r="C815" s="15"/>
      <c r="D815" s="15"/>
      <c r="E815" s="16"/>
      <c r="F815" s="17"/>
      <c r="G815" s="17"/>
      <c r="H815" s="17"/>
      <c r="I815" s="17"/>
      <c r="J815" s="13" t="s">
        <v>16</v>
      </c>
      <c r="K815" s="14" t="s">
        <v>17</v>
      </c>
      <c r="L815" s="15"/>
      <c r="M815" s="15"/>
      <c r="N815" s="16"/>
      <c r="O815" s="17"/>
      <c r="P815" s="17"/>
      <c r="Q815" s="17"/>
      <c r="R815" s="17"/>
    </row>
    <row r="816" spans="1:20" x14ac:dyDescent="0.2">
      <c r="A816" s="13"/>
      <c r="B816" s="18"/>
      <c r="C816" s="19"/>
      <c r="D816" s="19"/>
      <c r="E816" s="20"/>
      <c r="F816" s="21"/>
      <c r="G816" s="22"/>
      <c r="H816" s="21"/>
      <c r="I816" s="21"/>
      <c r="J816" s="13"/>
      <c r="K816" s="18"/>
      <c r="L816" s="19"/>
      <c r="M816" s="19"/>
      <c r="N816" s="20"/>
      <c r="O816" s="21"/>
      <c r="P816" s="22"/>
      <c r="Q816" s="21"/>
      <c r="R816" s="21"/>
    </row>
    <row r="817" spans="1:18" x14ac:dyDescent="0.2">
      <c r="A817" s="13"/>
      <c r="B817" s="24" t="s">
        <v>18</v>
      </c>
      <c r="C817" s="25"/>
      <c r="D817" s="25"/>
      <c r="E817" s="26"/>
      <c r="F817" s="22">
        <v>1</v>
      </c>
      <c r="G817" s="62">
        <v>1</v>
      </c>
      <c r="H817" s="23">
        <v>69.42</v>
      </c>
      <c r="I817" s="23">
        <f>G817*H817*F817</f>
        <v>69.42</v>
      </c>
      <c r="J817" s="13"/>
      <c r="K817" s="24" t="s">
        <v>18</v>
      </c>
      <c r="L817" s="25"/>
      <c r="M817" s="25"/>
      <c r="N817" s="26"/>
      <c r="O817" s="22">
        <v>1</v>
      </c>
      <c r="P817" s="62">
        <v>1</v>
      </c>
      <c r="Q817" s="23">
        <v>69.42</v>
      </c>
      <c r="R817" s="23">
        <f>P817*Q817*O817</f>
        <v>69.42</v>
      </c>
    </row>
    <row r="818" spans="1:18" x14ac:dyDescent="0.2">
      <c r="A818" s="13"/>
      <c r="B818" s="257" t="s">
        <v>1179</v>
      </c>
      <c r="C818" s="258"/>
      <c r="D818" s="19"/>
      <c r="E818" s="20"/>
      <c r="F818" s="22">
        <v>2</v>
      </c>
      <c r="G818" s="62">
        <v>1</v>
      </c>
      <c r="H818" s="23">
        <v>38.97</v>
      </c>
      <c r="I818" s="23">
        <f>G818*H818*F818</f>
        <v>77.94</v>
      </c>
      <c r="J818" s="13"/>
      <c r="K818" s="257" t="s">
        <v>1179</v>
      </c>
      <c r="L818" s="258"/>
      <c r="M818" s="19"/>
      <c r="N818" s="20"/>
      <c r="O818" s="22">
        <v>4</v>
      </c>
      <c r="P818" s="62">
        <v>1</v>
      </c>
      <c r="Q818" s="23">
        <v>38.97</v>
      </c>
      <c r="R818" s="23">
        <f>P818*Q818*O818</f>
        <v>155.88</v>
      </c>
    </row>
    <row r="819" spans="1:18" x14ac:dyDescent="0.2">
      <c r="A819" s="13"/>
      <c r="B819" s="257"/>
      <c r="C819" s="258"/>
      <c r="D819" s="19"/>
      <c r="E819" s="20"/>
      <c r="F819" s="22"/>
      <c r="G819" s="22"/>
      <c r="H819" s="23"/>
      <c r="I819" s="23"/>
      <c r="J819" s="13"/>
      <c r="K819" s="257"/>
      <c r="L819" s="258"/>
      <c r="M819" s="19"/>
      <c r="N819" s="20"/>
      <c r="O819" s="22"/>
      <c r="P819" s="22"/>
      <c r="Q819" s="23"/>
      <c r="R819" s="23"/>
    </row>
    <row r="820" spans="1:18" x14ac:dyDescent="0.2">
      <c r="A820" s="13"/>
      <c r="B820" s="27"/>
      <c r="C820" s="63"/>
      <c r="D820" s="19"/>
      <c r="E820" s="20"/>
      <c r="F820" s="22"/>
      <c r="G820" s="22"/>
      <c r="H820" s="29"/>
      <c r="I820" s="30"/>
      <c r="J820" s="13"/>
      <c r="K820" s="145"/>
      <c r="L820" s="19"/>
      <c r="M820" s="19"/>
      <c r="N820" s="20"/>
      <c r="O820" s="22"/>
      <c r="P820" s="22"/>
      <c r="Q820" s="29"/>
      <c r="R820" s="30"/>
    </row>
    <row r="821" spans="1:18" x14ac:dyDescent="0.2">
      <c r="A821" s="13"/>
      <c r="B821" s="27"/>
      <c r="C821" s="63"/>
      <c r="D821" s="19"/>
      <c r="E821" s="20"/>
      <c r="F821" s="22"/>
      <c r="G821" s="22"/>
      <c r="H821" s="29"/>
      <c r="I821" s="30"/>
      <c r="J821" s="13"/>
      <c r="K821" s="145"/>
      <c r="L821" s="19"/>
      <c r="M821" s="19"/>
      <c r="N821" s="20"/>
      <c r="O821" s="22"/>
      <c r="P821" s="22"/>
      <c r="Q821" s="29"/>
      <c r="R821" s="30"/>
    </row>
    <row r="822" spans="1:18" x14ac:dyDescent="0.2">
      <c r="A822" s="13"/>
      <c r="B822" s="24"/>
      <c r="C822" s="25"/>
      <c r="D822" s="19"/>
      <c r="E822" s="20"/>
      <c r="F822" s="22"/>
      <c r="G822" s="22"/>
      <c r="H822" s="23"/>
      <c r="I822" s="23"/>
      <c r="J822" s="13"/>
      <c r="K822" s="18"/>
      <c r="L822" s="19"/>
      <c r="M822" s="19"/>
      <c r="N822" s="20"/>
      <c r="O822" s="22"/>
      <c r="P822" s="22"/>
      <c r="Q822" s="28"/>
      <c r="R822" s="23"/>
    </row>
    <row r="823" spans="1:18" x14ac:dyDescent="0.2">
      <c r="A823" s="13"/>
      <c r="B823" s="24"/>
      <c r="C823" s="25"/>
      <c r="D823" s="19"/>
      <c r="E823" s="20"/>
      <c r="F823" s="22"/>
      <c r="G823" s="22"/>
      <c r="H823" s="23"/>
      <c r="I823" s="23"/>
      <c r="J823" s="13"/>
      <c r="K823" s="18"/>
      <c r="L823" s="19"/>
      <c r="M823" s="19"/>
      <c r="N823" s="20"/>
      <c r="O823" s="22"/>
      <c r="P823" s="22"/>
      <c r="Q823" s="23"/>
      <c r="R823" s="23"/>
    </row>
    <row r="824" spans="1:18" x14ac:dyDescent="0.2">
      <c r="A824" s="13"/>
      <c r="B824" s="248" t="s">
        <v>20</v>
      </c>
      <c r="C824" s="249"/>
      <c r="D824" s="249"/>
      <c r="E824" s="250"/>
      <c r="F824" s="31"/>
      <c r="G824" s="31"/>
      <c r="H824" s="32"/>
      <c r="I824" s="32">
        <f>SUM(I817:I823)</f>
        <v>147.36000000000001</v>
      </c>
      <c r="J824" s="13"/>
      <c r="K824" s="248" t="s">
        <v>20</v>
      </c>
      <c r="L824" s="249"/>
      <c r="M824" s="249"/>
      <c r="N824" s="250"/>
      <c r="O824" s="31"/>
      <c r="P824" s="31"/>
      <c r="Q824" s="32"/>
      <c r="R824" s="32">
        <f>SUM(R817:R823)</f>
        <v>225.3</v>
      </c>
    </row>
    <row r="825" spans="1:18" ht="17.25" customHeight="1" x14ac:dyDescent="0.2">
      <c r="A825" s="12"/>
      <c r="B825" s="251" t="s">
        <v>21</v>
      </c>
      <c r="C825" s="252"/>
      <c r="D825" s="252"/>
      <c r="E825" s="253"/>
      <c r="F825" s="244" t="s">
        <v>22</v>
      </c>
      <c r="G825" s="244" t="s">
        <v>13</v>
      </c>
      <c r="H825" s="244" t="s">
        <v>14</v>
      </c>
      <c r="I825" s="246" t="s">
        <v>15</v>
      </c>
      <c r="J825" s="12"/>
      <c r="K825" s="251" t="s">
        <v>21</v>
      </c>
      <c r="L825" s="252"/>
      <c r="M825" s="252"/>
      <c r="N825" s="253"/>
      <c r="O825" s="244" t="s">
        <v>22</v>
      </c>
      <c r="P825" s="244" t="s">
        <v>13</v>
      </c>
      <c r="Q825" s="244" t="s">
        <v>14</v>
      </c>
      <c r="R825" s="246" t="s">
        <v>15</v>
      </c>
    </row>
    <row r="826" spans="1:18" ht="17.25" customHeight="1" x14ac:dyDescent="0.2">
      <c r="A826" s="13"/>
      <c r="B826" s="254"/>
      <c r="C826" s="255"/>
      <c r="D826" s="255"/>
      <c r="E826" s="256"/>
      <c r="F826" s="245"/>
      <c r="G826" s="245"/>
      <c r="H826" s="245"/>
      <c r="I826" s="247"/>
      <c r="J826" s="13"/>
      <c r="K826" s="254"/>
      <c r="L826" s="255"/>
      <c r="M826" s="255"/>
      <c r="N826" s="256"/>
      <c r="O826" s="245"/>
      <c r="P826" s="245"/>
      <c r="Q826" s="245"/>
      <c r="R826" s="247"/>
    </row>
    <row r="827" spans="1:18" x14ac:dyDescent="0.2">
      <c r="A827" s="13" t="s">
        <v>23</v>
      </c>
      <c r="B827" s="33" t="s">
        <v>24</v>
      </c>
      <c r="C827" s="15"/>
      <c r="D827" s="15"/>
      <c r="E827" s="16"/>
      <c r="F827" s="34"/>
      <c r="G827" s="34"/>
      <c r="H827" s="35"/>
      <c r="I827" s="35"/>
      <c r="J827" s="13" t="s">
        <v>23</v>
      </c>
      <c r="K827" s="33" t="s">
        <v>24</v>
      </c>
      <c r="L827" s="15"/>
      <c r="M827" s="15"/>
      <c r="N827" s="16"/>
      <c r="O827" s="34"/>
      <c r="P827" s="34"/>
      <c r="Q827" s="35"/>
      <c r="R827" s="35"/>
    </row>
    <row r="828" spans="1:18" x14ac:dyDescent="0.2">
      <c r="A828" s="13"/>
      <c r="B828" s="18"/>
      <c r="C828" s="19"/>
      <c r="D828" s="19"/>
      <c r="E828" s="20"/>
      <c r="F828" s="22"/>
      <c r="G828" s="22"/>
      <c r="H828" s="23"/>
      <c r="I828" s="23"/>
      <c r="J828" s="13"/>
      <c r="K828" s="18"/>
      <c r="L828" s="19"/>
      <c r="M828" s="19"/>
      <c r="N828" s="20"/>
      <c r="O828" s="22"/>
      <c r="P828" s="22"/>
      <c r="Q828" s="23"/>
      <c r="R828" s="23"/>
    </row>
    <row r="829" spans="1:18" x14ac:dyDescent="0.2">
      <c r="A829" s="13"/>
      <c r="B829" s="18" t="s">
        <v>62</v>
      </c>
      <c r="C829" s="66"/>
      <c r="D829" s="19"/>
      <c r="E829" s="20"/>
      <c r="F829" s="22">
        <v>1</v>
      </c>
      <c r="G829" s="23">
        <v>1</v>
      </c>
      <c r="H829" s="37">
        <v>1537</v>
      </c>
      <c r="I829" s="37">
        <f>G829*H829*F829</f>
        <v>1537</v>
      </c>
      <c r="J829" s="13"/>
      <c r="K829" s="18" t="s">
        <v>135</v>
      </c>
      <c r="L829" s="19"/>
      <c r="M829" s="19"/>
      <c r="N829" s="20"/>
      <c r="O829" s="22">
        <v>1</v>
      </c>
      <c r="P829" s="23">
        <v>1</v>
      </c>
      <c r="Q829" s="37">
        <v>123</v>
      </c>
      <c r="R829" s="37">
        <f>P829*Q829*O829</f>
        <v>123</v>
      </c>
    </row>
    <row r="830" spans="1:18" x14ac:dyDescent="0.2">
      <c r="A830" s="13"/>
      <c r="B830" s="18" t="s">
        <v>1149</v>
      </c>
      <c r="C830" s="66"/>
      <c r="D830" s="19"/>
      <c r="E830" s="20"/>
      <c r="F830" s="22">
        <v>1</v>
      </c>
      <c r="G830" s="23">
        <v>0.5</v>
      </c>
      <c r="H830" s="37">
        <v>1017.9</v>
      </c>
      <c r="I830" s="37">
        <f>G830*H830*F830</f>
        <v>508.95</v>
      </c>
      <c r="J830" s="13"/>
      <c r="K830" s="18" t="s">
        <v>1169</v>
      </c>
      <c r="L830" s="19"/>
      <c r="M830" s="19"/>
      <c r="N830" s="20"/>
      <c r="O830" s="22">
        <v>1</v>
      </c>
      <c r="P830" s="23">
        <v>0.01</v>
      </c>
      <c r="Q830" s="37">
        <v>2450</v>
      </c>
      <c r="R830" s="37">
        <f>P830*Q830*O830</f>
        <v>24.5</v>
      </c>
    </row>
    <row r="831" spans="1:18" x14ac:dyDescent="0.2">
      <c r="A831" s="13"/>
      <c r="B831" s="18" t="s">
        <v>1194</v>
      </c>
      <c r="C831" s="66"/>
      <c r="D831" s="19"/>
      <c r="E831" s="20"/>
      <c r="F831" s="22"/>
      <c r="G831" s="71"/>
      <c r="I831" s="37">
        <f>0.1*I824</f>
        <v>14.736000000000002</v>
      </c>
      <c r="J831" s="13"/>
      <c r="K831" s="18" t="s">
        <v>1192</v>
      </c>
      <c r="L831" s="19"/>
      <c r="M831" s="19"/>
      <c r="N831" s="20"/>
      <c r="O831" s="22"/>
      <c r="P831" s="36"/>
      <c r="R831" s="37">
        <f>R824*0.1</f>
        <v>22.53</v>
      </c>
    </row>
    <row r="832" spans="1:18" x14ac:dyDescent="0.2">
      <c r="A832" s="13"/>
      <c r="B832" s="18"/>
      <c r="C832" s="66"/>
      <c r="F832" s="22"/>
      <c r="G832" s="23"/>
      <c r="H832" s="37"/>
      <c r="I832" s="37"/>
      <c r="J832" s="13"/>
      <c r="O832" s="21"/>
      <c r="P832" s="21"/>
      <c r="Q832" s="21"/>
      <c r="R832" s="37"/>
    </row>
    <row r="833" spans="1:18" x14ac:dyDescent="0.2">
      <c r="A833" s="13"/>
      <c r="B833" s="18"/>
      <c r="C833" s="19"/>
      <c r="D833" s="19"/>
      <c r="E833" s="20"/>
      <c r="F833" s="22"/>
      <c r="G833" s="36"/>
      <c r="H833" s="37"/>
      <c r="I833" s="37"/>
      <c r="J833" s="13"/>
      <c r="K833" s="18"/>
      <c r="L833" s="19"/>
      <c r="M833" s="19"/>
      <c r="N833" s="20"/>
      <c r="O833" s="22"/>
      <c r="P833" s="36"/>
      <c r="Q833" s="37"/>
      <c r="R833" s="37"/>
    </row>
    <row r="834" spans="1:18" x14ac:dyDescent="0.2">
      <c r="A834" s="13"/>
      <c r="B834" s="18" t="s">
        <v>126</v>
      </c>
      <c r="C834" s="19"/>
      <c r="D834" s="19"/>
      <c r="E834" s="20"/>
      <c r="F834" s="22"/>
      <c r="G834" s="36"/>
      <c r="H834" s="37"/>
      <c r="I834" s="37"/>
      <c r="J834" s="13"/>
      <c r="K834" s="18"/>
      <c r="L834" s="19"/>
      <c r="M834" s="19"/>
      <c r="N834" s="20"/>
      <c r="O834" s="22"/>
      <c r="P834" s="36"/>
      <c r="Q834" s="38"/>
      <c r="R834" s="38"/>
    </row>
    <row r="835" spans="1:18" ht="15" customHeight="1" x14ac:dyDescent="0.2">
      <c r="A835" s="13"/>
      <c r="C835" s="19"/>
      <c r="D835" s="19"/>
      <c r="E835" s="20"/>
      <c r="F835" s="22"/>
      <c r="G835" s="36"/>
      <c r="H835" s="37"/>
      <c r="I835" s="37"/>
      <c r="J835" s="13"/>
      <c r="K835" s="18"/>
      <c r="L835" s="19"/>
      <c r="M835" s="19"/>
      <c r="N835" s="20"/>
      <c r="O835" s="22"/>
      <c r="P835" s="36"/>
      <c r="Q835" s="38"/>
      <c r="R835" s="38"/>
    </row>
    <row r="836" spans="1:18" x14ac:dyDescent="0.2">
      <c r="A836" s="13"/>
      <c r="B836" s="18"/>
      <c r="C836" s="19"/>
      <c r="D836" s="19"/>
      <c r="E836" s="20"/>
      <c r="F836" s="22"/>
      <c r="G836" s="23"/>
      <c r="H836" s="37"/>
      <c r="I836" s="37"/>
      <c r="J836" s="13"/>
      <c r="K836" s="18"/>
      <c r="L836" s="19"/>
      <c r="M836" s="19"/>
      <c r="N836" s="20"/>
      <c r="O836" s="22"/>
      <c r="P836" s="36"/>
      <c r="Q836" s="38"/>
      <c r="R836" s="38"/>
    </row>
    <row r="837" spans="1:18" x14ac:dyDescent="0.2">
      <c r="A837" s="13"/>
      <c r="B837" s="18" t="s">
        <v>101</v>
      </c>
      <c r="C837" s="19"/>
      <c r="D837" s="19"/>
      <c r="E837" s="20"/>
      <c r="F837" s="22"/>
      <c r="G837" s="23"/>
      <c r="H837" s="37"/>
      <c r="I837" s="37"/>
      <c r="J837" s="13"/>
      <c r="K837" s="18"/>
      <c r="L837" s="19"/>
      <c r="M837" s="19"/>
      <c r="N837" s="20"/>
      <c r="O837" s="22"/>
      <c r="P837" s="36"/>
      <c r="Q837" s="38"/>
      <c r="R837" s="38"/>
    </row>
    <row r="838" spans="1:18" x14ac:dyDescent="0.2">
      <c r="A838" s="13"/>
      <c r="B838" s="7"/>
      <c r="C838" s="7"/>
      <c r="D838" s="7"/>
      <c r="E838" s="7"/>
      <c r="F838" s="72"/>
      <c r="G838" s="72"/>
      <c r="H838" s="72"/>
      <c r="I838" s="72"/>
      <c r="J838" s="13"/>
      <c r="K838" s="18"/>
      <c r="L838" s="19"/>
      <c r="M838" s="19"/>
      <c r="N838" s="20"/>
      <c r="O838" s="22"/>
      <c r="P838" s="36"/>
      <c r="Q838" s="37"/>
      <c r="R838" s="37"/>
    </row>
    <row r="839" spans="1:18" x14ac:dyDescent="0.2">
      <c r="A839" s="13"/>
      <c r="B839" s="18"/>
      <c r="C839" s="19"/>
      <c r="D839" s="19"/>
      <c r="E839" s="20"/>
      <c r="F839" s="22"/>
      <c r="G839" s="36"/>
      <c r="H839" s="37"/>
      <c r="I839" s="37"/>
      <c r="J839" s="13"/>
      <c r="K839" s="18"/>
      <c r="L839" s="19"/>
      <c r="M839" s="19"/>
      <c r="N839" s="20"/>
      <c r="O839" s="22"/>
      <c r="P839" s="36"/>
      <c r="Q839" s="37"/>
      <c r="R839" s="37"/>
    </row>
    <row r="840" spans="1:18" x14ac:dyDescent="0.2">
      <c r="A840" s="13"/>
      <c r="B840" s="18"/>
      <c r="C840" s="19"/>
      <c r="D840" s="19"/>
      <c r="E840" s="20"/>
      <c r="F840" s="22"/>
      <c r="G840" s="36"/>
      <c r="H840" s="37"/>
      <c r="I840" s="37"/>
      <c r="J840" s="13"/>
      <c r="K840" s="18"/>
      <c r="L840" s="19"/>
      <c r="M840" s="19"/>
      <c r="N840" s="20"/>
      <c r="O840" s="22"/>
      <c r="P840" s="36"/>
      <c r="Q840" s="37"/>
      <c r="R840" s="37"/>
    </row>
    <row r="841" spans="1:18" x14ac:dyDescent="0.2">
      <c r="A841" s="13"/>
      <c r="B841" s="18"/>
      <c r="C841" s="19"/>
      <c r="D841" s="19"/>
      <c r="E841" s="20"/>
      <c r="F841" s="22"/>
      <c r="G841" s="22"/>
      <c r="H841" s="23"/>
      <c r="I841" s="23"/>
      <c r="J841" s="13"/>
      <c r="K841" s="18"/>
      <c r="L841" s="19"/>
      <c r="M841" s="19"/>
      <c r="N841" s="20"/>
      <c r="O841" s="22"/>
      <c r="P841" s="22"/>
      <c r="Q841" s="23"/>
      <c r="R841" s="23"/>
    </row>
    <row r="842" spans="1:18" x14ac:dyDescent="0.2">
      <c r="A842" s="13"/>
      <c r="B842" s="248" t="s">
        <v>30</v>
      </c>
      <c r="C842" s="249"/>
      <c r="D842" s="249"/>
      <c r="E842" s="250"/>
      <c r="F842" s="22"/>
      <c r="G842" s="22"/>
      <c r="H842" s="23"/>
      <c r="I842" s="23">
        <f>SUM(I829:I841)</f>
        <v>2060.6860000000001</v>
      </c>
      <c r="J842" s="13"/>
      <c r="K842" s="248" t="s">
        <v>30</v>
      </c>
      <c r="L842" s="249"/>
      <c r="M842" s="249"/>
      <c r="N842" s="250"/>
      <c r="O842" s="22"/>
      <c r="P842" s="22"/>
      <c r="Q842" s="23"/>
      <c r="R842" s="23">
        <f>SUM(R829:R841)</f>
        <v>170.03</v>
      </c>
    </row>
    <row r="843" spans="1:18" x14ac:dyDescent="0.2">
      <c r="A843" s="12" t="s">
        <v>31</v>
      </c>
      <c r="B843" s="260" t="s">
        <v>32</v>
      </c>
      <c r="C843" s="261"/>
      <c r="D843" s="261"/>
      <c r="E843" s="261"/>
      <c r="F843" s="39"/>
      <c r="G843" s="39"/>
      <c r="H843" s="40"/>
      <c r="I843" s="41">
        <f>SUM(I842+I824)</f>
        <v>2208.0460000000003</v>
      </c>
      <c r="J843" s="12" t="s">
        <v>31</v>
      </c>
      <c r="K843" s="260" t="s">
        <v>32</v>
      </c>
      <c r="L843" s="261"/>
      <c r="M843" s="261"/>
      <c r="N843" s="261"/>
      <c r="O843" s="143"/>
      <c r="P843" s="143"/>
      <c r="Q843" s="40"/>
      <c r="R843" s="41">
        <f>SUM(R842+R824)</f>
        <v>395.33000000000004</v>
      </c>
    </row>
    <row r="844" spans="1:18" x14ac:dyDescent="0.2">
      <c r="A844" s="13" t="s">
        <v>33</v>
      </c>
      <c r="B844" s="281">
        <f>E811</f>
        <v>4</v>
      </c>
      <c r="C844" s="282"/>
      <c r="D844" s="282"/>
      <c r="E844" s="282"/>
      <c r="F844" s="282"/>
      <c r="G844" s="282"/>
      <c r="H844" s="40"/>
      <c r="I844" s="41"/>
      <c r="J844" s="13" t="s">
        <v>33</v>
      </c>
      <c r="K844" s="283">
        <f>N811</f>
        <v>1.25</v>
      </c>
      <c r="L844" s="284"/>
      <c r="M844" s="284"/>
      <c r="N844" s="284"/>
      <c r="O844" s="284"/>
      <c r="P844" s="284"/>
      <c r="Q844" s="40"/>
      <c r="R844" s="41"/>
    </row>
    <row r="845" spans="1:18" x14ac:dyDescent="0.2">
      <c r="A845" s="13" t="s">
        <v>34</v>
      </c>
      <c r="B845" s="42" t="s">
        <v>35</v>
      </c>
      <c r="C845" s="43"/>
      <c r="D845" s="43"/>
      <c r="E845" s="39"/>
      <c r="F845" s="44"/>
      <c r="G845" s="44"/>
      <c r="H845" s="40"/>
      <c r="I845" s="41">
        <f>I843/E811</f>
        <v>552.01150000000007</v>
      </c>
      <c r="J845" s="13" t="s">
        <v>34</v>
      </c>
      <c r="K845" s="147" t="s">
        <v>35</v>
      </c>
      <c r="L845" s="43"/>
      <c r="M845" s="43"/>
      <c r="N845" s="143"/>
      <c r="O845" s="148"/>
      <c r="P845" s="148"/>
      <c r="Q845" s="40"/>
      <c r="R845" s="41">
        <f>R843/N811</f>
        <v>316.26400000000001</v>
      </c>
    </row>
    <row r="846" spans="1:18" x14ac:dyDescent="0.2">
      <c r="A846" s="12"/>
      <c r="B846" s="251" t="s">
        <v>36</v>
      </c>
      <c r="C846" s="252"/>
      <c r="D846" s="252"/>
      <c r="E846" s="253"/>
      <c r="F846" s="244" t="s">
        <v>37</v>
      </c>
      <c r="G846" s="244" t="s">
        <v>38</v>
      </c>
      <c r="H846" s="244" t="s">
        <v>39</v>
      </c>
      <c r="I846" s="246" t="s">
        <v>15</v>
      </c>
      <c r="J846" s="12"/>
      <c r="K846" s="251" t="s">
        <v>36</v>
      </c>
      <c r="L846" s="252"/>
      <c r="M846" s="252"/>
      <c r="N846" s="253"/>
      <c r="O846" s="244" t="s">
        <v>37</v>
      </c>
      <c r="P846" s="244" t="s">
        <v>38</v>
      </c>
      <c r="Q846" s="244" t="s">
        <v>39</v>
      </c>
      <c r="R846" s="246" t="s">
        <v>15</v>
      </c>
    </row>
    <row r="847" spans="1:18" x14ac:dyDescent="0.2">
      <c r="A847" s="13"/>
      <c r="B847" s="254"/>
      <c r="C847" s="255"/>
      <c r="D847" s="255"/>
      <c r="E847" s="256"/>
      <c r="F847" s="245"/>
      <c r="G847" s="245"/>
      <c r="H847" s="245"/>
      <c r="I847" s="247"/>
      <c r="J847" s="13"/>
      <c r="K847" s="254"/>
      <c r="L847" s="255"/>
      <c r="M847" s="255"/>
      <c r="N847" s="256"/>
      <c r="O847" s="245"/>
      <c r="P847" s="245"/>
      <c r="Q847" s="245"/>
      <c r="R847" s="247"/>
    </row>
    <row r="848" spans="1:18" x14ac:dyDescent="0.2">
      <c r="A848" s="13" t="s">
        <v>40</v>
      </c>
      <c r="B848" s="18" t="s">
        <v>41</v>
      </c>
      <c r="C848" s="19"/>
      <c r="D848" s="19"/>
      <c r="E848" s="20"/>
      <c r="F848" s="22"/>
      <c r="G848" s="22"/>
      <c r="H848" s="23"/>
      <c r="I848" s="23"/>
      <c r="J848" s="13" t="s">
        <v>40</v>
      </c>
      <c r="K848" s="18" t="s">
        <v>41</v>
      </c>
      <c r="L848" s="19"/>
      <c r="M848" s="19"/>
      <c r="N848" s="20"/>
      <c r="O848" s="22"/>
      <c r="P848" s="22"/>
      <c r="Q848" s="23"/>
      <c r="R848" s="23"/>
    </row>
    <row r="849" spans="1:18" x14ac:dyDescent="0.2">
      <c r="A849" s="13"/>
      <c r="B849" s="18"/>
      <c r="C849" s="19"/>
      <c r="D849" s="19"/>
      <c r="E849" s="20"/>
      <c r="F849" s="22"/>
      <c r="G849" s="22"/>
      <c r="H849" s="23"/>
      <c r="I849" s="23"/>
      <c r="J849" s="13"/>
      <c r="K849" s="18"/>
      <c r="L849" s="19"/>
      <c r="M849" s="19"/>
      <c r="N849" s="20"/>
      <c r="O849" s="22"/>
      <c r="P849" s="22"/>
      <c r="Q849" s="23"/>
      <c r="R849" s="23"/>
    </row>
    <row r="850" spans="1:18" x14ac:dyDescent="0.2">
      <c r="A850" s="13"/>
      <c r="B850" s="18"/>
      <c r="C850" s="66"/>
      <c r="D850" s="19"/>
      <c r="E850" s="20"/>
      <c r="F850" s="22"/>
      <c r="G850" s="70"/>
      <c r="H850" s="23"/>
      <c r="I850" s="23"/>
      <c r="J850" s="13"/>
      <c r="K850" s="18" t="s">
        <v>137</v>
      </c>
      <c r="L850" s="19"/>
      <c r="M850" s="19"/>
      <c r="N850" s="20"/>
      <c r="O850" s="22" t="s">
        <v>9</v>
      </c>
      <c r="P850" s="62">
        <v>1.1499999999999999</v>
      </c>
      <c r="Q850" s="107">
        <v>465</v>
      </c>
      <c r="R850" s="23">
        <f>P850*Q850</f>
        <v>534.75</v>
      </c>
    </row>
    <row r="851" spans="1:18" ht="15" customHeight="1" x14ac:dyDescent="0.2">
      <c r="A851" s="13"/>
      <c r="B851" s="18"/>
      <c r="C851" s="66"/>
      <c r="D851" s="19"/>
      <c r="E851" s="20"/>
      <c r="F851" s="22"/>
      <c r="G851" s="70"/>
      <c r="H851" s="23"/>
      <c r="I851" s="23"/>
      <c r="J851" s="13"/>
      <c r="K851" s="18"/>
      <c r="L851" s="19"/>
      <c r="M851" s="19"/>
      <c r="N851" s="20"/>
      <c r="O851" s="22"/>
      <c r="P851" s="22"/>
      <c r="Q851" s="23"/>
      <c r="R851" s="23"/>
    </row>
    <row r="852" spans="1:18" x14ac:dyDescent="0.2">
      <c r="A852" s="13"/>
      <c r="B852" s="18"/>
      <c r="C852" s="19"/>
      <c r="D852" s="19"/>
      <c r="E852" s="20"/>
      <c r="F852" s="22"/>
      <c r="G852" s="22"/>
      <c r="H852" s="23"/>
      <c r="I852" s="23"/>
      <c r="J852" s="13"/>
      <c r="K852" s="18"/>
      <c r="L852" s="19"/>
      <c r="M852" s="19"/>
      <c r="N852" s="20"/>
      <c r="O852" s="22"/>
      <c r="P852" s="22"/>
      <c r="Q852" s="38"/>
      <c r="R852" s="38"/>
    </row>
    <row r="853" spans="1:18" x14ac:dyDescent="0.2">
      <c r="A853" s="13"/>
      <c r="B853" s="18"/>
      <c r="C853" s="19"/>
      <c r="D853" s="19"/>
      <c r="E853" s="20"/>
      <c r="F853" s="22"/>
      <c r="G853" s="22"/>
      <c r="H853" s="23"/>
      <c r="I853" s="23"/>
      <c r="J853" s="13"/>
      <c r="K853" s="18"/>
      <c r="L853" s="19"/>
      <c r="M853" s="19"/>
      <c r="N853" s="20"/>
      <c r="O853" s="22"/>
      <c r="P853" s="22"/>
      <c r="Q853" s="38"/>
      <c r="R853" s="38"/>
    </row>
    <row r="854" spans="1:18" x14ac:dyDescent="0.2">
      <c r="A854" s="13"/>
      <c r="B854" s="18"/>
      <c r="C854" s="19"/>
      <c r="D854" s="19"/>
      <c r="E854" s="20"/>
      <c r="F854" s="22"/>
      <c r="G854" s="22"/>
      <c r="H854" s="23"/>
      <c r="I854" s="23"/>
      <c r="J854" s="13"/>
      <c r="K854" s="18"/>
      <c r="L854" s="19"/>
      <c r="M854" s="19"/>
      <c r="N854" s="20"/>
      <c r="O854" s="22"/>
      <c r="P854" s="22"/>
      <c r="Q854" s="45"/>
      <c r="R854" s="45"/>
    </row>
    <row r="855" spans="1:18" x14ac:dyDescent="0.2">
      <c r="A855" s="13"/>
      <c r="B855" s="18"/>
      <c r="C855" s="19"/>
      <c r="D855" s="19"/>
      <c r="E855" s="20"/>
      <c r="F855" s="22"/>
      <c r="G855" s="22"/>
      <c r="H855" s="23"/>
      <c r="I855" s="23"/>
      <c r="J855" s="13"/>
      <c r="K855" s="18"/>
      <c r="L855" s="19"/>
      <c r="M855" s="19"/>
      <c r="N855" s="20"/>
      <c r="O855" s="22"/>
      <c r="P855" s="22"/>
      <c r="Q855" s="45"/>
      <c r="R855" s="45"/>
    </row>
    <row r="856" spans="1:18" x14ac:dyDescent="0.2">
      <c r="A856" s="13"/>
      <c r="B856" s="18"/>
      <c r="C856" s="19"/>
      <c r="D856" s="19"/>
      <c r="E856" s="20"/>
      <c r="F856" s="22"/>
      <c r="G856" s="22"/>
      <c r="H856" s="23"/>
      <c r="I856" s="23"/>
      <c r="J856" s="13"/>
      <c r="K856" s="18"/>
      <c r="L856" s="19"/>
      <c r="M856" s="19"/>
      <c r="N856" s="20"/>
      <c r="O856" s="22"/>
      <c r="P856" s="22"/>
      <c r="Q856" s="23"/>
      <c r="R856" s="23"/>
    </row>
    <row r="857" spans="1:18" x14ac:dyDescent="0.2">
      <c r="A857" s="13"/>
      <c r="B857" s="18"/>
      <c r="C857" s="19"/>
      <c r="D857" s="19"/>
      <c r="E857" s="20"/>
      <c r="F857" s="22"/>
      <c r="G857" s="22"/>
      <c r="H857" s="23"/>
      <c r="I857" s="23"/>
      <c r="J857" s="13"/>
      <c r="K857" s="18"/>
      <c r="L857" s="19"/>
      <c r="M857" s="19"/>
      <c r="N857" s="20"/>
      <c r="O857" s="22"/>
      <c r="P857" s="22"/>
      <c r="Q857" s="23"/>
      <c r="R857" s="23"/>
    </row>
    <row r="858" spans="1:18" x14ac:dyDescent="0.2">
      <c r="A858" s="13"/>
      <c r="B858" s="18"/>
      <c r="C858" s="19"/>
      <c r="D858" s="19"/>
      <c r="E858" s="20"/>
      <c r="F858" s="22"/>
      <c r="G858" s="22"/>
      <c r="H858" s="23"/>
      <c r="I858" s="23"/>
      <c r="J858" s="13"/>
      <c r="K858" s="18"/>
      <c r="L858" s="19"/>
      <c r="M858" s="19"/>
      <c r="N858" s="20"/>
      <c r="O858" s="22"/>
      <c r="P858" s="22"/>
      <c r="Q858" s="23"/>
      <c r="R858" s="23"/>
    </row>
    <row r="859" spans="1:18" x14ac:dyDescent="0.2">
      <c r="A859" s="13"/>
      <c r="B859" s="18"/>
      <c r="C859" s="19"/>
      <c r="D859" s="19"/>
      <c r="E859" s="20"/>
      <c r="F859" s="22"/>
      <c r="G859" s="22"/>
      <c r="H859" s="23"/>
      <c r="I859" s="23"/>
      <c r="J859" s="13"/>
      <c r="K859" s="18"/>
      <c r="L859" s="19"/>
      <c r="M859" s="19"/>
      <c r="N859" s="20"/>
      <c r="O859" s="22"/>
      <c r="P859" s="22"/>
      <c r="Q859" s="23"/>
      <c r="R859" s="23"/>
    </row>
    <row r="860" spans="1:18" x14ac:dyDescent="0.2">
      <c r="A860" s="13"/>
      <c r="B860" s="18"/>
      <c r="C860" s="19"/>
      <c r="D860" s="19"/>
      <c r="E860" s="20"/>
      <c r="F860" s="22"/>
      <c r="G860" s="22"/>
      <c r="H860" s="23"/>
      <c r="I860" s="23"/>
      <c r="J860" s="13"/>
      <c r="K860" s="18"/>
      <c r="L860" s="19"/>
      <c r="M860" s="19"/>
      <c r="N860" s="20"/>
      <c r="O860" s="22"/>
      <c r="P860" s="22"/>
      <c r="Q860" s="23"/>
      <c r="R860" s="23"/>
    </row>
    <row r="861" spans="1:18" x14ac:dyDescent="0.2">
      <c r="A861" s="13"/>
      <c r="B861" s="18"/>
      <c r="C861" s="19"/>
      <c r="D861" s="19"/>
      <c r="E861" s="20"/>
      <c r="F861" s="22"/>
      <c r="G861" s="22"/>
      <c r="H861" s="23"/>
      <c r="I861" s="23"/>
      <c r="J861" s="13"/>
      <c r="K861" s="18"/>
      <c r="L861" s="19"/>
      <c r="M861" s="19"/>
      <c r="N861" s="20"/>
      <c r="O861" s="22"/>
      <c r="P861" s="22"/>
      <c r="Q861" s="23"/>
      <c r="R861" s="23"/>
    </row>
    <row r="862" spans="1:18" x14ac:dyDescent="0.2">
      <c r="A862" s="13"/>
      <c r="B862" s="18"/>
      <c r="C862" s="19"/>
      <c r="D862" s="19"/>
      <c r="E862" s="20"/>
      <c r="F862" s="22"/>
      <c r="G862" s="36"/>
      <c r="H862" s="37"/>
      <c r="I862" s="37"/>
      <c r="J862" s="13"/>
      <c r="K862" s="18"/>
      <c r="L862" s="19"/>
      <c r="M862" s="19"/>
      <c r="N862" s="20"/>
      <c r="O862" s="22"/>
      <c r="P862" s="36"/>
      <c r="Q862" s="37"/>
      <c r="R862" s="37"/>
    </row>
    <row r="863" spans="1:18" x14ac:dyDescent="0.2">
      <c r="A863" s="13"/>
      <c r="B863" s="248" t="s">
        <v>42</v>
      </c>
      <c r="C863" s="249"/>
      <c r="D863" s="249"/>
      <c r="E863" s="250"/>
      <c r="F863" s="46"/>
      <c r="G863" s="46"/>
      <c r="H863" s="47"/>
      <c r="I863" s="47">
        <f>SUM(I850:I862)</f>
        <v>0</v>
      </c>
      <c r="J863" s="13"/>
      <c r="K863" s="248" t="s">
        <v>42</v>
      </c>
      <c r="L863" s="249"/>
      <c r="M863" s="249"/>
      <c r="N863" s="250"/>
      <c r="O863" s="46"/>
      <c r="P863" s="46"/>
      <c r="Q863" s="47"/>
      <c r="R863" s="47">
        <f>SUM(R850:R862)</f>
        <v>534.75</v>
      </c>
    </row>
    <row r="864" spans="1:18" x14ac:dyDescent="0.2">
      <c r="A864" s="12" t="s">
        <v>43</v>
      </c>
      <c r="B864" s="48" t="s">
        <v>44</v>
      </c>
      <c r="C864" s="43"/>
      <c r="D864" s="43"/>
      <c r="E864" s="39"/>
      <c r="F864" s="49"/>
      <c r="G864" s="49"/>
      <c r="H864" s="50"/>
      <c r="I864" s="51">
        <f>SUM(I845+I863)</f>
        <v>552.01150000000007</v>
      </c>
      <c r="J864" s="12" t="s">
        <v>43</v>
      </c>
      <c r="K864" s="48" t="s">
        <v>44</v>
      </c>
      <c r="L864" s="43"/>
      <c r="M864" s="43"/>
      <c r="N864" s="143"/>
      <c r="O864" s="49"/>
      <c r="P864" s="49"/>
      <c r="Q864" s="50"/>
      <c r="R864" s="51">
        <f>SUM(R845+R863)</f>
        <v>851.01400000000001</v>
      </c>
    </row>
    <row r="865" spans="1:20" x14ac:dyDescent="0.2">
      <c r="A865" s="13" t="s">
        <v>45</v>
      </c>
      <c r="B865" s="48" t="s">
        <v>46</v>
      </c>
      <c r="C865" s="43"/>
      <c r="D865" s="43"/>
      <c r="E865" s="39"/>
      <c r="F865" s="49"/>
      <c r="G865" s="52">
        <v>0.09</v>
      </c>
      <c r="H865" s="53" t="s">
        <v>47</v>
      </c>
      <c r="I865" s="51">
        <f>G865*I864</f>
        <v>49.681035000000001</v>
      </c>
      <c r="J865" s="13" t="s">
        <v>45</v>
      </c>
      <c r="K865" s="48" t="s">
        <v>46</v>
      </c>
      <c r="L865" s="43"/>
      <c r="M865" s="43"/>
      <c r="N865" s="143"/>
      <c r="O865" s="49"/>
      <c r="P865" s="52">
        <v>0.09</v>
      </c>
      <c r="Q865" s="53" t="s">
        <v>47</v>
      </c>
      <c r="R865" s="51">
        <f>P865*R864</f>
        <v>76.591259999999991</v>
      </c>
    </row>
    <row r="866" spans="1:20" x14ac:dyDescent="0.2">
      <c r="A866" s="13" t="s">
        <v>48</v>
      </c>
      <c r="B866" s="48" t="s">
        <v>49</v>
      </c>
      <c r="C866" s="43"/>
      <c r="D866" s="43"/>
      <c r="E866" s="39"/>
      <c r="F866" s="49"/>
      <c r="G866" s="52">
        <v>0.08</v>
      </c>
      <c r="H866" s="53" t="s">
        <v>47</v>
      </c>
      <c r="I866" s="51">
        <f>G866*I864</f>
        <v>44.160920000000004</v>
      </c>
      <c r="J866" s="13" t="s">
        <v>48</v>
      </c>
      <c r="K866" s="48" t="s">
        <v>49</v>
      </c>
      <c r="L866" s="43"/>
      <c r="M866" s="43"/>
      <c r="N866" s="143"/>
      <c r="O866" s="49"/>
      <c r="P866" s="52">
        <v>0.08</v>
      </c>
      <c r="Q866" s="53" t="s">
        <v>47</v>
      </c>
      <c r="R866" s="51">
        <f>P866*R864</f>
        <v>68.081119999999999</v>
      </c>
    </row>
    <row r="867" spans="1:20" x14ac:dyDescent="0.2">
      <c r="A867" s="13" t="s">
        <v>50</v>
      </c>
      <c r="B867" s="48" t="s">
        <v>51</v>
      </c>
      <c r="C867" s="43"/>
      <c r="D867" s="43"/>
      <c r="E867" s="39"/>
      <c r="F867" s="49"/>
      <c r="G867" s="52">
        <f>5/100</f>
        <v>0.05</v>
      </c>
      <c r="H867" s="53" t="s">
        <v>52</v>
      </c>
      <c r="I867" s="51">
        <f>G867*(I864+I865+I866)</f>
        <v>32.292672750000001</v>
      </c>
      <c r="J867" s="13" t="s">
        <v>50</v>
      </c>
      <c r="K867" s="48" t="s">
        <v>51</v>
      </c>
      <c r="L867" s="43"/>
      <c r="M867" s="43"/>
      <c r="N867" s="143"/>
      <c r="O867" s="49"/>
      <c r="P867" s="52">
        <f>5/100</f>
        <v>0.05</v>
      </c>
      <c r="Q867" s="53" t="s">
        <v>52</v>
      </c>
      <c r="R867" s="51">
        <f>P867*(R864+R865+R866)</f>
        <v>49.784319000000011</v>
      </c>
      <c r="S867" s="77"/>
    </row>
    <row r="868" spans="1:20" x14ac:dyDescent="0.2">
      <c r="A868" s="54" t="s">
        <v>53</v>
      </c>
      <c r="B868" s="48" t="s">
        <v>54</v>
      </c>
      <c r="C868" s="43"/>
      <c r="D868" s="43"/>
      <c r="E868" s="39"/>
      <c r="F868" s="49"/>
      <c r="G868" s="49"/>
      <c r="H868" s="55" t="s">
        <v>55</v>
      </c>
      <c r="I868" s="51">
        <f>SUM(I864+I865+I866+I867)</f>
        <v>678.14612775000001</v>
      </c>
      <c r="J868" s="54" t="s">
        <v>53</v>
      </c>
      <c r="K868" s="48" t="s">
        <v>54</v>
      </c>
      <c r="L868" s="43"/>
      <c r="M868" s="43"/>
      <c r="N868" s="143"/>
      <c r="O868" s="49"/>
      <c r="P868" s="49"/>
      <c r="Q868" s="55" t="s">
        <v>55</v>
      </c>
      <c r="R868" s="51">
        <f>SUM(R864+R865+R866+R867)</f>
        <v>1045.4706990000002</v>
      </c>
      <c r="S868" s="77"/>
      <c r="T868" s="78"/>
    </row>
    <row r="869" spans="1:20" s="1" customFormat="1" x14ac:dyDescent="0.2">
      <c r="A869" s="236" t="s">
        <v>0</v>
      </c>
      <c r="B869" s="236"/>
      <c r="C869" s="236"/>
      <c r="D869" s="236"/>
      <c r="E869" s="236"/>
      <c r="F869" s="236"/>
      <c r="G869" s="236"/>
      <c r="H869" s="236"/>
      <c r="I869" s="236"/>
      <c r="J869" s="285" t="s">
        <v>0</v>
      </c>
      <c r="K869" s="285"/>
      <c r="L869" s="285"/>
      <c r="M869" s="285"/>
      <c r="N869" s="285"/>
      <c r="O869" s="285"/>
      <c r="P869" s="285"/>
      <c r="Q869" s="285"/>
      <c r="R869" s="285"/>
      <c r="T869" s="79"/>
    </row>
    <row r="870" spans="1:20" x14ac:dyDescent="0.2">
      <c r="J870" s="80"/>
      <c r="K870" s="66"/>
      <c r="L870" s="19"/>
      <c r="M870" s="19"/>
      <c r="N870" s="20"/>
      <c r="O870" s="66"/>
      <c r="P870" s="66"/>
      <c r="Q870" s="66"/>
      <c r="R870" s="66"/>
    </row>
    <row r="871" spans="1:20" x14ac:dyDescent="0.2">
      <c r="A871" s="2" t="s">
        <v>1</v>
      </c>
      <c r="C871" s="4" t="s">
        <v>2</v>
      </c>
      <c r="D871" s="5" t="s">
        <v>142</v>
      </c>
      <c r="E871" s="237" t="s">
        <v>1190</v>
      </c>
      <c r="F871" s="237"/>
      <c r="G871" s="237"/>
      <c r="H871" s="237"/>
      <c r="I871" s="8"/>
      <c r="J871" s="146" t="s">
        <v>1</v>
      </c>
      <c r="K871" s="66"/>
      <c r="L871" s="19" t="s">
        <v>2</v>
      </c>
      <c r="M871" s="20" t="s">
        <v>140</v>
      </c>
      <c r="N871" s="146" t="s">
        <v>141</v>
      </c>
      <c r="O871" s="146"/>
      <c r="P871" s="146"/>
      <c r="Q871" s="146"/>
      <c r="R871" s="66"/>
    </row>
    <row r="872" spans="1:20" x14ac:dyDescent="0.2">
      <c r="A872" s="2" t="s">
        <v>7</v>
      </c>
      <c r="C872" s="4" t="s">
        <v>2</v>
      </c>
      <c r="E872" s="144" t="s">
        <v>1150</v>
      </c>
      <c r="F872" s="8"/>
      <c r="G872" s="8"/>
      <c r="H872" s="8"/>
      <c r="J872" s="146" t="s">
        <v>7</v>
      </c>
      <c r="K872" s="66"/>
      <c r="L872" s="19" t="s">
        <v>2</v>
      </c>
      <c r="M872" s="19"/>
      <c r="N872" s="146" t="s">
        <v>9</v>
      </c>
      <c r="O872" s="25"/>
      <c r="P872" s="25"/>
      <c r="Q872" s="25"/>
      <c r="R872" s="66"/>
    </row>
    <row r="873" spans="1:20" x14ac:dyDescent="0.2">
      <c r="A873" s="2" t="s">
        <v>10</v>
      </c>
      <c r="C873" s="4" t="s">
        <v>2</v>
      </c>
      <c r="E873" s="9">
        <v>3</v>
      </c>
      <c r="F873" s="8"/>
      <c r="G873" s="8"/>
      <c r="H873" s="8"/>
      <c r="J873" s="146" t="s">
        <v>10</v>
      </c>
      <c r="K873" s="66"/>
      <c r="L873" s="19" t="s">
        <v>2</v>
      </c>
      <c r="M873" s="19"/>
      <c r="N873" s="81">
        <v>20</v>
      </c>
      <c r="O873" s="25"/>
      <c r="P873" s="25"/>
      <c r="Q873" s="25"/>
      <c r="R873" s="66"/>
    </row>
    <row r="874" spans="1:20" x14ac:dyDescent="0.2">
      <c r="B874" s="8"/>
      <c r="F874" s="11"/>
      <c r="G874" s="8"/>
      <c r="H874" s="8"/>
      <c r="I874" s="8"/>
      <c r="J874" s="82"/>
      <c r="K874" s="83"/>
      <c r="L874" s="84"/>
      <c r="M874" s="84"/>
      <c r="N874" s="140"/>
      <c r="O874" s="86"/>
      <c r="P874" s="83"/>
      <c r="Q874" s="83"/>
      <c r="R874" s="83"/>
    </row>
    <row r="875" spans="1:20" x14ac:dyDescent="0.2">
      <c r="A875" s="12"/>
      <c r="B875" s="238" t="s">
        <v>11</v>
      </c>
      <c r="C875" s="239"/>
      <c r="D875" s="239"/>
      <c r="E875" s="240"/>
      <c r="F875" s="244" t="s">
        <v>12</v>
      </c>
      <c r="G875" s="244" t="s">
        <v>13</v>
      </c>
      <c r="H875" s="244" t="s">
        <v>14</v>
      </c>
      <c r="I875" s="246" t="s">
        <v>15</v>
      </c>
      <c r="J875" s="12"/>
      <c r="K875" s="238" t="s">
        <v>11</v>
      </c>
      <c r="L875" s="239"/>
      <c r="M875" s="239"/>
      <c r="N875" s="240"/>
      <c r="O875" s="244" t="s">
        <v>12</v>
      </c>
      <c r="P875" s="244" t="s">
        <v>13</v>
      </c>
      <c r="Q875" s="244" t="s">
        <v>14</v>
      </c>
      <c r="R875" s="246" t="s">
        <v>15</v>
      </c>
    </row>
    <row r="876" spans="1:20" x14ac:dyDescent="0.2">
      <c r="A876" s="13"/>
      <c r="B876" s="241"/>
      <c r="C876" s="242"/>
      <c r="D876" s="242"/>
      <c r="E876" s="243"/>
      <c r="F876" s="245"/>
      <c r="G876" s="245"/>
      <c r="H876" s="245"/>
      <c r="I876" s="247"/>
      <c r="J876" s="13"/>
      <c r="K876" s="241"/>
      <c r="L876" s="242"/>
      <c r="M876" s="242"/>
      <c r="N876" s="243"/>
      <c r="O876" s="245"/>
      <c r="P876" s="245"/>
      <c r="Q876" s="245"/>
      <c r="R876" s="247"/>
    </row>
    <row r="877" spans="1:20" ht="15" customHeight="1" x14ac:dyDescent="0.2">
      <c r="A877" s="13" t="s">
        <v>16</v>
      </c>
      <c r="B877" s="14" t="s">
        <v>17</v>
      </c>
      <c r="C877" s="15"/>
      <c r="D877" s="15"/>
      <c r="E877" s="16"/>
      <c r="F877" s="17"/>
      <c r="G877" s="17"/>
      <c r="H877" s="17"/>
      <c r="I877" s="17"/>
      <c r="J877" s="13" t="s">
        <v>16</v>
      </c>
      <c r="K877" s="14" t="s">
        <v>17</v>
      </c>
      <c r="L877" s="15"/>
      <c r="M877" s="15"/>
      <c r="N877" s="16"/>
      <c r="O877" s="17"/>
      <c r="P877" s="17"/>
      <c r="Q877" s="17"/>
      <c r="R877" s="17"/>
    </row>
    <row r="878" spans="1:20" x14ac:dyDescent="0.2">
      <c r="A878" s="13"/>
      <c r="B878" s="18"/>
      <c r="C878" s="19"/>
      <c r="D878" s="19"/>
      <c r="E878" s="20"/>
      <c r="F878" s="21"/>
      <c r="G878" s="22"/>
      <c r="H878" s="21"/>
      <c r="I878" s="21"/>
      <c r="J878" s="13"/>
      <c r="K878" s="18"/>
      <c r="L878" s="19"/>
      <c r="M878" s="19"/>
      <c r="N878" s="20"/>
      <c r="O878" s="21"/>
      <c r="P878" s="22"/>
      <c r="Q878" s="21"/>
      <c r="R878" s="21"/>
    </row>
    <row r="879" spans="1:20" x14ac:dyDescent="0.2">
      <c r="A879" s="13"/>
      <c r="B879" s="24" t="s">
        <v>18</v>
      </c>
      <c r="C879" s="25"/>
      <c r="D879" s="25"/>
      <c r="E879" s="26"/>
      <c r="F879" s="22">
        <v>1</v>
      </c>
      <c r="G879" s="62">
        <v>1</v>
      </c>
      <c r="H879" s="23">
        <v>69.42</v>
      </c>
      <c r="I879" s="23">
        <f>G879*H879*F879</f>
        <v>69.42</v>
      </c>
      <c r="J879" s="13"/>
      <c r="K879" s="24" t="s">
        <v>18</v>
      </c>
      <c r="L879" s="25"/>
      <c r="M879" s="25"/>
      <c r="N879" s="26"/>
      <c r="O879" s="22">
        <v>1</v>
      </c>
      <c r="P879" s="62">
        <v>1</v>
      </c>
      <c r="Q879" s="23">
        <v>69.42</v>
      </c>
      <c r="R879" s="23">
        <f>P879*Q879*O879</f>
        <v>69.42</v>
      </c>
    </row>
    <row r="880" spans="1:20" ht="15" customHeight="1" x14ac:dyDescent="0.2">
      <c r="A880" s="13"/>
      <c r="B880" s="257" t="s">
        <v>1179</v>
      </c>
      <c r="C880" s="258"/>
      <c r="D880" s="19"/>
      <c r="E880" s="20"/>
      <c r="F880" s="22">
        <v>2</v>
      </c>
      <c r="G880" s="62">
        <v>1</v>
      </c>
      <c r="H880" s="23">
        <v>38.97</v>
      </c>
      <c r="I880" s="23">
        <f>G880*H880*F880</f>
        <v>77.94</v>
      </c>
      <c r="J880" s="13"/>
      <c r="K880" s="149" t="s">
        <v>1179</v>
      </c>
      <c r="L880" s="146"/>
      <c r="M880" s="19"/>
      <c r="N880" s="20"/>
      <c r="O880" s="22">
        <v>3</v>
      </c>
      <c r="P880" s="62">
        <v>1</v>
      </c>
      <c r="Q880" s="23">
        <v>38.97</v>
      </c>
      <c r="R880" s="23">
        <f>P880*Q880*O880</f>
        <v>116.91</v>
      </c>
    </row>
    <row r="881" spans="1:18" ht="15" customHeight="1" x14ac:dyDescent="0.2">
      <c r="A881" s="13"/>
      <c r="B881" s="257"/>
      <c r="C881" s="258"/>
      <c r="D881" s="19"/>
      <c r="E881" s="20"/>
      <c r="F881" s="22"/>
      <c r="G881" s="22"/>
      <c r="H881" s="23"/>
      <c r="I881" s="23"/>
      <c r="J881" s="13"/>
      <c r="K881" s="145"/>
      <c r="L881" s="146"/>
      <c r="M881" s="19"/>
      <c r="N881" s="20"/>
      <c r="O881" s="22"/>
      <c r="P881" s="22"/>
      <c r="Q881" s="23"/>
      <c r="R881" s="23"/>
    </row>
    <row r="882" spans="1:18" ht="15" customHeight="1" x14ac:dyDescent="0.2">
      <c r="A882" s="13"/>
      <c r="B882" s="27"/>
      <c r="C882" s="63"/>
      <c r="D882" s="19"/>
      <c r="E882" s="20"/>
      <c r="F882" s="22"/>
      <c r="G882" s="22"/>
      <c r="H882" s="29"/>
      <c r="I882" s="30"/>
      <c r="J882" s="13"/>
      <c r="K882" s="145"/>
      <c r="L882" s="19"/>
      <c r="M882" s="19"/>
      <c r="N882" s="20"/>
      <c r="O882" s="22"/>
      <c r="P882" s="22"/>
      <c r="Q882" s="29"/>
      <c r="R882" s="30"/>
    </row>
    <row r="883" spans="1:18" ht="15" customHeight="1" x14ac:dyDescent="0.2">
      <c r="A883" s="13"/>
      <c r="B883" s="27"/>
      <c r="C883" s="63"/>
      <c r="D883" s="19"/>
      <c r="E883" s="20"/>
      <c r="F883" s="22"/>
      <c r="G883" s="22"/>
      <c r="H883" s="29"/>
      <c r="I883" s="30"/>
      <c r="J883" s="13"/>
      <c r="K883" s="145"/>
      <c r="L883" s="19"/>
      <c r="M883" s="19"/>
      <c r="N883" s="20"/>
      <c r="O883" s="22"/>
      <c r="P883" s="22"/>
      <c r="Q883" s="29"/>
      <c r="R883" s="30"/>
    </row>
    <row r="884" spans="1:18" x14ac:dyDescent="0.2">
      <c r="A884" s="13"/>
      <c r="B884" s="24"/>
      <c r="C884" s="25"/>
      <c r="D884" s="19"/>
      <c r="E884" s="20"/>
      <c r="F884" s="22"/>
      <c r="G884" s="22"/>
      <c r="H884" s="23"/>
      <c r="I884" s="23"/>
      <c r="J884" s="13"/>
      <c r="K884" s="18"/>
      <c r="L884" s="19"/>
      <c r="M884" s="19"/>
      <c r="N884" s="20"/>
      <c r="O884" s="22"/>
      <c r="P884" s="22"/>
      <c r="Q884" s="28"/>
      <c r="R884" s="23"/>
    </row>
    <row r="885" spans="1:18" x14ac:dyDescent="0.2">
      <c r="A885" s="13"/>
      <c r="B885" s="24"/>
      <c r="C885" s="25"/>
      <c r="D885" s="19"/>
      <c r="E885" s="20"/>
      <c r="F885" s="22"/>
      <c r="G885" s="22"/>
      <c r="H885" s="23"/>
      <c r="I885" s="23"/>
      <c r="J885" s="13"/>
      <c r="K885" s="18"/>
      <c r="L885" s="19"/>
      <c r="M885" s="19"/>
      <c r="N885" s="20"/>
      <c r="O885" s="22"/>
      <c r="P885" s="22"/>
      <c r="Q885" s="23"/>
      <c r="R885" s="23"/>
    </row>
    <row r="886" spans="1:18" x14ac:dyDescent="0.2">
      <c r="A886" s="13"/>
      <c r="B886" s="248" t="s">
        <v>20</v>
      </c>
      <c r="C886" s="249"/>
      <c r="D886" s="249"/>
      <c r="E886" s="250"/>
      <c r="F886" s="31"/>
      <c r="G886" s="31"/>
      <c r="H886" s="32"/>
      <c r="I886" s="32">
        <f>SUM(I879:I885)</f>
        <v>147.36000000000001</v>
      </c>
      <c r="J886" s="13"/>
      <c r="K886" s="139" t="s">
        <v>20</v>
      </c>
      <c r="L886" s="140"/>
      <c r="M886" s="140"/>
      <c r="N886" s="141"/>
      <c r="O886" s="31"/>
      <c r="P886" s="31"/>
      <c r="Q886" s="32"/>
      <c r="R886" s="32">
        <f>SUM(R879:R885)</f>
        <v>186.32999999999998</v>
      </c>
    </row>
    <row r="887" spans="1:18" ht="17.25" customHeight="1" x14ac:dyDescent="0.2">
      <c r="A887" s="12"/>
      <c r="B887" s="251" t="s">
        <v>21</v>
      </c>
      <c r="C887" s="252"/>
      <c r="D887" s="252"/>
      <c r="E887" s="253"/>
      <c r="F887" s="244" t="s">
        <v>22</v>
      </c>
      <c r="G887" s="244" t="s">
        <v>13</v>
      </c>
      <c r="H887" s="244" t="s">
        <v>14</v>
      </c>
      <c r="I887" s="246" t="s">
        <v>15</v>
      </c>
      <c r="J887" s="12"/>
      <c r="K887" s="251" t="s">
        <v>21</v>
      </c>
      <c r="L887" s="252"/>
      <c r="M887" s="252"/>
      <c r="N887" s="253"/>
      <c r="O887" s="244" t="s">
        <v>22</v>
      </c>
      <c r="P887" s="244" t="s">
        <v>13</v>
      </c>
      <c r="Q887" s="244" t="s">
        <v>14</v>
      </c>
      <c r="R887" s="246" t="s">
        <v>15</v>
      </c>
    </row>
    <row r="888" spans="1:18" ht="17.25" customHeight="1" x14ac:dyDescent="0.2">
      <c r="A888" s="13"/>
      <c r="B888" s="254"/>
      <c r="C888" s="255"/>
      <c r="D888" s="255"/>
      <c r="E888" s="256"/>
      <c r="F888" s="245"/>
      <c r="G888" s="245"/>
      <c r="H888" s="245"/>
      <c r="I888" s="247"/>
      <c r="J888" s="13"/>
      <c r="K888" s="254"/>
      <c r="L888" s="255"/>
      <c r="M888" s="255"/>
      <c r="N888" s="256"/>
      <c r="O888" s="245"/>
      <c r="P888" s="245"/>
      <c r="Q888" s="245"/>
      <c r="R888" s="247"/>
    </row>
    <row r="889" spans="1:18" x14ac:dyDescent="0.2">
      <c r="A889" s="13" t="s">
        <v>23</v>
      </c>
      <c r="B889" s="33" t="s">
        <v>24</v>
      </c>
      <c r="C889" s="15"/>
      <c r="D889" s="15"/>
      <c r="E889" s="16"/>
      <c r="F889" s="34"/>
      <c r="G889" s="34"/>
      <c r="H889" s="35"/>
      <c r="I889" s="35"/>
      <c r="J889" s="13" t="s">
        <v>23</v>
      </c>
      <c r="K889" s="33" t="s">
        <v>24</v>
      </c>
      <c r="L889" s="15"/>
      <c r="M889" s="15"/>
      <c r="N889" s="16"/>
      <c r="O889" s="34"/>
      <c r="P889" s="34"/>
      <c r="Q889" s="35"/>
      <c r="R889" s="35"/>
    </row>
    <row r="890" spans="1:18" x14ac:dyDescent="0.2">
      <c r="A890" s="13"/>
      <c r="B890" s="18"/>
      <c r="C890" s="19"/>
      <c r="D890" s="19"/>
      <c r="E890" s="20"/>
      <c r="F890" s="22"/>
      <c r="G890" s="22"/>
      <c r="H890" s="23"/>
      <c r="I890" s="23"/>
      <c r="J890" s="13"/>
      <c r="K890" s="18"/>
      <c r="L890" s="19"/>
      <c r="M890" s="19"/>
      <c r="N890" s="20"/>
      <c r="O890" s="22"/>
      <c r="P890" s="22"/>
      <c r="Q890" s="23"/>
      <c r="R890" s="23"/>
    </row>
    <row r="891" spans="1:18" x14ac:dyDescent="0.2">
      <c r="A891" s="13"/>
      <c r="B891" s="18" t="s">
        <v>62</v>
      </c>
      <c r="C891" s="66"/>
      <c r="D891" s="19"/>
      <c r="E891" s="20"/>
      <c r="F891" s="22">
        <v>1</v>
      </c>
      <c r="G891" s="23">
        <v>1</v>
      </c>
      <c r="H891" s="37">
        <v>1537</v>
      </c>
      <c r="I891" s="37">
        <f>G891*H891*F891</f>
        <v>1537</v>
      </c>
      <c r="J891" s="13"/>
      <c r="K891" s="18" t="s">
        <v>1130</v>
      </c>
      <c r="L891" s="19"/>
      <c r="M891" s="19"/>
      <c r="N891" s="20"/>
      <c r="O891" s="22">
        <v>2</v>
      </c>
      <c r="P891" s="23">
        <v>1</v>
      </c>
      <c r="Q891" s="37">
        <v>1420</v>
      </c>
      <c r="R891" s="37">
        <f>P891*Q891*O891</f>
        <v>2840</v>
      </c>
    </row>
    <row r="892" spans="1:18" x14ac:dyDescent="0.2">
      <c r="A892" s="13"/>
      <c r="B892" s="18" t="s">
        <v>1149</v>
      </c>
      <c r="C892" s="66"/>
      <c r="D892" s="19"/>
      <c r="E892" s="20"/>
      <c r="F892" s="22">
        <v>1</v>
      </c>
      <c r="G892" s="23">
        <v>0.5</v>
      </c>
      <c r="H892" s="37">
        <v>1017.9</v>
      </c>
      <c r="I892" s="37">
        <f>G892*H892*F892</f>
        <v>508.95</v>
      </c>
      <c r="J892" s="13"/>
      <c r="K892" s="18" t="s">
        <v>99</v>
      </c>
      <c r="L892" s="19"/>
      <c r="M892" s="19"/>
      <c r="N892" s="20"/>
      <c r="O892" s="22">
        <v>1</v>
      </c>
      <c r="P892" s="23">
        <v>1</v>
      </c>
      <c r="Q892" s="37">
        <v>1537</v>
      </c>
      <c r="R892" s="37">
        <f>Q892</f>
        <v>1537</v>
      </c>
    </row>
    <row r="893" spans="1:18" x14ac:dyDescent="0.2">
      <c r="A893" s="13"/>
      <c r="B893" s="18" t="s">
        <v>1194</v>
      </c>
      <c r="C893" s="66"/>
      <c r="D893" s="19"/>
      <c r="E893" s="20"/>
      <c r="F893" s="22"/>
      <c r="G893" s="71"/>
      <c r="I893" s="37">
        <f>0.1*I886</f>
        <v>14.736000000000002</v>
      </c>
      <c r="J893" s="13"/>
      <c r="K893" s="18" t="s">
        <v>1192</v>
      </c>
      <c r="L893" s="19"/>
      <c r="M893" s="19"/>
      <c r="N893" s="20"/>
      <c r="O893" s="22"/>
      <c r="P893" s="36"/>
      <c r="R893" s="37">
        <f>R886*0.1</f>
        <v>18.632999999999999</v>
      </c>
    </row>
    <row r="894" spans="1:18" x14ac:dyDescent="0.2">
      <c r="A894" s="13"/>
      <c r="B894" s="18"/>
      <c r="C894" s="66"/>
      <c r="F894" s="22"/>
      <c r="G894" s="23"/>
      <c r="H894" s="37"/>
      <c r="I894" s="37"/>
      <c r="J894" s="13"/>
      <c r="O894" s="21"/>
      <c r="P894" s="21"/>
      <c r="Q894" s="21"/>
      <c r="R894" s="37"/>
    </row>
    <row r="895" spans="1:18" x14ac:dyDescent="0.2">
      <c r="A895" s="13"/>
      <c r="B895" s="18"/>
      <c r="C895" s="19"/>
      <c r="D895" s="19"/>
      <c r="E895" s="20"/>
      <c r="F895" s="22"/>
      <c r="G895" s="36"/>
      <c r="H895" s="37"/>
      <c r="I895" s="37"/>
      <c r="J895" s="13"/>
      <c r="K895" s="18"/>
      <c r="L895" s="19"/>
      <c r="M895" s="19"/>
      <c r="N895" s="20"/>
      <c r="O895" s="22"/>
      <c r="P895" s="36"/>
      <c r="Q895" s="37"/>
      <c r="R895" s="37"/>
    </row>
    <row r="896" spans="1:18" x14ac:dyDescent="0.2">
      <c r="A896" s="13"/>
      <c r="B896" s="18" t="s">
        <v>126</v>
      </c>
      <c r="C896" s="19"/>
      <c r="D896" s="19"/>
      <c r="E896" s="20"/>
      <c r="F896" s="22"/>
      <c r="G896" s="36"/>
      <c r="H896" s="37"/>
      <c r="I896" s="37"/>
      <c r="J896" s="13"/>
      <c r="K896" s="18"/>
      <c r="L896" s="19"/>
      <c r="M896" s="19"/>
      <c r="N896" s="20"/>
      <c r="O896" s="22"/>
      <c r="P896" s="36"/>
      <c r="Q896" s="38"/>
      <c r="R896" s="38"/>
    </row>
    <row r="897" spans="1:18" ht="15" customHeight="1" x14ac:dyDescent="0.2">
      <c r="A897" s="13"/>
      <c r="C897" s="19"/>
      <c r="D897" s="19"/>
      <c r="E897" s="20"/>
      <c r="F897" s="22"/>
      <c r="G897" s="36"/>
      <c r="H897" s="37"/>
      <c r="I897" s="37"/>
      <c r="J897" s="13"/>
      <c r="K897" s="18"/>
      <c r="L897" s="19"/>
      <c r="M897" s="19"/>
      <c r="N897" s="20"/>
      <c r="O897" s="22"/>
      <c r="P897" s="36"/>
      <c r="Q897" s="38"/>
      <c r="R897" s="38"/>
    </row>
    <row r="898" spans="1:18" x14ac:dyDescent="0.2">
      <c r="A898" s="13"/>
      <c r="B898" s="18"/>
      <c r="C898" s="19"/>
      <c r="D898" s="19"/>
      <c r="E898" s="20"/>
      <c r="F898" s="22"/>
      <c r="G898" s="23"/>
      <c r="H898" s="37"/>
      <c r="I898" s="37"/>
      <c r="J898" s="13"/>
      <c r="K898" s="18"/>
      <c r="L898" s="19"/>
      <c r="M898" s="19"/>
      <c r="N898" s="20"/>
      <c r="O898" s="22"/>
      <c r="P898" s="36"/>
      <c r="Q898" s="38"/>
      <c r="R898" s="38"/>
    </row>
    <row r="899" spans="1:18" x14ac:dyDescent="0.2">
      <c r="A899" s="13"/>
      <c r="B899" s="18" t="s">
        <v>101</v>
      </c>
      <c r="C899" s="19"/>
      <c r="D899" s="19"/>
      <c r="E899" s="20"/>
      <c r="F899" s="22"/>
      <c r="G899" s="23"/>
      <c r="H899" s="37"/>
      <c r="I899" s="37"/>
      <c r="J899" s="13"/>
      <c r="K899" s="18"/>
      <c r="L899" s="19"/>
      <c r="M899" s="19"/>
      <c r="N899" s="20"/>
      <c r="O899" s="22"/>
      <c r="P899" s="36"/>
      <c r="Q899" s="38"/>
      <c r="R899" s="38"/>
    </row>
    <row r="900" spans="1:18" x14ac:dyDescent="0.2">
      <c r="A900" s="13"/>
      <c r="B900" s="7"/>
      <c r="C900" s="7"/>
      <c r="D900" s="7"/>
      <c r="E900" s="7"/>
      <c r="F900" s="72"/>
      <c r="G900" s="72"/>
      <c r="H900" s="72"/>
      <c r="I900" s="72"/>
      <c r="J900" s="13"/>
      <c r="K900" s="18"/>
      <c r="L900" s="19"/>
      <c r="M900" s="19"/>
      <c r="N900" s="20"/>
      <c r="O900" s="22"/>
      <c r="P900" s="36"/>
      <c r="Q900" s="37"/>
      <c r="R900" s="37"/>
    </row>
    <row r="901" spans="1:18" x14ac:dyDescent="0.2">
      <c r="A901" s="13"/>
      <c r="B901" s="18"/>
      <c r="C901" s="19"/>
      <c r="D901" s="19"/>
      <c r="E901" s="20"/>
      <c r="F901" s="22"/>
      <c r="G901" s="36"/>
      <c r="H901" s="37"/>
      <c r="I901" s="37"/>
      <c r="J901" s="13"/>
      <c r="K901" s="18"/>
      <c r="L901" s="19"/>
      <c r="M901" s="19"/>
      <c r="N901" s="20"/>
      <c r="O901" s="22"/>
      <c r="P901" s="36"/>
      <c r="Q901" s="37"/>
      <c r="R901" s="37"/>
    </row>
    <row r="902" spans="1:18" x14ac:dyDescent="0.2">
      <c r="A902" s="13"/>
      <c r="B902" s="18"/>
      <c r="C902" s="19"/>
      <c r="D902" s="19"/>
      <c r="E902" s="20"/>
      <c r="F902" s="22"/>
      <c r="G902" s="36"/>
      <c r="H902" s="37"/>
      <c r="I902" s="37"/>
      <c r="J902" s="13"/>
      <c r="K902" s="18"/>
      <c r="L902" s="19"/>
      <c r="M902" s="19"/>
      <c r="N902" s="20"/>
      <c r="O902" s="22"/>
      <c r="P902" s="36"/>
      <c r="Q902" s="37"/>
      <c r="R902" s="37"/>
    </row>
    <row r="903" spans="1:18" x14ac:dyDescent="0.2">
      <c r="A903" s="13"/>
      <c r="B903" s="18"/>
      <c r="C903" s="19"/>
      <c r="D903" s="19"/>
      <c r="E903" s="20"/>
      <c r="F903" s="22"/>
      <c r="G903" s="22"/>
      <c r="H903" s="23"/>
      <c r="I903" s="23"/>
      <c r="J903" s="13"/>
      <c r="K903" s="18"/>
      <c r="L903" s="19"/>
      <c r="M903" s="19"/>
      <c r="N903" s="20"/>
      <c r="O903" s="22"/>
      <c r="P903" s="22"/>
      <c r="Q903" s="23"/>
      <c r="R903" s="23"/>
    </row>
    <row r="904" spans="1:18" x14ac:dyDescent="0.2">
      <c r="A904" s="13"/>
      <c r="B904" s="248" t="s">
        <v>30</v>
      </c>
      <c r="C904" s="249"/>
      <c r="D904" s="249"/>
      <c r="E904" s="250"/>
      <c r="F904" s="22"/>
      <c r="G904" s="22"/>
      <c r="H904" s="23"/>
      <c r="I904" s="23">
        <f>SUM(I891:I903)</f>
        <v>2060.6860000000001</v>
      </c>
      <c r="J904" s="13"/>
      <c r="K904" s="139" t="s">
        <v>30</v>
      </c>
      <c r="L904" s="140"/>
      <c r="M904" s="140"/>
      <c r="N904" s="141"/>
      <c r="O904" s="22"/>
      <c r="P904" s="22"/>
      <c r="Q904" s="23"/>
      <c r="R904" s="23">
        <f>SUM(R891:R903)</f>
        <v>4395.6329999999998</v>
      </c>
    </row>
    <row r="905" spans="1:18" x14ac:dyDescent="0.2">
      <c r="A905" s="12" t="s">
        <v>31</v>
      </c>
      <c r="B905" s="260" t="s">
        <v>32</v>
      </c>
      <c r="C905" s="261"/>
      <c r="D905" s="261"/>
      <c r="E905" s="261"/>
      <c r="F905" s="39"/>
      <c r="G905" s="39"/>
      <c r="H905" s="40"/>
      <c r="I905" s="41">
        <f>SUM(I904+I886)</f>
        <v>2208.0460000000003</v>
      </c>
      <c r="J905" s="12" t="s">
        <v>31</v>
      </c>
      <c r="K905" s="142" t="s">
        <v>32</v>
      </c>
      <c r="L905" s="143"/>
      <c r="M905" s="143"/>
      <c r="N905" s="143"/>
      <c r="O905" s="143"/>
      <c r="P905" s="143"/>
      <c r="Q905" s="40"/>
      <c r="R905" s="41">
        <f>SUM(R904+R886)</f>
        <v>4581.9629999999997</v>
      </c>
    </row>
    <row r="906" spans="1:18" x14ac:dyDescent="0.2">
      <c r="A906" s="13" t="s">
        <v>33</v>
      </c>
      <c r="B906" s="281">
        <f>E873</f>
        <v>3</v>
      </c>
      <c r="C906" s="282"/>
      <c r="D906" s="282"/>
      <c r="E906" s="282"/>
      <c r="F906" s="282"/>
      <c r="G906" s="282"/>
      <c r="H906" s="40"/>
      <c r="I906" s="41"/>
      <c r="J906" s="13" t="s">
        <v>33</v>
      </c>
      <c r="K906" s="283">
        <f>N873</f>
        <v>20</v>
      </c>
      <c r="L906" s="284"/>
      <c r="M906" s="284"/>
      <c r="N906" s="284"/>
      <c r="O906" s="284"/>
      <c r="P906" s="284"/>
      <c r="Q906" s="40"/>
      <c r="R906" s="41"/>
    </row>
    <row r="907" spans="1:18" x14ac:dyDescent="0.2">
      <c r="A907" s="13" t="s">
        <v>34</v>
      </c>
      <c r="B907" s="42" t="s">
        <v>35</v>
      </c>
      <c r="C907" s="43"/>
      <c r="D907" s="43"/>
      <c r="E907" s="39"/>
      <c r="F907" s="44"/>
      <c r="G907" s="44"/>
      <c r="H907" s="40"/>
      <c r="I907" s="41">
        <f>I905/E873</f>
        <v>736.01533333333339</v>
      </c>
      <c r="J907" s="13" t="s">
        <v>34</v>
      </c>
      <c r="K907" s="147" t="s">
        <v>35</v>
      </c>
      <c r="L907" s="43"/>
      <c r="M907" s="43"/>
      <c r="N907" s="143"/>
      <c r="O907" s="148"/>
      <c r="P907" s="148"/>
      <c r="Q907" s="40"/>
      <c r="R907" s="41">
        <f>R905/N873</f>
        <v>229.09814999999998</v>
      </c>
    </row>
    <row r="908" spans="1:18" ht="15" customHeight="1" x14ac:dyDescent="0.2">
      <c r="A908" s="12"/>
      <c r="B908" s="251" t="s">
        <v>36</v>
      </c>
      <c r="C908" s="252"/>
      <c r="D908" s="252"/>
      <c r="E908" s="253"/>
      <c r="F908" s="244" t="s">
        <v>37</v>
      </c>
      <c r="G908" s="244" t="s">
        <v>38</v>
      </c>
      <c r="H908" s="244" t="s">
        <v>39</v>
      </c>
      <c r="I908" s="246" t="s">
        <v>15</v>
      </c>
      <c r="J908" s="12"/>
      <c r="K908" s="251" t="s">
        <v>36</v>
      </c>
      <c r="L908" s="252"/>
      <c r="M908" s="252"/>
      <c r="N908" s="253"/>
      <c r="O908" s="244" t="s">
        <v>37</v>
      </c>
      <c r="P908" s="244" t="s">
        <v>38</v>
      </c>
      <c r="Q908" s="244" t="s">
        <v>39</v>
      </c>
      <c r="R908" s="246" t="s">
        <v>15</v>
      </c>
    </row>
    <row r="909" spans="1:18" x14ac:dyDescent="0.2">
      <c r="A909" s="13"/>
      <c r="B909" s="254"/>
      <c r="C909" s="255"/>
      <c r="D909" s="255"/>
      <c r="E909" s="256"/>
      <c r="F909" s="245"/>
      <c r="G909" s="245"/>
      <c r="H909" s="245"/>
      <c r="I909" s="247"/>
      <c r="J909" s="13"/>
      <c r="K909" s="254"/>
      <c r="L909" s="255"/>
      <c r="M909" s="255"/>
      <c r="N909" s="256"/>
      <c r="O909" s="245"/>
      <c r="P909" s="245"/>
      <c r="Q909" s="245"/>
      <c r="R909" s="247"/>
    </row>
    <row r="910" spans="1:18" x14ac:dyDescent="0.2">
      <c r="A910" s="13" t="s">
        <v>40</v>
      </c>
      <c r="B910" s="18" t="s">
        <v>41</v>
      </c>
      <c r="C910" s="19"/>
      <c r="D910" s="19"/>
      <c r="E910" s="20"/>
      <c r="F910" s="22"/>
      <c r="G910" s="22"/>
      <c r="H910" s="23"/>
      <c r="I910" s="23"/>
      <c r="J910" s="13" t="s">
        <v>40</v>
      </c>
      <c r="K910" s="18" t="s">
        <v>41</v>
      </c>
      <c r="L910" s="19"/>
      <c r="M910" s="19"/>
      <c r="N910" s="20"/>
      <c r="O910" s="22"/>
      <c r="P910" s="22"/>
      <c r="Q910" s="23"/>
      <c r="R910" s="23"/>
    </row>
    <row r="911" spans="1:18" x14ac:dyDescent="0.2">
      <c r="A911" s="13"/>
      <c r="B911" s="18"/>
      <c r="C911" s="19"/>
      <c r="D911" s="19"/>
      <c r="E911" s="20"/>
      <c r="F911" s="22"/>
      <c r="G911" s="22"/>
      <c r="H911" s="23"/>
      <c r="I911" s="23"/>
      <c r="J911" s="13"/>
      <c r="K911" s="18"/>
      <c r="L911" s="19"/>
      <c r="M911" s="19"/>
      <c r="N911" s="20"/>
      <c r="O911" s="22"/>
      <c r="P911" s="22"/>
      <c r="Q911" s="23"/>
      <c r="R911" s="23"/>
    </row>
    <row r="912" spans="1:18" x14ac:dyDescent="0.2">
      <c r="A912" s="13"/>
      <c r="B912" s="18"/>
      <c r="C912" s="66"/>
      <c r="D912" s="19"/>
      <c r="E912" s="20"/>
      <c r="F912" s="22"/>
      <c r="G912" s="62"/>
      <c r="H912" s="23"/>
      <c r="I912" s="23"/>
      <c r="J912" s="13"/>
      <c r="K912" s="18"/>
      <c r="L912" s="19"/>
      <c r="M912" s="19"/>
      <c r="N912" s="20"/>
      <c r="O912" s="22"/>
      <c r="P912" s="62"/>
      <c r="Q912" s="23"/>
      <c r="R912" s="23"/>
    </row>
    <row r="913" spans="1:18" ht="15" customHeight="1" x14ac:dyDescent="0.2">
      <c r="A913" s="13"/>
      <c r="B913" s="18"/>
      <c r="C913" s="66"/>
      <c r="D913" s="19"/>
      <c r="E913" s="20"/>
      <c r="F913" s="22"/>
      <c r="G913" s="70"/>
      <c r="H913" s="23"/>
      <c r="I913" s="23"/>
      <c r="J913" s="13"/>
      <c r="K913" s="18"/>
      <c r="L913" s="19"/>
      <c r="M913" s="19"/>
      <c r="N913" s="20"/>
      <c r="O913" s="22"/>
      <c r="P913" s="22"/>
      <c r="Q913" s="23"/>
      <c r="R913" s="23"/>
    </row>
    <row r="914" spans="1:18" x14ac:dyDescent="0.2">
      <c r="A914" s="13"/>
      <c r="B914" s="18"/>
      <c r="C914" s="19"/>
      <c r="D914" s="19"/>
      <c r="E914" s="20"/>
      <c r="F914" s="22"/>
      <c r="G914" s="22"/>
      <c r="H914" s="23"/>
      <c r="I914" s="23"/>
      <c r="J914" s="13"/>
      <c r="K914" s="18"/>
      <c r="L914" s="19"/>
      <c r="M914" s="19"/>
      <c r="N914" s="20"/>
      <c r="O914" s="22"/>
      <c r="P914" s="22"/>
      <c r="Q914" s="38"/>
      <c r="R914" s="38"/>
    </row>
    <row r="915" spans="1:18" x14ac:dyDescent="0.2">
      <c r="A915" s="13"/>
      <c r="B915" s="18"/>
      <c r="C915" s="19"/>
      <c r="D915" s="19"/>
      <c r="E915" s="20"/>
      <c r="F915" s="22"/>
      <c r="G915" s="22"/>
      <c r="H915" s="23"/>
      <c r="I915" s="23"/>
      <c r="J915" s="13"/>
      <c r="K915" s="18"/>
      <c r="L915" s="19"/>
      <c r="M915" s="19"/>
      <c r="N915" s="20"/>
      <c r="O915" s="22"/>
      <c r="P915" s="22"/>
      <c r="Q915" s="38"/>
      <c r="R915" s="38"/>
    </row>
    <row r="916" spans="1:18" x14ac:dyDescent="0.2">
      <c r="A916" s="13"/>
      <c r="B916" s="18"/>
      <c r="C916" s="19"/>
      <c r="D916" s="19"/>
      <c r="E916" s="20"/>
      <c r="F916" s="22"/>
      <c r="G916" s="22"/>
      <c r="H916" s="23"/>
      <c r="I916" s="23"/>
      <c r="J916" s="13"/>
      <c r="K916" s="18"/>
      <c r="L916" s="19"/>
      <c r="M916" s="19"/>
      <c r="N916" s="20"/>
      <c r="O916" s="22"/>
      <c r="P916" s="22"/>
      <c r="Q916" s="45"/>
      <c r="R916" s="45"/>
    </row>
    <row r="917" spans="1:18" x14ac:dyDescent="0.2">
      <c r="A917" s="13"/>
      <c r="B917" s="18"/>
      <c r="C917" s="19"/>
      <c r="D917" s="19"/>
      <c r="E917" s="20"/>
      <c r="F917" s="22"/>
      <c r="G917" s="22"/>
      <c r="H917" s="23"/>
      <c r="I917" s="23"/>
      <c r="J917" s="13"/>
      <c r="K917" s="18"/>
      <c r="L917" s="19"/>
      <c r="M917" s="19"/>
      <c r="N917" s="20"/>
      <c r="O917" s="22"/>
      <c r="P917" s="22"/>
      <c r="Q917" s="45"/>
      <c r="R917" s="45"/>
    </row>
    <row r="918" spans="1:18" x14ac:dyDescent="0.2">
      <c r="A918" s="13"/>
      <c r="B918" s="18"/>
      <c r="C918" s="19"/>
      <c r="D918" s="19"/>
      <c r="E918" s="20"/>
      <c r="F918" s="22"/>
      <c r="G918" s="22"/>
      <c r="H918" s="23"/>
      <c r="I918" s="23"/>
      <c r="J918" s="13"/>
      <c r="K918" s="18"/>
      <c r="L918" s="19"/>
      <c r="M918" s="19"/>
      <c r="N918" s="20"/>
      <c r="O918" s="22"/>
      <c r="P918" s="22"/>
      <c r="Q918" s="23"/>
      <c r="R918" s="23"/>
    </row>
    <row r="919" spans="1:18" x14ac:dyDescent="0.2">
      <c r="A919" s="13"/>
      <c r="B919" s="18"/>
      <c r="C919" s="19"/>
      <c r="D919" s="19"/>
      <c r="E919" s="20"/>
      <c r="F919" s="22"/>
      <c r="G919" s="22"/>
      <c r="H919" s="23"/>
      <c r="I919" s="23"/>
      <c r="J919" s="13"/>
      <c r="K919" s="18"/>
      <c r="L919" s="19"/>
      <c r="M919" s="19"/>
      <c r="N919" s="20"/>
      <c r="O919" s="22"/>
      <c r="P919" s="22"/>
      <c r="Q919" s="23"/>
      <c r="R919" s="23"/>
    </row>
    <row r="920" spans="1:18" x14ac:dyDescent="0.2">
      <c r="A920" s="13"/>
      <c r="B920" s="18"/>
      <c r="C920" s="19"/>
      <c r="D920" s="19"/>
      <c r="E920" s="20"/>
      <c r="F920" s="22"/>
      <c r="G920" s="22"/>
      <c r="H920" s="23"/>
      <c r="I920" s="23"/>
      <c r="J920" s="13"/>
      <c r="K920" s="18"/>
      <c r="L920" s="19"/>
      <c r="M920" s="19"/>
      <c r="N920" s="20"/>
      <c r="O920" s="22"/>
      <c r="P920" s="22"/>
      <c r="Q920" s="23"/>
      <c r="R920" s="23"/>
    </row>
    <row r="921" spans="1:18" x14ac:dyDescent="0.2">
      <c r="A921" s="13"/>
      <c r="B921" s="18"/>
      <c r="C921" s="19"/>
      <c r="D921" s="19"/>
      <c r="E921" s="20"/>
      <c r="F921" s="22"/>
      <c r="G921" s="22"/>
      <c r="H921" s="23"/>
      <c r="I921" s="23"/>
      <c r="J921" s="13"/>
      <c r="K921" s="18"/>
      <c r="L921" s="19"/>
      <c r="M921" s="19"/>
      <c r="N921" s="20"/>
      <c r="O921" s="22"/>
      <c r="P921" s="22"/>
      <c r="Q921" s="23"/>
      <c r="R921" s="23"/>
    </row>
    <row r="922" spans="1:18" x14ac:dyDescent="0.2">
      <c r="A922" s="13"/>
      <c r="B922" s="18"/>
      <c r="C922" s="19"/>
      <c r="D922" s="19"/>
      <c r="E922" s="20"/>
      <c r="F922" s="22"/>
      <c r="G922" s="22"/>
      <c r="H922" s="23"/>
      <c r="I922" s="23"/>
      <c r="J922" s="13"/>
      <c r="K922" s="18"/>
      <c r="L922" s="19"/>
      <c r="M922" s="19"/>
      <c r="N922" s="20"/>
      <c r="O922" s="22"/>
      <c r="P922" s="22"/>
      <c r="Q922" s="23"/>
      <c r="R922" s="23"/>
    </row>
    <row r="923" spans="1:18" x14ac:dyDescent="0.2">
      <c r="A923" s="13"/>
      <c r="B923" s="18"/>
      <c r="C923" s="19"/>
      <c r="D923" s="19"/>
      <c r="E923" s="20"/>
      <c r="F923" s="22"/>
      <c r="G923" s="22"/>
      <c r="H923" s="23"/>
      <c r="I923" s="23"/>
      <c r="J923" s="13"/>
      <c r="K923" s="18"/>
      <c r="L923" s="19"/>
      <c r="M923" s="19"/>
      <c r="N923" s="20"/>
      <c r="O923" s="22"/>
      <c r="P923" s="22"/>
      <c r="Q923" s="23"/>
      <c r="R923" s="23"/>
    </row>
    <row r="924" spans="1:18" x14ac:dyDescent="0.2">
      <c r="A924" s="13"/>
      <c r="B924" s="18"/>
      <c r="C924" s="19"/>
      <c r="D924" s="19"/>
      <c r="E924" s="20"/>
      <c r="F924" s="22"/>
      <c r="G924" s="36"/>
      <c r="H924" s="37"/>
      <c r="I924" s="37"/>
      <c r="J924" s="13"/>
      <c r="K924" s="18"/>
      <c r="L924" s="19"/>
      <c r="M924" s="19"/>
      <c r="N924" s="20"/>
      <c r="O924" s="22"/>
      <c r="P924" s="36"/>
      <c r="Q924" s="37"/>
      <c r="R924" s="37"/>
    </row>
    <row r="925" spans="1:18" x14ac:dyDescent="0.2">
      <c r="A925" s="13"/>
      <c r="B925" s="248" t="s">
        <v>42</v>
      </c>
      <c r="C925" s="249"/>
      <c r="D925" s="249"/>
      <c r="E925" s="250"/>
      <c r="F925" s="46"/>
      <c r="G925" s="46"/>
      <c r="H925" s="47"/>
      <c r="I925" s="47">
        <f>SUM(I912:I924)</f>
        <v>0</v>
      </c>
      <c r="J925" s="13"/>
      <c r="K925" s="139" t="s">
        <v>42</v>
      </c>
      <c r="L925" s="140"/>
      <c r="M925" s="140"/>
      <c r="N925" s="141"/>
      <c r="O925" s="46"/>
      <c r="P925" s="46"/>
      <c r="Q925" s="47"/>
      <c r="R925" s="47">
        <f>SUM(R912:R924)</f>
        <v>0</v>
      </c>
    </row>
    <row r="926" spans="1:18" x14ac:dyDescent="0.2">
      <c r="A926" s="12" t="s">
        <v>43</v>
      </c>
      <c r="B926" s="48" t="s">
        <v>44</v>
      </c>
      <c r="C926" s="43"/>
      <c r="D926" s="43"/>
      <c r="E926" s="39"/>
      <c r="F926" s="49"/>
      <c r="G926" s="49"/>
      <c r="H926" s="50"/>
      <c r="I926" s="51">
        <f>SUM(I907+I925)</f>
        <v>736.01533333333339</v>
      </c>
      <c r="J926" s="12" t="s">
        <v>43</v>
      </c>
      <c r="K926" s="48" t="s">
        <v>44</v>
      </c>
      <c r="L926" s="43"/>
      <c r="M926" s="43"/>
      <c r="N926" s="143"/>
      <c r="O926" s="49"/>
      <c r="P926" s="49"/>
      <c r="Q926" s="50"/>
      <c r="R926" s="51">
        <f>SUM(R907+R925)</f>
        <v>229.09814999999998</v>
      </c>
    </row>
    <row r="927" spans="1:18" x14ac:dyDescent="0.2">
      <c r="A927" s="13" t="s">
        <v>45</v>
      </c>
      <c r="B927" s="48" t="s">
        <v>46</v>
      </c>
      <c r="C927" s="43"/>
      <c r="D927" s="43"/>
      <c r="E927" s="39"/>
      <c r="F927" s="49"/>
      <c r="G927" s="52">
        <v>0.09</v>
      </c>
      <c r="H927" s="53" t="s">
        <v>47</v>
      </c>
      <c r="I927" s="51">
        <f>G927*I926</f>
        <v>66.241380000000007</v>
      </c>
      <c r="J927" s="13" t="s">
        <v>45</v>
      </c>
      <c r="K927" s="48" t="s">
        <v>46</v>
      </c>
      <c r="L927" s="43"/>
      <c r="M927" s="43"/>
      <c r="N927" s="143"/>
      <c r="O927" s="49"/>
      <c r="P927" s="52">
        <v>0.09</v>
      </c>
      <c r="Q927" s="53" t="s">
        <v>47</v>
      </c>
      <c r="R927" s="51">
        <f>P927*R926</f>
        <v>20.618833499999997</v>
      </c>
    </row>
    <row r="928" spans="1:18" x14ac:dyDescent="0.2">
      <c r="A928" s="13" t="s">
        <v>48</v>
      </c>
      <c r="B928" s="48" t="s">
        <v>49</v>
      </c>
      <c r="C928" s="43"/>
      <c r="D928" s="43"/>
      <c r="E928" s="39"/>
      <c r="F928" s="49"/>
      <c r="G928" s="52">
        <v>0.08</v>
      </c>
      <c r="H928" s="53" t="s">
        <v>47</v>
      </c>
      <c r="I928" s="51">
        <f>G928*I926</f>
        <v>58.88122666666667</v>
      </c>
      <c r="J928" s="13" t="s">
        <v>48</v>
      </c>
      <c r="K928" s="48" t="s">
        <v>49</v>
      </c>
      <c r="L928" s="43"/>
      <c r="M928" s="43"/>
      <c r="N928" s="143"/>
      <c r="O928" s="49"/>
      <c r="P928" s="52">
        <v>0.08</v>
      </c>
      <c r="Q928" s="53" t="s">
        <v>47</v>
      </c>
      <c r="R928" s="51">
        <f>P928*R926</f>
        <v>18.327852</v>
      </c>
    </row>
    <row r="929" spans="1:18" x14ac:dyDescent="0.2">
      <c r="A929" s="13" t="s">
        <v>50</v>
      </c>
      <c r="B929" s="48" t="s">
        <v>51</v>
      </c>
      <c r="C929" s="43"/>
      <c r="D929" s="43"/>
      <c r="E929" s="39"/>
      <c r="F929" s="49"/>
      <c r="G929" s="52">
        <f>5/100</f>
        <v>0.05</v>
      </c>
      <c r="H929" s="53" t="s">
        <v>52</v>
      </c>
      <c r="I929" s="51">
        <f>G929*(I926+I927+I928)</f>
        <v>43.056897000000006</v>
      </c>
      <c r="J929" s="13" t="s">
        <v>50</v>
      </c>
      <c r="K929" s="48" t="s">
        <v>51</v>
      </c>
      <c r="L929" s="43"/>
      <c r="M929" s="43"/>
      <c r="N929" s="143"/>
      <c r="O929" s="49"/>
      <c r="P929" s="52">
        <f>5/100</f>
        <v>0.05</v>
      </c>
      <c r="Q929" s="53" t="s">
        <v>52</v>
      </c>
      <c r="R929" s="51">
        <f>P929*(R926+R927+R928)</f>
        <v>13.402241775</v>
      </c>
    </row>
    <row r="930" spans="1:18" x14ac:dyDescent="0.2">
      <c r="A930" s="54" t="s">
        <v>53</v>
      </c>
      <c r="B930" s="48" t="s">
        <v>54</v>
      </c>
      <c r="C930" s="43"/>
      <c r="D930" s="43"/>
      <c r="E930" s="39"/>
      <c r="F930" s="49"/>
      <c r="G930" s="49"/>
      <c r="H930" s="55" t="s">
        <v>55</v>
      </c>
      <c r="I930" s="51">
        <f>SUM(I926+I927+I928+I929)</f>
        <v>904.19483700000012</v>
      </c>
      <c r="J930" s="54" t="s">
        <v>53</v>
      </c>
      <c r="K930" s="48" t="s">
        <v>54</v>
      </c>
      <c r="L930" s="43"/>
      <c r="M930" s="43"/>
      <c r="N930" s="143"/>
      <c r="O930" s="49"/>
      <c r="P930" s="49"/>
      <c r="Q930" s="55" t="s">
        <v>55</v>
      </c>
      <c r="R930" s="51">
        <f>SUM(R926+R927+R928+R929)</f>
        <v>281.44707727499997</v>
      </c>
    </row>
    <row r="931" spans="1:18" s="1" customFormat="1" x14ac:dyDescent="0.2">
      <c r="A931" s="236" t="s">
        <v>0</v>
      </c>
      <c r="B931" s="236"/>
      <c r="C931" s="236"/>
      <c r="D931" s="236"/>
      <c r="E931" s="236"/>
      <c r="F931" s="236"/>
      <c r="G931" s="236"/>
      <c r="H931" s="236"/>
      <c r="I931" s="236"/>
      <c r="J931" s="236" t="s">
        <v>0</v>
      </c>
      <c r="K931" s="236"/>
      <c r="L931" s="236"/>
      <c r="M931" s="236"/>
      <c r="N931" s="236"/>
      <c r="O931" s="236"/>
      <c r="P931" s="236"/>
      <c r="Q931" s="236"/>
      <c r="R931" s="236"/>
    </row>
    <row r="932" spans="1:18" x14ac:dyDescent="0.2">
      <c r="J932" s="80"/>
      <c r="K932" s="66"/>
      <c r="L932" s="19"/>
      <c r="M932" s="19"/>
      <c r="N932" s="20"/>
      <c r="O932" s="66"/>
      <c r="P932" s="66"/>
      <c r="Q932" s="66"/>
      <c r="R932" s="66"/>
    </row>
    <row r="933" spans="1:18" x14ac:dyDescent="0.2">
      <c r="A933" s="2" t="s">
        <v>1</v>
      </c>
      <c r="C933" s="4" t="s">
        <v>2</v>
      </c>
      <c r="D933" s="5" t="s">
        <v>160</v>
      </c>
      <c r="E933" s="237" t="s">
        <v>1191</v>
      </c>
      <c r="F933" s="237"/>
      <c r="G933" s="237"/>
      <c r="H933" s="237"/>
      <c r="I933" s="8"/>
      <c r="J933" s="146" t="s">
        <v>1</v>
      </c>
      <c r="K933" s="66"/>
      <c r="L933" s="19" t="s">
        <v>2</v>
      </c>
      <c r="M933" s="20" t="s">
        <v>144</v>
      </c>
      <c r="N933" s="146" t="s">
        <v>145</v>
      </c>
      <c r="O933" s="146"/>
      <c r="P933" s="146"/>
      <c r="Q933" s="146"/>
      <c r="R933" s="66"/>
    </row>
    <row r="934" spans="1:18" x14ac:dyDescent="0.2">
      <c r="A934" s="2" t="s">
        <v>7</v>
      </c>
      <c r="C934" s="4" t="s">
        <v>2</v>
      </c>
      <c r="E934" s="144" t="s">
        <v>1150</v>
      </c>
      <c r="F934" s="8"/>
      <c r="G934" s="8"/>
      <c r="H934" s="8"/>
      <c r="J934" s="146" t="s">
        <v>7</v>
      </c>
      <c r="K934" s="66"/>
      <c r="L934" s="19" t="s">
        <v>2</v>
      </c>
      <c r="M934" s="19"/>
      <c r="N934" s="146" t="s">
        <v>146</v>
      </c>
      <c r="O934" s="25"/>
      <c r="P934" s="25"/>
      <c r="Q934" s="25"/>
      <c r="R934" s="66"/>
    </row>
    <row r="935" spans="1:18" x14ac:dyDescent="0.2">
      <c r="A935" s="2" t="s">
        <v>10</v>
      </c>
      <c r="C935" s="4" t="s">
        <v>2</v>
      </c>
      <c r="E935" s="9">
        <v>2</v>
      </c>
      <c r="F935" s="8"/>
      <c r="G935" s="8"/>
      <c r="H935" s="8"/>
      <c r="J935" s="146" t="s">
        <v>147</v>
      </c>
      <c r="K935" s="66"/>
      <c r="L935" s="19" t="s">
        <v>2</v>
      </c>
      <c r="M935" s="19"/>
      <c r="N935" s="81">
        <v>1</v>
      </c>
      <c r="O935" s="25"/>
      <c r="P935" s="25"/>
      <c r="Q935" s="25"/>
      <c r="R935" s="66"/>
    </row>
    <row r="936" spans="1:18" x14ac:dyDescent="0.2">
      <c r="B936" s="8"/>
      <c r="F936" s="11"/>
      <c r="G936" s="8"/>
      <c r="H936" s="8"/>
      <c r="I936" s="8"/>
      <c r="J936" s="82"/>
      <c r="K936" s="83"/>
      <c r="L936" s="84"/>
      <c r="M936" s="84"/>
      <c r="N936" s="140"/>
      <c r="O936" s="86"/>
      <c r="P936" s="83"/>
      <c r="Q936" s="83"/>
      <c r="R936" s="83"/>
    </row>
    <row r="937" spans="1:18" x14ac:dyDescent="0.2">
      <c r="A937" s="12"/>
      <c r="B937" s="238" t="s">
        <v>11</v>
      </c>
      <c r="C937" s="239"/>
      <c r="D937" s="239"/>
      <c r="E937" s="240"/>
      <c r="F937" s="244" t="s">
        <v>12</v>
      </c>
      <c r="G937" s="244" t="s">
        <v>13</v>
      </c>
      <c r="H937" s="244" t="s">
        <v>14</v>
      </c>
      <c r="I937" s="246" t="s">
        <v>15</v>
      </c>
      <c r="J937" s="12"/>
      <c r="K937" s="238" t="s">
        <v>11</v>
      </c>
      <c r="L937" s="239"/>
      <c r="M937" s="239"/>
      <c r="N937" s="240"/>
      <c r="O937" s="244" t="s">
        <v>12</v>
      </c>
      <c r="P937" s="244" t="s">
        <v>13</v>
      </c>
      <c r="Q937" s="244" t="s">
        <v>14</v>
      </c>
      <c r="R937" s="246" t="s">
        <v>15</v>
      </c>
    </row>
    <row r="938" spans="1:18" x14ac:dyDescent="0.2">
      <c r="A938" s="13"/>
      <c r="B938" s="241"/>
      <c r="C938" s="242"/>
      <c r="D938" s="242"/>
      <c r="E938" s="243"/>
      <c r="F938" s="245"/>
      <c r="G938" s="245"/>
      <c r="H938" s="245"/>
      <c r="I938" s="247"/>
      <c r="J938" s="13"/>
      <c r="K938" s="241"/>
      <c r="L938" s="242"/>
      <c r="M938" s="242"/>
      <c r="N938" s="243"/>
      <c r="O938" s="245"/>
      <c r="P938" s="245"/>
      <c r="Q938" s="245"/>
      <c r="R938" s="247"/>
    </row>
    <row r="939" spans="1:18" x14ac:dyDescent="0.2">
      <c r="A939" s="13" t="s">
        <v>16</v>
      </c>
      <c r="B939" s="14" t="s">
        <v>17</v>
      </c>
      <c r="C939" s="15"/>
      <c r="D939" s="15"/>
      <c r="E939" s="16"/>
      <c r="F939" s="17"/>
      <c r="G939" s="17"/>
      <c r="H939" s="17"/>
      <c r="I939" s="17"/>
      <c r="J939" s="13" t="s">
        <v>16</v>
      </c>
      <c r="K939" s="14" t="s">
        <v>17</v>
      </c>
      <c r="L939" s="15"/>
      <c r="M939" s="15"/>
      <c r="N939" s="16"/>
      <c r="O939" s="17"/>
      <c r="P939" s="17"/>
      <c r="Q939" s="17"/>
      <c r="R939" s="17"/>
    </row>
    <row r="940" spans="1:18" ht="15" customHeight="1" x14ac:dyDescent="0.2">
      <c r="A940" s="13"/>
      <c r="B940" s="18"/>
      <c r="C940" s="19"/>
      <c r="D940" s="19"/>
      <c r="E940" s="20"/>
      <c r="F940" s="21"/>
      <c r="G940" s="22"/>
      <c r="H940" s="21"/>
      <c r="I940" s="21"/>
      <c r="J940" s="13"/>
      <c r="K940" s="18"/>
      <c r="L940" s="19"/>
      <c r="M940" s="19"/>
      <c r="N940" s="20"/>
      <c r="O940" s="21"/>
      <c r="P940" s="22"/>
      <c r="Q940" s="21"/>
      <c r="R940" s="21"/>
    </row>
    <row r="941" spans="1:18" x14ac:dyDescent="0.2">
      <c r="A941" s="13"/>
      <c r="B941" s="24" t="s">
        <v>18</v>
      </c>
      <c r="C941" s="25"/>
      <c r="D941" s="25"/>
      <c r="E941" s="26"/>
      <c r="F941" s="22">
        <v>1</v>
      </c>
      <c r="G941" s="62">
        <v>1</v>
      </c>
      <c r="H941" s="23">
        <v>69.42</v>
      </c>
      <c r="I941" s="23">
        <f>G941*H941*F941</f>
        <v>69.42</v>
      </c>
      <c r="J941" s="13"/>
      <c r="K941" s="24" t="s">
        <v>148</v>
      </c>
      <c r="L941" s="25"/>
      <c r="M941" s="25"/>
      <c r="N941" s="26"/>
      <c r="O941" s="22"/>
      <c r="P941" s="62"/>
      <c r="Q941" s="23"/>
      <c r="R941" s="23"/>
    </row>
    <row r="942" spans="1:18" ht="15.75" customHeight="1" x14ac:dyDescent="0.2">
      <c r="A942" s="13"/>
      <c r="B942" s="257" t="s">
        <v>1179</v>
      </c>
      <c r="C942" s="258"/>
      <c r="D942" s="19"/>
      <c r="E942" s="20"/>
      <c r="F942" s="22">
        <v>2</v>
      </c>
      <c r="G942" s="62">
        <v>1</v>
      </c>
      <c r="H942" s="23">
        <v>38.97</v>
      </c>
      <c r="I942" s="23">
        <f>G942*H942*F942</f>
        <v>77.94</v>
      </c>
      <c r="J942" s="13"/>
      <c r="K942" s="266" t="s">
        <v>149</v>
      </c>
      <c r="L942" s="267"/>
      <c r="M942" s="267"/>
      <c r="N942" s="267"/>
      <c r="O942" s="267"/>
      <c r="P942" s="267"/>
      <c r="Q942" s="267"/>
      <c r="R942" s="268"/>
    </row>
    <row r="943" spans="1:18" x14ac:dyDescent="0.2">
      <c r="A943" s="13"/>
      <c r="B943" s="257"/>
      <c r="C943" s="258"/>
      <c r="D943" s="19"/>
      <c r="E943" s="20"/>
      <c r="F943" s="22"/>
      <c r="G943" s="22"/>
      <c r="H943" s="23"/>
      <c r="I943" s="23"/>
      <c r="J943" s="13"/>
      <c r="K943" s="266" t="s">
        <v>150</v>
      </c>
      <c r="L943" s="267"/>
      <c r="M943" s="267"/>
      <c r="N943" s="267"/>
      <c r="O943" s="267"/>
      <c r="P943" s="267"/>
      <c r="Q943" s="267"/>
      <c r="R943" s="268"/>
    </row>
    <row r="944" spans="1:18" x14ac:dyDescent="0.2">
      <c r="A944" s="13"/>
      <c r="B944" s="27"/>
      <c r="C944" s="63"/>
      <c r="D944" s="19"/>
      <c r="E944" s="20"/>
      <c r="F944" s="22"/>
      <c r="G944" s="22"/>
      <c r="H944" s="29"/>
      <c r="I944" s="30"/>
      <c r="J944" s="13"/>
      <c r="K944" s="266" t="s">
        <v>151</v>
      </c>
      <c r="L944" s="267"/>
      <c r="M944" s="267"/>
      <c r="N944" s="267"/>
      <c r="O944" s="267"/>
      <c r="P944" s="267"/>
      <c r="Q944" s="267"/>
      <c r="R944" s="268"/>
    </row>
    <row r="945" spans="1:18" x14ac:dyDescent="0.2">
      <c r="A945" s="13"/>
      <c r="B945" s="27"/>
      <c r="C945" s="63"/>
      <c r="D945" s="19"/>
      <c r="E945" s="20"/>
      <c r="F945" s="22"/>
      <c r="G945" s="22"/>
      <c r="H945" s="29"/>
      <c r="I945" s="30"/>
      <c r="J945" s="13"/>
      <c r="K945" s="266" t="s">
        <v>152</v>
      </c>
      <c r="L945" s="267"/>
      <c r="M945" s="267"/>
      <c r="N945" s="267"/>
      <c r="O945" s="267"/>
      <c r="P945" s="267"/>
      <c r="Q945" s="267"/>
      <c r="R945" s="268"/>
    </row>
    <row r="946" spans="1:18" x14ac:dyDescent="0.2">
      <c r="A946" s="13"/>
      <c r="B946" s="24"/>
      <c r="C946" s="25"/>
      <c r="D946" s="19"/>
      <c r="E946" s="20"/>
      <c r="F946" s="22"/>
      <c r="G946" s="22"/>
      <c r="H946" s="23"/>
      <c r="I946" s="23"/>
      <c r="J946" s="13"/>
      <c r="K946" s="18"/>
      <c r="L946" s="19"/>
      <c r="M946" s="19"/>
      <c r="N946" s="20"/>
      <c r="O946" s="22"/>
      <c r="P946" s="22"/>
      <c r="Q946" s="28"/>
      <c r="R946" s="23"/>
    </row>
    <row r="947" spans="1:18" x14ac:dyDescent="0.2">
      <c r="A947" s="13"/>
      <c r="B947" s="24"/>
      <c r="C947" s="25"/>
      <c r="D947" s="19"/>
      <c r="E947" s="20"/>
      <c r="F947" s="22"/>
      <c r="G947" s="22"/>
      <c r="H947" s="23"/>
      <c r="I947" s="23"/>
      <c r="J947" s="13"/>
      <c r="K947" s="18"/>
      <c r="L947" s="19"/>
      <c r="M947" s="19"/>
      <c r="N947" s="20"/>
      <c r="O947" s="22"/>
      <c r="P947" s="22"/>
      <c r="Q947" s="23"/>
      <c r="R947" s="23"/>
    </row>
    <row r="948" spans="1:18" x14ac:dyDescent="0.2">
      <c r="A948" s="13"/>
      <c r="B948" s="248" t="s">
        <v>20</v>
      </c>
      <c r="C948" s="249"/>
      <c r="D948" s="249"/>
      <c r="E948" s="250"/>
      <c r="F948" s="31"/>
      <c r="G948" s="31"/>
      <c r="H948" s="32"/>
      <c r="I948" s="32">
        <f>SUM(I941:I947)</f>
        <v>147.36000000000001</v>
      </c>
      <c r="J948" s="13"/>
      <c r="K948" s="139" t="s">
        <v>20</v>
      </c>
      <c r="L948" s="140"/>
      <c r="M948" s="140"/>
      <c r="N948" s="141"/>
      <c r="O948" s="31"/>
      <c r="P948" s="31"/>
      <c r="Q948" s="32"/>
      <c r="R948" s="32"/>
    </row>
    <row r="949" spans="1:18" x14ac:dyDescent="0.2">
      <c r="A949" s="12"/>
      <c r="B949" s="251" t="s">
        <v>21</v>
      </c>
      <c r="C949" s="252"/>
      <c r="D949" s="252"/>
      <c r="E949" s="253"/>
      <c r="F949" s="244" t="s">
        <v>22</v>
      </c>
      <c r="G949" s="244" t="s">
        <v>13</v>
      </c>
      <c r="H949" s="244" t="s">
        <v>14</v>
      </c>
      <c r="I949" s="246" t="s">
        <v>15</v>
      </c>
      <c r="J949" s="12"/>
      <c r="K949" s="251" t="s">
        <v>21</v>
      </c>
      <c r="L949" s="252"/>
      <c r="M949" s="252"/>
      <c r="N949" s="253"/>
      <c r="O949" s="244" t="s">
        <v>22</v>
      </c>
      <c r="P949" s="244" t="s">
        <v>13</v>
      </c>
      <c r="Q949" s="244" t="s">
        <v>14</v>
      </c>
      <c r="R949" s="246" t="s">
        <v>15</v>
      </c>
    </row>
    <row r="950" spans="1:18" x14ac:dyDescent="0.2">
      <c r="A950" s="13"/>
      <c r="B950" s="254"/>
      <c r="C950" s="255"/>
      <c r="D950" s="255"/>
      <c r="E950" s="256"/>
      <c r="F950" s="245"/>
      <c r="G950" s="245"/>
      <c r="H950" s="245"/>
      <c r="I950" s="247"/>
      <c r="J950" s="13"/>
      <c r="K950" s="254"/>
      <c r="L950" s="255"/>
      <c r="M950" s="255"/>
      <c r="N950" s="256"/>
      <c r="O950" s="245"/>
      <c r="P950" s="245"/>
      <c r="Q950" s="245"/>
      <c r="R950" s="247"/>
    </row>
    <row r="951" spans="1:18" x14ac:dyDescent="0.2">
      <c r="A951" s="13" t="s">
        <v>23</v>
      </c>
      <c r="B951" s="33" t="s">
        <v>24</v>
      </c>
      <c r="C951" s="15"/>
      <c r="D951" s="15"/>
      <c r="E951" s="16"/>
      <c r="F951" s="34"/>
      <c r="G951" s="34"/>
      <c r="H951" s="35"/>
      <c r="I951" s="35"/>
      <c r="J951" s="13" t="s">
        <v>23</v>
      </c>
      <c r="K951" s="33" t="s">
        <v>24</v>
      </c>
      <c r="L951" s="15"/>
      <c r="M951" s="15"/>
      <c r="N951" s="16"/>
      <c r="O951" s="34"/>
      <c r="P951" s="34"/>
      <c r="Q951" s="35"/>
      <c r="R951" s="35"/>
    </row>
    <row r="952" spans="1:18" x14ac:dyDescent="0.2">
      <c r="A952" s="13"/>
      <c r="B952" s="18"/>
      <c r="C952" s="19"/>
      <c r="D952" s="19"/>
      <c r="E952" s="20"/>
      <c r="F952" s="22"/>
      <c r="G952" s="22"/>
      <c r="H952" s="23"/>
      <c r="I952" s="23"/>
      <c r="J952" s="13"/>
      <c r="K952" s="18"/>
      <c r="L952" s="19"/>
      <c r="M952" s="19"/>
      <c r="N952" s="20"/>
      <c r="O952" s="22"/>
      <c r="P952" s="22"/>
      <c r="Q952" s="23"/>
      <c r="R952" s="23"/>
    </row>
    <row r="953" spans="1:18" x14ac:dyDescent="0.2">
      <c r="A953" s="13"/>
      <c r="B953" s="18" t="s">
        <v>62</v>
      </c>
      <c r="C953" s="66"/>
      <c r="D953" s="19"/>
      <c r="E953" s="20"/>
      <c r="F953" s="22">
        <v>1</v>
      </c>
      <c r="G953" s="23">
        <v>1</v>
      </c>
      <c r="H953" s="37">
        <v>1537</v>
      </c>
      <c r="I953" s="37">
        <f>G953*H953*F953</f>
        <v>1537</v>
      </c>
      <c r="J953" s="13"/>
      <c r="K953" s="18"/>
      <c r="L953" s="19"/>
      <c r="M953" s="19"/>
      <c r="N953" s="20"/>
      <c r="O953" s="22"/>
      <c r="P953" s="36"/>
      <c r="Q953" s="37"/>
      <c r="R953" s="37"/>
    </row>
    <row r="954" spans="1:18" x14ac:dyDescent="0.2">
      <c r="A954" s="13"/>
      <c r="B954" s="18" t="s">
        <v>1149</v>
      </c>
      <c r="C954" s="66"/>
      <c r="D954" s="19"/>
      <c r="E954" s="20"/>
      <c r="F954" s="22">
        <v>1</v>
      </c>
      <c r="G954" s="23">
        <v>0.5</v>
      </c>
      <c r="H954" s="37">
        <v>1017.9</v>
      </c>
      <c r="I954" s="37">
        <f>G954*H954*F954</f>
        <v>508.95</v>
      </c>
      <c r="J954" s="13"/>
      <c r="K954" s="18"/>
      <c r="L954" s="19"/>
      <c r="M954" s="19"/>
      <c r="N954" s="20"/>
      <c r="O954" s="22"/>
      <c r="P954" s="23"/>
      <c r="Q954" s="37"/>
      <c r="R954" s="37"/>
    </row>
    <row r="955" spans="1:18" x14ac:dyDescent="0.2">
      <c r="A955" s="13"/>
      <c r="B955" s="18" t="s">
        <v>1194</v>
      </c>
      <c r="C955" s="66"/>
      <c r="D955" s="19"/>
      <c r="E955" s="20"/>
      <c r="F955" s="22"/>
      <c r="G955" s="71"/>
      <c r="I955" s="37">
        <f>0.1*I948</f>
        <v>14.736000000000002</v>
      </c>
      <c r="J955" s="13"/>
      <c r="K955" s="18"/>
      <c r="L955" s="66"/>
      <c r="M955" s="19"/>
      <c r="N955" s="20"/>
      <c r="O955" s="22"/>
      <c r="P955" s="23"/>
      <c r="Q955" s="37"/>
      <c r="R955" s="37"/>
    </row>
    <row r="956" spans="1:18" ht="15" customHeight="1" x14ac:dyDescent="0.2">
      <c r="A956" s="13"/>
      <c r="B956" s="18"/>
      <c r="C956" s="66"/>
      <c r="F956" s="22"/>
      <c r="G956" s="23"/>
      <c r="H956" s="37"/>
      <c r="I956" s="37"/>
      <c r="J956" s="13"/>
      <c r="K956" s="18"/>
      <c r="L956" s="19"/>
      <c r="M956" s="19"/>
      <c r="N956" s="20"/>
      <c r="O956" s="22"/>
      <c r="P956" s="23"/>
      <c r="Q956" s="37"/>
      <c r="R956" s="37"/>
    </row>
    <row r="957" spans="1:18" x14ac:dyDescent="0.2">
      <c r="A957" s="13"/>
      <c r="B957" s="18"/>
      <c r="C957" s="19"/>
      <c r="D957" s="19"/>
      <c r="E957" s="20"/>
      <c r="F957" s="22"/>
      <c r="G957" s="36"/>
      <c r="H957" s="37"/>
      <c r="I957" s="37"/>
      <c r="J957" s="13"/>
      <c r="K957" s="18"/>
      <c r="L957" s="19"/>
      <c r="M957" s="19"/>
      <c r="N957" s="20"/>
      <c r="O957" s="22"/>
      <c r="P957" s="36"/>
      <c r="Q957" s="37"/>
      <c r="R957" s="37"/>
    </row>
    <row r="958" spans="1:18" x14ac:dyDescent="0.2">
      <c r="A958" s="13"/>
      <c r="B958" s="18" t="s">
        <v>126</v>
      </c>
      <c r="C958" s="19"/>
      <c r="D958" s="19"/>
      <c r="E958" s="20"/>
      <c r="F958" s="22"/>
      <c r="G958" s="36"/>
      <c r="H958" s="37"/>
      <c r="I958" s="37"/>
      <c r="J958" s="13"/>
      <c r="K958" s="18"/>
      <c r="L958" s="19"/>
      <c r="M958" s="19"/>
      <c r="N958" s="20"/>
      <c r="O958" s="22"/>
      <c r="P958" s="23"/>
      <c r="Q958" s="37"/>
      <c r="R958" s="37"/>
    </row>
    <row r="959" spans="1:18" x14ac:dyDescent="0.2">
      <c r="A959" s="13"/>
      <c r="C959" s="19"/>
      <c r="D959" s="19"/>
      <c r="E959" s="20"/>
      <c r="F959" s="22"/>
      <c r="G959" s="36"/>
      <c r="H959" s="37"/>
      <c r="I959" s="37"/>
      <c r="J959" s="13"/>
      <c r="K959" s="18"/>
      <c r="L959" s="19"/>
      <c r="M959" s="19"/>
      <c r="N959" s="20"/>
      <c r="O959" s="22"/>
      <c r="P959" s="36"/>
      <c r="R959" s="37"/>
    </row>
    <row r="960" spans="1:18" x14ac:dyDescent="0.2">
      <c r="A960" s="13"/>
      <c r="B960" s="18"/>
      <c r="C960" s="19"/>
      <c r="D960" s="19"/>
      <c r="E960" s="20"/>
      <c r="F960" s="22"/>
      <c r="G960" s="23"/>
      <c r="H960" s="37"/>
      <c r="I960" s="37"/>
      <c r="J960" s="13"/>
      <c r="K960" s="18"/>
      <c r="L960" s="19"/>
      <c r="M960" s="19"/>
      <c r="N960" s="20"/>
      <c r="O960" s="22"/>
      <c r="P960" s="36"/>
      <c r="Q960" s="38"/>
      <c r="R960" s="38"/>
    </row>
    <row r="961" spans="1:18" x14ac:dyDescent="0.2">
      <c r="A961" s="13"/>
      <c r="B961" s="18" t="s">
        <v>101</v>
      </c>
      <c r="C961" s="19"/>
      <c r="D961" s="19"/>
      <c r="E961" s="20"/>
      <c r="F961" s="22"/>
      <c r="G961" s="23"/>
      <c r="H961" s="37"/>
      <c r="I961" s="37"/>
      <c r="J961" s="13"/>
      <c r="K961" s="18"/>
      <c r="L961" s="19"/>
      <c r="M961" s="19"/>
      <c r="N961" s="20"/>
      <c r="O961" s="22"/>
      <c r="P961" s="36"/>
      <c r="Q961" s="38"/>
      <c r="R961" s="38"/>
    </row>
    <row r="962" spans="1:18" x14ac:dyDescent="0.2">
      <c r="A962" s="13"/>
      <c r="B962" s="7"/>
      <c r="C962" s="7"/>
      <c r="D962" s="7"/>
      <c r="E962" s="7"/>
      <c r="F962" s="72"/>
      <c r="G962" s="72"/>
      <c r="H962" s="72"/>
      <c r="I962" s="72"/>
      <c r="J962" s="13"/>
      <c r="K962" s="18"/>
      <c r="L962" s="19"/>
      <c r="M962" s="19"/>
      <c r="N962" s="20"/>
      <c r="O962" s="22"/>
      <c r="P962" s="36"/>
      <c r="Q962" s="37"/>
      <c r="R962" s="37"/>
    </row>
    <row r="963" spans="1:18" x14ac:dyDescent="0.2">
      <c r="A963" s="13"/>
      <c r="B963" s="18"/>
      <c r="C963" s="19"/>
      <c r="D963" s="19"/>
      <c r="E963" s="20"/>
      <c r="F963" s="22"/>
      <c r="G963" s="36"/>
      <c r="H963" s="37"/>
      <c r="I963" s="37"/>
      <c r="J963" s="13"/>
      <c r="K963" s="18"/>
      <c r="L963" s="19"/>
      <c r="M963" s="19"/>
      <c r="N963" s="20"/>
      <c r="O963" s="22"/>
      <c r="P963" s="36"/>
      <c r="Q963" s="37"/>
      <c r="R963" s="37"/>
    </row>
    <row r="964" spans="1:18" x14ac:dyDescent="0.2">
      <c r="A964" s="13"/>
      <c r="B964" s="18"/>
      <c r="C964" s="19"/>
      <c r="D964" s="19"/>
      <c r="E964" s="20"/>
      <c r="F964" s="22"/>
      <c r="G964" s="36"/>
      <c r="H964" s="37"/>
      <c r="I964" s="37"/>
      <c r="J964" s="13"/>
      <c r="K964" s="18"/>
      <c r="L964" s="19"/>
      <c r="M964" s="19"/>
      <c r="N964" s="20"/>
      <c r="O964" s="22"/>
      <c r="P964" s="36"/>
      <c r="Q964" s="37"/>
      <c r="R964" s="37"/>
    </row>
    <row r="965" spans="1:18" x14ac:dyDescent="0.2">
      <c r="A965" s="13"/>
      <c r="B965" s="18"/>
      <c r="C965" s="19"/>
      <c r="D965" s="19"/>
      <c r="E965" s="20"/>
      <c r="F965" s="22"/>
      <c r="G965" s="22"/>
      <c r="H965" s="23"/>
      <c r="I965" s="23"/>
      <c r="J965" s="13"/>
      <c r="K965" s="18"/>
      <c r="L965" s="19"/>
      <c r="M965" s="19"/>
      <c r="N965" s="20"/>
      <c r="O965" s="22"/>
      <c r="P965" s="22"/>
      <c r="Q965" s="23"/>
      <c r="R965" s="23"/>
    </row>
    <row r="966" spans="1:18" x14ac:dyDescent="0.2">
      <c r="A966" s="13"/>
      <c r="B966" s="248" t="s">
        <v>30</v>
      </c>
      <c r="C966" s="249"/>
      <c r="D966" s="249"/>
      <c r="E966" s="250"/>
      <c r="F966" s="22"/>
      <c r="G966" s="22"/>
      <c r="H966" s="23"/>
      <c r="I966" s="23">
        <f>SUM(I953:I965)</f>
        <v>2060.6860000000001</v>
      </c>
      <c r="J966" s="13"/>
      <c r="K966" s="139" t="s">
        <v>30</v>
      </c>
      <c r="L966" s="140"/>
      <c r="M966" s="140"/>
      <c r="N966" s="141"/>
      <c r="O966" s="22"/>
      <c r="P966" s="22"/>
      <c r="Q966" s="23"/>
      <c r="R966" s="23"/>
    </row>
    <row r="967" spans="1:18" x14ac:dyDescent="0.2">
      <c r="A967" s="12" t="s">
        <v>31</v>
      </c>
      <c r="B967" s="260" t="s">
        <v>32</v>
      </c>
      <c r="C967" s="261"/>
      <c r="D967" s="261"/>
      <c r="E967" s="261"/>
      <c r="F967" s="39"/>
      <c r="G967" s="39"/>
      <c r="H967" s="40"/>
      <c r="I967" s="41">
        <f>SUM(I966+I948)</f>
        <v>2208.0460000000003</v>
      </c>
      <c r="J967" s="12" t="s">
        <v>31</v>
      </c>
      <c r="K967" s="142" t="s">
        <v>32</v>
      </c>
      <c r="L967" s="143"/>
      <c r="M967" s="143"/>
      <c r="N967" s="143"/>
      <c r="O967" s="143"/>
      <c r="P967" s="143"/>
      <c r="Q967" s="40"/>
      <c r="R967" s="41"/>
    </row>
    <row r="968" spans="1:18" x14ac:dyDescent="0.2">
      <c r="A968" s="13" t="s">
        <v>33</v>
      </c>
      <c r="B968" s="281">
        <f>E935</f>
        <v>2</v>
      </c>
      <c r="C968" s="282"/>
      <c r="D968" s="282"/>
      <c r="E968" s="282"/>
      <c r="F968" s="282"/>
      <c r="G968" s="282"/>
      <c r="H968" s="40"/>
      <c r="I968" s="41"/>
      <c r="J968" s="13" t="s">
        <v>33</v>
      </c>
      <c r="K968" s="286">
        <f>N935</f>
        <v>1</v>
      </c>
      <c r="L968" s="287"/>
      <c r="M968" s="287"/>
      <c r="N968" s="287"/>
      <c r="O968" s="287"/>
      <c r="P968" s="287"/>
      <c r="Q968" s="40"/>
      <c r="R968" s="41"/>
    </row>
    <row r="969" spans="1:18" x14ac:dyDescent="0.2">
      <c r="A969" s="13" t="s">
        <v>34</v>
      </c>
      <c r="B969" s="42" t="s">
        <v>35</v>
      </c>
      <c r="C969" s="43"/>
      <c r="D969" s="43"/>
      <c r="E969" s="39"/>
      <c r="F969" s="44"/>
      <c r="G969" s="44"/>
      <c r="H969" s="40"/>
      <c r="I969" s="41">
        <f>I967/E935</f>
        <v>1104.0230000000001</v>
      </c>
      <c r="J969" s="13" t="s">
        <v>34</v>
      </c>
      <c r="K969" s="147" t="s">
        <v>35</v>
      </c>
      <c r="L969" s="43"/>
      <c r="M969" s="43"/>
      <c r="N969" s="143"/>
      <c r="O969" s="148"/>
      <c r="P969" s="148"/>
      <c r="Q969" s="40"/>
      <c r="R969" s="41"/>
    </row>
    <row r="970" spans="1:18" ht="15" customHeight="1" x14ac:dyDescent="0.2">
      <c r="A970" s="12"/>
      <c r="B970" s="251" t="s">
        <v>36</v>
      </c>
      <c r="C970" s="252"/>
      <c r="D970" s="252"/>
      <c r="E970" s="253"/>
      <c r="F970" s="244" t="s">
        <v>37</v>
      </c>
      <c r="G970" s="244" t="s">
        <v>38</v>
      </c>
      <c r="H970" s="244" t="s">
        <v>39</v>
      </c>
      <c r="I970" s="246" t="s">
        <v>15</v>
      </c>
      <c r="J970" s="12"/>
      <c r="K970" s="251" t="s">
        <v>36</v>
      </c>
      <c r="L970" s="252"/>
      <c r="M970" s="252"/>
      <c r="N970" s="253"/>
      <c r="O970" s="244" t="s">
        <v>37</v>
      </c>
      <c r="P970" s="244" t="s">
        <v>38</v>
      </c>
      <c r="Q970" s="244" t="s">
        <v>39</v>
      </c>
      <c r="R970" s="246" t="s">
        <v>15</v>
      </c>
    </row>
    <row r="971" spans="1:18" x14ac:dyDescent="0.2">
      <c r="A971" s="13"/>
      <c r="B971" s="254"/>
      <c r="C971" s="255"/>
      <c r="D971" s="255"/>
      <c r="E971" s="256"/>
      <c r="F971" s="245"/>
      <c r="G971" s="245"/>
      <c r="H971" s="245"/>
      <c r="I971" s="247"/>
      <c r="J971" s="13"/>
      <c r="K971" s="254"/>
      <c r="L971" s="255"/>
      <c r="M971" s="255"/>
      <c r="N971" s="256"/>
      <c r="O971" s="245"/>
      <c r="P971" s="245"/>
      <c r="Q971" s="245"/>
      <c r="R971" s="247"/>
    </row>
    <row r="972" spans="1:18" x14ac:dyDescent="0.2">
      <c r="A972" s="13" t="s">
        <v>40</v>
      </c>
      <c r="B972" s="18" t="s">
        <v>41</v>
      </c>
      <c r="C972" s="19"/>
      <c r="D972" s="19"/>
      <c r="E972" s="20"/>
      <c r="F972" s="22"/>
      <c r="G972" s="22"/>
      <c r="H972" s="23"/>
      <c r="I972" s="23"/>
      <c r="J972" s="13" t="s">
        <v>40</v>
      </c>
      <c r="K972" s="18" t="s">
        <v>155</v>
      </c>
      <c r="L972" s="19"/>
      <c r="M972" s="19"/>
      <c r="N972" s="20"/>
      <c r="O972" s="22"/>
      <c r="P972" s="22"/>
      <c r="Q972" s="23"/>
      <c r="R972" s="23"/>
    </row>
    <row r="973" spans="1:18" x14ac:dyDescent="0.2">
      <c r="A973" s="13"/>
      <c r="B973" s="18"/>
      <c r="C973" s="19"/>
      <c r="D973" s="19"/>
      <c r="E973" s="20"/>
      <c r="F973" s="22"/>
      <c r="G973" s="22"/>
      <c r="H973" s="23"/>
      <c r="I973" s="23"/>
      <c r="J973" s="13"/>
      <c r="K973" s="18"/>
      <c r="L973" s="19"/>
      <c r="M973" s="19"/>
      <c r="N973" s="20"/>
      <c r="O973" s="22"/>
      <c r="P973" s="22"/>
      <c r="Q973" s="23"/>
      <c r="R973" s="23"/>
    </row>
    <row r="974" spans="1:18" x14ac:dyDescent="0.2">
      <c r="A974" s="13"/>
      <c r="B974" s="18"/>
      <c r="C974" s="66"/>
      <c r="D974" s="19"/>
      <c r="E974" s="20"/>
      <c r="F974" s="22"/>
      <c r="G974" s="62"/>
      <c r="H974" s="23"/>
      <c r="I974" s="23"/>
      <c r="J974" s="13"/>
      <c r="K974" s="18" t="s">
        <v>156</v>
      </c>
      <c r="L974" s="19"/>
      <c r="M974" s="19"/>
      <c r="N974" s="20"/>
      <c r="O974" s="22" t="s">
        <v>77</v>
      </c>
      <c r="P974" s="64" t="s">
        <v>157</v>
      </c>
      <c r="Q974" s="23"/>
      <c r="R974" s="23"/>
    </row>
    <row r="975" spans="1:18" x14ac:dyDescent="0.2">
      <c r="A975" s="13"/>
      <c r="B975" s="7"/>
      <c r="C975" s="66"/>
      <c r="D975" s="19"/>
      <c r="E975" s="20"/>
      <c r="F975" s="22"/>
      <c r="G975" s="62"/>
      <c r="H975" s="23"/>
      <c r="I975" s="23"/>
      <c r="J975" s="13"/>
      <c r="K975" s="18" t="s">
        <v>158</v>
      </c>
      <c r="L975" s="19"/>
      <c r="M975" s="19"/>
      <c r="N975" s="20"/>
      <c r="O975" s="22" t="s">
        <v>9</v>
      </c>
      <c r="P975" s="22" t="s">
        <v>157</v>
      </c>
      <c r="Q975" s="23"/>
      <c r="R975" s="23"/>
    </row>
    <row r="976" spans="1:18" x14ac:dyDescent="0.2">
      <c r="A976" s="13"/>
      <c r="B976" s="18"/>
      <c r="C976" s="19"/>
      <c r="D976" s="19"/>
      <c r="E976" s="20"/>
      <c r="F976" s="22"/>
      <c r="G976" s="22"/>
      <c r="H976" s="23"/>
      <c r="I976" s="23"/>
      <c r="J976" s="13"/>
      <c r="K976" s="18" t="s">
        <v>159</v>
      </c>
      <c r="L976" s="19"/>
      <c r="M976" s="19"/>
      <c r="N976" s="20"/>
      <c r="O976" s="22" t="s">
        <v>123</v>
      </c>
      <c r="P976" s="22" t="s">
        <v>157</v>
      </c>
      <c r="Q976" s="23"/>
      <c r="R976" s="23"/>
    </row>
    <row r="977" spans="1:18" x14ac:dyDescent="0.2">
      <c r="A977" s="13"/>
      <c r="B977" s="18"/>
      <c r="C977" s="19"/>
      <c r="D977" s="19"/>
      <c r="E977" s="20"/>
      <c r="F977" s="22"/>
      <c r="G977" s="22"/>
      <c r="H977" s="23"/>
      <c r="I977" s="23"/>
      <c r="J977" s="13"/>
      <c r="K977" s="18"/>
      <c r="L977" s="19"/>
      <c r="M977" s="19"/>
      <c r="N977" s="20"/>
      <c r="O977" s="22"/>
      <c r="P977" s="22"/>
      <c r="Q977" s="23"/>
      <c r="R977" s="23"/>
    </row>
    <row r="978" spans="1:18" x14ac:dyDescent="0.2">
      <c r="A978" s="13"/>
      <c r="B978" s="18"/>
      <c r="C978" s="19"/>
      <c r="D978" s="19"/>
      <c r="E978" s="20"/>
      <c r="F978" s="22"/>
      <c r="G978" s="22"/>
      <c r="H978" s="23"/>
      <c r="I978" s="23"/>
      <c r="J978" s="13"/>
      <c r="K978" s="18"/>
      <c r="L978" s="19"/>
      <c r="M978" s="19"/>
      <c r="N978" s="20"/>
      <c r="O978" s="22"/>
      <c r="P978" s="22"/>
      <c r="Q978" s="23"/>
      <c r="R978" s="23"/>
    </row>
    <row r="979" spans="1:18" x14ac:dyDescent="0.2">
      <c r="A979" s="13"/>
      <c r="B979" s="18"/>
      <c r="C979" s="19"/>
      <c r="D979" s="19"/>
      <c r="E979" s="20"/>
      <c r="F979" s="22"/>
      <c r="G979" s="22"/>
      <c r="H979" s="23"/>
      <c r="I979" s="23"/>
      <c r="J979" s="13"/>
      <c r="K979" s="18"/>
      <c r="L979" s="19"/>
      <c r="M979" s="19"/>
      <c r="N979" s="20"/>
      <c r="O979" s="22"/>
      <c r="P979" s="62"/>
      <c r="Q979" s="23"/>
      <c r="R979" s="23"/>
    </row>
    <row r="980" spans="1:18" ht="15" customHeight="1" x14ac:dyDescent="0.2">
      <c r="A980" s="13"/>
      <c r="B980" s="18"/>
      <c r="C980" s="19"/>
      <c r="D980" s="19"/>
      <c r="E980" s="20"/>
      <c r="F980" s="22"/>
      <c r="G980" s="22"/>
      <c r="H980" s="23"/>
      <c r="I980" s="23"/>
      <c r="J980" s="13"/>
      <c r="K980" s="18"/>
      <c r="L980" s="19"/>
      <c r="M980" s="19"/>
      <c r="N980" s="20"/>
      <c r="O980" s="22"/>
      <c r="P980" s="22"/>
      <c r="Q980" s="23"/>
      <c r="R980" s="23"/>
    </row>
    <row r="981" spans="1:18" ht="15" customHeight="1" x14ac:dyDescent="0.2">
      <c r="A981" s="13"/>
      <c r="B981" s="18"/>
      <c r="C981" s="19"/>
      <c r="D981" s="19"/>
      <c r="E981" s="20"/>
      <c r="F981" s="22"/>
      <c r="G981" s="22"/>
      <c r="H981" s="23"/>
      <c r="I981" s="23"/>
      <c r="J981" s="13"/>
      <c r="K981" s="18"/>
      <c r="L981" s="19"/>
      <c r="M981" s="19"/>
      <c r="N981" s="20"/>
      <c r="O981" s="22"/>
      <c r="P981" s="22"/>
      <c r="Q981" s="23"/>
      <c r="R981" s="23"/>
    </row>
    <row r="982" spans="1:18" ht="15" customHeight="1" x14ac:dyDescent="0.2">
      <c r="A982" s="13"/>
      <c r="B982" s="18"/>
      <c r="C982" s="19"/>
      <c r="D982" s="19"/>
      <c r="E982" s="20"/>
      <c r="F982" s="22"/>
      <c r="G982" s="22"/>
      <c r="H982" s="23"/>
      <c r="I982" s="23"/>
      <c r="J982" s="13"/>
      <c r="K982" s="18"/>
      <c r="L982" s="19"/>
      <c r="M982" s="19"/>
      <c r="N982" s="20"/>
      <c r="O982" s="22"/>
      <c r="P982" s="22"/>
      <c r="Q982" s="23"/>
      <c r="R982" s="23"/>
    </row>
    <row r="983" spans="1:18" ht="15" customHeight="1" x14ac:dyDescent="0.2">
      <c r="A983" s="13"/>
      <c r="B983" s="18"/>
      <c r="C983" s="19"/>
      <c r="D983" s="19"/>
      <c r="E983" s="20"/>
      <c r="F983" s="22"/>
      <c r="G983" s="22"/>
      <c r="H983" s="23"/>
      <c r="I983" s="23"/>
      <c r="J983" s="13"/>
      <c r="K983" s="18"/>
      <c r="L983" s="19"/>
      <c r="M983" s="19"/>
      <c r="N983" s="20"/>
      <c r="O983" s="22"/>
      <c r="P983" s="22"/>
      <c r="Q983" s="23"/>
      <c r="R983" s="23"/>
    </row>
    <row r="984" spans="1:18" x14ac:dyDescent="0.2">
      <c r="A984" s="13"/>
      <c r="B984" s="18"/>
      <c r="C984" s="19"/>
      <c r="D984" s="19"/>
      <c r="E984" s="20"/>
      <c r="F984" s="22"/>
      <c r="G984" s="22"/>
      <c r="H984" s="23"/>
      <c r="I984" s="23"/>
      <c r="J984" s="13"/>
      <c r="K984" s="18"/>
      <c r="L984" s="19"/>
      <c r="M984" s="19"/>
      <c r="N984" s="20"/>
      <c r="O984" s="22"/>
      <c r="P984" s="22"/>
      <c r="Q984" s="23"/>
      <c r="R984" s="23"/>
    </row>
    <row r="985" spans="1:18" x14ac:dyDescent="0.2">
      <c r="A985" s="13"/>
      <c r="B985" s="18"/>
      <c r="C985" s="19"/>
      <c r="D985" s="19"/>
      <c r="E985" s="20"/>
      <c r="F985" s="22"/>
      <c r="G985" s="22"/>
      <c r="H985" s="23"/>
      <c r="I985" s="23"/>
      <c r="J985" s="13"/>
      <c r="K985" s="18"/>
      <c r="L985" s="19"/>
      <c r="M985" s="19"/>
      <c r="N985" s="20"/>
      <c r="O985" s="22"/>
      <c r="P985" s="22"/>
      <c r="Q985" s="23"/>
      <c r="R985" s="23"/>
    </row>
    <row r="986" spans="1:18" x14ac:dyDescent="0.2">
      <c r="A986" s="13"/>
      <c r="B986" s="18"/>
      <c r="C986" s="19"/>
      <c r="D986" s="19"/>
      <c r="E986" s="20"/>
      <c r="F986" s="22"/>
      <c r="G986" s="36"/>
      <c r="H986" s="37"/>
      <c r="I986" s="37"/>
      <c r="J986" s="13"/>
      <c r="K986" s="18"/>
      <c r="L986" s="19"/>
      <c r="M986" s="19"/>
      <c r="N986" s="20"/>
      <c r="O986" s="22"/>
      <c r="P986" s="36"/>
      <c r="Q986" s="37"/>
      <c r="R986" s="37"/>
    </row>
    <row r="987" spans="1:18" x14ac:dyDescent="0.2">
      <c r="A987" s="13"/>
      <c r="B987" s="248" t="s">
        <v>42</v>
      </c>
      <c r="C987" s="249"/>
      <c r="D987" s="249"/>
      <c r="E987" s="250"/>
      <c r="F987" s="46"/>
      <c r="G987" s="46"/>
      <c r="H987" s="47"/>
      <c r="I987" s="47">
        <f>SUM(I974:I986)</f>
        <v>0</v>
      </c>
      <c r="J987" s="13"/>
      <c r="K987" s="139" t="s">
        <v>42</v>
      </c>
      <c r="L987" s="140"/>
      <c r="M987" s="140"/>
      <c r="N987" s="141"/>
      <c r="O987" s="46"/>
      <c r="P987" s="46"/>
      <c r="Q987" s="47"/>
      <c r="R987" s="47"/>
    </row>
    <row r="988" spans="1:18" x14ac:dyDescent="0.2">
      <c r="A988" s="12" t="s">
        <v>43</v>
      </c>
      <c r="B988" s="48" t="s">
        <v>44</v>
      </c>
      <c r="C988" s="43"/>
      <c r="D988" s="43"/>
      <c r="E988" s="39"/>
      <c r="F988" s="49"/>
      <c r="G988" s="49"/>
      <c r="H988" s="50"/>
      <c r="I988" s="51">
        <f>SUM(I969+I987)</f>
        <v>1104.0230000000001</v>
      </c>
      <c r="J988" s="12" t="s">
        <v>43</v>
      </c>
      <c r="K988" s="48" t="s">
        <v>44</v>
      </c>
      <c r="L988" s="43"/>
      <c r="M988" s="43"/>
      <c r="N988" s="143"/>
      <c r="O988" s="49"/>
      <c r="P988" s="49"/>
      <c r="Q988" s="50"/>
      <c r="R988" s="51"/>
    </row>
    <row r="989" spans="1:18" x14ac:dyDescent="0.2">
      <c r="A989" s="13" t="s">
        <v>45</v>
      </c>
      <c r="B989" s="48" t="s">
        <v>46</v>
      </c>
      <c r="C989" s="43"/>
      <c r="D989" s="43"/>
      <c r="E989" s="39"/>
      <c r="F989" s="49"/>
      <c r="G989" s="52">
        <v>0.09</v>
      </c>
      <c r="H989" s="53" t="s">
        <v>47</v>
      </c>
      <c r="I989" s="51">
        <f>G989*I988</f>
        <v>99.362070000000003</v>
      </c>
      <c r="J989" s="13" t="s">
        <v>45</v>
      </c>
      <c r="K989" s="48" t="s">
        <v>46</v>
      </c>
      <c r="L989" s="43"/>
      <c r="M989" s="43"/>
      <c r="N989" s="143"/>
      <c r="O989" s="49"/>
      <c r="P989" s="52">
        <v>0.09</v>
      </c>
      <c r="Q989" s="53" t="s">
        <v>47</v>
      </c>
      <c r="R989" s="51"/>
    </row>
    <row r="990" spans="1:18" x14ac:dyDescent="0.2">
      <c r="A990" s="13" t="s">
        <v>48</v>
      </c>
      <c r="B990" s="48" t="s">
        <v>49</v>
      </c>
      <c r="C990" s="43"/>
      <c r="D990" s="43"/>
      <c r="E990" s="39"/>
      <c r="F990" s="49"/>
      <c r="G990" s="52">
        <v>0.08</v>
      </c>
      <c r="H990" s="53" t="s">
        <v>47</v>
      </c>
      <c r="I990" s="51">
        <f>G990*I988</f>
        <v>88.321840000000009</v>
      </c>
      <c r="J990" s="13" t="s">
        <v>48</v>
      </c>
      <c r="K990" s="48" t="s">
        <v>49</v>
      </c>
      <c r="L990" s="43"/>
      <c r="M990" s="43"/>
      <c r="N990" s="143"/>
      <c r="O990" s="49"/>
      <c r="P990" s="52">
        <v>0.08</v>
      </c>
      <c r="Q990" s="53" t="s">
        <v>47</v>
      </c>
      <c r="R990" s="51"/>
    </row>
    <row r="991" spans="1:18" x14ac:dyDescent="0.2">
      <c r="A991" s="13" t="s">
        <v>50</v>
      </c>
      <c r="B991" s="48" t="s">
        <v>51</v>
      </c>
      <c r="C991" s="43"/>
      <c r="D991" s="43"/>
      <c r="E991" s="39"/>
      <c r="F991" s="49"/>
      <c r="G991" s="52">
        <f>5/100</f>
        <v>0.05</v>
      </c>
      <c r="H991" s="53" t="s">
        <v>52</v>
      </c>
      <c r="I991" s="51">
        <f>G991*(I988+I989+I990)</f>
        <v>64.585345500000003</v>
      </c>
      <c r="J991" s="13" t="s">
        <v>50</v>
      </c>
      <c r="K991" s="48" t="s">
        <v>51</v>
      </c>
      <c r="L991" s="43"/>
      <c r="M991" s="43"/>
      <c r="N991" s="143"/>
      <c r="O991" s="49"/>
      <c r="P991" s="52">
        <f>5/100</f>
        <v>0.05</v>
      </c>
      <c r="Q991" s="53" t="s">
        <v>52</v>
      </c>
      <c r="R991" s="51"/>
    </row>
    <row r="992" spans="1:18" x14ac:dyDescent="0.2">
      <c r="A992" s="54" t="s">
        <v>53</v>
      </c>
      <c r="B992" s="48" t="s">
        <v>54</v>
      </c>
      <c r="C992" s="43"/>
      <c r="D992" s="43"/>
      <c r="E992" s="39"/>
      <c r="F992" s="49"/>
      <c r="G992" s="49"/>
      <c r="H992" s="55" t="s">
        <v>55</v>
      </c>
      <c r="I992" s="51">
        <f>SUM(I988+I989+I990+I991)</f>
        <v>1356.2922555</v>
      </c>
      <c r="J992" s="54" t="s">
        <v>53</v>
      </c>
      <c r="K992" s="48" t="s">
        <v>54</v>
      </c>
      <c r="L992" s="43"/>
      <c r="M992" s="43"/>
      <c r="N992" s="143"/>
      <c r="O992" s="49"/>
      <c r="P992" s="49"/>
      <c r="Q992" s="55" t="s">
        <v>55</v>
      </c>
      <c r="R992" s="51"/>
    </row>
    <row r="993" spans="1:18" s="1" customFormat="1" x14ac:dyDescent="0.2">
      <c r="A993" s="236" t="s">
        <v>0</v>
      </c>
      <c r="B993" s="236"/>
      <c r="C993" s="236"/>
      <c r="D993" s="236"/>
      <c r="E993" s="236"/>
      <c r="F993" s="236"/>
      <c r="G993" s="236"/>
      <c r="H993" s="236"/>
      <c r="I993" s="236"/>
      <c r="J993" s="236" t="s">
        <v>0</v>
      </c>
      <c r="K993" s="236"/>
      <c r="L993" s="236"/>
      <c r="M993" s="236"/>
      <c r="N993" s="236"/>
      <c r="O993" s="236"/>
      <c r="P993" s="236"/>
      <c r="Q993" s="236"/>
      <c r="R993" s="236"/>
    </row>
    <row r="994" spans="1:18" x14ac:dyDescent="0.2">
      <c r="J994" s="80"/>
      <c r="K994" s="66"/>
      <c r="L994" s="19"/>
      <c r="M994" s="19"/>
      <c r="N994" s="20"/>
      <c r="O994" s="66"/>
      <c r="P994" s="66"/>
      <c r="Q994" s="66"/>
      <c r="R994" s="66"/>
    </row>
    <row r="995" spans="1:18" x14ac:dyDescent="0.2">
      <c r="A995" s="2" t="s">
        <v>1</v>
      </c>
      <c r="C995" s="4" t="s">
        <v>2</v>
      </c>
      <c r="D995" s="5" t="s">
        <v>174</v>
      </c>
      <c r="E995" s="2" t="s">
        <v>175</v>
      </c>
      <c r="F995" s="2"/>
      <c r="G995" s="2"/>
      <c r="H995" s="2"/>
      <c r="J995" s="146" t="s">
        <v>1</v>
      </c>
      <c r="K995" s="66"/>
      <c r="L995" s="19" t="s">
        <v>2</v>
      </c>
      <c r="M995" s="20" t="s">
        <v>162</v>
      </c>
      <c r="N995" s="146" t="s">
        <v>163</v>
      </c>
      <c r="O995" s="146"/>
      <c r="P995" s="146"/>
      <c r="Q995" s="146"/>
      <c r="R995" s="66"/>
    </row>
    <row r="996" spans="1:18" x14ac:dyDescent="0.2">
      <c r="A996" s="2" t="s">
        <v>7</v>
      </c>
      <c r="C996" s="4" t="s">
        <v>2</v>
      </c>
      <c r="E996" s="2" t="s">
        <v>59</v>
      </c>
      <c r="F996" s="8"/>
      <c r="G996" s="8"/>
      <c r="H996" s="8"/>
      <c r="J996" s="146" t="s">
        <v>7</v>
      </c>
      <c r="K996" s="66"/>
      <c r="L996" s="19" t="s">
        <v>2</v>
      </c>
      <c r="M996" s="19"/>
      <c r="N996" s="146" t="s">
        <v>146</v>
      </c>
      <c r="O996" s="25"/>
      <c r="P996" s="25"/>
      <c r="Q996" s="25"/>
      <c r="R996" s="66"/>
    </row>
    <row r="997" spans="1:18" x14ac:dyDescent="0.2">
      <c r="A997" s="2" t="s">
        <v>10</v>
      </c>
      <c r="C997" s="4" t="s">
        <v>2</v>
      </c>
      <c r="E997" s="9">
        <v>2</v>
      </c>
      <c r="F997" s="8"/>
      <c r="G997" s="8"/>
      <c r="H997" s="8"/>
      <c r="J997" s="146" t="s">
        <v>147</v>
      </c>
      <c r="K997" s="66"/>
      <c r="L997" s="19" t="s">
        <v>2</v>
      </c>
      <c r="M997" s="19"/>
      <c r="N997" s="81">
        <v>1</v>
      </c>
      <c r="O997" s="25"/>
      <c r="P997" s="25"/>
      <c r="Q997" s="25"/>
      <c r="R997" s="66"/>
    </row>
    <row r="998" spans="1:18" x14ac:dyDescent="0.2">
      <c r="B998" s="8"/>
      <c r="F998" s="11"/>
      <c r="G998" s="8"/>
      <c r="H998" s="8"/>
      <c r="I998" s="8"/>
      <c r="J998" s="82"/>
      <c r="K998" s="83"/>
      <c r="L998" s="84"/>
      <c r="M998" s="84"/>
      <c r="N998" s="140"/>
      <c r="O998" s="86"/>
      <c r="P998" s="83"/>
      <c r="Q998" s="83"/>
      <c r="R998" s="83"/>
    </row>
    <row r="999" spans="1:18" x14ac:dyDescent="0.2">
      <c r="A999" s="12"/>
      <c r="B999" s="238" t="s">
        <v>11</v>
      </c>
      <c r="C999" s="239"/>
      <c r="D999" s="239"/>
      <c r="E999" s="240"/>
      <c r="F999" s="244" t="s">
        <v>12</v>
      </c>
      <c r="G999" s="244" t="s">
        <v>13</v>
      </c>
      <c r="H999" s="244" t="s">
        <v>14</v>
      </c>
      <c r="I999" s="246" t="s">
        <v>15</v>
      </c>
      <c r="J999" s="12"/>
      <c r="K999" s="238" t="s">
        <v>11</v>
      </c>
      <c r="L999" s="239"/>
      <c r="M999" s="239"/>
      <c r="N999" s="240"/>
      <c r="O999" s="244" t="s">
        <v>12</v>
      </c>
      <c r="P999" s="244" t="s">
        <v>13</v>
      </c>
      <c r="Q999" s="244" t="s">
        <v>14</v>
      </c>
      <c r="R999" s="246" t="s">
        <v>15</v>
      </c>
    </row>
    <row r="1000" spans="1:18" x14ac:dyDescent="0.2">
      <c r="A1000" s="13"/>
      <c r="B1000" s="241"/>
      <c r="C1000" s="242"/>
      <c r="D1000" s="242"/>
      <c r="E1000" s="243"/>
      <c r="F1000" s="245"/>
      <c r="G1000" s="245"/>
      <c r="H1000" s="245"/>
      <c r="I1000" s="247"/>
      <c r="J1000" s="13"/>
      <c r="K1000" s="241"/>
      <c r="L1000" s="242"/>
      <c r="M1000" s="242"/>
      <c r="N1000" s="243"/>
      <c r="O1000" s="245"/>
      <c r="P1000" s="245"/>
      <c r="Q1000" s="245"/>
      <c r="R1000" s="247"/>
    </row>
    <row r="1001" spans="1:18" x14ac:dyDescent="0.2">
      <c r="A1001" s="13" t="s">
        <v>16</v>
      </c>
      <c r="B1001" s="14" t="s">
        <v>17</v>
      </c>
      <c r="C1001" s="15"/>
      <c r="D1001" s="15"/>
      <c r="E1001" s="16"/>
      <c r="F1001" s="17"/>
      <c r="G1001" s="17"/>
      <c r="H1001" s="17"/>
      <c r="I1001" s="17"/>
      <c r="J1001" s="13" t="s">
        <v>16</v>
      </c>
      <c r="K1001" s="14" t="s">
        <v>17</v>
      </c>
      <c r="L1001" s="15"/>
      <c r="M1001" s="15"/>
      <c r="N1001" s="16"/>
      <c r="O1001" s="17"/>
      <c r="P1001" s="17"/>
      <c r="Q1001" s="17"/>
      <c r="R1001" s="17"/>
    </row>
    <row r="1002" spans="1:18" x14ac:dyDescent="0.2">
      <c r="A1002" s="13"/>
      <c r="B1002" s="18"/>
      <c r="C1002" s="19"/>
      <c r="D1002" s="19"/>
      <c r="E1002" s="20"/>
      <c r="F1002" s="21"/>
      <c r="G1002" s="22"/>
      <c r="H1002" s="21"/>
      <c r="I1002" s="21"/>
      <c r="J1002" s="13"/>
      <c r="K1002" s="18"/>
      <c r="L1002" s="19"/>
      <c r="M1002" s="19"/>
      <c r="N1002" s="20"/>
      <c r="O1002" s="21"/>
      <c r="P1002" s="22"/>
      <c r="Q1002" s="21"/>
      <c r="R1002" s="21"/>
    </row>
    <row r="1003" spans="1:18" x14ac:dyDescent="0.2">
      <c r="A1003" s="13"/>
      <c r="B1003" s="24" t="s">
        <v>18</v>
      </c>
      <c r="C1003" s="25"/>
      <c r="D1003" s="25"/>
      <c r="E1003" s="26"/>
      <c r="F1003" s="22">
        <v>1</v>
      </c>
      <c r="G1003" s="62">
        <f>16/16</f>
        <v>1</v>
      </c>
      <c r="H1003" s="23">
        <v>69.42</v>
      </c>
      <c r="I1003" s="23">
        <f>G1003*H1003*F1003</f>
        <v>69.42</v>
      </c>
      <c r="J1003" s="13"/>
      <c r="K1003" s="24" t="s">
        <v>18</v>
      </c>
      <c r="L1003" s="25"/>
      <c r="M1003" s="25"/>
      <c r="N1003" s="26"/>
      <c r="O1003" s="22">
        <v>1</v>
      </c>
      <c r="P1003" s="22">
        <v>160</v>
      </c>
      <c r="Q1003" s="23">
        <v>69.42</v>
      </c>
      <c r="R1003" s="23">
        <f>P1003*Q1003*O1003</f>
        <v>11107.2</v>
      </c>
    </row>
    <row r="1004" spans="1:18" x14ac:dyDescent="0.2">
      <c r="A1004" s="13"/>
      <c r="B1004" s="257" t="s">
        <v>1179</v>
      </c>
      <c r="C1004" s="258"/>
      <c r="D1004" s="25"/>
      <c r="E1004" s="26"/>
      <c r="F1004" s="22">
        <v>2</v>
      </c>
      <c r="G1004" s="62">
        <v>1</v>
      </c>
      <c r="H1004" s="23">
        <v>38.97</v>
      </c>
      <c r="I1004" s="23">
        <f>G1004*H1004*F1004</f>
        <v>77.94</v>
      </c>
      <c r="J1004" s="13"/>
      <c r="K1004" s="149" t="s">
        <v>1178</v>
      </c>
      <c r="L1004" s="146"/>
      <c r="M1004" s="25"/>
      <c r="N1004" s="26"/>
      <c r="O1004" s="22">
        <v>2</v>
      </c>
      <c r="P1004" s="22">
        <v>160</v>
      </c>
      <c r="Q1004" s="23">
        <v>50.18</v>
      </c>
      <c r="R1004" s="23">
        <f>P1004*Q1004*O1004</f>
        <v>16057.6</v>
      </c>
    </row>
    <row r="1005" spans="1:18" x14ac:dyDescent="0.2">
      <c r="A1005" s="13"/>
      <c r="B1005" s="257"/>
      <c r="C1005" s="258"/>
      <c r="D1005" s="19"/>
      <c r="E1005" s="20"/>
      <c r="F1005" s="22"/>
      <c r="G1005" s="22"/>
      <c r="H1005" s="23"/>
      <c r="I1005" s="23"/>
      <c r="J1005" s="13"/>
      <c r="K1005" s="149" t="s">
        <v>1177</v>
      </c>
      <c r="L1005" s="146"/>
      <c r="M1005" s="19"/>
      <c r="N1005" s="20"/>
      <c r="O1005" s="22">
        <v>4</v>
      </c>
      <c r="P1005" s="22">
        <v>160</v>
      </c>
      <c r="Q1005" s="23">
        <v>38.97</v>
      </c>
      <c r="R1005" s="23">
        <f>P1005*Q1005*O1005</f>
        <v>24940.799999999999</v>
      </c>
    </row>
    <row r="1006" spans="1:18" x14ac:dyDescent="0.2">
      <c r="A1006" s="13"/>
      <c r="B1006" s="27"/>
      <c r="C1006" s="19"/>
      <c r="D1006" s="19"/>
      <c r="E1006" s="20"/>
      <c r="F1006" s="22"/>
      <c r="G1006" s="22"/>
      <c r="H1006" s="29"/>
      <c r="I1006" s="30"/>
      <c r="J1006" s="13"/>
      <c r="K1006" s="145"/>
      <c r="L1006" s="19"/>
      <c r="M1006" s="19"/>
      <c r="N1006" s="20"/>
      <c r="O1006" s="22"/>
      <c r="P1006" s="22"/>
      <c r="Q1006" s="29"/>
      <c r="R1006" s="30"/>
    </row>
    <row r="1007" spans="1:18" x14ac:dyDescent="0.2">
      <c r="A1007" s="13"/>
      <c r="B1007" s="27"/>
      <c r="C1007" s="19"/>
      <c r="D1007" s="19"/>
      <c r="E1007" s="20"/>
      <c r="F1007" s="22"/>
      <c r="G1007" s="22"/>
      <c r="H1007" s="29"/>
      <c r="I1007" s="30"/>
      <c r="J1007" s="13"/>
      <c r="K1007" s="145"/>
      <c r="L1007" s="19"/>
      <c r="M1007" s="19"/>
      <c r="N1007" s="20"/>
      <c r="O1007" s="22"/>
      <c r="P1007" s="22"/>
      <c r="Q1007" s="29"/>
      <c r="R1007" s="30"/>
    </row>
    <row r="1008" spans="1:18" x14ac:dyDescent="0.2">
      <c r="A1008" s="13"/>
      <c r="B1008" s="18"/>
      <c r="C1008" s="19"/>
      <c r="D1008" s="19"/>
      <c r="E1008" s="20"/>
      <c r="F1008" s="22"/>
      <c r="G1008" s="22"/>
      <c r="H1008" s="28"/>
      <c r="I1008" s="23"/>
      <c r="J1008" s="13"/>
      <c r="K1008" s="18"/>
      <c r="L1008" s="19"/>
      <c r="M1008" s="19"/>
      <c r="N1008" s="20"/>
      <c r="O1008" s="22"/>
      <c r="P1008" s="22"/>
      <c r="Q1008" s="28"/>
      <c r="R1008" s="23"/>
    </row>
    <row r="1009" spans="1:18" x14ac:dyDescent="0.2">
      <c r="A1009" s="13"/>
      <c r="B1009" s="18"/>
      <c r="C1009" s="19"/>
      <c r="D1009" s="19"/>
      <c r="E1009" s="20"/>
      <c r="F1009" s="22"/>
      <c r="G1009" s="22"/>
      <c r="H1009" s="23"/>
      <c r="I1009" s="23"/>
      <c r="J1009" s="13"/>
      <c r="K1009" s="18"/>
      <c r="L1009" s="19"/>
      <c r="M1009" s="19"/>
      <c r="N1009" s="20"/>
      <c r="O1009" s="22"/>
      <c r="P1009" s="22"/>
      <c r="Q1009" s="23"/>
      <c r="R1009" s="23"/>
    </row>
    <row r="1010" spans="1:18" x14ac:dyDescent="0.2">
      <c r="A1010" s="13"/>
      <c r="B1010" s="248" t="s">
        <v>20</v>
      </c>
      <c r="C1010" s="249"/>
      <c r="D1010" s="249"/>
      <c r="E1010" s="250"/>
      <c r="F1010" s="31"/>
      <c r="G1010" s="31"/>
      <c r="H1010" s="32"/>
      <c r="I1010" s="32">
        <f>SUM(I1003:I1009)</f>
        <v>147.36000000000001</v>
      </c>
      <c r="J1010" s="13"/>
      <c r="K1010" s="139" t="s">
        <v>20</v>
      </c>
      <c r="L1010" s="140"/>
      <c r="M1010" s="140"/>
      <c r="N1010" s="141"/>
      <c r="O1010" s="31"/>
      <c r="P1010" s="31"/>
      <c r="Q1010" s="32"/>
      <c r="R1010" s="32">
        <f>SUM(R1003:R1009)</f>
        <v>52105.600000000006</v>
      </c>
    </row>
    <row r="1011" spans="1:18" x14ac:dyDescent="0.2">
      <c r="A1011" s="12"/>
      <c r="B1011" s="251" t="s">
        <v>21</v>
      </c>
      <c r="C1011" s="252"/>
      <c r="D1011" s="252"/>
      <c r="E1011" s="253"/>
      <c r="F1011" s="244" t="s">
        <v>22</v>
      </c>
      <c r="G1011" s="244" t="s">
        <v>13</v>
      </c>
      <c r="H1011" s="244" t="s">
        <v>14</v>
      </c>
      <c r="I1011" s="246" t="s">
        <v>15</v>
      </c>
      <c r="J1011" s="12"/>
      <c r="K1011" s="251" t="s">
        <v>21</v>
      </c>
      <c r="L1011" s="252"/>
      <c r="M1011" s="252"/>
      <c r="N1011" s="253"/>
      <c r="O1011" s="244" t="s">
        <v>22</v>
      </c>
      <c r="P1011" s="244" t="s">
        <v>13</v>
      </c>
      <c r="Q1011" s="244" t="s">
        <v>14</v>
      </c>
      <c r="R1011" s="246" t="s">
        <v>15</v>
      </c>
    </row>
    <row r="1012" spans="1:18" x14ac:dyDescent="0.2">
      <c r="A1012" s="13"/>
      <c r="B1012" s="254"/>
      <c r="C1012" s="255"/>
      <c r="D1012" s="255"/>
      <c r="E1012" s="256"/>
      <c r="F1012" s="245"/>
      <c r="G1012" s="245"/>
      <c r="H1012" s="245"/>
      <c r="I1012" s="247"/>
      <c r="J1012" s="13"/>
      <c r="K1012" s="254"/>
      <c r="L1012" s="255"/>
      <c r="M1012" s="255"/>
      <c r="N1012" s="256"/>
      <c r="O1012" s="245"/>
      <c r="P1012" s="245"/>
      <c r="Q1012" s="245"/>
      <c r="R1012" s="247"/>
    </row>
    <row r="1013" spans="1:18" x14ac:dyDescent="0.2">
      <c r="A1013" s="13" t="s">
        <v>23</v>
      </c>
      <c r="B1013" s="33" t="s">
        <v>24</v>
      </c>
      <c r="C1013" s="15"/>
      <c r="D1013" s="15"/>
      <c r="E1013" s="16"/>
      <c r="F1013" s="34"/>
      <c r="G1013" s="34"/>
      <c r="H1013" s="35"/>
      <c r="I1013" s="35"/>
      <c r="J1013" s="13" t="s">
        <v>23</v>
      </c>
      <c r="K1013" s="33" t="s">
        <v>24</v>
      </c>
      <c r="L1013" s="15"/>
      <c r="M1013" s="15"/>
      <c r="N1013" s="16"/>
      <c r="O1013" s="34"/>
      <c r="P1013" s="34"/>
      <c r="Q1013" s="35"/>
      <c r="R1013" s="35"/>
    </row>
    <row r="1014" spans="1:18" x14ac:dyDescent="0.2">
      <c r="A1014" s="13"/>
      <c r="B1014" s="18"/>
      <c r="C1014" s="19"/>
      <c r="D1014" s="19"/>
      <c r="E1014" s="20"/>
      <c r="F1014" s="22"/>
      <c r="G1014" s="22"/>
      <c r="H1014" s="23"/>
      <c r="I1014" s="23"/>
      <c r="J1014" s="13"/>
      <c r="K1014" s="18"/>
      <c r="L1014" s="19"/>
      <c r="M1014" s="19"/>
      <c r="N1014" s="20"/>
      <c r="O1014" s="22"/>
      <c r="P1014" s="22"/>
      <c r="Q1014" s="23"/>
      <c r="R1014" s="23"/>
    </row>
    <row r="1015" spans="1:18" x14ac:dyDescent="0.2">
      <c r="A1015" s="13"/>
      <c r="B1015" s="18" t="s">
        <v>461</v>
      </c>
      <c r="C1015" s="19"/>
      <c r="D1015" s="19"/>
      <c r="E1015" s="20"/>
      <c r="F1015" s="22">
        <v>1</v>
      </c>
      <c r="G1015" s="23">
        <v>1</v>
      </c>
      <c r="H1015" s="37">
        <v>922</v>
      </c>
      <c r="I1015" s="37">
        <f>G1015*H1015*F1015</f>
        <v>922</v>
      </c>
      <c r="J1015" s="13"/>
      <c r="K1015" s="18" t="s">
        <v>1170</v>
      </c>
      <c r="L1015" s="19"/>
      <c r="M1015" s="19"/>
      <c r="N1015" s="20"/>
      <c r="O1015" s="22">
        <v>1</v>
      </c>
      <c r="P1015" s="23">
        <v>160</v>
      </c>
      <c r="Q1015" s="37">
        <v>1902</v>
      </c>
      <c r="R1015" s="37">
        <f>P1015*Q1015*O1015</f>
        <v>304320</v>
      </c>
    </row>
    <row r="1016" spans="1:18" x14ac:dyDescent="0.2">
      <c r="A1016" s="13"/>
      <c r="B1016" s="18" t="s">
        <v>1151</v>
      </c>
      <c r="C1016" s="19"/>
      <c r="D1016" s="19"/>
      <c r="E1016" s="20"/>
      <c r="F1016" s="22">
        <v>1</v>
      </c>
      <c r="G1016" s="23">
        <v>0.5</v>
      </c>
      <c r="H1016" s="37">
        <v>783</v>
      </c>
      <c r="I1016" s="37">
        <f>G1016*H1016*F1016</f>
        <v>391.5</v>
      </c>
      <c r="J1016" s="13"/>
      <c r="K1016" s="18" t="s">
        <v>165</v>
      </c>
      <c r="L1016" s="19"/>
      <c r="M1016" s="19"/>
      <c r="N1016" s="20"/>
      <c r="O1016" s="22">
        <v>1</v>
      </c>
      <c r="P1016" s="23">
        <v>160</v>
      </c>
      <c r="Q1016" s="37">
        <v>2123</v>
      </c>
      <c r="R1016" s="37">
        <f>P1016*Q1016*O1016</f>
        <v>339680</v>
      </c>
    </row>
    <row r="1017" spans="1:18" x14ac:dyDescent="0.2">
      <c r="A1017" s="13"/>
      <c r="B1017" s="18" t="s">
        <v>1192</v>
      </c>
      <c r="C1017" s="19"/>
      <c r="D1017" s="19"/>
      <c r="E1017" s="20"/>
      <c r="F1017" s="22"/>
      <c r="G1017" s="36"/>
      <c r="I1017" s="37">
        <f>I1010*0.1</f>
        <v>14.736000000000002</v>
      </c>
      <c r="J1017" s="13"/>
      <c r="K1017" s="18" t="s">
        <v>1171</v>
      </c>
      <c r="L1017" s="19"/>
      <c r="M1017" s="19"/>
      <c r="N1017" s="20"/>
      <c r="O1017" s="22">
        <v>1</v>
      </c>
      <c r="P1017" s="23">
        <v>40</v>
      </c>
      <c r="Q1017" s="37">
        <v>371</v>
      </c>
      <c r="R1017" s="37">
        <f>P1017*Q1017*O1017</f>
        <v>14840</v>
      </c>
    </row>
    <row r="1018" spans="1:18" x14ac:dyDescent="0.2">
      <c r="A1018" s="13"/>
      <c r="F1018" s="21"/>
      <c r="G1018" s="21"/>
      <c r="H1018" s="21"/>
      <c r="I1018" s="37"/>
      <c r="J1018" s="13"/>
      <c r="K1018" s="18" t="s">
        <v>108</v>
      </c>
      <c r="O1018" s="22">
        <v>1</v>
      </c>
      <c r="P1018" s="23">
        <v>40</v>
      </c>
      <c r="Q1018" s="37">
        <v>45.45</v>
      </c>
      <c r="R1018" s="37">
        <f>P1018*Q1018*O1018</f>
        <v>1818</v>
      </c>
    </row>
    <row r="1019" spans="1:18" x14ac:dyDescent="0.2">
      <c r="A1019" s="13"/>
      <c r="B1019" s="18"/>
      <c r="C1019" s="19"/>
      <c r="D1019" s="19"/>
      <c r="E1019" s="20"/>
      <c r="F1019" s="22"/>
      <c r="G1019" s="36"/>
      <c r="H1019" s="37"/>
      <c r="I1019" s="37"/>
      <c r="J1019" s="13"/>
      <c r="K1019" s="18" t="s">
        <v>166</v>
      </c>
      <c r="L1019" s="19"/>
      <c r="M1019" s="19"/>
      <c r="N1019" s="20"/>
      <c r="O1019" s="22">
        <v>1</v>
      </c>
      <c r="P1019" s="23">
        <v>160</v>
      </c>
      <c r="Q1019" s="37">
        <v>266.25</v>
      </c>
      <c r="R1019" s="37">
        <f>P1019*Q1019*O1019</f>
        <v>42600</v>
      </c>
    </row>
    <row r="1020" spans="1:18" x14ac:dyDescent="0.2">
      <c r="A1020" s="13"/>
      <c r="B1020" s="18" t="s">
        <v>126</v>
      </c>
      <c r="C1020" s="19"/>
      <c r="D1020" s="19"/>
      <c r="E1020" s="20"/>
      <c r="F1020" s="22"/>
      <c r="G1020" s="36"/>
      <c r="H1020" s="38"/>
      <c r="I1020" s="38"/>
      <c r="J1020" s="13"/>
      <c r="K1020" s="18"/>
      <c r="L1020" s="19"/>
      <c r="M1020" s="19"/>
      <c r="N1020" s="20"/>
      <c r="O1020" s="22"/>
      <c r="P1020" s="23"/>
      <c r="Q1020" s="37"/>
      <c r="R1020" s="37"/>
    </row>
    <row r="1021" spans="1:18" x14ac:dyDescent="0.2">
      <c r="A1021" s="13"/>
      <c r="C1021" s="19"/>
      <c r="D1021" s="19"/>
      <c r="E1021" s="20"/>
      <c r="F1021" s="22"/>
      <c r="G1021" s="36"/>
      <c r="H1021" s="38"/>
      <c r="I1021" s="38"/>
      <c r="J1021" s="13"/>
      <c r="K1021" s="18"/>
      <c r="L1021" s="19"/>
      <c r="M1021" s="19"/>
      <c r="N1021" s="20"/>
      <c r="O1021" s="22"/>
      <c r="P1021" s="36"/>
      <c r="R1021" s="37"/>
    </row>
    <row r="1022" spans="1:18" x14ac:dyDescent="0.2">
      <c r="A1022" s="13"/>
      <c r="B1022" s="18"/>
      <c r="C1022" s="19"/>
      <c r="D1022" s="19"/>
      <c r="E1022" s="20"/>
      <c r="F1022" s="22"/>
      <c r="G1022" s="36"/>
      <c r="H1022" s="38"/>
      <c r="I1022" s="38"/>
      <c r="J1022" s="13"/>
      <c r="K1022" s="18"/>
      <c r="L1022" s="19"/>
      <c r="M1022" s="19"/>
      <c r="N1022" s="20"/>
      <c r="O1022" s="22"/>
      <c r="P1022" s="36"/>
      <c r="Q1022" s="38"/>
      <c r="R1022" s="38"/>
    </row>
    <row r="1023" spans="1:18" x14ac:dyDescent="0.2">
      <c r="A1023" s="13"/>
      <c r="B1023" s="18" t="s">
        <v>101</v>
      </c>
      <c r="C1023" s="19"/>
      <c r="D1023" s="19"/>
      <c r="E1023" s="20"/>
      <c r="F1023" s="22"/>
      <c r="G1023" s="36"/>
      <c r="H1023" s="38"/>
      <c r="I1023" s="38"/>
      <c r="J1023" s="13"/>
      <c r="K1023" s="18"/>
      <c r="L1023" s="19"/>
      <c r="M1023" s="19"/>
      <c r="N1023" s="20"/>
      <c r="O1023" s="22"/>
      <c r="P1023" s="36"/>
      <c r="Q1023" s="38"/>
      <c r="R1023" s="38"/>
    </row>
    <row r="1024" spans="1:18" x14ac:dyDescent="0.2">
      <c r="A1024" s="13"/>
      <c r="B1024" s="18"/>
      <c r="C1024" s="19"/>
      <c r="D1024" s="19"/>
      <c r="E1024" s="20"/>
      <c r="F1024" s="22"/>
      <c r="G1024" s="36"/>
      <c r="H1024" s="37"/>
      <c r="I1024" s="37"/>
      <c r="J1024" s="13"/>
      <c r="K1024" s="18"/>
      <c r="L1024" s="19"/>
      <c r="M1024" s="19"/>
      <c r="N1024" s="20"/>
      <c r="O1024" s="22"/>
      <c r="P1024" s="36"/>
      <c r="Q1024" s="37"/>
      <c r="R1024" s="37"/>
    </row>
    <row r="1025" spans="1:18" x14ac:dyDescent="0.2">
      <c r="A1025" s="13"/>
      <c r="B1025" s="18"/>
      <c r="C1025" s="19"/>
      <c r="D1025" s="19"/>
      <c r="E1025" s="20"/>
      <c r="F1025" s="22"/>
      <c r="G1025" s="36"/>
      <c r="H1025" s="37"/>
      <c r="I1025" s="37"/>
      <c r="J1025" s="13"/>
      <c r="K1025" s="18"/>
      <c r="L1025" s="19"/>
      <c r="M1025" s="19"/>
      <c r="N1025" s="20"/>
      <c r="O1025" s="22"/>
      <c r="P1025" s="36"/>
      <c r="Q1025" s="37"/>
      <c r="R1025" s="37"/>
    </row>
    <row r="1026" spans="1:18" x14ac:dyDescent="0.2">
      <c r="A1026" s="13"/>
      <c r="B1026" s="18"/>
      <c r="C1026" s="19"/>
      <c r="D1026" s="19"/>
      <c r="E1026" s="20"/>
      <c r="F1026" s="22"/>
      <c r="G1026" s="36"/>
      <c r="H1026" s="37"/>
      <c r="I1026" s="37"/>
      <c r="J1026" s="13"/>
      <c r="K1026" s="18"/>
      <c r="L1026" s="19"/>
      <c r="M1026" s="19"/>
      <c r="N1026" s="20"/>
      <c r="O1026" s="22"/>
      <c r="P1026" s="36"/>
      <c r="Q1026" s="37"/>
      <c r="R1026" s="37"/>
    </row>
    <row r="1027" spans="1:18" x14ac:dyDescent="0.2">
      <c r="A1027" s="13"/>
      <c r="B1027" s="18"/>
      <c r="C1027" s="19"/>
      <c r="D1027" s="19"/>
      <c r="E1027" s="20"/>
      <c r="F1027" s="22"/>
      <c r="G1027" s="22"/>
      <c r="H1027" s="23"/>
      <c r="I1027" s="23"/>
      <c r="J1027" s="13"/>
      <c r="K1027" s="18"/>
      <c r="L1027" s="19"/>
      <c r="M1027" s="19"/>
      <c r="N1027" s="20"/>
      <c r="O1027" s="22"/>
      <c r="P1027" s="22"/>
      <c r="Q1027" s="23"/>
      <c r="R1027" s="23"/>
    </row>
    <row r="1028" spans="1:18" x14ac:dyDescent="0.2">
      <c r="A1028" s="13"/>
      <c r="B1028" s="248" t="s">
        <v>30</v>
      </c>
      <c r="C1028" s="249"/>
      <c r="D1028" s="249"/>
      <c r="E1028" s="250"/>
      <c r="F1028" s="22"/>
      <c r="G1028" s="22"/>
      <c r="H1028" s="23"/>
      <c r="I1028" s="23">
        <f>SUM(I1015:I1027)</f>
        <v>1328.2360000000001</v>
      </c>
      <c r="J1028" s="13"/>
      <c r="K1028" s="139" t="s">
        <v>30</v>
      </c>
      <c r="L1028" s="140"/>
      <c r="M1028" s="140"/>
      <c r="N1028" s="141"/>
      <c r="O1028" s="22"/>
      <c r="P1028" s="22"/>
      <c r="Q1028" s="23"/>
      <c r="R1028" s="23">
        <f>SUM(R1015:R1027)</f>
        <v>703258</v>
      </c>
    </row>
    <row r="1029" spans="1:18" x14ac:dyDescent="0.2">
      <c r="A1029" s="12" t="s">
        <v>31</v>
      </c>
      <c r="B1029" s="260" t="s">
        <v>32</v>
      </c>
      <c r="C1029" s="261"/>
      <c r="D1029" s="261"/>
      <c r="E1029" s="261"/>
      <c r="F1029" s="39"/>
      <c r="G1029" s="39"/>
      <c r="H1029" s="40"/>
      <c r="I1029" s="41">
        <f>SUM(I1028+I1010)</f>
        <v>1475.596</v>
      </c>
      <c r="J1029" s="12" t="s">
        <v>31</v>
      </c>
      <c r="K1029" s="142" t="s">
        <v>32</v>
      </c>
      <c r="L1029" s="143"/>
      <c r="M1029" s="143"/>
      <c r="N1029" s="143"/>
      <c r="O1029" s="143"/>
      <c r="P1029" s="143"/>
      <c r="Q1029" s="40"/>
      <c r="R1029" s="41">
        <f>SUM(R1028+R1010)</f>
        <v>755363.6</v>
      </c>
    </row>
    <row r="1030" spans="1:18" x14ac:dyDescent="0.2">
      <c r="A1030" s="13" t="s">
        <v>33</v>
      </c>
      <c r="B1030" s="269">
        <f>E997</f>
        <v>2</v>
      </c>
      <c r="C1030" s="270"/>
      <c r="D1030" s="270"/>
      <c r="E1030" s="270"/>
      <c r="F1030" s="270"/>
      <c r="G1030" s="270"/>
      <c r="H1030" s="40"/>
      <c r="I1030" s="41"/>
      <c r="J1030" s="13" t="s">
        <v>33</v>
      </c>
      <c r="K1030" s="286">
        <f>N997</f>
        <v>1</v>
      </c>
      <c r="L1030" s="287"/>
      <c r="M1030" s="287"/>
      <c r="N1030" s="287"/>
      <c r="O1030" s="287"/>
      <c r="P1030" s="287"/>
      <c r="Q1030" s="40"/>
      <c r="R1030" s="41"/>
    </row>
    <row r="1031" spans="1:18" x14ac:dyDescent="0.2">
      <c r="A1031" s="13" t="s">
        <v>34</v>
      </c>
      <c r="B1031" s="42" t="s">
        <v>35</v>
      </c>
      <c r="C1031" s="43"/>
      <c r="D1031" s="43"/>
      <c r="E1031" s="39"/>
      <c r="F1031" s="44"/>
      <c r="G1031" s="44"/>
      <c r="H1031" s="40"/>
      <c r="I1031" s="41">
        <f>I1029/E997</f>
        <v>737.798</v>
      </c>
      <c r="J1031" s="13" t="s">
        <v>34</v>
      </c>
      <c r="K1031" s="147" t="s">
        <v>35</v>
      </c>
      <c r="L1031" s="43"/>
      <c r="M1031" s="43"/>
      <c r="N1031" s="143"/>
      <c r="O1031" s="148"/>
      <c r="P1031" s="148"/>
      <c r="Q1031" s="40"/>
      <c r="R1031" s="41">
        <f>R1029/N997</f>
        <v>755363.6</v>
      </c>
    </row>
    <row r="1032" spans="1:18" x14ac:dyDescent="0.2">
      <c r="A1032" s="12"/>
      <c r="B1032" s="251" t="s">
        <v>36</v>
      </c>
      <c r="C1032" s="252"/>
      <c r="D1032" s="252"/>
      <c r="E1032" s="253"/>
      <c r="F1032" s="244" t="s">
        <v>37</v>
      </c>
      <c r="G1032" s="244" t="s">
        <v>38</v>
      </c>
      <c r="H1032" s="244" t="s">
        <v>39</v>
      </c>
      <c r="I1032" s="246" t="s">
        <v>15</v>
      </c>
      <c r="J1032" s="12"/>
      <c r="K1032" s="251" t="s">
        <v>36</v>
      </c>
      <c r="L1032" s="252"/>
      <c r="M1032" s="252"/>
      <c r="N1032" s="253"/>
      <c r="O1032" s="244" t="s">
        <v>37</v>
      </c>
      <c r="P1032" s="244" t="s">
        <v>38</v>
      </c>
      <c r="Q1032" s="244" t="s">
        <v>39</v>
      </c>
      <c r="R1032" s="246" t="s">
        <v>15</v>
      </c>
    </row>
    <row r="1033" spans="1:18" x14ac:dyDescent="0.2">
      <c r="A1033" s="13"/>
      <c r="B1033" s="254"/>
      <c r="C1033" s="255"/>
      <c r="D1033" s="255"/>
      <c r="E1033" s="256"/>
      <c r="F1033" s="245"/>
      <c r="G1033" s="245"/>
      <c r="H1033" s="245"/>
      <c r="I1033" s="247"/>
      <c r="J1033" s="13"/>
      <c r="K1033" s="254"/>
      <c r="L1033" s="255"/>
      <c r="M1033" s="255"/>
      <c r="N1033" s="256"/>
      <c r="O1033" s="245"/>
      <c r="P1033" s="245"/>
      <c r="Q1033" s="245"/>
      <c r="R1033" s="247"/>
    </row>
    <row r="1034" spans="1:18" x14ac:dyDescent="0.2">
      <c r="A1034" s="13" t="s">
        <v>40</v>
      </c>
      <c r="B1034" s="18" t="s">
        <v>41</v>
      </c>
      <c r="C1034" s="19"/>
      <c r="D1034" s="19"/>
      <c r="E1034" s="20"/>
      <c r="F1034" s="22"/>
      <c r="G1034" s="22"/>
      <c r="H1034" s="23"/>
      <c r="I1034" s="23"/>
      <c r="J1034" s="13" t="s">
        <v>40</v>
      </c>
      <c r="K1034" s="18" t="s">
        <v>41</v>
      </c>
      <c r="L1034" s="19"/>
      <c r="M1034" s="19"/>
      <c r="N1034" s="20"/>
      <c r="O1034" s="22"/>
      <c r="P1034" s="22"/>
      <c r="Q1034" s="23"/>
      <c r="R1034" s="23"/>
    </row>
    <row r="1035" spans="1:18" x14ac:dyDescent="0.2">
      <c r="A1035" s="13"/>
      <c r="B1035" s="18"/>
      <c r="C1035" s="19"/>
      <c r="D1035" s="19"/>
      <c r="E1035" s="20"/>
      <c r="F1035" s="22"/>
      <c r="G1035" s="22"/>
      <c r="H1035" s="23"/>
      <c r="I1035" s="23"/>
      <c r="J1035" s="13"/>
      <c r="K1035" s="18"/>
      <c r="L1035" s="19"/>
      <c r="M1035" s="19"/>
      <c r="N1035" s="20"/>
      <c r="O1035" s="22"/>
      <c r="P1035" s="22"/>
      <c r="Q1035" s="23"/>
      <c r="R1035" s="23"/>
    </row>
    <row r="1036" spans="1:18" x14ac:dyDescent="0.2">
      <c r="A1036" s="13"/>
      <c r="B1036" s="18"/>
      <c r="C1036" s="19"/>
      <c r="D1036" s="19"/>
      <c r="E1036" s="20"/>
      <c r="F1036" s="22"/>
      <c r="G1036" s="62"/>
      <c r="H1036" s="23"/>
      <c r="I1036" s="23"/>
      <c r="J1036" s="13"/>
      <c r="K1036" s="18" t="s">
        <v>167</v>
      </c>
      <c r="L1036" s="19"/>
      <c r="M1036" s="19"/>
      <c r="N1036" s="20"/>
      <c r="O1036" s="22" t="s">
        <v>77</v>
      </c>
      <c r="P1036" s="23">
        <v>69120</v>
      </c>
      <c r="Q1036" s="107">
        <v>48</v>
      </c>
      <c r="R1036" s="23">
        <f>P1036*Q1036</f>
        <v>3317760</v>
      </c>
    </row>
    <row r="1037" spans="1:18" x14ac:dyDescent="0.2">
      <c r="A1037" s="13"/>
      <c r="B1037" s="18"/>
      <c r="C1037" s="19"/>
      <c r="D1037" s="19"/>
      <c r="E1037" s="20"/>
      <c r="F1037" s="22"/>
      <c r="G1037" s="22"/>
      <c r="H1037" s="23"/>
      <c r="I1037" s="23"/>
      <c r="J1037" s="13"/>
      <c r="K1037" s="18" t="s">
        <v>168</v>
      </c>
      <c r="L1037" s="19"/>
      <c r="M1037" s="19"/>
      <c r="N1037" s="20"/>
      <c r="O1037" s="22" t="s">
        <v>77</v>
      </c>
      <c r="P1037" s="23">
        <v>7323.77</v>
      </c>
      <c r="Q1037" s="107">
        <v>48</v>
      </c>
      <c r="R1037" s="23">
        <f>P1037*Q1037</f>
        <v>351540.96</v>
      </c>
    </row>
    <row r="1038" spans="1:18" x14ac:dyDescent="0.2">
      <c r="A1038" s="13"/>
      <c r="B1038" s="18"/>
      <c r="C1038" s="19"/>
      <c r="D1038" s="19"/>
      <c r="E1038" s="20"/>
      <c r="F1038" s="22"/>
      <c r="G1038" s="22"/>
      <c r="H1038" s="38"/>
      <c r="I1038" s="38"/>
      <c r="J1038" s="13"/>
      <c r="K1038" s="18" t="s">
        <v>1200</v>
      </c>
      <c r="L1038" s="19"/>
      <c r="M1038" s="19"/>
      <c r="N1038" s="20"/>
      <c r="O1038" s="22"/>
      <c r="P1038" s="22"/>
      <c r="Q1038" s="23"/>
      <c r="R1038" s="23">
        <f>(R1036+R1037)*0.01</f>
        <v>36693.009599999998</v>
      </c>
    </row>
    <row r="1039" spans="1:18" x14ac:dyDescent="0.2">
      <c r="A1039" s="13"/>
      <c r="B1039" s="18"/>
      <c r="C1039" s="19"/>
      <c r="D1039" s="19"/>
      <c r="E1039" s="20"/>
      <c r="F1039" s="22"/>
      <c r="G1039" s="22"/>
      <c r="H1039" s="38"/>
      <c r="I1039" s="38"/>
      <c r="J1039" s="13"/>
      <c r="K1039" s="18"/>
      <c r="L1039" s="19"/>
      <c r="M1039" s="19"/>
      <c r="N1039" s="20"/>
      <c r="O1039" s="22"/>
      <c r="P1039" s="22"/>
      <c r="Q1039" s="23"/>
      <c r="R1039" s="23"/>
    </row>
    <row r="1040" spans="1:18" x14ac:dyDescent="0.2">
      <c r="A1040" s="13"/>
      <c r="B1040" s="18"/>
      <c r="C1040" s="19"/>
      <c r="D1040" s="19"/>
      <c r="E1040" s="20"/>
      <c r="F1040" s="22"/>
      <c r="G1040" s="22"/>
      <c r="H1040" s="45"/>
      <c r="I1040" s="45"/>
      <c r="J1040" s="13"/>
      <c r="K1040" s="18"/>
      <c r="L1040" s="19"/>
      <c r="M1040" s="19"/>
      <c r="N1040" s="20"/>
      <c r="O1040" s="22"/>
      <c r="P1040" s="22"/>
      <c r="Q1040" s="23"/>
      <c r="R1040" s="23"/>
    </row>
    <row r="1041" spans="1:18" x14ac:dyDescent="0.2">
      <c r="A1041" s="13"/>
      <c r="B1041" s="18"/>
      <c r="C1041" s="19"/>
      <c r="D1041" s="19"/>
      <c r="E1041" s="20"/>
      <c r="F1041" s="22"/>
      <c r="G1041" s="22"/>
      <c r="H1041" s="45"/>
      <c r="I1041" s="45"/>
      <c r="J1041" s="13"/>
      <c r="K1041" s="24" t="s">
        <v>148</v>
      </c>
      <c r="L1041" s="25"/>
      <c r="M1041" s="25"/>
      <c r="N1041" s="26"/>
      <c r="O1041" s="22"/>
      <c r="P1041" s="62"/>
      <c r="Q1041" s="23"/>
      <c r="R1041" s="23"/>
    </row>
    <row r="1042" spans="1:18" x14ac:dyDescent="0.2">
      <c r="A1042" s="13"/>
      <c r="B1042" s="18"/>
      <c r="C1042" s="19"/>
      <c r="D1042" s="19"/>
      <c r="E1042" s="20"/>
      <c r="F1042" s="22"/>
      <c r="G1042" s="22"/>
      <c r="H1042" s="23"/>
      <c r="I1042" s="23"/>
      <c r="J1042" s="13"/>
      <c r="K1042" s="288" t="s">
        <v>170</v>
      </c>
      <c r="L1042" s="289"/>
      <c r="M1042" s="289"/>
      <c r="N1042" s="289"/>
      <c r="O1042" s="289"/>
      <c r="P1042" s="289"/>
      <c r="Q1042" s="290"/>
      <c r="R1042" s="87"/>
    </row>
    <row r="1043" spans="1:18" x14ac:dyDescent="0.2">
      <c r="A1043" s="13"/>
      <c r="B1043" s="18"/>
      <c r="C1043" s="19"/>
      <c r="D1043" s="19"/>
      <c r="E1043" s="20"/>
      <c r="F1043" s="22"/>
      <c r="G1043" s="22"/>
      <c r="H1043" s="23"/>
      <c r="I1043" s="23"/>
      <c r="J1043" s="13"/>
      <c r="K1043" s="288" t="s">
        <v>171</v>
      </c>
      <c r="L1043" s="289"/>
      <c r="M1043" s="289"/>
      <c r="N1043" s="289"/>
      <c r="O1043" s="289"/>
      <c r="P1043" s="289"/>
      <c r="Q1043" s="290"/>
      <c r="R1043" s="87"/>
    </row>
    <row r="1044" spans="1:18" x14ac:dyDescent="0.2">
      <c r="A1044" s="13"/>
      <c r="B1044" s="18"/>
      <c r="C1044" s="19"/>
      <c r="D1044" s="19"/>
      <c r="E1044" s="20"/>
      <c r="F1044" s="22"/>
      <c r="G1044" s="22"/>
      <c r="H1044" s="23"/>
      <c r="I1044" s="23"/>
      <c r="J1044" s="13"/>
      <c r="K1044" s="288" t="s">
        <v>172</v>
      </c>
      <c r="L1044" s="289"/>
      <c r="M1044" s="289"/>
      <c r="N1044" s="289"/>
      <c r="O1044" s="289"/>
      <c r="P1044" s="289"/>
      <c r="Q1044" s="290"/>
      <c r="R1044" s="87"/>
    </row>
    <row r="1045" spans="1:18" x14ac:dyDescent="0.2">
      <c r="A1045" s="13"/>
      <c r="B1045" s="18"/>
      <c r="C1045" s="19"/>
      <c r="D1045" s="19"/>
      <c r="E1045" s="20"/>
      <c r="F1045" s="22"/>
      <c r="G1045" s="22"/>
      <c r="H1045" s="23"/>
      <c r="I1045" s="23"/>
      <c r="J1045" s="13"/>
      <c r="K1045" s="288" t="s">
        <v>173</v>
      </c>
      <c r="L1045" s="289"/>
      <c r="M1045" s="289"/>
      <c r="N1045" s="289"/>
      <c r="O1045" s="289"/>
      <c r="P1045" s="289"/>
      <c r="Q1045" s="290"/>
      <c r="R1045" s="87"/>
    </row>
    <row r="1046" spans="1:18" x14ac:dyDescent="0.2">
      <c r="A1046" s="13"/>
      <c r="B1046" s="18"/>
      <c r="C1046" s="19"/>
      <c r="D1046" s="19"/>
      <c r="E1046" s="20"/>
      <c r="F1046" s="22"/>
      <c r="G1046" s="22"/>
      <c r="H1046" s="23"/>
      <c r="I1046" s="23"/>
      <c r="J1046" s="13"/>
      <c r="K1046" s="18"/>
      <c r="L1046" s="19"/>
      <c r="M1046" s="19"/>
      <c r="N1046" s="20"/>
      <c r="O1046" s="22"/>
      <c r="P1046" s="22"/>
      <c r="Q1046" s="23"/>
      <c r="R1046" s="23"/>
    </row>
    <row r="1047" spans="1:18" x14ac:dyDescent="0.2">
      <c r="A1047" s="13"/>
      <c r="B1047" s="18"/>
      <c r="C1047" s="19"/>
      <c r="D1047" s="19"/>
      <c r="E1047" s="20"/>
      <c r="F1047" s="22"/>
      <c r="G1047" s="22"/>
      <c r="H1047" s="23"/>
      <c r="I1047" s="23"/>
      <c r="J1047" s="13"/>
      <c r="K1047" s="18"/>
      <c r="L1047" s="19"/>
      <c r="M1047" s="19"/>
      <c r="N1047" s="20"/>
      <c r="O1047" s="22"/>
      <c r="P1047" s="22"/>
      <c r="Q1047" s="23"/>
      <c r="R1047" s="23"/>
    </row>
    <row r="1048" spans="1:18" x14ac:dyDescent="0.2">
      <c r="A1048" s="13"/>
      <c r="B1048" s="18"/>
      <c r="C1048" s="19"/>
      <c r="D1048" s="19"/>
      <c r="E1048" s="20"/>
      <c r="F1048" s="22"/>
      <c r="G1048" s="36"/>
      <c r="H1048" s="37"/>
      <c r="I1048" s="37"/>
      <c r="J1048" s="13"/>
      <c r="K1048" s="18"/>
      <c r="L1048" s="19"/>
      <c r="M1048" s="19"/>
      <c r="N1048" s="20"/>
      <c r="O1048" s="22"/>
      <c r="P1048" s="36"/>
      <c r="Q1048" s="37"/>
      <c r="R1048" s="37"/>
    </row>
    <row r="1049" spans="1:18" x14ac:dyDescent="0.2">
      <c r="A1049" s="13"/>
      <c r="B1049" s="248" t="s">
        <v>42</v>
      </c>
      <c r="C1049" s="249"/>
      <c r="D1049" s="249"/>
      <c r="E1049" s="250"/>
      <c r="F1049" s="46"/>
      <c r="G1049" s="46"/>
      <c r="H1049" s="47"/>
      <c r="I1049" s="47">
        <f>SUM(I1036:I1048)</f>
        <v>0</v>
      </c>
      <c r="J1049" s="13"/>
      <c r="K1049" s="139" t="s">
        <v>42</v>
      </c>
      <c r="L1049" s="140"/>
      <c r="M1049" s="140"/>
      <c r="N1049" s="141"/>
      <c r="O1049" s="46"/>
      <c r="P1049" s="46"/>
      <c r="Q1049" s="47"/>
      <c r="R1049" s="47">
        <f>SUM(R1036:R1048)</f>
        <v>3705993.9696</v>
      </c>
    </row>
    <row r="1050" spans="1:18" x14ac:dyDescent="0.2">
      <c r="A1050" s="12" t="s">
        <v>43</v>
      </c>
      <c r="B1050" s="48" t="s">
        <v>44</v>
      </c>
      <c r="C1050" s="43"/>
      <c r="D1050" s="43"/>
      <c r="E1050" s="39"/>
      <c r="F1050" s="49"/>
      <c r="G1050" s="49"/>
      <c r="H1050" s="50"/>
      <c r="I1050" s="51">
        <f>SUM(I1031+I1049)</f>
        <v>737.798</v>
      </c>
      <c r="J1050" s="12" t="s">
        <v>43</v>
      </c>
      <c r="K1050" s="48" t="s">
        <v>44</v>
      </c>
      <c r="L1050" s="43"/>
      <c r="M1050" s="43"/>
      <c r="N1050" s="143"/>
      <c r="O1050" s="49"/>
      <c r="P1050" s="49"/>
      <c r="Q1050" s="50"/>
      <c r="R1050" s="51">
        <f>SUM(R1031+R1049)</f>
        <v>4461357.5696</v>
      </c>
    </row>
    <row r="1051" spans="1:18" x14ac:dyDescent="0.2">
      <c r="A1051" s="13" t="s">
        <v>45</v>
      </c>
      <c r="B1051" s="48" t="s">
        <v>46</v>
      </c>
      <c r="C1051" s="43"/>
      <c r="D1051" s="43"/>
      <c r="E1051" s="39"/>
      <c r="F1051" s="49"/>
      <c r="G1051" s="52">
        <v>0.09</v>
      </c>
      <c r="H1051" s="53" t="s">
        <v>47</v>
      </c>
      <c r="I1051" s="51">
        <f>G1051*I1050</f>
        <v>66.401820000000001</v>
      </c>
      <c r="J1051" s="13" t="s">
        <v>45</v>
      </c>
      <c r="K1051" s="48" t="s">
        <v>46</v>
      </c>
      <c r="L1051" s="43"/>
      <c r="M1051" s="43"/>
      <c r="N1051" s="143"/>
      <c r="O1051" s="49"/>
      <c r="P1051" s="52">
        <v>0.09</v>
      </c>
      <c r="Q1051" s="53" t="s">
        <v>47</v>
      </c>
      <c r="R1051" s="51">
        <f>P1051*R1050</f>
        <v>401522.18126400001</v>
      </c>
    </row>
    <row r="1052" spans="1:18" x14ac:dyDescent="0.2">
      <c r="A1052" s="13" t="s">
        <v>48</v>
      </c>
      <c r="B1052" s="48" t="s">
        <v>49</v>
      </c>
      <c r="C1052" s="43"/>
      <c r="D1052" s="43"/>
      <c r="E1052" s="39"/>
      <c r="F1052" s="49"/>
      <c r="G1052" s="52">
        <v>0.08</v>
      </c>
      <c r="H1052" s="53" t="s">
        <v>47</v>
      </c>
      <c r="I1052" s="51">
        <f>G1052*I1050</f>
        <v>59.02384</v>
      </c>
      <c r="J1052" s="13" t="s">
        <v>48</v>
      </c>
      <c r="K1052" s="48" t="s">
        <v>49</v>
      </c>
      <c r="L1052" s="43"/>
      <c r="M1052" s="43"/>
      <c r="N1052" s="143"/>
      <c r="O1052" s="49"/>
      <c r="P1052" s="52">
        <v>0.08</v>
      </c>
      <c r="Q1052" s="53" t="s">
        <v>47</v>
      </c>
      <c r="R1052" s="51">
        <f>P1052*R1050</f>
        <v>356908.605568</v>
      </c>
    </row>
    <row r="1053" spans="1:18" x14ac:dyDescent="0.2">
      <c r="A1053" s="13" t="s">
        <v>50</v>
      </c>
      <c r="B1053" s="48" t="s">
        <v>51</v>
      </c>
      <c r="C1053" s="43"/>
      <c r="D1053" s="43"/>
      <c r="E1053" s="39"/>
      <c r="F1053" s="49"/>
      <c r="G1053" s="52">
        <f>5/100</f>
        <v>0.05</v>
      </c>
      <c r="H1053" s="53" t="s">
        <v>52</v>
      </c>
      <c r="I1053" s="51">
        <f>G1053*(I1050+I1051+I1052)</f>
        <v>43.161183000000001</v>
      </c>
      <c r="J1053" s="13" t="s">
        <v>50</v>
      </c>
      <c r="K1053" s="48" t="s">
        <v>51</v>
      </c>
      <c r="L1053" s="43"/>
      <c r="M1053" s="43"/>
      <c r="N1053" s="143"/>
      <c r="O1053" s="49"/>
      <c r="P1053" s="52">
        <f>5/100</f>
        <v>0.05</v>
      </c>
      <c r="Q1053" s="53" t="s">
        <v>52</v>
      </c>
      <c r="R1053" s="51">
        <f>P1053*(R1050+R1051+R1052)</f>
        <v>260989.41782160001</v>
      </c>
    </row>
    <row r="1054" spans="1:18" x14ac:dyDescent="0.2">
      <c r="A1054" s="54" t="s">
        <v>53</v>
      </c>
      <c r="B1054" s="48" t="s">
        <v>54</v>
      </c>
      <c r="C1054" s="43"/>
      <c r="D1054" s="43"/>
      <c r="E1054" s="39"/>
      <c r="F1054" s="49"/>
      <c r="G1054" s="49"/>
      <c r="H1054" s="55" t="s">
        <v>55</v>
      </c>
      <c r="I1054" s="51">
        <f>SUM(I1050+I1051+I1052+I1053)</f>
        <v>906.38484300000005</v>
      </c>
      <c r="J1054" s="54" t="s">
        <v>53</v>
      </c>
      <c r="K1054" s="48" t="s">
        <v>54</v>
      </c>
      <c r="L1054" s="43"/>
      <c r="M1054" s="43"/>
      <c r="N1054" s="143"/>
      <c r="O1054" s="49"/>
      <c r="P1054" s="49"/>
      <c r="Q1054" s="55" t="s">
        <v>55</v>
      </c>
      <c r="R1054" s="51">
        <f>SUM(R1050+R1051+R1052+R1053)</f>
        <v>5480777.7742536003</v>
      </c>
    </row>
    <row r="1055" spans="1:18" s="1" customFormat="1" x14ac:dyDescent="0.2">
      <c r="A1055" s="285" t="s">
        <v>0</v>
      </c>
      <c r="B1055" s="285"/>
      <c r="C1055" s="285"/>
      <c r="D1055" s="285"/>
      <c r="E1055" s="285"/>
      <c r="F1055" s="285"/>
      <c r="G1055" s="285"/>
      <c r="H1055" s="285"/>
      <c r="I1055" s="285"/>
      <c r="J1055" s="285" t="s">
        <v>0</v>
      </c>
      <c r="K1055" s="285"/>
      <c r="L1055" s="285"/>
      <c r="M1055" s="285"/>
      <c r="N1055" s="285"/>
      <c r="O1055" s="285"/>
      <c r="P1055" s="285"/>
      <c r="Q1055" s="285"/>
      <c r="R1055" s="285"/>
    </row>
    <row r="1056" spans="1:18" x14ac:dyDescent="0.2">
      <c r="J1056" s="80"/>
      <c r="K1056" s="66"/>
      <c r="L1056" s="19"/>
      <c r="M1056" s="19"/>
      <c r="N1056" s="20"/>
      <c r="O1056" s="66"/>
      <c r="P1056" s="66"/>
      <c r="Q1056" s="66"/>
      <c r="R1056" s="66"/>
    </row>
    <row r="1057" spans="1:18" x14ac:dyDescent="0.2">
      <c r="A1057" s="2" t="s">
        <v>1</v>
      </c>
      <c r="C1057" s="4" t="s">
        <v>2</v>
      </c>
      <c r="D1057" s="5" t="s">
        <v>178</v>
      </c>
      <c r="E1057" s="237" t="s">
        <v>179</v>
      </c>
      <c r="F1057" s="237"/>
      <c r="G1057" s="237"/>
      <c r="H1057" s="237"/>
      <c r="I1057" s="8"/>
      <c r="J1057" s="146" t="s">
        <v>1</v>
      </c>
      <c r="K1057" s="66"/>
      <c r="L1057" s="19" t="s">
        <v>2</v>
      </c>
      <c r="M1057" s="20" t="s">
        <v>176</v>
      </c>
      <c r="N1057" s="146" t="s">
        <v>177</v>
      </c>
      <c r="O1057" s="146"/>
      <c r="P1057" s="146"/>
      <c r="Q1057" s="146"/>
      <c r="R1057" s="66"/>
    </row>
    <row r="1058" spans="1:18" x14ac:dyDescent="0.2">
      <c r="A1058" s="2" t="s">
        <v>7</v>
      </c>
      <c r="C1058" s="4" t="s">
        <v>2</v>
      </c>
      <c r="E1058" s="2" t="s">
        <v>8</v>
      </c>
      <c r="F1058" s="8"/>
      <c r="G1058" s="8"/>
      <c r="H1058" s="8"/>
      <c r="J1058" s="146" t="s">
        <v>7</v>
      </c>
      <c r="K1058" s="66"/>
      <c r="L1058" s="19" t="s">
        <v>2</v>
      </c>
      <c r="M1058" s="19"/>
      <c r="N1058" s="146" t="s">
        <v>9</v>
      </c>
      <c r="O1058" s="25"/>
      <c r="P1058" s="25"/>
      <c r="Q1058" s="25"/>
      <c r="R1058" s="66"/>
    </row>
    <row r="1059" spans="1:18" x14ac:dyDescent="0.2">
      <c r="A1059" s="2" t="s">
        <v>10</v>
      </c>
      <c r="C1059" s="4" t="s">
        <v>2</v>
      </c>
      <c r="E1059" s="9">
        <v>40</v>
      </c>
      <c r="F1059" s="8"/>
      <c r="G1059" s="8"/>
      <c r="H1059" s="8"/>
      <c r="J1059" s="146" t="s">
        <v>10</v>
      </c>
      <c r="K1059" s="66"/>
      <c r="L1059" s="19" t="s">
        <v>2</v>
      </c>
      <c r="M1059" s="19"/>
      <c r="N1059" s="81">
        <v>20</v>
      </c>
      <c r="O1059" s="25"/>
      <c r="P1059" s="25"/>
      <c r="Q1059" s="25"/>
      <c r="R1059" s="66"/>
    </row>
    <row r="1060" spans="1:18" x14ac:dyDescent="0.2">
      <c r="B1060" s="8"/>
      <c r="F1060" s="11"/>
      <c r="G1060" s="8"/>
      <c r="H1060" s="8"/>
      <c r="I1060" s="8"/>
      <c r="J1060" s="80"/>
      <c r="K1060" s="25"/>
      <c r="L1060" s="19"/>
      <c r="M1060" s="19"/>
      <c r="N1060" s="20"/>
      <c r="O1060" s="88"/>
      <c r="P1060" s="25"/>
      <c r="Q1060" s="25"/>
      <c r="R1060" s="25"/>
    </row>
    <row r="1061" spans="1:18" x14ac:dyDescent="0.2">
      <c r="A1061" s="12"/>
      <c r="B1061" s="238" t="s">
        <v>11</v>
      </c>
      <c r="C1061" s="239"/>
      <c r="D1061" s="239"/>
      <c r="E1061" s="240"/>
      <c r="F1061" s="244" t="s">
        <v>12</v>
      </c>
      <c r="G1061" s="244" t="s">
        <v>13</v>
      </c>
      <c r="H1061" s="244" t="s">
        <v>14</v>
      </c>
      <c r="I1061" s="246" t="s">
        <v>15</v>
      </c>
      <c r="J1061" s="12"/>
      <c r="K1061" s="238" t="s">
        <v>11</v>
      </c>
      <c r="L1061" s="239"/>
      <c r="M1061" s="239"/>
      <c r="N1061" s="240"/>
      <c r="O1061" s="244" t="s">
        <v>12</v>
      </c>
      <c r="P1061" s="244" t="s">
        <v>13</v>
      </c>
      <c r="Q1061" s="244" t="s">
        <v>14</v>
      </c>
      <c r="R1061" s="246" t="s">
        <v>15</v>
      </c>
    </row>
    <row r="1062" spans="1:18" x14ac:dyDescent="0.2">
      <c r="A1062" s="13"/>
      <c r="B1062" s="241"/>
      <c r="C1062" s="242"/>
      <c r="D1062" s="242"/>
      <c r="E1062" s="243"/>
      <c r="F1062" s="245"/>
      <c r="G1062" s="245"/>
      <c r="H1062" s="245"/>
      <c r="I1062" s="247"/>
      <c r="J1062" s="13"/>
      <c r="K1062" s="241"/>
      <c r="L1062" s="242"/>
      <c r="M1062" s="242"/>
      <c r="N1062" s="243"/>
      <c r="O1062" s="245"/>
      <c r="P1062" s="245"/>
      <c r="Q1062" s="245"/>
      <c r="R1062" s="247"/>
    </row>
    <row r="1063" spans="1:18" x14ac:dyDescent="0.2">
      <c r="A1063" s="13" t="s">
        <v>16</v>
      </c>
      <c r="B1063" s="14" t="s">
        <v>17</v>
      </c>
      <c r="C1063" s="15"/>
      <c r="D1063" s="15"/>
      <c r="E1063" s="16"/>
      <c r="F1063" s="17"/>
      <c r="G1063" s="17"/>
      <c r="H1063" s="17"/>
      <c r="I1063" s="17"/>
      <c r="J1063" s="13" t="s">
        <v>16</v>
      </c>
      <c r="K1063" s="14" t="s">
        <v>17</v>
      </c>
      <c r="L1063" s="15"/>
      <c r="M1063" s="15"/>
      <c r="N1063" s="16"/>
      <c r="O1063" s="17"/>
      <c r="P1063" s="17"/>
      <c r="Q1063" s="17"/>
      <c r="R1063" s="17"/>
    </row>
    <row r="1064" spans="1:18" x14ac:dyDescent="0.2">
      <c r="A1064" s="13"/>
      <c r="B1064" s="18"/>
      <c r="C1064" s="19"/>
      <c r="D1064" s="19"/>
      <c r="E1064" s="20"/>
      <c r="F1064" s="21"/>
      <c r="G1064" s="22"/>
      <c r="H1064" s="21"/>
      <c r="I1064" s="21"/>
      <c r="J1064" s="13"/>
      <c r="K1064" s="18"/>
      <c r="L1064" s="19"/>
      <c r="M1064" s="19"/>
      <c r="N1064" s="20"/>
      <c r="O1064" s="21"/>
      <c r="P1064" s="22"/>
      <c r="Q1064" s="21"/>
      <c r="R1064" s="21"/>
    </row>
    <row r="1065" spans="1:18" x14ac:dyDescent="0.2">
      <c r="A1065" s="13"/>
      <c r="B1065" s="24" t="s">
        <v>18</v>
      </c>
      <c r="C1065" s="25"/>
      <c r="D1065" s="25"/>
      <c r="E1065" s="26"/>
      <c r="F1065" s="22">
        <v>1</v>
      </c>
      <c r="G1065" s="23">
        <v>1</v>
      </c>
      <c r="H1065" s="23">
        <v>69.42</v>
      </c>
      <c r="I1065" s="23">
        <f>G1065*H1065*F1065</f>
        <v>69.42</v>
      </c>
      <c r="J1065" s="13"/>
      <c r="K1065" s="24" t="s">
        <v>18</v>
      </c>
      <c r="L1065" s="25"/>
      <c r="M1065" s="25"/>
      <c r="N1065" s="26"/>
      <c r="O1065" s="22">
        <v>1</v>
      </c>
      <c r="P1065" s="62">
        <v>1</v>
      </c>
      <c r="Q1065" s="23">
        <v>69.42</v>
      </c>
      <c r="R1065" s="23">
        <f>P1065*Q1065*O1065</f>
        <v>69.42</v>
      </c>
    </row>
    <row r="1066" spans="1:18" x14ac:dyDescent="0.2">
      <c r="A1066" s="13"/>
      <c r="B1066" s="257" t="s">
        <v>1179</v>
      </c>
      <c r="C1066" s="258"/>
      <c r="D1066" s="25"/>
      <c r="E1066" s="26"/>
      <c r="F1066" s="22">
        <v>2</v>
      </c>
      <c r="G1066" s="23">
        <v>1</v>
      </c>
      <c r="H1066" s="23">
        <v>38.97</v>
      </c>
      <c r="I1066" s="23">
        <f>G1066*H1066*F1066</f>
        <v>77.94</v>
      </c>
      <c r="J1066" s="13"/>
      <c r="K1066" s="149" t="s">
        <v>1179</v>
      </c>
      <c r="L1066" s="146"/>
      <c r="M1066" s="19"/>
      <c r="N1066" s="20"/>
      <c r="O1066" s="22">
        <v>3</v>
      </c>
      <c r="P1066" s="62">
        <v>1</v>
      </c>
      <c r="Q1066" s="23">
        <v>38.97</v>
      </c>
      <c r="R1066" s="23">
        <f>P1066*Q1066*O1066</f>
        <v>116.91</v>
      </c>
    </row>
    <row r="1067" spans="1:18" x14ac:dyDescent="0.2">
      <c r="A1067" s="13"/>
      <c r="B1067" s="257"/>
      <c r="C1067" s="258"/>
      <c r="D1067" s="19"/>
      <c r="E1067" s="20"/>
      <c r="F1067" s="22"/>
      <c r="G1067" s="22"/>
      <c r="H1067" s="23"/>
      <c r="I1067" s="23"/>
      <c r="J1067" s="13"/>
      <c r="K1067" s="145"/>
      <c r="L1067" s="146"/>
      <c r="M1067" s="19"/>
      <c r="N1067" s="20"/>
      <c r="O1067" s="22"/>
      <c r="P1067" s="22"/>
      <c r="Q1067" s="23"/>
      <c r="R1067" s="23"/>
    </row>
    <row r="1068" spans="1:18" x14ac:dyDescent="0.2">
      <c r="A1068" s="13"/>
      <c r="B1068" s="27"/>
      <c r="C1068" s="63"/>
      <c r="D1068" s="19"/>
      <c r="E1068" s="20"/>
      <c r="F1068" s="22"/>
      <c r="G1068" s="22"/>
      <c r="H1068" s="29"/>
      <c r="I1068" s="30"/>
      <c r="J1068" s="13"/>
      <c r="K1068" s="145"/>
      <c r="L1068" s="19"/>
      <c r="M1068" s="19"/>
      <c r="N1068" s="20"/>
      <c r="O1068" s="22"/>
      <c r="P1068" s="22"/>
      <c r="Q1068" s="29"/>
      <c r="R1068" s="30"/>
    </row>
    <row r="1069" spans="1:18" x14ac:dyDescent="0.2">
      <c r="A1069" s="13"/>
      <c r="B1069" s="27"/>
      <c r="C1069" s="63"/>
      <c r="D1069" s="19"/>
      <c r="E1069" s="20"/>
      <c r="F1069" s="22"/>
      <c r="G1069" s="22"/>
      <c r="H1069" s="29"/>
      <c r="I1069" s="30"/>
      <c r="J1069" s="13"/>
      <c r="K1069" s="145"/>
      <c r="L1069" s="19"/>
      <c r="M1069" s="19"/>
      <c r="N1069" s="20"/>
      <c r="O1069" s="22"/>
      <c r="P1069" s="22"/>
      <c r="Q1069" s="29"/>
      <c r="R1069" s="30"/>
    </row>
    <row r="1070" spans="1:18" x14ac:dyDescent="0.2">
      <c r="A1070" s="13"/>
      <c r="B1070" s="24"/>
      <c r="C1070" s="25"/>
      <c r="D1070" s="19"/>
      <c r="E1070" s="20"/>
      <c r="F1070" s="22"/>
      <c r="G1070" s="22"/>
      <c r="H1070" s="23"/>
      <c r="I1070" s="23"/>
      <c r="J1070" s="13"/>
      <c r="K1070" s="18"/>
      <c r="L1070" s="19"/>
      <c r="M1070" s="19"/>
      <c r="N1070" s="20"/>
      <c r="O1070" s="22"/>
      <c r="P1070" s="22"/>
      <c r="Q1070" s="28"/>
      <c r="R1070" s="23"/>
    </row>
    <row r="1071" spans="1:18" x14ac:dyDescent="0.2">
      <c r="A1071" s="13"/>
      <c r="B1071" s="24"/>
      <c r="C1071" s="25"/>
      <c r="D1071" s="19"/>
      <c r="E1071" s="20"/>
      <c r="F1071" s="22"/>
      <c r="G1071" s="22"/>
      <c r="H1071" s="23"/>
      <c r="I1071" s="23"/>
      <c r="J1071" s="13"/>
      <c r="K1071" s="18"/>
      <c r="L1071" s="19"/>
      <c r="M1071" s="19"/>
      <c r="N1071" s="20"/>
      <c r="O1071" s="22"/>
      <c r="P1071" s="22"/>
      <c r="Q1071" s="23"/>
      <c r="R1071" s="23"/>
    </row>
    <row r="1072" spans="1:18" x14ac:dyDescent="0.2">
      <c r="A1072" s="13"/>
      <c r="B1072" s="248" t="s">
        <v>20</v>
      </c>
      <c r="C1072" s="249"/>
      <c r="D1072" s="249"/>
      <c r="E1072" s="250"/>
      <c r="F1072" s="31"/>
      <c r="G1072" s="31"/>
      <c r="H1072" s="32"/>
      <c r="I1072" s="32">
        <f>SUM(I1065:I1071)</f>
        <v>147.36000000000001</v>
      </c>
      <c r="J1072" s="13"/>
      <c r="K1072" s="139" t="s">
        <v>20</v>
      </c>
      <c r="L1072" s="140"/>
      <c r="M1072" s="140"/>
      <c r="N1072" s="141"/>
      <c r="O1072" s="31"/>
      <c r="P1072" s="31"/>
      <c r="Q1072" s="32"/>
      <c r="R1072" s="32">
        <f>SUM(R1065:R1071)</f>
        <v>186.32999999999998</v>
      </c>
    </row>
    <row r="1073" spans="1:18" x14ac:dyDescent="0.2">
      <c r="A1073" s="12"/>
      <c r="B1073" s="251" t="s">
        <v>21</v>
      </c>
      <c r="C1073" s="252"/>
      <c r="D1073" s="252"/>
      <c r="E1073" s="253"/>
      <c r="F1073" s="244" t="s">
        <v>22</v>
      </c>
      <c r="G1073" s="244" t="s">
        <v>13</v>
      </c>
      <c r="H1073" s="244" t="s">
        <v>14</v>
      </c>
      <c r="I1073" s="246" t="s">
        <v>15</v>
      </c>
      <c r="J1073" s="12"/>
      <c r="K1073" s="251" t="s">
        <v>21</v>
      </c>
      <c r="L1073" s="252"/>
      <c r="M1073" s="252"/>
      <c r="N1073" s="253"/>
      <c r="O1073" s="244" t="s">
        <v>22</v>
      </c>
      <c r="P1073" s="244" t="s">
        <v>13</v>
      </c>
      <c r="Q1073" s="244" t="s">
        <v>14</v>
      </c>
      <c r="R1073" s="246" t="s">
        <v>15</v>
      </c>
    </row>
    <row r="1074" spans="1:18" x14ac:dyDescent="0.2">
      <c r="A1074" s="13"/>
      <c r="B1074" s="254"/>
      <c r="C1074" s="255"/>
      <c r="D1074" s="255"/>
      <c r="E1074" s="256"/>
      <c r="F1074" s="245"/>
      <c r="G1074" s="245"/>
      <c r="H1074" s="245"/>
      <c r="I1074" s="247"/>
      <c r="J1074" s="13"/>
      <c r="K1074" s="254"/>
      <c r="L1074" s="255"/>
      <c r="M1074" s="255"/>
      <c r="N1074" s="256"/>
      <c r="O1074" s="245"/>
      <c r="P1074" s="245"/>
      <c r="Q1074" s="245"/>
      <c r="R1074" s="247"/>
    </row>
    <row r="1075" spans="1:18" x14ac:dyDescent="0.2">
      <c r="A1075" s="13" t="s">
        <v>23</v>
      </c>
      <c r="B1075" s="33" t="s">
        <v>24</v>
      </c>
      <c r="C1075" s="15"/>
      <c r="D1075" s="15"/>
      <c r="E1075" s="16"/>
      <c r="F1075" s="34"/>
      <c r="G1075" s="34"/>
      <c r="H1075" s="35"/>
      <c r="I1075" s="35"/>
      <c r="J1075" s="13" t="s">
        <v>23</v>
      </c>
      <c r="K1075" s="33" t="s">
        <v>24</v>
      </c>
      <c r="L1075" s="15"/>
      <c r="M1075" s="15"/>
      <c r="N1075" s="16"/>
      <c r="O1075" s="34"/>
      <c r="P1075" s="34"/>
      <c r="Q1075" s="35"/>
      <c r="R1075" s="35"/>
    </row>
    <row r="1076" spans="1:18" x14ac:dyDescent="0.2">
      <c r="A1076" s="13"/>
      <c r="B1076" s="18"/>
      <c r="C1076" s="19"/>
      <c r="D1076" s="19"/>
      <c r="E1076" s="20"/>
      <c r="F1076" s="22"/>
      <c r="G1076" s="22"/>
      <c r="H1076" s="23"/>
      <c r="I1076" s="23"/>
      <c r="J1076" s="13"/>
      <c r="K1076" s="18"/>
      <c r="L1076" s="19"/>
      <c r="M1076" s="19"/>
      <c r="N1076" s="20"/>
      <c r="O1076" s="22"/>
      <c r="P1076" s="22"/>
      <c r="Q1076" s="23"/>
      <c r="R1076" s="23"/>
    </row>
    <row r="1077" spans="1:18" x14ac:dyDescent="0.2">
      <c r="A1077" s="13"/>
      <c r="B1077" s="18" t="s">
        <v>182</v>
      </c>
      <c r="C1077" s="66"/>
      <c r="D1077" s="19"/>
      <c r="E1077" s="20"/>
      <c r="F1077" s="22">
        <v>1</v>
      </c>
      <c r="G1077" s="23">
        <v>1</v>
      </c>
      <c r="H1077" s="37">
        <v>1998.1</v>
      </c>
      <c r="I1077" s="37">
        <f>G1077*H1077*F1077</f>
        <v>1998.1</v>
      </c>
      <c r="J1077" s="13"/>
      <c r="K1077" s="18" t="s">
        <v>1130</v>
      </c>
      <c r="L1077" s="19"/>
      <c r="M1077" s="19"/>
      <c r="N1077" s="20"/>
      <c r="O1077" s="22">
        <v>2</v>
      </c>
      <c r="P1077" s="23">
        <v>1</v>
      </c>
      <c r="Q1077" s="37">
        <v>1420</v>
      </c>
      <c r="R1077" s="37">
        <f>P1077*Q1077*O1077</f>
        <v>2840</v>
      </c>
    </row>
    <row r="1078" spans="1:18" x14ac:dyDescent="0.2">
      <c r="A1078" s="13"/>
      <c r="B1078" s="18" t="s">
        <v>183</v>
      </c>
      <c r="C1078" s="66"/>
      <c r="D1078" s="19"/>
      <c r="E1078" s="20"/>
      <c r="F1078" s="22">
        <v>1</v>
      </c>
      <c r="G1078" s="23">
        <v>1</v>
      </c>
      <c r="H1078" s="37">
        <v>1733</v>
      </c>
      <c r="I1078" s="37">
        <f>G1078*H1078*F1078</f>
        <v>1733</v>
      </c>
      <c r="J1078" s="13"/>
      <c r="K1078" s="18" t="s">
        <v>99</v>
      </c>
      <c r="L1078" s="19"/>
      <c r="M1078" s="19"/>
      <c r="N1078" s="20"/>
      <c r="O1078" s="22">
        <v>1</v>
      </c>
      <c r="P1078" s="23">
        <v>1</v>
      </c>
      <c r="Q1078" s="37">
        <v>1537</v>
      </c>
      <c r="R1078" s="37">
        <f>Q1078</f>
        <v>1537</v>
      </c>
    </row>
    <row r="1079" spans="1:18" x14ac:dyDescent="0.2">
      <c r="A1079" s="13"/>
      <c r="B1079" s="18" t="s">
        <v>1147</v>
      </c>
      <c r="C1079" s="66"/>
      <c r="D1079" s="19"/>
      <c r="E1079" s="20"/>
      <c r="F1079" s="22">
        <v>1</v>
      </c>
      <c r="G1079" s="23">
        <v>0.5</v>
      </c>
      <c r="H1079" s="37">
        <v>1420</v>
      </c>
      <c r="I1079" s="37">
        <f>G1079*H1079*F1079</f>
        <v>710</v>
      </c>
      <c r="J1079" s="13"/>
      <c r="K1079" s="18" t="s">
        <v>1192</v>
      </c>
      <c r="L1079" s="19"/>
      <c r="M1079" s="19"/>
      <c r="N1079" s="20"/>
      <c r="O1079" s="22"/>
      <c r="P1079" s="36"/>
      <c r="R1079" s="37">
        <f>R1072*0.1</f>
        <v>18.632999999999999</v>
      </c>
    </row>
    <row r="1080" spans="1:18" x14ac:dyDescent="0.2">
      <c r="A1080" s="13"/>
      <c r="B1080" s="18" t="s">
        <v>1192</v>
      </c>
      <c r="C1080" s="66"/>
      <c r="F1080" s="22"/>
      <c r="G1080" s="23"/>
      <c r="I1080" s="37">
        <f>I1072*0.1</f>
        <v>14.736000000000002</v>
      </c>
      <c r="J1080" s="13"/>
      <c r="K1080" s="66"/>
      <c r="L1080" s="19"/>
      <c r="M1080" s="19"/>
      <c r="N1080" s="20"/>
      <c r="O1080" s="21"/>
      <c r="P1080" s="21"/>
      <c r="Q1080" s="21"/>
      <c r="R1080" s="37"/>
    </row>
    <row r="1081" spans="1:18" x14ac:dyDescent="0.2">
      <c r="A1081" s="13"/>
      <c r="B1081" s="18"/>
      <c r="C1081" s="19"/>
      <c r="D1081" s="19"/>
      <c r="E1081" s="20"/>
      <c r="F1081" s="22"/>
      <c r="G1081" s="36"/>
      <c r="H1081" s="37"/>
      <c r="I1081" s="37"/>
      <c r="J1081" s="13"/>
      <c r="K1081" s="18"/>
      <c r="L1081" s="19"/>
      <c r="M1081" s="19"/>
      <c r="N1081" s="20"/>
      <c r="O1081" s="22"/>
      <c r="P1081" s="36"/>
      <c r="Q1081" s="37"/>
      <c r="R1081" s="37"/>
    </row>
    <row r="1082" spans="1:18" x14ac:dyDescent="0.2">
      <c r="A1082" s="13"/>
      <c r="B1082" s="18" t="s">
        <v>101</v>
      </c>
      <c r="C1082" s="19"/>
      <c r="D1082" s="19"/>
      <c r="E1082" s="20"/>
      <c r="F1082" s="22"/>
      <c r="G1082" s="36"/>
      <c r="H1082" s="37"/>
      <c r="I1082" s="37"/>
      <c r="J1082" s="13"/>
      <c r="K1082" s="18"/>
      <c r="L1082" s="19"/>
      <c r="M1082" s="19"/>
      <c r="N1082" s="20"/>
      <c r="O1082" s="22"/>
      <c r="P1082" s="36"/>
      <c r="Q1082" s="38"/>
      <c r="R1082" s="38"/>
    </row>
    <row r="1083" spans="1:18" x14ac:dyDescent="0.2">
      <c r="A1083" s="13"/>
      <c r="C1083" s="19"/>
      <c r="D1083" s="19"/>
      <c r="E1083" s="20"/>
      <c r="F1083" s="22"/>
      <c r="G1083" s="36"/>
      <c r="H1083" s="37"/>
      <c r="I1083" s="37"/>
      <c r="J1083" s="13"/>
      <c r="K1083" s="18"/>
      <c r="L1083" s="19"/>
      <c r="M1083" s="19"/>
      <c r="N1083" s="20"/>
      <c r="O1083" s="22"/>
      <c r="P1083" s="36"/>
      <c r="Q1083" s="38"/>
      <c r="R1083" s="38"/>
    </row>
    <row r="1084" spans="1:18" x14ac:dyDescent="0.2">
      <c r="A1084" s="13"/>
      <c r="B1084" s="18"/>
      <c r="C1084" s="19"/>
      <c r="D1084" s="19"/>
      <c r="E1084" s="20"/>
      <c r="F1084" s="22"/>
      <c r="G1084" s="23"/>
      <c r="H1084" s="37"/>
      <c r="I1084" s="37"/>
      <c r="J1084" s="13"/>
      <c r="K1084" s="18"/>
      <c r="L1084" s="19"/>
      <c r="M1084" s="19"/>
      <c r="N1084" s="20"/>
      <c r="O1084" s="22"/>
      <c r="P1084" s="36"/>
      <c r="Q1084" s="38"/>
      <c r="R1084" s="38"/>
    </row>
    <row r="1085" spans="1:18" x14ac:dyDescent="0.2">
      <c r="A1085" s="13"/>
      <c r="B1085" s="18"/>
      <c r="C1085" s="19"/>
      <c r="D1085" s="19"/>
      <c r="E1085" s="20"/>
      <c r="F1085" s="22"/>
      <c r="G1085" s="23"/>
      <c r="H1085" s="37"/>
      <c r="I1085" s="37"/>
      <c r="J1085" s="13"/>
      <c r="K1085" s="18"/>
      <c r="L1085" s="19"/>
      <c r="M1085" s="19"/>
      <c r="N1085" s="20"/>
      <c r="O1085" s="22"/>
      <c r="P1085" s="36"/>
      <c r="Q1085" s="38"/>
      <c r="R1085" s="38"/>
    </row>
    <row r="1086" spans="1:18" x14ac:dyDescent="0.2">
      <c r="A1086" s="13"/>
      <c r="B1086" s="7"/>
      <c r="C1086" s="7"/>
      <c r="D1086" s="7"/>
      <c r="E1086" s="7"/>
      <c r="F1086" s="72"/>
      <c r="G1086" s="72"/>
      <c r="H1086" s="72"/>
      <c r="I1086" s="72"/>
      <c r="J1086" s="13"/>
      <c r="K1086" s="18"/>
      <c r="L1086" s="19"/>
      <c r="M1086" s="19"/>
      <c r="N1086" s="20"/>
      <c r="O1086" s="22"/>
      <c r="P1086" s="36"/>
      <c r="Q1086" s="37"/>
      <c r="R1086" s="37"/>
    </row>
    <row r="1087" spans="1:18" x14ac:dyDescent="0.2">
      <c r="A1087" s="13"/>
      <c r="B1087" s="18"/>
      <c r="C1087" s="19"/>
      <c r="D1087" s="19"/>
      <c r="E1087" s="20"/>
      <c r="F1087" s="22"/>
      <c r="G1087" s="36"/>
      <c r="H1087" s="37"/>
      <c r="I1087" s="37"/>
      <c r="J1087" s="13"/>
      <c r="K1087" s="18"/>
      <c r="L1087" s="19"/>
      <c r="M1087" s="19"/>
      <c r="N1087" s="20"/>
      <c r="O1087" s="22"/>
      <c r="P1087" s="36"/>
      <c r="Q1087" s="37"/>
      <c r="R1087" s="37"/>
    </row>
    <row r="1088" spans="1:18" x14ac:dyDescent="0.2">
      <c r="A1088" s="13"/>
      <c r="B1088" s="18"/>
      <c r="C1088" s="19"/>
      <c r="D1088" s="19"/>
      <c r="E1088" s="20"/>
      <c r="F1088" s="22"/>
      <c r="G1088" s="36"/>
      <c r="H1088" s="37"/>
      <c r="I1088" s="37"/>
      <c r="J1088" s="13"/>
      <c r="K1088" s="18"/>
      <c r="L1088" s="19"/>
      <c r="M1088" s="19"/>
      <c r="N1088" s="20"/>
      <c r="O1088" s="22"/>
      <c r="P1088" s="36"/>
      <c r="Q1088" s="37"/>
      <c r="R1088" s="37"/>
    </row>
    <row r="1089" spans="1:18" x14ac:dyDescent="0.2">
      <c r="A1089" s="13"/>
      <c r="B1089" s="18"/>
      <c r="C1089" s="19"/>
      <c r="D1089" s="19"/>
      <c r="E1089" s="20"/>
      <c r="F1089" s="22"/>
      <c r="G1089" s="22"/>
      <c r="H1089" s="23"/>
      <c r="I1089" s="23"/>
      <c r="J1089" s="13"/>
      <c r="K1089" s="18"/>
      <c r="L1089" s="19"/>
      <c r="M1089" s="19"/>
      <c r="N1089" s="20"/>
      <c r="O1089" s="22"/>
      <c r="P1089" s="22"/>
      <c r="Q1089" s="23"/>
      <c r="R1089" s="23"/>
    </row>
    <row r="1090" spans="1:18" x14ac:dyDescent="0.2">
      <c r="A1090" s="13"/>
      <c r="B1090" s="248" t="s">
        <v>30</v>
      </c>
      <c r="C1090" s="249"/>
      <c r="D1090" s="249"/>
      <c r="E1090" s="250"/>
      <c r="F1090" s="22"/>
      <c r="G1090" s="22"/>
      <c r="H1090" s="23"/>
      <c r="I1090" s="23">
        <f>SUM(I1077:I1089)</f>
        <v>4455.8360000000002</v>
      </c>
      <c r="J1090" s="13"/>
      <c r="K1090" s="139" t="s">
        <v>30</v>
      </c>
      <c r="L1090" s="140"/>
      <c r="M1090" s="140"/>
      <c r="N1090" s="141"/>
      <c r="O1090" s="22"/>
      <c r="P1090" s="22"/>
      <c r="Q1090" s="23"/>
      <c r="R1090" s="23">
        <f>SUM(R1077:R1089)</f>
        <v>4395.6329999999998</v>
      </c>
    </row>
    <row r="1091" spans="1:18" x14ac:dyDescent="0.2">
      <c r="A1091" s="12" t="s">
        <v>31</v>
      </c>
      <c r="B1091" s="260" t="s">
        <v>32</v>
      </c>
      <c r="C1091" s="261"/>
      <c r="D1091" s="261"/>
      <c r="E1091" s="261"/>
      <c r="F1091" s="39"/>
      <c r="G1091" s="39"/>
      <c r="H1091" s="40"/>
      <c r="I1091" s="41">
        <f>SUM(I1090+I1072)</f>
        <v>4603.1959999999999</v>
      </c>
      <c r="J1091" s="12" t="s">
        <v>31</v>
      </c>
      <c r="K1091" s="142" t="s">
        <v>32</v>
      </c>
      <c r="L1091" s="143"/>
      <c r="M1091" s="143"/>
      <c r="N1091" s="143"/>
      <c r="O1091" s="143"/>
      <c r="P1091" s="143"/>
      <c r="Q1091" s="40"/>
      <c r="R1091" s="41">
        <f>SUM(R1090+R1072)</f>
        <v>4581.9629999999997</v>
      </c>
    </row>
    <row r="1092" spans="1:18" x14ac:dyDescent="0.2">
      <c r="A1092" s="13" t="s">
        <v>33</v>
      </c>
      <c r="B1092" s="291" t="s">
        <v>186</v>
      </c>
      <c r="C1092" s="292"/>
      <c r="D1092" s="292"/>
      <c r="E1092" s="292"/>
      <c r="F1092" s="292"/>
      <c r="G1092" s="292"/>
      <c r="H1092" s="40"/>
      <c r="I1092" s="41"/>
      <c r="J1092" s="13" t="s">
        <v>33</v>
      </c>
      <c r="K1092" s="293">
        <f>N1059</f>
        <v>20</v>
      </c>
      <c r="L1092" s="294"/>
      <c r="M1092" s="294"/>
      <c r="N1092" s="294"/>
      <c r="O1092" s="294"/>
      <c r="P1092" s="294"/>
      <c r="Q1092" s="40"/>
      <c r="R1092" s="41"/>
    </row>
    <row r="1093" spans="1:18" x14ac:dyDescent="0.2">
      <c r="A1093" s="13" t="s">
        <v>34</v>
      </c>
      <c r="B1093" s="42" t="s">
        <v>35</v>
      </c>
      <c r="C1093" s="43"/>
      <c r="D1093" s="43"/>
      <c r="E1093" s="39"/>
      <c r="F1093" s="44"/>
      <c r="G1093" s="44"/>
      <c r="H1093" s="40"/>
      <c r="I1093" s="41">
        <f>I1091/E1059</f>
        <v>115.07989999999999</v>
      </c>
      <c r="J1093" s="13" t="s">
        <v>34</v>
      </c>
      <c r="K1093" s="147" t="s">
        <v>35</v>
      </c>
      <c r="L1093" s="43"/>
      <c r="M1093" s="43"/>
      <c r="N1093" s="143"/>
      <c r="O1093" s="148"/>
      <c r="P1093" s="148"/>
      <c r="Q1093" s="40"/>
      <c r="R1093" s="41">
        <f>R1091/N1059</f>
        <v>229.09814999999998</v>
      </c>
    </row>
    <row r="1094" spans="1:18" x14ac:dyDescent="0.2">
      <c r="A1094" s="12"/>
      <c r="B1094" s="251" t="s">
        <v>36</v>
      </c>
      <c r="C1094" s="252"/>
      <c r="D1094" s="252"/>
      <c r="E1094" s="253"/>
      <c r="F1094" s="244" t="s">
        <v>37</v>
      </c>
      <c r="G1094" s="244" t="s">
        <v>38</v>
      </c>
      <c r="H1094" s="244" t="s">
        <v>39</v>
      </c>
      <c r="I1094" s="246" t="s">
        <v>15</v>
      </c>
      <c r="J1094" s="12"/>
      <c r="K1094" s="251" t="s">
        <v>36</v>
      </c>
      <c r="L1094" s="252"/>
      <c r="M1094" s="252"/>
      <c r="N1094" s="253"/>
      <c r="O1094" s="244" t="s">
        <v>37</v>
      </c>
      <c r="P1094" s="244" t="s">
        <v>38</v>
      </c>
      <c r="Q1094" s="244" t="s">
        <v>39</v>
      </c>
      <c r="R1094" s="246" t="s">
        <v>15</v>
      </c>
    </row>
    <row r="1095" spans="1:18" x14ac:dyDescent="0.2">
      <c r="A1095" s="13"/>
      <c r="B1095" s="254"/>
      <c r="C1095" s="255"/>
      <c r="D1095" s="255"/>
      <c r="E1095" s="256"/>
      <c r="F1095" s="245"/>
      <c r="G1095" s="245"/>
      <c r="H1095" s="245"/>
      <c r="I1095" s="247"/>
      <c r="J1095" s="13"/>
      <c r="K1095" s="254"/>
      <c r="L1095" s="255"/>
      <c r="M1095" s="255"/>
      <c r="N1095" s="256"/>
      <c r="O1095" s="245"/>
      <c r="P1095" s="245"/>
      <c r="Q1095" s="245"/>
      <c r="R1095" s="247"/>
    </row>
    <row r="1096" spans="1:18" x14ac:dyDescent="0.2">
      <c r="A1096" s="13" t="s">
        <v>40</v>
      </c>
      <c r="B1096" s="18" t="s">
        <v>41</v>
      </c>
      <c r="C1096" s="19"/>
      <c r="D1096" s="19"/>
      <c r="E1096" s="20"/>
      <c r="F1096" s="22"/>
      <c r="G1096" s="22"/>
      <c r="H1096" s="23"/>
      <c r="I1096" s="23"/>
      <c r="J1096" s="13" t="s">
        <v>40</v>
      </c>
      <c r="K1096" s="18" t="s">
        <v>41</v>
      </c>
      <c r="L1096" s="19"/>
      <c r="M1096" s="19"/>
      <c r="N1096" s="20"/>
      <c r="O1096" s="22"/>
      <c r="P1096" s="22"/>
      <c r="Q1096" s="23"/>
      <c r="R1096" s="23"/>
    </row>
    <row r="1097" spans="1:18" x14ac:dyDescent="0.2">
      <c r="A1097" s="13"/>
      <c r="B1097" s="18"/>
      <c r="C1097" s="19"/>
      <c r="D1097" s="19"/>
      <c r="E1097" s="20"/>
      <c r="F1097" s="22"/>
      <c r="G1097" s="22"/>
      <c r="H1097" s="23"/>
      <c r="I1097" s="23"/>
      <c r="J1097" s="13"/>
      <c r="K1097" s="18"/>
      <c r="L1097" s="19"/>
      <c r="M1097" s="19"/>
      <c r="N1097" s="20"/>
      <c r="O1097" s="22"/>
      <c r="P1097" s="22"/>
      <c r="Q1097" s="23"/>
      <c r="R1097" s="23"/>
    </row>
    <row r="1098" spans="1:18" x14ac:dyDescent="0.2">
      <c r="A1098" s="13"/>
      <c r="B1098" s="18"/>
      <c r="C1098" s="66"/>
      <c r="D1098" s="19"/>
      <c r="E1098" s="20"/>
      <c r="F1098" s="22"/>
      <c r="G1098" s="36"/>
      <c r="H1098" s="23"/>
      <c r="I1098" s="23"/>
      <c r="J1098" s="13"/>
      <c r="K1098" s="18"/>
      <c r="L1098" s="19"/>
      <c r="M1098" s="19"/>
      <c r="N1098" s="20"/>
      <c r="O1098" s="22"/>
      <c r="P1098" s="62"/>
      <c r="Q1098" s="23"/>
      <c r="R1098" s="23"/>
    </row>
    <row r="1099" spans="1:18" x14ac:dyDescent="0.2">
      <c r="A1099" s="13"/>
      <c r="B1099" s="18"/>
      <c r="C1099" s="66"/>
      <c r="D1099" s="19"/>
      <c r="E1099" s="20"/>
      <c r="F1099" s="22"/>
      <c r="G1099" s="70"/>
      <c r="H1099" s="23"/>
      <c r="I1099" s="23"/>
      <c r="J1099" s="13"/>
      <c r="K1099" s="18"/>
      <c r="L1099" s="19"/>
      <c r="M1099" s="19"/>
      <c r="N1099" s="20"/>
      <c r="O1099" s="22"/>
      <c r="P1099" s="22"/>
      <c r="Q1099" s="23"/>
      <c r="R1099" s="23"/>
    </row>
    <row r="1100" spans="1:18" x14ac:dyDescent="0.2">
      <c r="A1100" s="13"/>
      <c r="B1100" s="18"/>
      <c r="C1100" s="19"/>
      <c r="D1100" s="19"/>
      <c r="E1100" s="20"/>
      <c r="F1100" s="22"/>
      <c r="G1100" s="22"/>
      <c r="H1100" s="23"/>
      <c r="I1100" s="23"/>
      <c r="J1100" s="13"/>
      <c r="K1100" s="18"/>
      <c r="L1100" s="19"/>
      <c r="M1100" s="19"/>
      <c r="N1100" s="20"/>
      <c r="O1100" s="22"/>
      <c r="P1100" s="22"/>
      <c r="Q1100" s="38"/>
      <c r="R1100" s="38"/>
    </row>
    <row r="1101" spans="1:18" x14ac:dyDescent="0.2">
      <c r="A1101" s="13"/>
      <c r="B1101" s="18"/>
      <c r="C1101" s="19"/>
      <c r="D1101" s="19"/>
      <c r="E1101" s="20"/>
      <c r="F1101" s="22"/>
      <c r="G1101" s="22"/>
      <c r="H1101" s="23"/>
      <c r="I1101" s="23"/>
      <c r="J1101" s="13"/>
      <c r="K1101" s="18"/>
      <c r="L1101" s="19"/>
      <c r="M1101" s="19"/>
      <c r="N1101" s="20"/>
      <c r="O1101" s="22"/>
      <c r="P1101" s="22"/>
      <c r="Q1101" s="38"/>
      <c r="R1101" s="38"/>
    </row>
    <row r="1102" spans="1:18" x14ac:dyDescent="0.2">
      <c r="A1102" s="13"/>
      <c r="B1102" s="18"/>
      <c r="C1102" s="19"/>
      <c r="D1102" s="19"/>
      <c r="E1102" s="20"/>
      <c r="F1102" s="22"/>
      <c r="G1102" s="22"/>
      <c r="H1102" s="23"/>
      <c r="I1102" s="23"/>
      <c r="J1102" s="13"/>
      <c r="K1102" s="18"/>
      <c r="L1102" s="19"/>
      <c r="M1102" s="19"/>
      <c r="N1102" s="20"/>
      <c r="O1102" s="22"/>
      <c r="P1102" s="22"/>
      <c r="Q1102" s="45"/>
      <c r="R1102" s="45"/>
    </row>
    <row r="1103" spans="1:18" x14ac:dyDescent="0.2">
      <c r="A1103" s="13"/>
      <c r="B1103" s="18"/>
      <c r="C1103" s="19"/>
      <c r="D1103" s="19"/>
      <c r="E1103" s="20"/>
      <c r="F1103" s="22"/>
      <c r="G1103" s="22"/>
      <c r="H1103" s="23"/>
      <c r="I1103" s="23"/>
      <c r="J1103" s="13"/>
      <c r="K1103" s="18"/>
      <c r="L1103" s="19"/>
      <c r="M1103" s="19"/>
      <c r="N1103" s="20"/>
      <c r="O1103" s="22"/>
      <c r="P1103" s="22"/>
      <c r="Q1103" s="45"/>
      <c r="R1103" s="45"/>
    </row>
    <row r="1104" spans="1:18" x14ac:dyDescent="0.2">
      <c r="A1104" s="13"/>
      <c r="B1104" s="18"/>
      <c r="C1104" s="19"/>
      <c r="D1104" s="19"/>
      <c r="E1104" s="20"/>
      <c r="F1104" s="22"/>
      <c r="G1104" s="22"/>
      <c r="H1104" s="23"/>
      <c r="I1104" s="23"/>
      <c r="J1104" s="13"/>
      <c r="K1104" s="18"/>
      <c r="L1104" s="19"/>
      <c r="M1104" s="19"/>
      <c r="N1104" s="20"/>
      <c r="O1104" s="22"/>
      <c r="P1104" s="22"/>
      <c r="Q1104" s="23"/>
      <c r="R1104" s="23"/>
    </row>
    <row r="1105" spans="1:18" x14ac:dyDescent="0.2">
      <c r="A1105" s="13"/>
      <c r="B1105" s="18"/>
      <c r="C1105" s="19"/>
      <c r="D1105" s="19"/>
      <c r="E1105" s="20"/>
      <c r="F1105" s="22"/>
      <c r="G1105" s="22"/>
      <c r="H1105" s="23"/>
      <c r="I1105" s="23"/>
      <c r="J1105" s="13"/>
      <c r="K1105" s="18"/>
      <c r="L1105" s="19"/>
      <c r="M1105" s="19"/>
      <c r="N1105" s="20"/>
      <c r="O1105" s="22"/>
      <c r="P1105" s="22"/>
      <c r="Q1105" s="23"/>
      <c r="R1105" s="23"/>
    </row>
    <row r="1106" spans="1:18" x14ac:dyDescent="0.2">
      <c r="A1106" s="13"/>
      <c r="B1106" s="18"/>
      <c r="C1106" s="19"/>
      <c r="D1106" s="19"/>
      <c r="E1106" s="20"/>
      <c r="F1106" s="22"/>
      <c r="G1106" s="22"/>
      <c r="H1106" s="23"/>
      <c r="I1106" s="23"/>
      <c r="J1106" s="13"/>
      <c r="K1106" s="18"/>
      <c r="L1106" s="19"/>
      <c r="M1106" s="19"/>
      <c r="N1106" s="20"/>
      <c r="O1106" s="22"/>
      <c r="P1106" s="22"/>
      <c r="Q1106" s="23"/>
      <c r="R1106" s="23"/>
    </row>
    <row r="1107" spans="1:18" x14ac:dyDescent="0.2">
      <c r="A1107" s="13"/>
      <c r="B1107" s="18"/>
      <c r="C1107" s="19"/>
      <c r="D1107" s="19"/>
      <c r="E1107" s="20"/>
      <c r="F1107" s="22"/>
      <c r="G1107" s="22"/>
      <c r="H1107" s="23"/>
      <c r="I1107" s="23"/>
      <c r="J1107" s="13"/>
      <c r="K1107" s="18"/>
      <c r="L1107" s="19"/>
      <c r="M1107" s="19"/>
      <c r="N1107" s="20"/>
      <c r="O1107" s="22"/>
      <c r="P1107" s="22"/>
      <c r="Q1107" s="23"/>
      <c r="R1107" s="23"/>
    </row>
    <row r="1108" spans="1:18" x14ac:dyDescent="0.2">
      <c r="A1108" s="13"/>
      <c r="B1108" s="18"/>
      <c r="C1108" s="19"/>
      <c r="D1108" s="19"/>
      <c r="E1108" s="20"/>
      <c r="F1108" s="22"/>
      <c r="G1108" s="22"/>
      <c r="H1108" s="23"/>
      <c r="I1108" s="23"/>
      <c r="J1108" s="13"/>
      <c r="K1108" s="18"/>
      <c r="L1108" s="19"/>
      <c r="M1108" s="19"/>
      <c r="N1108" s="20"/>
      <c r="O1108" s="22"/>
      <c r="P1108" s="22"/>
      <c r="Q1108" s="23"/>
      <c r="R1108" s="23"/>
    </row>
    <row r="1109" spans="1:18" x14ac:dyDescent="0.2">
      <c r="A1109" s="13"/>
      <c r="B1109" s="18"/>
      <c r="C1109" s="19"/>
      <c r="D1109" s="19"/>
      <c r="E1109" s="20"/>
      <c r="F1109" s="22"/>
      <c r="G1109" s="22"/>
      <c r="H1109" s="23"/>
      <c r="I1109" s="23"/>
      <c r="J1109" s="13"/>
      <c r="K1109" s="18"/>
      <c r="L1109" s="19"/>
      <c r="M1109" s="19"/>
      <c r="N1109" s="20"/>
      <c r="O1109" s="22"/>
      <c r="P1109" s="22"/>
      <c r="Q1109" s="23"/>
      <c r="R1109" s="23"/>
    </row>
    <row r="1110" spans="1:18" x14ac:dyDescent="0.2">
      <c r="A1110" s="13"/>
      <c r="B1110" s="18"/>
      <c r="C1110" s="19"/>
      <c r="D1110" s="19"/>
      <c r="E1110" s="20"/>
      <c r="F1110" s="22"/>
      <c r="G1110" s="36"/>
      <c r="H1110" s="37"/>
      <c r="I1110" s="37"/>
      <c r="J1110" s="13"/>
      <c r="K1110" s="18"/>
      <c r="L1110" s="19"/>
      <c r="M1110" s="19"/>
      <c r="N1110" s="20"/>
      <c r="O1110" s="22"/>
      <c r="P1110" s="36"/>
      <c r="Q1110" s="37"/>
      <c r="R1110" s="37"/>
    </row>
    <row r="1111" spans="1:18" x14ac:dyDescent="0.2">
      <c r="A1111" s="13"/>
      <c r="B1111" s="248" t="s">
        <v>42</v>
      </c>
      <c r="C1111" s="249"/>
      <c r="D1111" s="249"/>
      <c r="E1111" s="250"/>
      <c r="F1111" s="46"/>
      <c r="G1111" s="46"/>
      <c r="H1111" s="47"/>
      <c r="I1111" s="47">
        <f>SUM(I1098:I1110)</f>
        <v>0</v>
      </c>
      <c r="J1111" s="13"/>
      <c r="K1111" s="139" t="s">
        <v>42</v>
      </c>
      <c r="L1111" s="140"/>
      <c r="M1111" s="140"/>
      <c r="N1111" s="141"/>
      <c r="O1111" s="46"/>
      <c r="P1111" s="46"/>
      <c r="Q1111" s="47"/>
      <c r="R1111" s="47">
        <f>SUM(R1098:R1110)</f>
        <v>0</v>
      </c>
    </row>
    <row r="1112" spans="1:18" x14ac:dyDescent="0.2">
      <c r="A1112" s="12" t="s">
        <v>43</v>
      </c>
      <c r="B1112" s="48" t="s">
        <v>44</v>
      </c>
      <c r="C1112" s="43"/>
      <c r="D1112" s="43"/>
      <c r="E1112" s="39"/>
      <c r="F1112" s="49"/>
      <c r="G1112" s="49"/>
      <c r="H1112" s="50"/>
      <c r="I1112" s="51">
        <f>SUM(I1093+I1111)</f>
        <v>115.07989999999999</v>
      </c>
      <c r="J1112" s="12" t="s">
        <v>43</v>
      </c>
      <c r="K1112" s="48" t="s">
        <v>44</v>
      </c>
      <c r="L1112" s="43"/>
      <c r="M1112" s="43"/>
      <c r="N1112" s="143"/>
      <c r="O1112" s="49"/>
      <c r="P1112" s="49"/>
      <c r="Q1112" s="50"/>
      <c r="R1112" s="51">
        <f>SUM(R1093+R1111)</f>
        <v>229.09814999999998</v>
      </c>
    </row>
    <row r="1113" spans="1:18" x14ac:dyDescent="0.2">
      <c r="A1113" s="13" t="s">
        <v>45</v>
      </c>
      <c r="B1113" s="48" t="s">
        <v>46</v>
      </c>
      <c r="C1113" s="43"/>
      <c r="D1113" s="43"/>
      <c r="E1113" s="39"/>
      <c r="F1113" s="49"/>
      <c r="G1113" s="52">
        <v>0.09</v>
      </c>
      <c r="H1113" s="53" t="s">
        <v>47</v>
      </c>
      <c r="I1113" s="51">
        <f>G1113*I1112</f>
        <v>10.357190999999998</v>
      </c>
      <c r="J1113" s="13" t="s">
        <v>45</v>
      </c>
      <c r="K1113" s="48" t="s">
        <v>46</v>
      </c>
      <c r="L1113" s="43"/>
      <c r="M1113" s="43"/>
      <c r="N1113" s="143"/>
      <c r="O1113" s="49"/>
      <c r="P1113" s="52">
        <v>0.09</v>
      </c>
      <c r="Q1113" s="53" t="s">
        <v>47</v>
      </c>
      <c r="R1113" s="51">
        <f>P1113*R1112</f>
        <v>20.618833499999997</v>
      </c>
    </row>
    <row r="1114" spans="1:18" x14ac:dyDescent="0.2">
      <c r="A1114" s="13" t="s">
        <v>48</v>
      </c>
      <c r="B1114" s="48" t="s">
        <v>49</v>
      </c>
      <c r="C1114" s="43"/>
      <c r="D1114" s="43"/>
      <c r="E1114" s="39"/>
      <c r="F1114" s="49"/>
      <c r="G1114" s="52">
        <v>0.08</v>
      </c>
      <c r="H1114" s="53" t="s">
        <v>47</v>
      </c>
      <c r="I1114" s="51">
        <f>G1114*I1112</f>
        <v>9.2063919999999992</v>
      </c>
      <c r="J1114" s="13" t="s">
        <v>48</v>
      </c>
      <c r="K1114" s="48" t="s">
        <v>49</v>
      </c>
      <c r="L1114" s="43"/>
      <c r="M1114" s="43"/>
      <c r="N1114" s="143"/>
      <c r="O1114" s="49"/>
      <c r="P1114" s="52">
        <v>0.08</v>
      </c>
      <c r="Q1114" s="53" t="s">
        <v>47</v>
      </c>
      <c r="R1114" s="51">
        <f>P1114*R1112</f>
        <v>18.327852</v>
      </c>
    </row>
    <row r="1115" spans="1:18" x14ac:dyDescent="0.2">
      <c r="A1115" s="13" t="s">
        <v>50</v>
      </c>
      <c r="B1115" s="48" t="s">
        <v>51</v>
      </c>
      <c r="C1115" s="43"/>
      <c r="D1115" s="43"/>
      <c r="E1115" s="39"/>
      <c r="F1115" s="49"/>
      <c r="G1115" s="52">
        <f>5/100</f>
        <v>0.05</v>
      </c>
      <c r="H1115" s="53" t="s">
        <v>52</v>
      </c>
      <c r="I1115" s="51">
        <f>G1115*(I1112+I1113+I1114)</f>
        <v>6.7321741500000005</v>
      </c>
      <c r="J1115" s="13" t="s">
        <v>50</v>
      </c>
      <c r="K1115" s="48" t="s">
        <v>51</v>
      </c>
      <c r="L1115" s="43"/>
      <c r="M1115" s="43"/>
      <c r="N1115" s="143"/>
      <c r="O1115" s="49"/>
      <c r="P1115" s="52">
        <f>5/100</f>
        <v>0.05</v>
      </c>
      <c r="Q1115" s="53" t="s">
        <v>52</v>
      </c>
      <c r="R1115" s="51">
        <f>P1115*(R1112+R1113+R1114)</f>
        <v>13.402241775</v>
      </c>
    </row>
    <row r="1116" spans="1:18" x14ac:dyDescent="0.2">
      <c r="A1116" s="54" t="s">
        <v>53</v>
      </c>
      <c r="B1116" s="48" t="s">
        <v>54</v>
      </c>
      <c r="C1116" s="43"/>
      <c r="D1116" s="43"/>
      <c r="E1116" s="39"/>
      <c r="F1116" s="49"/>
      <c r="G1116" s="49"/>
      <c r="H1116" s="55" t="s">
        <v>55</v>
      </c>
      <c r="I1116" s="51">
        <f>SUM(I1112+I1113+I1114+I1115)</f>
        <v>141.37565714999999</v>
      </c>
      <c r="J1116" s="54" t="s">
        <v>53</v>
      </c>
      <c r="K1116" s="48" t="s">
        <v>54</v>
      </c>
      <c r="L1116" s="43"/>
      <c r="M1116" s="43"/>
      <c r="N1116" s="143"/>
      <c r="O1116" s="49"/>
      <c r="P1116" s="49"/>
      <c r="Q1116" s="55" t="s">
        <v>55</v>
      </c>
      <c r="R1116" s="51">
        <f>SUM(R1112+R1113+R1114+R1115)</f>
        <v>281.44707727499997</v>
      </c>
    </row>
    <row r="1117" spans="1:18" s="1" customFormat="1" x14ac:dyDescent="0.2">
      <c r="A1117" s="285" t="s">
        <v>0</v>
      </c>
      <c r="B1117" s="285"/>
      <c r="C1117" s="285"/>
      <c r="D1117" s="285"/>
      <c r="E1117" s="285"/>
      <c r="F1117" s="285"/>
      <c r="G1117" s="285"/>
      <c r="H1117" s="285"/>
      <c r="I1117" s="285"/>
      <c r="J1117" s="236" t="s">
        <v>0</v>
      </c>
      <c r="K1117" s="236"/>
      <c r="L1117" s="236"/>
      <c r="M1117" s="236"/>
      <c r="N1117" s="236"/>
      <c r="O1117" s="236"/>
      <c r="P1117" s="236"/>
      <c r="Q1117" s="236"/>
      <c r="R1117" s="236"/>
    </row>
    <row r="1119" spans="1:18" x14ac:dyDescent="0.2">
      <c r="A1119" s="2" t="s">
        <v>1</v>
      </c>
      <c r="C1119" s="4" t="s">
        <v>2</v>
      </c>
      <c r="D1119" s="5" t="s">
        <v>188</v>
      </c>
      <c r="E1119" s="237" t="s">
        <v>189</v>
      </c>
      <c r="F1119" s="237"/>
      <c r="G1119" s="237"/>
      <c r="H1119" s="237"/>
      <c r="I1119" s="237"/>
      <c r="J1119" s="144" t="s">
        <v>1</v>
      </c>
      <c r="L1119" s="4" t="s">
        <v>2</v>
      </c>
      <c r="M1119" s="5" t="s">
        <v>180</v>
      </c>
      <c r="N1119" s="144" t="s">
        <v>181</v>
      </c>
      <c r="O1119" s="144"/>
      <c r="P1119" s="144"/>
      <c r="Q1119" s="144"/>
    </row>
    <row r="1120" spans="1:18" x14ac:dyDescent="0.2">
      <c r="A1120" s="2" t="s">
        <v>7</v>
      </c>
      <c r="C1120" s="4" t="s">
        <v>2</v>
      </c>
      <c r="E1120" s="2" t="s">
        <v>8</v>
      </c>
      <c r="F1120" s="8"/>
      <c r="G1120" s="8"/>
      <c r="H1120" s="8"/>
      <c r="J1120" s="144" t="s">
        <v>7</v>
      </c>
      <c r="L1120" s="4" t="s">
        <v>2</v>
      </c>
      <c r="N1120" s="144" t="s">
        <v>9</v>
      </c>
      <c r="O1120" s="8"/>
      <c r="P1120" s="8"/>
      <c r="Q1120" s="8"/>
    </row>
    <row r="1121" spans="1:18" x14ac:dyDescent="0.2">
      <c r="A1121" s="2" t="s">
        <v>10</v>
      </c>
      <c r="C1121" s="4" t="s">
        <v>2</v>
      </c>
      <c r="E1121" s="9">
        <v>30</v>
      </c>
      <c r="F1121" s="8"/>
      <c r="G1121" s="8"/>
      <c r="H1121" s="8"/>
      <c r="J1121" s="144" t="s">
        <v>10</v>
      </c>
      <c r="L1121" s="4" t="s">
        <v>2</v>
      </c>
      <c r="N1121" s="9">
        <v>50</v>
      </c>
      <c r="O1121" s="8"/>
      <c r="P1121" s="8"/>
      <c r="Q1121" s="8"/>
    </row>
    <row r="1122" spans="1:18" x14ac:dyDescent="0.2">
      <c r="B1122" s="8"/>
      <c r="F1122" s="11"/>
      <c r="G1122" s="8"/>
      <c r="H1122" s="8"/>
      <c r="I1122" s="8"/>
      <c r="K1122" s="8"/>
      <c r="O1122" s="11"/>
      <c r="P1122" s="8"/>
      <c r="Q1122" s="8"/>
      <c r="R1122" s="8"/>
    </row>
    <row r="1123" spans="1:18" x14ac:dyDescent="0.2">
      <c r="A1123" s="12"/>
      <c r="B1123" s="238" t="s">
        <v>11</v>
      </c>
      <c r="C1123" s="239"/>
      <c r="D1123" s="239"/>
      <c r="E1123" s="240"/>
      <c r="F1123" s="244" t="s">
        <v>12</v>
      </c>
      <c r="G1123" s="244" t="s">
        <v>13</v>
      </c>
      <c r="H1123" s="244" t="s">
        <v>14</v>
      </c>
      <c r="I1123" s="246" t="s">
        <v>15</v>
      </c>
      <c r="J1123" s="12"/>
      <c r="K1123" s="238" t="s">
        <v>11</v>
      </c>
      <c r="L1123" s="239"/>
      <c r="M1123" s="239"/>
      <c r="N1123" s="240"/>
      <c r="O1123" s="244" t="s">
        <v>12</v>
      </c>
      <c r="P1123" s="244" t="s">
        <v>13</v>
      </c>
      <c r="Q1123" s="244" t="s">
        <v>14</v>
      </c>
      <c r="R1123" s="246" t="s">
        <v>15</v>
      </c>
    </row>
    <row r="1124" spans="1:18" x14ac:dyDescent="0.2">
      <c r="A1124" s="13"/>
      <c r="B1124" s="241"/>
      <c r="C1124" s="242"/>
      <c r="D1124" s="242"/>
      <c r="E1124" s="243"/>
      <c r="F1124" s="245"/>
      <c r="G1124" s="245"/>
      <c r="H1124" s="245"/>
      <c r="I1124" s="247"/>
      <c r="J1124" s="13"/>
      <c r="K1124" s="241"/>
      <c r="L1124" s="242"/>
      <c r="M1124" s="242"/>
      <c r="N1124" s="243"/>
      <c r="O1124" s="245"/>
      <c r="P1124" s="245"/>
      <c r="Q1124" s="245"/>
      <c r="R1124" s="247"/>
    </row>
    <row r="1125" spans="1:18" x14ac:dyDescent="0.2">
      <c r="A1125" s="13" t="s">
        <v>16</v>
      </c>
      <c r="B1125" s="14" t="s">
        <v>17</v>
      </c>
      <c r="C1125" s="15"/>
      <c r="D1125" s="15"/>
      <c r="E1125" s="16"/>
      <c r="F1125" s="17"/>
      <c r="G1125" s="17"/>
      <c r="H1125" s="17"/>
      <c r="I1125" s="17"/>
      <c r="J1125" s="13" t="s">
        <v>16</v>
      </c>
      <c r="K1125" s="14" t="s">
        <v>17</v>
      </c>
      <c r="L1125" s="15"/>
      <c r="M1125" s="15"/>
      <c r="N1125" s="16"/>
      <c r="O1125" s="17"/>
      <c r="P1125" s="17"/>
      <c r="Q1125" s="17"/>
      <c r="R1125" s="17"/>
    </row>
    <row r="1126" spans="1:18" x14ac:dyDescent="0.2">
      <c r="A1126" s="13"/>
      <c r="B1126" s="18"/>
      <c r="C1126" s="19"/>
      <c r="D1126" s="19"/>
      <c r="E1126" s="20"/>
      <c r="F1126" s="21"/>
      <c r="G1126" s="22"/>
      <c r="H1126" s="21"/>
      <c r="I1126" s="21"/>
      <c r="J1126" s="13"/>
      <c r="K1126" s="18"/>
      <c r="L1126" s="19"/>
      <c r="M1126" s="19"/>
      <c r="N1126" s="20"/>
      <c r="O1126" s="21"/>
      <c r="P1126" s="22"/>
      <c r="Q1126" s="21"/>
      <c r="R1126" s="21"/>
    </row>
    <row r="1127" spans="1:18" x14ac:dyDescent="0.2">
      <c r="A1127" s="13"/>
      <c r="B1127" s="24" t="s">
        <v>18</v>
      </c>
      <c r="C1127" s="25"/>
      <c r="D1127" s="25"/>
      <c r="E1127" s="26"/>
      <c r="F1127" s="22">
        <v>1</v>
      </c>
      <c r="G1127" s="62">
        <v>1</v>
      </c>
      <c r="H1127" s="23">
        <v>69.42</v>
      </c>
      <c r="I1127" s="23">
        <f>G1127*H1127*F1127</f>
        <v>69.42</v>
      </c>
      <c r="J1127" s="13"/>
      <c r="K1127" s="24" t="s">
        <v>18</v>
      </c>
      <c r="L1127" s="25"/>
      <c r="M1127" s="25"/>
      <c r="N1127" s="26"/>
      <c r="O1127" s="22">
        <v>1</v>
      </c>
      <c r="P1127" s="62">
        <v>1</v>
      </c>
      <c r="Q1127" s="23">
        <v>69.42</v>
      </c>
      <c r="R1127" s="23">
        <f>P1127*Q1127*O1127</f>
        <v>69.42</v>
      </c>
    </row>
    <row r="1128" spans="1:18" x14ac:dyDescent="0.2">
      <c r="A1128" s="13"/>
      <c r="B1128" s="257" t="s">
        <v>1179</v>
      </c>
      <c r="C1128" s="258"/>
      <c r="D1128" s="25"/>
      <c r="E1128" s="26"/>
      <c r="F1128" s="22">
        <v>2</v>
      </c>
      <c r="G1128" s="62">
        <v>1</v>
      </c>
      <c r="H1128" s="23">
        <v>38.97</v>
      </c>
      <c r="I1128" s="23">
        <f>G1128*H1128*F1128</f>
        <v>77.94</v>
      </c>
      <c r="J1128" s="13"/>
      <c r="K1128" s="24" t="s">
        <v>1179</v>
      </c>
      <c r="L1128" s="25"/>
      <c r="M1128" s="25"/>
      <c r="N1128" s="26"/>
      <c r="O1128" s="22">
        <v>2</v>
      </c>
      <c r="P1128" s="62">
        <v>1</v>
      </c>
      <c r="Q1128" s="23">
        <v>38.97</v>
      </c>
      <c r="R1128" s="23">
        <f>P1128*Q1128*O1128</f>
        <v>77.94</v>
      </c>
    </row>
    <row r="1129" spans="1:18" x14ac:dyDescent="0.2">
      <c r="A1129" s="13"/>
      <c r="B1129" s="257"/>
      <c r="C1129" s="258"/>
      <c r="D1129" s="19"/>
      <c r="E1129" s="20"/>
      <c r="F1129" s="22"/>
      <c r="G1129" s="22"/>
      <c r="H1129" s="23"/>
      <c r="I1129" s="23"/>
      <c r="J1129" s="13"/>
      <c r="K1129" s="145"/>
      <c r="L1129" s="19"/>
      <c r="M1129" s="19"/>
      <c r="N1129" s="20"/>
      <c r="O1129" s="22"/>
      <c r="P1129" s="22"/>
      <c r="Q1129" s="28"/>
      <c r="R1129" s="23"/>
    </row>
    <row r="1130" spans="1:18" x14ac:dyDescent="0.2">
      <c r="A1130" s="13"/>
      <c r="B1130" s="27"/>
      <c r="C1130" s="63"/>
      <c r="D1130" s="19"/>
      <c r="E1130" s="20"/>
      <c r="F1130" s="22"/>
      <c r="G1130" s="22"/>
      <c r="H1130" s="29"/>
      <c r="I1130" s="30"/>
      <c r="J1130" s="13"/>
      <c r="K1130" s="145"/>
      <c r="L1130" s="19"/>
      <c r="M1130" s="19"/>
      <c r="N1130" s="20"/>
      <c r="O1130" s="22"/>
      <c r="P1130" s="22"/>
      <c r="Q1130" s="29"/>
      <c r="R1130" s="30"/>
    </row>
    <row r="1131" spans="1:18" x14ac:dyDescent="0.2">
      <c r="A1131" s="13"/>
      <c r="B1131" s="27"/>
      <c r="C1131" s="63"/>
      <c r="D1131" s="19"/>
      <c r="E1131" s="20"/>
      <c r="F1131" s="22"/>
      <c r="G1131" s="22"/>
      <c r="H1131" s="29"/>
      <c r="I1131" s="30"/>
      <c r="J1131" s="13"/>
      <c r="K1131" s="145"/>
      <c r="L1131" s="19"/>
      <c r="M1131" s="19"/>
      <c r="N1131" s="20"/>
      <c r="O1131" s="22"/>
      <c r="P1131" s="22"/>
      <c r="Q1131" s="29"/>
      <c r="R1131" s="30"/>
    </row>
    <row r="1132" spans="1:18" x14ac:dyDescent="0.2">
      <c r="A1132" s="13"/>
      <c r="B1132" s="24"/>
      <c r="C1132" s="25"/>
      <c r="D1132" s="19"/>
      <c r="E1132" s="20"/>
      <c r="F1132" s="22"/>
      <c r="G1132" s="22"/>
      <c r="H1132" s="23"/>
      <c r="I1132" s="23"/>
      <c r="J1132" s="13"/>
      <c r="K1132" s="18"/>
      <c r="L1132" s="19"/>
      <c r="M1132" s="19"/>
      <c r="N1132" s="20"/>
      <c r="O1132" s="22"/>
      <c r="P1132" s="22"/>
      <c r="Q1132" s="28"/>
      <c r="R1132" s="23"/>
    </row>
    <row r="1133" spans="1:18" x14ac:dyDescent="0.2">
      <c r="A1133" s="13"/>
      <c r="B1133" s="24"/>
      <c r="C1133" s="25"/>
      <c r="D1133" s="19"/>
      <c r="E1133" s="20"/>
      <c r="F1133" s="22"/>
      <c r="G1133" s="22"/>
      <c r="H1133" s="23"/>
      <c r="I1133" s="23"/>
      <c r="J1133" s="13"/>
      <c r="K1133" s="18"/>
      <c r="L1133" s="19"/>
      <c r="M1133" s="19"/>
      <c r="N1133" s="20"/>
      <c r="O1133" s="22"/>
      <c r="P1133" s="22"/>
      <c r="Q1133" s="23"/>
      <c r="R1133" s="23"/>
    </row>
    <row r="1134" spans="1:18" x14ac:dyDescent="0.2">
      <c r="A1134" s="13"/>
      <c r="B1134" s="248" t="s">
        <v>20</v>
      </c>
      <c r="C1134" s="249"/>
      <c r="D1134" s="249"/>
      <c r="E1134" s="250"/>
      <c r="F1134" s="31"/>
      <c r="G1134" s="31"/>
      <c r="H1134" s="32"/>
      <c r="I1134" s="32">
        <f>SUM(I1127:I1133)</f>
        <v>147.36000000000001</v>
      </c>
      <c r="J1134" s="13"/>
      <c r="K1134" s="139" t="s">
        <v>20</v>
      </c>
      <c r="L1134" s="140"/>
      <c r="M1134" s="140"/>
      <c r="N1134" s="141"/>
      <c r="O1134" s="31"/>
      <c r="P1134" s="31"/>
      <c r="Q1134" s="32"/>
      <c r="R1134" s="32">
        <f>SUM(R1127:R1133)</f>
        <v>147.36000000000001</v>
      </c>
    </row>
    <row r="1135" spans="1:18" x14ac:dyDescent="0.2">
      <c r="A1135" s="12"/>
      <c r="B1135" s="251" t="s">
        <v>21</v>
      </c>
      <c r="C1135" s="252"/>
      <c r="D1135" s="252"/>
      <c r="E1135" s="253"/>
      <c r="F1135" s="244" t="s">
        <v>22</v>
      </c>
      <c r="G1135" s="244" t="s">
        <v>13</v>
      </c>
      <c r="H1135" s="244" t="s">
        <v>14</v>
      </c>
      <c r="I1135" s="246" t="s">
        <v>15</v>
      </c>
      <c r="J1135" s="12"/>
      <c r="K1135" s="251" t="s">
        <v>21</v>
      </c>
      <c r="L1135" s="252"/>
      <c r="M1135" s="252"/>
      <c r="N1135" s="253"/>
      <c r="O1135" s="244" t="s">
        <v>22</v>
      </c>
      <c r="P1135" s="244" t="s">
        <v>13</v>
      </c>
      <c r="Q1135" s="244" t="s">
        <v>14</v>
      </c>
      <c r="R1135" s="246" t="s">
        <v>15</v>
      </c>
    </row>
    <row r="1136" spans="1:18" x14ac:dyDescent="0.2">
      <c r="A1136" s="13"/>
      <c r="B1136" s="254"/>
      <c r="C1136" s="255"/>
      <c r="D1136" s="255"/>
      <c r="E1136" s="256"/>
      <c r="F1136" s="245"/>
      <c r="G1136" s="245"/>
      <c r="H1136" s="245"/>
      <c r="I1136" s="247"/>
      <c r="J1136" s="13"/>
      <c r="K1136" s="254"/>
      <c r="L1136" s="255"/>
      <c r="M1136" s="255"/>
      <c r="N1136" s="256"/>
      <c r="O1136" s="245"/>
      <c r="P1136" s="245"/>
      <c r="Q1136" s="245"/>
      <c r="R1136" s="247"/>
    </row>
    <row r="1137" spans="1:18" x14ac:dyDescent="0.2">
      <c r="A1137" s="13" t="s">
        <v>23</v>
      </c>
      <c r="B1137" s="33" t="s">
        <v>24</v>
      </c>
      <c r="C1137" s="15"/>
      <c r="D1137" s="15"/>
      <c r="E1137" s="16"/>
      <c r="F1137" s="34"/>
      <c r="G1137" s="34"/>
      <c r="H1137" s="35"/>
      <c r="I1137" s="35"/>
      <c r="J1137" s="13" t="s">
        <v>23</v>
      </c>
      <c r="K1137" s="33" t="s">
        <v>24</v>
      </c>
      <c r="L1137" s="15"/>
      <c r="M1137" s="15"/>
      <c r="N1137" s="16"/>
      <c r="O1137" s="34"/>
      <c r="P1137" s="34"/>
      <c r="Q1137" s="35"/>
      <c r="R1137" s="35"/>
    </row>
    <row r="1138" spans="1:18" x14ac:dyDescent="0.2">
      <c r="A1138" s="13"/>
      <c r="B1138" s="18"/>
      <c r="C1138" s="19"/>
      <c r="D1138" s="19"/>
      <c r="E1138" s="20"/>
      <c r="F1138" s="22"/>
      <c r="G1138" s="22"/>
      <c r="H1138" s="23"/>
      <c r="I1138" s="23"/>
      <c r="J1138" s="13"/>
      <c r="K1138" s="18"/>
      <c r="L1138" s="19"/>
      <c r="M1138" s="19"/>
      <c r="N1138" s="20"/>
      <c r="O1138" s="22"/>
      <c r="P1138" s="22"/>
      <c r="Q1138" s="23"/>
      <c r="R1138" s="23"/>
    </row>
    <row r="1139" spans="1:18" x14ac:dyDescent="0.2">
      <c r="A1139" s="13"/>
      <c r="B1139" s="18" t="s">
        <v>182</v>
      </c>
      <c r="C1139" s="66"/>
      <c r="D1139" s="19"/>
      <c r="E1139" s="20"/>
      <c r="F1139" s="22">
        <v>1</v>
      </c>
      <c r="G1139" s="23">
        <v>1</v>
      </c>
      <c r="H1139" s="37">
        <v>1998.1</v>
      </c>
      <c r="I1139" s="37">
        <f>G1139*H1139*F1139</f>
        <v>1998.1</v>
      </c>
      <c r="J1139" s="13"/>
      <c r="K1139" s="18" t="s">
        <v>1172</v>
      </c>
      <c r="L1139" s="19"/>
      <c r="M1139" s="19"/>
      <c r="N1139" s="20"/>
      <c r="O1139" s="22">
        <v>1</v>
      </c>
      <c r="P1139" s="23">
        <v>1</v>
      </c>
      <c r="Q1139" s="37">
        <v>2173</v>
      </c>
      <c r="R1139" s="37">
        <f>P1139*Q1139*O1139</f>
        <v>2173</v>
      </c>
    </row>
    <row r="1140" spans="1:18" x14ac:dyDescent="0.2">
      <c r="A1140" s="13"/>
      <c r="B1140" s="18" t="s">
        <v>183</v>
      </c>
      <c r="C1140" s="66"/>
      <c r="D1140" s="19"/>
      <c r="E1140" s="20"/>
      <c r="F1140" s="22">
        <v>1</v>
      </c>
      <c r="G1140" s="23">
        <v>1</v>
      </c>
      <c r="H1140" s="37">
        <v>1733</v>
      </c>
      <c r="I1140" s="37">
        <f>G1140*H1140*F1140</f>
        <v>1733</v>
      </c>
      <c r="J1140" s="13"/>
      <c r="K1140" s="18" t="s">
        <v>1173</v>
      </c>
      <c r="L1140" s="19"/>
      <c r="M1140" s="19"/>
      <c r="N1140" s="20"/>
      <c r="O1140" s="22">
        <v>1</v>
      </c>
      <c r="P1140" s="23">
        <v>1</v>
      </c>
      <c r="Q1140" s="37">
        <v>1846</v>
      </c>
      <c r="R1140" s="37">
        <f>P1140*Q1140*O1140</f>
        <v>1846</v>
      </c>
    </row>
    <row r="1141" spans="1:18" x14ac:dyDescent="0.2">
      <c r="A1141" s="13"/>
      <c r="B1141" s="18" t="s">
        <v>1147</v>
      </c>
      <c r="C1141" s="66"/>
      <c r="D1141" s="19"/>
      <c r="E1141" s="20"/>
      <c r="F1141" s="22">
        <v>1</v>
      </c>
      <c r="G1141" s="23">
        <v>0.5</v>
      </c>
      <c r="H1141" s="37">
        <v>1420</v>
      </c>
      <c r="I1141" s="37">
        <f>G1141*H1141*F1141</f>
        <v>710</v>
      </c>
      <c r="J1141" s="13"/>
      <c r="K1141" s="18" t="s">
        <v>1174</v>
      </c>
      <c r="L1141" s="19"/>
      <c r="M1141" s="19"/>
      <c r="N1141" s="20"/>
      <c r="O1141" s="22">
        <v>1</v>
      </c>
      <c r="P1141" s="23">
        <v>0.25</v>
      </c>
      <c r="Q1141" s="37">
        <v>2450</v>
      </c>
      <c r="R1141" s="37">
        <f>P1141*Q1141*O1141</f>
        <v>612.5</v>
      </c>
    </row>
    <row r="1142" spans="1:18" x14ac:dyDescent="0.2">
      <c r="A1142" s="13"/>
      <c r="B1142" s="18" t="s">
        <v>1152</v>
      </c>
      <c r="C1142" s="19"/>
      <c r="D1142" s="19"/>
      <c r="E1142" s="20"/>
      <c r="F1142" s="22">
        <v>1</v>
      </c>
      <c r="G1142" s="23">
        <v>0.5</v>
      </c>
      <c r="H1142" s="37">
        <v>32.630000000000003</v>
      </c>
      <c r="I1142" s="37">
        <f>G1142*H1142*F1142</f>
        <v>16.315000000000001</v>
      </c>
      <c r="J1142" s="13"/>
      <c r="K1142" s="18"/>
      <c r="O1142" s="22"/>
      <c r="P1142" s="36"/>
      <c r="Q1142" s="37"/>
      <c r="R1142" s="37"/>
    </row>
    <row r="1143" spans="1:18" x14ac:dyDescent="0.2">
      <c r="A1143" s="13"/>
      <c r="B1143" s="18" t="s">
        <v>1192</v>
      </c>
      <c r="C1143" s="66"/>
      <c r="F1143" s="22"/>
      <c r="G1143" s="23"/>
      <c r="I1143" s="37">
        <f>I1134*0.1</f>
        <v>14.736000000000002</v>
      </c>
      <c r="J1143" s="13"/>
      <c r="K1143" s="18"/>
      <c r="L1143" s="19"/>
      <c r="M1143" s="19"/>
      <c r="N1143" s="20"/>
      <c r="O1143" s="22"/>
      <c r="P1143" s="36"/>
      <c r="Q1143" s="37"/>
      <c r="R1143" s="37"/>
    </row>
    <row r="1144" spans="1:18" x14ac:dyDescent="0.2">
      <c r="A1144" s="13"/>
      <c r="B1144" s="18"/>
      <c r="C1144" s="19"/>
      <c r="D1144" s="19"/>
      <c r="E1144" s="20"/>
      <c r="F1144" s="22"/>
      <c r="G1144" s="36"/>
      <c r="H1144" s="37"/>
      <c r="I1144" s="37"/>
      <c r="J1144" s="13"/>
      <c r="K1144" s="18"/>
      <c r="L1144" s="19"/>
      <c r="M1144" s="19"/>
      <c r="N1144" s="20"/>
      <c r="O1144" s="22"/>
      <c r="P1144" s="36"/>
      <c r="Q1144" s="38"/>
      <c r="R1144" s="38"/>
    </row>
    <row r="1145" spans="1:18" x14ac:dyDescent="0.2">
      <c r="A1145" s="13"/>
      <c r="B1145" s="18" t="s">
        <v>101</v>
      </c>
      <c r="C1145" s="19"/>
      <c r="D1145" s="19"/>
      <c r="E1145" s="20"/>
      <c r="F1145" s="22"/>
      <c r="G1145" s="36"/>
      <c r="H1145" s="37"/>
      <c r="I1145" s="37"/>
      <c r="J1145" s="13"/>
      <c r="K1145" s="18"/>
      <c r="L1145" s="19"/>
      <c r="M1145" s="19"/>
      <c r="N1145" s="20"/>
      <c r="O1145" s="22"/>
      <c r="P1145" s="36"/>
      <c r="Q1145" s="38"/>
      <c r="R1145" s="38"/>
    </row>
    <row r="1146" spans="1:18" x14ac:dyDescent="0.2">
      <c r="A1146" s="13"/>
      <c r="C1146" s="19"/>
      <c r="D1146" s="19"/>
      <c r="E1146" s="20"/>
      <c r="F1146" s="22"/>
      <c r="G1146" s="23"/>
      <c r="H1146" s="37"/>
      <c r="I1146" s="37"/>
      <c r="J1146" s="13"/>
      <c r="K1146" s="18"/>
      <c r="L1146" s="19"/>
      <c r="M1146" s="19"/>
      <c r="N1146" s="20"/>
      <c r="O1146" s="22"/>
      <c r="P1146" s="36"/>
      <c r="Q1146" s="38"/>
      <c r="R1146" s="38"/>
    </row>
    <row r="1147" spans="1:18" x14ac:dyDescent="0.2">
      <c r="A1147" s="13"/>
      <c r="B1147" s="18"/>
      <c r="C1147" s="19"/>
      <c r="D1147" s="19"/>
      <c r="E1147" s="20"/>
      <c r="F1147" s="22"/>
      <c r="G1147" s="23"/>
      <c r="H1147" s="37"/>
      <c r="I1147" s="37"/>
      <c r="J1147" s="13"/>
      <c r="K1147" s="18"/>
      <c r="L1147" s="19"/>
      <c r="M1147" s="19"/>
      <c r="N1147" s="20"/>
      <c r="O1147" s="22"/>
      <c r="P1147" s="36"/>
      <c r="Q1147" s="38"/>
      <c r="R1147" s="38"/>
    </row>
    <row r="1148" spans="1:18" x14ac:dyDescent="0.2">
      <c r="A1148" s="13"/>
      <c r="B1148" s="7"/>
      <c r="C1148" s="7"/>
      <c r="D1148" s="7"/>
      <c r="E1148" s="7"/>
      <c r="F1148" s="72"/>
      <c r="G1148" s="72"/>
      <c r="H1148" s="72"/>
      <c r="I1148" s="72"/>
      <c r="J1148" s="13"/>
      <c r="K1148" s="18"/>
      <c r="L1148" s="19"/>
      <c r="M1148" s="19"/>
      <c r="N1148" s="20"/>
      <c r="O1148" s="22"/>
      <c r="P1148" s="36"/>
      <c r="Q1148" s="37"/>
      <c r="R1148" s="37"/>
    </row>
    <row r="1149" spans="1:18" x14ac:dyDescent="0.2">
      <c r="A1149" s="13"/>
      <c r="B1149" s="18"/>
      <c r="C1149" s="19"/>
      <c r="D1149" s="19"/>
      <c r="E1149" s="20"/>
      <c r="F1149" s="22"/>
      <c r="G1149" s="36"/>
      <c r="H1149" s="37"/>
      <c r="I1149" s="37"/>
      <c r="J1149" s="13"/>
      <c r="K1149" s="18"/>
      <c r="L1149" s="19"/>
      <c r="M1149" s="19"/>
      <c r="N1149" s="20"/>
      <c r="O1149" s="22"/>
      <c r="P1149" s="36"/>
      <c r="Q1149" s="37"/>
      <c r="R1149" s="37"/>
    </row>
    <row r="1150" spans="1:18" x14ac:dyDescent="0.2">
      <c r="A1150" s="13"/>
      <c r="B1150" s="18"/>
      <c r="C1150" s="19"/>
      <c r="D1150" s="19"/>
      <c r="E1150" s="20"/>
      <c r="F1150" s="22"/>
      <c r="G1150" s="36"/>
      <c r="H1150" s="37"/>
      <c r="I1150" s="37"/>
      <c r="J1150" s="13"/>
      <c r="K1150" s="18"/>
      <c r="L1150" s="19"/>
      <c r="M1150" s="19"/>
      <c r="N1150" s="20"/>
      <c r="O1150" s="22"/>
      <c r="P1150" s="36"/>
      <c r="Q1150" s="37"/>
      <c r="R1150" s="37"/>
    </row>
    <row r="1151" spans="1:18" x14ac:dyDescent="0.2">
      <c r="A1151" s="13"/>
      <c r="B1151" s="18"/>
      <c r="C1151" s="19"/>
      <c r="D1151" s="19"/>
      <c r="E1151" s="20"/>
      <c r="F1151" s="22"/>
      <c r="G1151" s="22"/>
      <c r="H1151" s="23"/>
      <c r="I1151" s="23"/>
      <c r="J1151" s="13"/>
      <c r="K1151" s="18"/>
      <c r="L1151" s="19"/>
      <c r="M1151" s="19"/>
      <c r="N1151" s="20"/>
      <c r="O1151" s="22"/>
      <c r="P1151" s="22"/>
      <c r="Q1151" s="23"/>
      <c r="R1151" s="23"/>
    </row>
    <row r="1152" spans="1:18" x14ac:dyDescent="0.2">
      <c r="A1152" s="13"/>
      <c r="B1152" s="248" t="s">
        <v>30</v>
      </c>
      <c r="C1152" s="249"/>
      <c r="D1152" s="249"/>
      <c r="E1152" s="250"/>
      <c r="F1152" s="22"/>
      <c r="G1152" s="22"/>
      <c r="H1152" s="23"/>
      <c r="I1152" s="23">
        <f>SUM(I1139:I1151)</f>
        <v>4472.1509999999998</v>
      </c>
      <c r="J1152" s="13"/>
      <c r="K1152" s="139" t="s">
        <v>30</v>
      </c>
      <c r="L1152" s="140"/>
      <c r="M1152" s="140"/>
      <c r="N1152" s="141"/>
      <c r="O1152" s="22"/>
      <c r="P1152" s="22"/>
      <c r="Q1152" s="23"/>
      <c r="R1152" s="23">
        <f>SUM(R1139:R1151)</f>
        <v>4631.5</v>
      </c>
    </row>
    <row r="1153" spans="1:18" x14ac:dyDescent="0.2">
      <c r="A1153" s="12" t="s">
        <v>31</v>
      </c>
      <c r="B1153" s="260" t="s">
        <v>32</v>
      </c>
      <c r="C1153" s="261"/>
      <c r="D1153" s="261"/>
      <c r="E1153" s="261"/>
      <c r="F1153" s="39"/>
      <c r="G1153" s="39"/>
      <c r="H1153" s="40"/>
      <c r="I1153" s="41">
        <f>SUM(I1152+I1134)</f>
        <v>4619.5109999999995</v>
      </c>
      <c r="J1153" s="12" t="s">
        <v>31</v>
      </c>
      <c r="K1153" s="142" t="s">
        <v>32</v>
      </c>
      <c r="L1153" s="143"/>
      <c r="M1153" s="143"/>
      <c r="N1153" s="143"/>
      <c r="O1153" s="143"/>
      <c r="P1153" s="143"/>
      <c r="Q1153" s="40"/>
      <c r="R1153" s="41">
        <f>SUM(R1152+R1134)</f>
        <v>4778.8599999999997</v>
      </c>
    </row>
    <row r="1154" spans="1:18" x14ac:dyDescent="0.2">
      <c r="A1154" s="13" t="s">
        <v>33</v>
      </c>
      <c r="B1154" s="295">
        <f>E1121</f>
        <v>30</v>
      </c>
      <c r="C1154" s="296"/>
      <c r="D1154" s="296"/>
      <c r="E1154" s="296"/>
      <c r="F1154" s="296"/>
      <c r="G1154" s="296"/>
      <c r="H1154" s="40"/>
      <c r="I1154" s="41"/>
      <c r="J1154" s="13" t="s">
        <v>33</v>
      </c>
      <c r="K1154" s="293">
        <f>N1121</f>
        <v>50</v>
      </c>
      <c r="L1154" s="294"/>
      <c r="M1154" s="294"/>
      <c r="N1154" s="294"/>
      <c r="O1154" s="294"/>
      <c r="P1154" s="294"/>
      <c r="Q1154" s="40"/>
      <c r="R1154" s="41"/>
    </row>
    <row r="1155" spans="1:18" x14ac:dyDescent="0.2">
      <c r="A1155" s="13" t="s">
        <v>34</v>
      </c>
      <c r="B1155" s="42" t="s">
        <v>35</v>
      </c>
      <c r="C1155" s="43"/>
      <c r="D1155" s="43"/>
      <c r="E1155" s="39"/>
      <c r="F1155" s="44"/>
      <c r="G1155" s="44"/>
      <c r="H1155" s="40"/>
      <c r="I1155" s="41">
        <f>I1153/E1121</f>
        <v>153.98369999999997</v>
      </c>
      <c r="J1155" s="13" t="s">
        <v>34</v>
      </c>
      <c r="K1155" s="147" t="s">
        <v>35</v>
      </c>
      <c r="L1155" s="43"/>
      <c r="M1155" s="43"/>
      <c r="N1155" s="143"/>
      <c r="O1155" s="148"/>
      <c r="P1155" s="148"/>
      <c r="Q1155" s="40"/>
      <c r="R1155" s="41">
        <f>R1153/N1121</f>
        <v>95.577199999999991</v>
      </c>
    </row>
    <row r="1156" spans="1:18" x14ac:dyDescent="0.2">
      <c r="A1156" s="12"/>
      <c r="B1156" s="251" t="s">
        <v>36</v>
      </c>
      <c r="C1156" s="252"/>
      <c r="D1156" s="252"/>
      <c r="E1156" s="253"/>
      <c r="F1156" s="244" t="s">
        <v>37</v>
      </c>
      <c r="G1156" s="244" t="s">
        <v>38</v>
      </c>
      <c r="H1156" s="244" t="s">
        <v>39</v>
      </c>
      <c r="I1156" s="246" t="s">
        <v>15</v>
      </c>
      <c r="J1156" s="12"/>
      <c r="K1156" s="251" t="s">
        <v>36</v>
      </c>
      <c r="L1156" s="252"/>
      <c r="M1156" s="252"/>
      <c r="N1156" s="253"/>
      <c r="O1156" s="244" t="s">
        <v>37</v>
      </c>
      <c r="P1156" s="244" t="s">
        <v>38</v>
      </c>
      <c r="Q1156" s="244" t="s">
        <v>39</v>
      </c>
      <c r="R1156" s="246" t="s">
        <v>15</v>
      </c>
    </row>
    <row r="1157" spans="1:18" x14ac:dyDescent="0.2">
      <c r="A1157" s="13"/>
      <c r="B1157" s="254"/>
      <c r="C1157" s="255"/>
      <c r="D1157" s="255"/>
      <c r="E1157" s="256"/>
      <c r="F1157" s="245"/>
      <c r="G1157" s="245"/>
      <c r="H1157" s="245"/>
      <c r="I1157" s="247"/>
      <c r="J1157" s="13"/>
      <c r="K1157" s="254"/>
      <c r="L1157" s="255"/>
      <c r="M1157" s="255"/>
      <c r="N1157" s="256"/>
      <c r="O1157" s="245"/>
      <c r="P1157" s="245"/>
      <c r="Q1157" s="245"/>
      <c r="R1157" s="247"/>
    </row>
    <row r="1158" spans="1:18" x14ac:dyDescent="0.2">
      <c r="A1158" s="13" t="s">
        <v>40</v>
      </c>
      <c r="B1158" s="18" t="s">
        <v>41</v>
      </c>
      <c r="C1158" s="19"/>
      <c r="D1158" s="19"/>
      <c r="E1158" s="20"/>
      <c r="F1158" s="22"/>
      <c r="G1158" s="22"/>
      <c r="H1158" s="23"/>
      <c r="I1158" s="23"/>
      <c r="J1158" s="13" t="s">
        <v>40</v>
      </c>
      <c r="K1158" s="18" t="s">
        <v>41</v>
      </c>
      <c r="L1158" s="19"/>
      <c r="M1158" s="19"/>
      <c r="N1158" s="20"/>
      <c r="O1158" s="22"/>
      <c r="P1158" s="22"/>
      <c r="Q1158" s="23"/>
      <c r="R1158" s="23"/>
    </row>
    <row r="1159" spans="1:18" x14ac:dyDescent="0.2">
      <c r="A1159" s="13"/>
      <c r="B1159" s="18"/>
      <c r="C1159" s="19"/>
      <c r="D1159" s="19"/>
      <c r="E1159" s="20"/>
      <c r="F1159" s="22"/>
      <c r="G1159" s="22"/>
      <c r="H1159" s="23"/>
      <c r="I1159" s="23"/>
      <c r="J1159" s="13"/>
      <c r="K1159" s="18"/>
      <c r="L1159" s="19"/>
      <c r="M1159" s="19"/>
      <c r="N1159" s="20"/>
      <c r="O1159" s="22"/>
      <c r="P1159" s="22"/>
      <c r="Q1159" s="23"/>
      <c r="R1159" s="23"/>
    </row>
    <row r="1160" spans="1:18" x14ac:dyDescent="0.2">
      <c r="A1160" s="13"/>
      <c r="B1160" s="18" t="s">
        <v>194</v>
      </c>
      <c r="C1160" s="19"/>
      <c r="D1160" s="19"/>
      <c r="E1160" s="20"/>
      <c r="F1160" s="22" t="s">
        <v>80</v>
      </c>
      <c r="G1160" s="22">
        <v>1.4999999999999999E-4</v>
      </c>
      <c r="H1160" s="107">
        <v>8000</v>
      </c>
      <c r="I1160" s="23">
        <f>G1160*H1160</f>
        <v>1.2</v>
      </c>
      <c r="J1160" s="13"/>
      <c r="K1160" s="18" t="s">
        <v>187</v>
      </c>
      <c r="L1160" s="19"/>
      <c r="M1160" s="19"/>
      <c r="N1160" s="20"/>
      <c r="O1160" s="22" t="s">
        <v>9</v>
      </c>
      <c r="P1160" s="22">
        <v>1.25</v>
      </c>
      <c r="Q1160" s="23">
        <v>160</v>
      </c>
      <c r="R1160" s="23">
        <f>Q1160*P1160</f>
        <v>200</v>
      </c>
    </row>
    <row r="1161" spans="1:18" x14ac:dyDescent="0.2">
      <c r="A1161" s="13"/>
      <c r="B1161" s="18"/>
      <c r="C1161" s="66"/>
      <c r="D1161" s="19"/>
      <c r="E1161" s="20"/>
      <c r="F1161" s="22"/>
      <c r="G1161" s="70"/>
      <c r="H1161" s="23"/>
      <c r="I1161" s="23"/>
      <c r="J1161" s="13"/>
      <c r="K1161" s="18"/>
      <c r="L1161" s="19"/>
      <c r="M1161" s="19"/>
      <c r="N1161" s="20"/>
      <c r="O1161" s="22"/>
      <c r="P1161" s="22"/>
      <c r="Q1161" s="23"/>
      <c r="R1161" s="23"/>
    </row>
    <row r="1162" spans="1:18" x14ac:dyDescent="0.2">
      <c r="A1162" s="13"/>
      <c r="B1162" s="18"/>
      <c r="C1162" s="19"/>
      <c r="D1162" s="19"/>
      <c r="E1162" s="20"/>
      <c r="F1162" s="22"/>
      <c r="G1162" s="22"/>
      <c r="H1162" s="23"/>
      <c r="I1162" s="23"/>
      <c r="J1162" s="13"/>
      <c r="K1162" s="18"/>
      <c r="L1162" s="19"/>
      <c r="M1162" s="19"/>
      <c r="N1162" s="20"/>
      <c r="O1162" s="22"/>
      <c r="P1162" s="22"/>
      <c r="Q1162" s="38"/>
      <c r="R1162" s="38"/>
    </row>
    <row r="1163" spans="1:18" x14ac:dyDescent="0.2">
      <c r="A1163" s="13"/>
      <c r="B1163" s="18"/>
      <c r="C1163" s="19"/>
      <c r="D1163" s="19"/>
      <c r="E1163" s="20"/>
      <c r="F1163" s="22"/>
      <c r="G1163" s="22"/>
      <c r="H1163" s="23"/>
      <c r="I1163" s="23"/>
      <c r="J1163" s="13"/>
      <c r="K1163" s="18"/>
      <c r="L1163" s="19"/>
      <c r="M1163" s="19"/>
      <c r="N1163" s="20"/>
      <c r="O1163" s="22"/>
      <c r="P1163" s="22"/>
      <c r="Q1163" s="38"/>
      <c r="R1163" s="38"/>
    </row>
    <row r="1164" spans="1:18" x14ac:dyDescent="0.2">
      <c r="A1164" s="13"/>
      <c r="B1164" s="18"/>
      <c r="C1164" s="19"/>
      <c r="D1164" s="19"/>
      <c r="E1164" s="20"/>
      <c r="F1164" s="22"/>
      <c r="G1164" s="22"/>
      <c r="H1164" s="23"/>
      <c r="I1164" s="23"/>
      <c r="J1164" s="13"/>
      <c r="K1164" s="18"/>
      <c r="L1164" s="19"/>
      <c r="M1164" s="19"/>
      <c r="N1164" s="20"/>
      <c r="O1164" s="22"/>
      <c r="P1164" s="22"/>
      <c r="Q1164" s="45"/>
      <c r="R1164" s="45"/>
    </row>
    <row r="1165" spans="1:18" x14ac:dyDescent="0.2">
      <c r="A1165" s="13"/>
      <c r="B1165" s="18"/>
      <c r="C1165" s="19"/>
      <c r="D1165" s="19"/>
      <c r="E1165" s="20"/>
      <c r="F1165" s="22"/>
      <c r="G1165" s="22"/>
      <c r="H1165" s="23"/>
      <c r="I1165" s="23"/>
      <c r="J1165" s="13"/>
      <c r="K1165" s="18"/>
      <c r="L1165" s="19"/>
      <c r="M1165" s="19"/>
      <c r="N1165" s="20"/>
      <c r="O1165" s="22"/>
      <c r="P1165" s="22"/>
      <c r="Q1165" s="45"/>
      <c r="R1165" s="45"/>
    </row>
    <row r="1166" spans="1:18" x14ac:dyDescent="0.2">
      <c r="A1166" s="13"/>
      <c r="B1166" s="18"/>
      <c r="C1166" s="19"/>
      <c r="D1166" s="19"/>
      <c r="E1166" s="20"/>
      <c r="F1166" s="22"/>
      <c r="G1166" s="22"/>
      <c r="H1166" s="23"/>
      <c r="I1166" s="23"/>
      <c r="J1166" s="13"/>
      <c r="K1166" s="18"/>
      <c r="L1166" s="19"/>
      <c r="M1166" s="19"/>
      <c r="N1166" s="20"/>
      <c r="O1166" s="22"/>
      <c r="P1166" s="22"/>
      <c r="Q1166" s="23"/>
      <c r="R1166" s="23"/>
    </row>
    <row r="1167" spans="1:18" x14ac:dyDescent="0.2">
      <c r="A1167" s="13"/>
      <c r="B1167" s="18"/>
      <c r="C1167" s="19"/>
      <c r="D1167" s="19"/>
      <c r="E1167" s="20"/>
      <c r="F1167" s="22"/>
      <c r="G1167" s="22"/>
      <c r="H1167" s="23"/>
      <c r="I1167" s="23"/>
      <c r="J1167" s="13"/>
      <c r="K1167" s="18"/>
      <c r="L1167" s="19"/>
      <c r="M1167" s="19"/>
      <c r="N1167" s="20"/>
      <c r="O1167" s="22"/>
      <c r="P1167" s="22"/>
      <c r="Q1167" s="23"/>
      <c r="R1167" s="23"/>
    </row>
    <row r="1168" spans="1:18" x14ac:dyDescent="0.2">
      <c r="A1168" s="13"/>
      <c r="B1168" s="18"/>
      <c r="C1168" s="19"/>
      <c r="D1168" s="19"/>
      <c r="E1168" s="20"/>
      <c r="F1168" s="22"/>
      <c r="G1168" s="22"/>
      <c r="H1168" s="23"/>
      <c r="I1168" s="23"/>
      <c r="J1168" s="13"/>
      <c r="K1168" s="18"/>
      <c r="L1168" s="19"/>
      <c r="M1168" s="19"/>
      <c r="N1168" s="20"/>
      <c r="O1168" s="22"/>
      <c r="P1168" s="22"/>
      <c r="Q1168" s="23"/>
      <c r="R1168" s="23"/>
    </row>
    <row r="1169" spans="1:18" x14ac:dyDescent="0.2">
      <c r="A1169" s="13"/>
      <c r="B1169" s="18"/>
      <c r="C1169" s="19"/>
      <c r="D1169" s="19"/>
      <c r="E1169" s="20"/>
      <c r="F1169" s="22"/>
      <c r="G1169" s="22"/>
      <c r="H1169" s="23"/>
      <c r="I1169" s="23"/>
      <c r="J1169" s="13"/>
      <c r="K1169" s="18"/>
      <c r="L1169" s="19"/>
      <c r="M1169" s="19"/>
      <c r="N1169" s="20"/>
      <c r="O1169" s="22"/>
      <c r="P1169" s="22"/>
      <c r="Q1169" s="23"/>
      <c r="R1169" s="23"/>
    </row>
    <row r="1170" spans="1:18" x14ac:dyDescent="0.2">
      <c r="A1170" s="13"/>
      <c r="B1170" s="18"/>
      <c r="C1170" s="19"/>
      <c r="D1170" s="19"/>
      <c r="E1170" s="20"/>
      <c r="F1170" s="22"/>
      <c r="G1170" s="22"/>
      <c r="H1170" s="23"/>
      <c r="I1170" s="23"/>
      <c r="J1170" s="13"/>
      <c r="K1170" s="18"/>
      <c r="L1170" s="19"/>
      <c r="M1170" s="19"/>
      <c r="N1170" s="20"/>
      <c r="O1170" s="22"/>
      <c r="P1170" s="22"/>
      <c r="Q1170" s="23"/>
      <c r="R1170" s="23"/>
    </row>
    <row r="1171" spans="1:18" x14ac:dyDescent="0.2">
      <c r="A1171" s="13"/>
      <c r="B1171" s="18"/>
      <c r="C1171" s="19"/>
      <c r="D1171" s="19"/>
      <c r="E1171" s="20"/>
      <c r="F1171" s="22"/>
      <c r="G1171" s="22"/>
      <c r="H1171" s="23"/>
      <c r="I1171" s="23"/>
      <c r="J1171" s="13"/>
      <c r="K1171" s="18"/>
      <c r="L1171" s="19"/>
      <c r="M1171" s="19"/>
      <c r="N1171" s="20"/>
      <c r="O1171" s="22"/>
      <c r="P1171" s="22"/>
      <c r="Q1171" s="23"/>
      <c r="R1171" s="23"/>
    </row>
    <row r="1172" spans="1:18" x14ac:dyDescent="0.2">
      <c r="A1172" s="13"/>
      <c r="B1172" s="18"/>
      <c r="C1172" s="19"/>
      <c r="D1172" s="19"/>
      <c r="E1172" s="20"/>
      <c r="F1172" s="22"/>
      <c r="G1172" s="36"/>
      <c r="H1172" s="37"/>
      <c r="I1172" s="37"/>
      <c r="J1172" s="13"/>
      <c r="K1172" s="18"/>
      <c r="L1172" s="19"/>
      <c r="M1172" s="19"/>
      <c r="N1172" s="20"/>
      <c r="O1172" s="22"/>
      <c r="P1172" s="36"/>
      <c r="Q1172" s="37"/>
      <c r="R1172" s="37"/>
    </row>
    <row r="1173" spans="1:18" x14ac:dyDescent="0.2">
      <c r="A1173" s="13"/>
      <c r="B1173" s="248" t="s">
        <v>42</v>
      </c>
      <c r="C1173" s="249"/>
      <c r="D1173" s="249"/>
      <c r="E1173" s="250"/>
      <c r="F1173" s="46"/>
      <c r="G1173" s="46"/>
      <c r="H1173" s="47"/>
      <c r="I1173" s="47">
        <f>SUM(I1160:I1172)</f>
        <v>1.2</v>
      </c>
      <c r="J1173" s="13"/>
      <c r="K1173" s="139" t="s">
        <v>42</v>
      </c>
      <c r="L1173" s="140"/>
      <c r="M1173" s="140"/>
      <c r="N1173" s="141"/>
      <c r="O1173" s="46"/>
      <c r="P1173" s="46"/>
      <c r="Q1173" s="47"/>
      <c r="R1173" s="47">
        <f>SUM(R1160:R1172)</f>
        <v>200</v>
      </c>
    </row>
    <row r="1174" spans="1:18" x14ac:dyDescent="0.2">
      <c r="A1174" s="12" t="s">
        <v>43</v>
      </c>
      <c r="B1174" s="48" t="s">
        <v>44</v>
      </c>
      <c r="C1174" s="43"/>
      <c r="D1174" s="43"/>
      <c r="E1174" s="39"/>
      <c r="F1174" s="49"/>
      <c r="G1174" s="49"/>
      <c r="H1174" s="50"/>
      <c r="I1174" s="51">
        <f>SUM(I1155+I1173)</f>
        <v>155.18369999999996</v>
      </c>
      <c r="J1174" s="12" t="s">
        <v>43</v>
      </c>
      <c r="K1174" s="48" t="s">
        <v>44</v>
      </c>
      <c r="L1174" s="43"/>
      <c r="M1174" s="43"/>
      <c r="N1174" s="143"/>
      <c r="O1174" s="49"/>
      <c r="P1174" s="49"/>
      <c r="Q1174" s="50"/>
      <c r="R1174" s="51">
        <f>SUM(R1155+R1173)</f>
        <v>295.5772</v>
      </c>
    </row>
    <row r="1175" spans="1:18" x14ac:dyDescent="0.2">
      <c r="A1175" s="13" t="s">
        <v>45</v>
      </c>
      <c r="B1175" s="48" t="s">
        <v>46</v>
      </c>
      <c r="C1175" s="43"/>
      <c r="D1175" s="43"/>
      <c r="E1175" s="39"/>
      <c r="F1175" s="49"/>
      <c r="G1175" s="52">
        <v>0.09</v>
      </c>
      <c r="H1175" s="53" t="s">
        <v>47</v>
      </c>
      <c r="I1175" s="51">
        <f>G1175*I1174</f>
        <v>13.966532999999997</v>
      </c>
      <c r="J1175" s="13" t="s">
        <v>45</v>
      </c>
      <c r="K1175" s="48" t="s">
        <v>46</v>
      </c>
      <c r="L1175" s="43"/>
      <c r="M1175" s="43"/>
      <c r="N1175" s="143"/>
      <c r="O1175" s="49"/>
      <c r="P1175" s="52">
        <v>0.09</v>
      </c>
      <c r="Q1175" s="53" t="s">
        <v>47</v>
      </c>
      <c r="R1175" s="51">
        <f>P1175*R1174</f>
        <v>26.601948</v>
      </c>
    </row>
    <row r="1176" spans="1:18" x14ac:dyDescent="0.2">
      <c r="A1176" s="13" t="s">
        <v>48</v>
      </c>
      <c r="B1176" s="48" t="s">
        <v>49</v>
      </c>
      <c r="C1176" s="43"/>
      <c r="D1176" s="43"/>
      <c r="E1176" s="39"/>
      <c r="F1176" s="49"/>
      <c r="G1176" s="52">
        <v>0.08</v>
      </c>
      <c r="H1176" s="53" t="s">
        <v>47</v>
      </c>
      <c r="I1176" s="51">
        <f>G1176*I1174</f>
        <v>12.414695999999998</v>
      </c>
      <c r="J1176" s="13" t="s">
        <v>48</v>
      </c>
      <c r="K1176" s="48" t="s">
        <v>49</v>
      </c>
      <c r="L1176" s="43"/>
      <c r="M1176" s="43"/>
      <c r="N1176" s="143"/>
      <c r="O1176" s="49"/>
      <c r="P1176" s="52">
        <v>0.08</v>
      </c>
      <c r="Q1176" s="53" t="s">
        <v>47</v>
      </c>
      <c r="R1176" s="51">
        <f>P1176*R1174</f>
        <v>23.646176000000001</v>
      </c>
    </row>
    <row r="1177" spans="1:18" x14ac:dyDescent="0.2">
      <c r="A1177" s="13" t="s">
        <v>50</v>
      </c>
      <c r="B1177" s="48" t="s">
        <v>51</v>
      </c>
      <c r="C1177" s="43"/>
      <c r="D1177" s="43"/>
      <c r="E1177" s="39"/>
      <c r="F1177" s="49"/>
      <c r="G1177" s="52">
        <f>5/100</f>
        <v>0.05</v>
      </c>
      <c r="H1177" s="53" t="s">
        <v>52</v>
      </c>
      <c r="I1177" s="51">
        <f>G1177*(I1174+I1175+I1176)</f>
        <v>9.0782464499999982</v>
      </c>
      <c r="J1177" s="13" t="s">
        <v>50</v>
      </c>
      <c r="K1177" s="48" t="s">
        <v>51</v>
      </c>
      <c r="L1177" s="43"/>
      <c r="M1177" s="43"/>
      <c r="N1177" s="143"/>
      <c r="O1177" s="49"/>
      <c r="P1177" s="52">
        <f>5/100</f>
        <v>0.05</v>
      </c>
      <c r="Q1177" s="53" t="s">
        <v>52</v>
      </c>
      <c r="R1177" s="51">
        <f>P1177*(R1174+R1175+R1176)</f>
        <v>17.291266200000003</v>
      </c>
    </row>
    <row r="1178" spans="1:18" x14ac:dyDescent="0.2">
      <c r="A1178" s="54" t="s">
        <v>53</v>
      </c>
      <c r="B1178" s="48" t="s">
        <v>54</v>
      </c>
      <c r="C1178" s="43"/>
      <c r="D1178" s="43"/>
      <c r="E1178" s="39"/>
      <c r="F1178" s="49"/>
      <c r="G1178" s="49"/>
      <c r="H1178" s="55" t="s">
        <v>55</v>
      </c>
      <c r="I1178" s="51">
        <f>SUM(I1174+I1175+I1176+I1177)</f>
        <v>190.64317544999994</v>
      </c>
      <c r="J1178" s="54" t="s">
        <v>53</v>
      </c>
      <c r="K1178" s="48" t="s">
        <v>54</v>
      </c>
      <c r="L1178" s="43"/>
      <c r="M1178" s="43"/>
      <c r="N1178" s="143"/>
      <c r="O1178" s="49"/>
      <c r="P1178" s="49"/>
      <c r="Q1178" s="55" t="s">
        <v>55</v>
      </c>
      <c r="R1178" s="51">
        <f>SUM(R1174+R1175+R1176+R1177)</f>
        <v>363.11659020000002</v>
      </c>
    </row>
    <row r="1179" spans="1:18" s="1" customFormat="1" x14ac:dyDescent="0.2">
      <c r="A1179" s="285" t="s">
        <v>0</v>
      </c>
      <c r="B1179" s="285"/>
      <c r="C1179" s="285"/>
      <c r="D1179" s="285"/>
      <c r="E1179" s="285"/>
      <c r="F1179" s="285"/>
      <c r="G1179" s="285"/>
      <c r="H1179" s="285"/>
      <c r="I1179" s="285"/>
      <c r="J1179" s="285" t="s">
        <v>0</v>
      </c>
      <c r="K1179" s="285"/>
      <c r="L1179" s="285"/>
      <c r="M1179" s="285"/>
      <c r="N1179" s="285"/>
      <c r="O1179" s="285"/>
      <c r="P1179" s="285"/>
      <c r="Q1179" s="285"/>
      <c r="R1179" s="285"/>
    </row>
    <row r="1180" spans="1:18" x14ac:dyDescent="0.2">
      <c r="J1180" s="80"/>
      <c r="K1180" s="66"/>
      <c r="L1180" s="19"/>
      <c r="M1180" s="19"/>
      <c r="N1180" s="20"/>
      <c r="O1180" s="66"/>
      <c r="P1180" s="66"/>
      <c r="Q1180" s="66"/>
      <c r="R1180" s="66"/>
    </row>
    <row r="1181" spans="1:18" x14ac:dyDescent="0.2">
      <c r="A1181" s="2" t="s">
        <v>1</v>
      </c>
      <c r="C1181" s="4" t="s">
        <v>2</v>
      </c>
      <c r="D1181" s="5" t="s">
        <v>195</v>
      </c>
      <c r="E1181" s="237" t="s">
        <v>196</v>
      </c>
      <c r="F1181" s="237"/>
      <c r="G1181" s="237"/>
      <c r="H1181" s="237"/>
      <c r="I1181" s="8"/>
      <c r="J1181" s="146" t="s">
        <v>1</v>
      </c>
      <c r="K1181" s="66"/>
      <c r="L1181" s="19" t="s">
        <v>2</v>
      </c>
      <c r="M1181" s="20" t="s">
        <v>190</v>
      </c>
      <c r="N1181" s="146" t="s">
        <v>191</v>
      </c>
      <c r="O1181" s="146"/>
      <c r="P1181" s="146"/>
      <c r="Q1181" s="146"/>
      <c r="R1181" s="66"/>
    </row>
    <row r="1182" spans="1:18" x14ac:dyDescent="0.2">
      <c r="A1182" s="2" t="s">
        <v>7</v>
      </c>
      <c r="C1182" s="4" t="s">
        <v>2</v>
      </c>
      <c r="E1182" s="2" t="s">
        <v>8</v>
      </c>
      <c r="F1182" s="8"/>
      <c r="G1182" s="8"/>
      <c r="H1182" s="8"/>
      <c r="J1182" s="146" t="s">
        <v>7</v>
      </c>
      <c r="K1182" s="66"/>
      <c r="L1182" s="19" t="s">
        <v>2</v>
      </c>
      <c r="M1182" s="19"/>
      <c r="N1182" s="146" t="s">
        <v>9</v>
      </c>
      <c r="O1182" s="25"/>
      <c r="P1182" s="25"/>
      <c r="Q1182" s="25"/>
      <c r="R1182" s="66"/>
    </row>
    <row r="1183" spans="1:18" x14ac:dyDescent="0.2">
      <c r="A1183" s="2" t="s">
        <v>10</v>
      </c>
      <c r="C1183" s="4" t="s">
        <v>2</v>
      </c>
      <c r="E1183" s="9">
        <v>60</v>
      </c>
      <c r="F1183" s="8"/>
      <c r="G1183" s="8"/>
      <c r="H1183" s="8"/>
      <c r="J1183" s="146" t="s">
        <v>10</v>
      </c>
      <c r="K1183" s="66"/>
      <c r="L1183" s="19" t="s">
        <v>2</v>
      </c>
      <c r="M1183" s="19"/>
      <c r="N1183" s="81">
        <v>50</v>
      </c>
      <c r="O1183" s="25"/>
      <c r="P1183" s="25"/>
      <c r="Q1183" s="25"/>
      <c r="R1183" s="66"/>
    </row>
    <row r="1184" spans="1:18" x14ac:dyDescent="0.2">
      <c r="B1184" s="8"/>
      <c r="F1184" s="11"/>
      <c r="G1184" s="8"/>
      <c r="H1184" s="8"/>
      <c r="I1184" s="8"/>
      <c r="J1184" s="80"/>
      <c r="K1184" s="25"/>
      <c r="L1184" s="19"/>
      <c r="M1184" s="19"/>
      <c r="N1184" s="20"/>
      <c r="O1184" s="88"/>
      <c r="P1184" s="25"/>
      <c r="Q1184" s="25"/>
      <c r="R1184" s="25"/>
    </row>
    <row r="1185" spans="1:18" x14ac:dyDescent="0.2">
      <c r="A1185" s="12"/>
      <c r="B1185" s="238" t="s">
        <v>11</v>
      </c>
      <c r="C1185" s="239"/>
      <c r="D1185" s="239"/>
      <c r="E1185" s="240"/>
      <c r="F1185" s="244" t="s">
        <v>12</v>
      </c>
      <c r="G1185" s="244" t="s">
        <v>13</v>
      </c>
      <c r="H1185" s="244" t="s">
        <v>14</v>
      </c>
      <c r="I1185" s="246" t="s">
        <v>15</v>
      </c>
      <c r="J1185" s="12"/>
      <c r="K1185" s="238" t="s">
        <v>11</v>
      </c>
      <c r="L1185" s="239"/>
      <c r="M1185" s="239"/>
      <c r="N1185" s="240"/>
      <c r="O1185" s="244" t="s">
        <v>12</v>
      </c>
      <c r="P1185" s="244" t="s">
        <v>13</v>
      </c>
      <c r="Q1185" s="244" t="s">
        <v>14</v>
      </c>
      <c r="R1185" s="246" t="s">
        <v>15</v>
      </c>
    </row>
    <row r="1186" spans="1:18" x14ac:dyDescent="0.2">
      <c r="A1186" s="13"/>
      <c r="B1186" s="241"/>
      <c r="C1186" s="242"/>
      <c r="D1186" s="242"/>
      <c r="E1186" s="243"/>
      <c r="F1186" s="245"/>
      <c r="G1186" s="245"/>
      <c r="H1186" s="245"/>
      <c r="I1186" s="247"/>
      <c r="J1186" s="13"/>
      <c r="K1186" s="241"/>
      <c r="L1186" s="242"/>
      <c r="M1186" s="242"/>
      <c r="N1186" s="243"/>
      <c r="O1186" s="245"/>
      <c r="P1186" s="245"/>
      <c r="Q1186" s="245"/>
      <c r="R1186" s="247"/>
    </row>
    <row r="1187" spans="1:18" x14ac:dyDescent="0.2">
      <c r="A1187" s="13" t="s">
        <v>16</v>
      </c>
      <c r="B1187" s="14" t="s">
        <v>17</v>
      </c>
      <c r="C1187" s="15"/>
      <c r="D1187" s="15"/>
      <c r="E1187" s="16"/>
      <c r="F1187" s="17"/>
      <c r="G1187" s="17"/>
      <c r="H1187" s="17"/>
      <c r="I1187" s="17"/>
      <c r="J1187" s="13" t="s">
        <v>16</v>
      </c>
      <c r="K1187" s="14" t="s">
        <v>17</v>
      </c>
      <c r="L1187" s="15"/>
      <c r="M1187" s="15"/>
      <c r="N1187" s="16"/>
      <c r="O1187" s="17"/>
      <c r="P1187" s="17"/>
      <c r="Q1187" s="17"/>
      <c r="R1187" s="17"/>
    </row>
    <row r="1188" spans="1:18" x14ac:dyDescent="0.2">
      <c r="A1188" s="13"/>
      <c r="B1188" s="18"/>
      <c r="C1188" s="19"/>
      <c r="D1188" s="19"/>
      <c r="E1188" s="20"/>
      <c r="F1188" s="21"/>
      <c r="G1188" s="22"/>
      <c r="H1188" s="21"/>
      <c r="I1188" s="21"/>
      <c r="J1188" s="13"/>
      <c r="K1188" s="18" t="s">
        <v>192</v>
      </c>
      <c r="L1188" s="19"/>
      <c r="M1188" s="19"/>
      <c r="N1188" s="20"/>
      <c r="O1188" s="21"/>
      <c r="P1188" s="22"/>
      <c r="Q1188" s="21"/>
      <c r="R1188" s="21"/>
    </row>
    <row r="1189" spans="1:18" x14ac:dyDescent="0.2">
      <c r="A1189" s="13"/>
      <c r="B1189" s="24" t="s">
        <v>18</v>
      </c>
      <c r="C1189" s="25"/>
      <c r="D1189" s="25"/>
      <c r="E1189" s="26"/>
      <c r="F1189" s="22">
        <v>1</v>
      </c>
      <c r="G1189" s="62">
        <v>1</v>
      </c>
      <c r="H1189" s="23">
        <v>69.42</v>
      </c>
      <c r="I1189" s="23">
        <f>G1189*H1189*F1189</f>
        <v>69.42</v>
      </c>
      <c r="J1189" s="13"/>
      <c r="K1189" s="24" t="s">
        <v>18</v>
      </c>
      <c r="L1189" s="25"/>
      <c r="M1189" s="25"/>
      <c r="N1189" s="26"/>
      <c r="O1189" s="22">
        <v>1</v>
      </c>
      <c r="P1189" s="62">
        <v>0.83</v>
      </c>
      <c r="Q1189" s="23">
        <v>69.42</v>
      </c>
      <c r="R1189" s="23">
        <f>P1189*Q1189*O1189</f>
        <v>57.618600000000001</v>
      </c>
    </row>
    <row r="1190" spans="1:18" x14ac:dyDescent="0.2">
      <c r="A1190" s="13"/>
      <c r="B1190" s="257" t="s">
        <v>1179</v>
      </c>
      <c r="C1190" s="258"/>
      <c r="D1190" s="25"/>
      <c r="E1190" s="26"/>
      <c r="F1190" s="22">
        <v>2</v>
      </c>
      <c r="G1190" s="62">
        <v>1</v>
      </c>
      <c r="H1190" s="23">
        <v>38.97</v>
      </c>
      <c r="I1190" s="23">
        <f>G1190*H1190*F1190</f>
        <v>77.94</v>
      </c>
      <c r="J1190" s="13"/>
      <c r="K1190" s="149" t="s">
        <v>1179</v>
      </c>
      <c r="L1190" s="146"/>
      <c r="M1190" s="19"/>
      <c r="N1190" s="20"/>
      <c r="O1190" s="22">
        <v>2</v>
      </c>
      <c r="P1190" s="62">
        <v>0.83</v>
      </c>
      <c r="Q1190" s="23">
        <v>38.97</v>
      </c>
      <c r="R1190" s="23">
        <f>P1190*Q1190*O1190</f>
        <v>64.69019999999999</v>
      </c>
    </row>
    <row r="1191" spans="1:18" x14ac:dyDescent="0.2">
      <c r="A1191" s="13"/>
      <c r="B1191" s="257"/>
      <c r="C1191" s="258"/>
      <c r="D1191" s="19"/>
      <c r="E1191" s="20"/>
      <c r="F1191" s="22"/>
      <c r="G1191" s="22"/>
      <c r="H1191" s="23"/>
      <c r="I1191" s="23"/>
      <c r="J1191" s="13"/>
      <c r="K1191" s="24"/>
      <c r="L1191" s="25"/>
      <c r="M1191" s="19"/>
      <c r="N1191" s="20"/>
      <c r="O1191" s="22"/>
      <c r="P1191" s="22"/>
      <c r="Q1191" s="23"/>
      <c r="R1191" s="23"/>
    </row>
    <row r="1192" spans="1:18" x14ac:dyDescent="0.2">
      <c r="A1192" s="13"/>
      <c r="B1192" s="27"/>
      <c r="C1192" s="63"/>
      <c r="D1192" s="19"/>
      <c r="E1192" s="20"/>
      <c r="F1192" s="22"/>
      <c r="G1192" s="22"/>
      <c r="H1192" s="29"/>
      <c r="I1192" s="30"/>
      <c r="J1192" s="13"/>
      <c r="K1192" s="24" t="s">
        <v>193</v>
      </c>
      <c r="L1192" s="25"/>
      <c r="M1192" s="19"/>
      <c r="N1192" s="20"/>
      <c r="O1192" s="22"/>
      <c r="P1192" s="22"/>
      <c r="Q1192" s="23"/>
      <c r="R1192" s="23"/>
    </row>
    <row r="1193" spans="1:18" x14ac:dyDescent="0.2">
      <c r="A1193" s="13"/>
      <c r="B1193" s="27"/>
      <c r="C1193" s="63"/>
      <c r="D1193" s="19"/>
      <c r="E1193" s="20"/>
      <c r="F1193" s="22"/>
      <c r="G1193" s="22"/>
      <c r="H1193" s="29"/>
      <c r="I1193" s="30"/>
      <c r="J1193" s="13"/>
      <c r="K1193" s="24" t="s">
        <v>18</v>
      </c>
      <c r="L1193" s="25"/>
      <c r="M1193" s="25"/>
      <c r="N1193" s="26"/>
      <c r="O1193" s="22">
        <v>1</v>
      </c>
      <c r="P1193" s="62">
        <v>1</v>
      </c>
      <c r="Q1193" s="23">
        <v>69.42</v>
      </c>
      <c r="R1193" s="23">
        <f>P1193*Q1193*O1193</f>
        <v>69.42</v>
      </c>
    </row>
    <row r="1194" spans="1:18" x14ac:dyDescent="0.2">
      <c r="A1194" s="13"/>
      <c r="B1194" s="24"/>
      <c r="C1194" s="25"/>
      <c r="D1194" s="19"/>
      <c r="E1194" s="20"/>
      <c r="F1194" s="22"/>
      <c r="G1194" s="22"/>
      <c r="H1194" s="23"/>
      <c r="I1194" s="23"/>
      <c r="J1194" s="13"/>
      <c r="K1194" s="149" t="s">
        <v>1179</v>
      </c>
      <c r="L1194" s="146"/>
      <c r="M1194" s="19"/>
      <c r="N1194" s="20"/>
      <c r="O1194" s="22">
        <v>2</v>
      </c>
      <c r="P1194" s="62">
        <v>1</v>
      </c>
      <c r="Q1194" s="23">
        <v>38.97</v>
      </c>
      <c r="R1194" s="23">
        <f>P1194*Q1194*O1194</f>
        <v>77.94</v>
      </c>
    </row>
    <row r="1195" spans="1:18" x14ac:dyDescent="0.2">
      <c r="A1195" s="13"/>
      <c r="B1195" s="24"/>
      <c r="C1195" s="25"/>
      <c r="D1195" s="19"/>
      <c r="E1195" s="20"/>
      <c r="F1195" s="22"/>
      <c r="G1195" s="22"/>
      <c r="H1195" s="23"/>
      <c r="I1195" s="23"/>
      <c r="J1195" s="13"/>
      <c r="K1195" s="18"/>
      <c r="L1195" s="19"/>
      <c r="M1195" s="19"/>
      <c r="N1195" s="20"/>
      <c r="O1195" s="22"/>
      <c r="P1195" s="62"/>
      <c r="Q1195" s="23"/>
      <c r="R1195" s="23"/>
    </row>
    <row r="1196" spans="1:18" x14ac:dyDescent="0.2">
      <c r="A1196" s="13"/>
      <c r="B1196" s="248" t="s">
        <v>20</v>
      </c>
      <c r="C1196" s="249"/>
      <c r="D1196" s="249"/>
      <c r="E1196" s="250"/>
      <c r="F1196" s="31"/>
      <c r="G1196" s="31"/>
      <c r="H1196" s="32"/>
      <c r="I1196" s="32">
        <f>SUM(I1189:I1195)</f>
        <v>147.36000000000001</v>
      </c>
      <c r="J1196" s="13"/>
      <c r="K1196" s="139" t="s">
        <v>20</v>
      </c>
      <c r="L1196" s="140"/>
      <c r="M1196" s="140"/>
      <c r="N1196" s="141"/>
      <c r="O1196" s="31"/>
      <c r="P1196" s="31"/>
      <c r="Q1196" s="32"/>
      <c r="R1196" s="32">
        <f>SUM(R1189:R1195)</f>
        <v>269.66879999999998</v>
      </c>
    </row>
    <row r="1197" spans="1:18" x14ac:dyDescent="0.2">
      <c r="A1197" s="12"/>
      <c r="B1197" s="251" t="s">
        <v>21</v>
      </c>
      <c r="C1197" s="252"/>
      <c r="D1197" s="252"/>
      <c r="E1197" s="253"/>
      <c r="F1197" s="244" t="s">
        <v>22</v>
      </c>
      <c r="G1197" s="244" t="s">
        <v>13</v>
      </c>
      <c r="H1197" s="244" t="s">
        <v>14</v>
      </c>
      <c r="I1197" s="246" t="s">
        <v>15</v>
      </c>
      <c r="J1197" s="12"/>
      <c r="K1197" s="251" t="s">
        <v>21</v>
      </c>
      <c r="L1197" s="252"/>
      <c r="M1197" s="252"/>
      <c r="N1197" s="253"/>
      <c r="O1197" s="244" t="s">
        <v>22</v>
      </c>
      <c r="P1197" s="244" t="s">
        <v>13</v>
      </c>
      <c r="Q1197" s="244" t="s">
        <v>14</v>
      </c>
      <c r="R1197" s="246" t="s">
        <v>15</v>
      </c>
    </row>
    <row r="1198" spans="1:18" x14ac:dyDescent="0.2">
      <c r="A1198" s="13"/>
      <c r="B1198" s="254"/>
      <c r="C1198" s="255"/>
      <c r="D1198" s="255"/>
      <c r="E1198" s="256"/>
      <c r="F1198" s="245"/>
      <c r="G1198" s="245"/>
      <c r="H1198" s="245"/>
      <c r="I1198" s="247"/>
      <c r="J1198" s="13"/>
      <c r="K1198" s="254"/>
      <c r="L1198" s="255"/>
      <c r="M1198" s="255"/>
      <c r="N1198" s="256"/>
      <c r="O1198" s="245"/>
      <c r="P1198" s="245"/>
      <c r="Q1198" s="245"/>
      <c r="R1198" s="247"/>
    </row>
    <row r="1199" spans="1:18" x14ac:dyDescent="0.2">
      <c r="A1199" s="13" t="s">
        <v>23</v>
      </c>
      <c r="B1199" s="33" t="s">
        <v>24</v>
      </c>
      <c r="C1199" s="15"/>
      <c r="D1199" s="15"/>
      <c r="E1199" s="16"/>
      <c r="F1199" s="34"/>
      <c r="G1199" s="34"/>
      <c r="H1199" s="35"/>
      <c r="I1199" s="35"/>
      <c r="J1199" s="13" t="s">
        <v>23</v>
      </c>
      <c r="K1199" s="33" t="s">
        <v>24</v>
      </c>
      <c r="L1199" s="15"/>
      <c r="M1199" s="15"/>
      <c r="N1199" s="16"/>
      <c r="O1199" s="34"/>
      <c r="P1199" s="34"/>
      <c r="Q1199" s="35"/>
      <c r="R1199" s="35"/>
    </row>
    <row r="1200" spans="1:18" x14ac:dyDescent="0.2">
      <c r="A1200" s="13"/>
      <c r="B1200" s="18"/>
      <c r="C1200" s="19"/>
      <c r="D1200" s="19"/>
      <c r="E1200" s="20"/>
      <c r="F1200" s="22"/>
      <c r="G1200" s="22"/>
      <c r="H1200" s="23"/>
      <c r="I1200" s="23"/>
      <c r="J1200" s="13"/>
      <c r="K1200" s="18" t="s">
        <v>192</v>
      </c>
      <c r="L1200" s="19"/>
      <c r="M1200" s="19"/>
      <c r="N1200" s="20"/>
      <c r="O1200" s="22"/>
      <c r="P1200" s="22"/>
      <c r="Q1200" s="23"/>
      <c r="R1200" s="23"/>
    </row>
    <row r="1201" spans="1:18" x14ac:dyDescent="0.2">
      <c r="A1201" s="13"/>
      <c r="B1201" s="18" t="s">
        <v>199</v>
      </c>
      <c r="C1201" s="66"/>
      <c r="D1201" s="19"/>
      <c r="E1201" s="20"/>
      <c r="F1201" s="22">
        <v>1</v>
      </c>
      <c r="G1201" s="23">
        <v>1</v>
      </c>
      <c r="H1201" s="37">
        <v>2173</v>
      </c>
      <c r="I1201" s="37">
        <f>G1201*H1201*F1201</f>
        <v>2173</v>
      </c>
      <c r="J1201" s="13"/>
      <c r="K1201" s="18" t="s">
        <v>1155</v>
      </c>
      <c r="L1201" s="19"/>
      <c r="M1201" s="19"/>
      <c r="N1201" s="20"/>
      <c r="O1201" s="22">
        <v>1</v>
      </c>
      <c r="P1201" s="23">
        <v>0.83</v>
      </c>
      <c r="Q1201" s="37">
        <v>3379</v>
      </c>
      <c r="R1201" s="37">
        <f>P1201*Q1201*O1201</f>
        <v>2804.5699999999997</v>
      </c>
    </row>
    <row r="1202" spans="1:18" x14ac:dyDescent="0.2">
      <c r="A1202" s="13"/>
      <c r="B1202" s="18" t="s">
        <v>183</v>
      </c>
      <c r="C1202" s="66"/>
      <c r="D1202" s="19"/>
      <c r="E1202" s="20"/>
      <c r="F1202" s="22">
        <v>1</v>
      </c>
      <c r="G1202" s="23">
        <v>1</v>
      </c>
      <c r="H1202" s="37">
        <v>1733</v>
      </c>
      <c r="I1202" s="37">
        <f>G1202*H1202*F1202</f>
        <v>1733</v>
      </c>
      <c r="J1202" s="13"/>
      <c r="K1202" s="18" t="s">
        <v>25</v>
      </c>
      <c r="L1202" s="19"/>
      <c r="M1202" s="19"/>
      <c r="N1202" s="20"/>
      <c r="O1202" s="22">
        <v>1</v>
      </c>
      <c r="P1202" s="23">
        <v>0.83</v>
      </c>
      <c r="Q1202" s="37">
        <v>1733</v>
      </c>
      <c r="R1202" s="37">
        <f>P1202*Q1202*O1202</f>
        <v>1438.3899999999999</v>
      </c>
    </row>
    <row r="1203" spans="1:18" x14ac:dyDescent="0.2">
      <c r="A1203" s="13"/>
      <c r="B1203" s="18" t="s">
        <v>1147</v>
      </c>
      <c r="C1203" s="66"/>
      <c r="D1203" s="19"/>
      <c r="E1203" s="20"/>
      <c r="F1203" s="22">
        <v>1</v>
      </c>
      <c r="G1203" s="23">
        <v>0.5</v>
      </c>
      <c r="H1203" s="37">
        <v>1420</v>
      </c>
      <c r="I1203" s="37">
        <f>G1203*H1203*F1203</f>
        <v>710</v>
      </c>
      <c r="J1203" s="13"/>
      <c r="K1203" s="18" t="s">
        <v>1175</v>
      </c>
      <c r="L1203" s="19"/>
      <c r="M1203" s="19"/>
      <c r="N1203" s="20"/>
      <c r="O1203" s="22">
        <v>2</v>
      </c>
      <c r="P1203" s="23">
        <v>0.83</v>
      </c>
      <c r="Q1203" s="37">
        <v>1420</v>
      </c>
      <c r="R1203" s="37">
        <f>P1203*Q1203*O1203</f>
        <v>2357.1999999999998</v>
      </c>
    </row>
    <row r="1204" spans="1:18" x14ac:dyDescent="0.2">
      <c r="A1204" s="13"/>
      <c r="B1204" s="18" t="s">
        <v>1192</v>
      </c>
      <c r="C1204" s="66"/>
      <c r="F1204" s="22"/>
      <c r="G1204" s="23"/>
      <c r="I1204" s="37">
        <f>I1196*0.1</f>
        <v>14.736000000000002</v>
      </c>
      <c r="J1204" s="13"/>
      <c r="K1204" s="18"/>
      <c r="L1204" s="19"/>
      <c r="M1204" s="19"/>
      <c r="N1204" s="20"/>
      <c r="O1204" s="22"/>
      <c r="P1204" s="23"/>
      <c r="Q1204" s="37"/>
      <c r="R1204" s="37"/>
    </row>
    <row r="1205" spans="1:18" x14ac:dyDescent="0.2">
      <c r="A1205" s="13"/>
      <c r="B1205" s="18"/>
      <c r="C1205" s="19"/>
      <c r="D1205" s="19"/>
      <c r="E1205" s="20"/>
      <c r="F1205" s="22"/>
      <c r="G1205" s="36"/>
      <c r="H1205" s="37"/>
      <c r="I1205" s="37"/>
      <c r="J1205" s="13"/>
      <c r="K1205" s="18" t="s">
        <v>193</v>
      </c>
      <c r="L1205" s="19"/>
      <c r="M1205" s="19"/>
      <c r="N1205" s="20"/>
      <c r="O1205" s="22"/>
      <c r="P1205" s="36"/>
      <c r="Q1205" s="37"/>
      <c r="R1205" s="37"/>
    </row>
    <row r="1206" spans="1:18" x14ac:dyDescent="0.2">
      <c r="A1206" s="13"/>
      <c r="B1206" s="18" t="s">
        <v>101</v>
      </c>
      <c r="C1206" s="19"/>
      <c r="D1206" s="19"/>
      <c r="E1206" s="20"/>
      <c r="F1206" s="22"/>
      <c r="G1206" s="36"/>
      <c r="H1206" s="37"/>
      <c r="I1206" s="37"/>
      <c r="J1206" s="13"/>
      <c r="K1206" s="18" t="s">
        <v>1172</v>
      </c>
      <c r="L1206" s="19"/>
      <c r="M1206" s="19"/>
      <c r="N1206" s="20"/>
      <c r="O1206" s="22">
        <v>1</v>
      </c>
      <c r="P1206" s="23">
        <v>1</v>
      </c>
      <c r="Q1206" s="37">
        <v>2173</v>
      </c>
      <c r="R1206" s="37">
        <f>P1206*Q1206*O1206</f>
        <v>2173</v>
      </c>
    </row>
    <row r="1207" spans="1:18" x14ac:dyDescent="0.2">
      <c r="A1207" s="13"/>
      <c r="C1207" s="19"/>
      <c r="D1207" s="19"/>
      <c r="E1207" s="20"/>
      <c r="F1207" s="22"/>
      <c r="G1207" s="36"/>
      <c r="H1207" s="37"/>
      <c r="I1207" s="37"/>
      <c r="J1207" s="13"/>
      <c r="K1207" s="18" t="s">
        <v>1173</v>
      </c>
      <c r="L1207" s="19"/>
      <c r="M1207" s="19"/>
      <c r="N1207" s="20"/>
      <c r="O1207" s="22">
        <v>1</v>
      </c>
      <c r="P1207" s="23">
        <v>1</v>
      </c>
      <c r="Q1207" s="37">
        <v>1846</v>
      </c>
      <c r="R1207" s="37">
        <f>P1207*Q1207*O1207</f>
        <v>1846</v>
      </c>
    </row>
    <row r="1208" spans="1:18" x14ac:dyDescent="0.2">
      <c r="A1208" s="13"/>
      <c r="B1208" s="18"/>
      <c r="C1208" s="19"/>
      <c r="D1208" s="19"/>
      <c r="E1208" s="20"/>
      <c r="F1208" s="22"/>
      <c r="G1208" s="23"/>
      <c r="H1208" s="37"/>
      <c r="I1208" s="37"/>
      <c r="J1208" s="13"/>
      <c r="K1208" s="18" t="s">
        <v>1174</v>
      </c>
      <c r="L1208" s="19"/>
      <c r="M1208" s="19"/>
      <c r="N1208" s="20"/>
      <c r="O1208" s="22">
        <v>1</v>
      </c>
      <c r="P1208" s="23">
        <v>0.25</v>
      </c>
      <c r="Q1208" s="37">
        <v>2450</v>
      </c>
      <c r="R1208" s="37">
        <f>P1208*Q1208*O1208</f>
        <v>612.5</v>
      </c>
    </row>
    <row r="1209" spans="1:18" x14ac:dyDescent="0.2">
      <c r="A1209" s="13"/>
      <c r="B1209" s="18"/>
      <c r="C1209" s="19"/>
      <c r="D1209" s="19"/>
      <c r="E1209" s="20"/>
      <c r="F1209" s="22"/>
      <c r="G1209" s="23"/>
      <c r="H1209" s="37"/>
      <c r="I1209" s="37"/>
      <c r="J1209" s="13"/>
      <c r="K1209" s="18"/>
      <c r="L1209" s="19"/>
      <c r="M1209" s="19"/>
      <c r="N1209" s="20"/>
      <c r="O1209" s="22"/>
      <c r="P1209" s="36"/>
      <c r="Q1209" s="38"/>
      <c r="R1209" s="38"/>
    </row>
    <row r="1210" spans="1:18" x14ac:dyDescent="0.2">
      <c r="A1210" s="13"/>
      <c r="B1210" s="7"/>
      <c r="C1210" s="7"/>
      <c r="D1210" s="7"/>
      <c r="E1210" s="7"/>
      <c r="F1210" s="72"/>
      <c r="G1210" s="72"/>
      <c r="H1210" s="72"/>
      <c r="I1210" s="72"/>
      <c r="J1210" s="13"/>
      <c r="K1210" s="18"/>
      <c r="L1210" s="19"/>
      <c r="M1210" s="19"/>
      <c r="N1210" s="20"/>
      <c r="O1210" s="22"/>
      <c r="P1210" s="36"/>
      <c r="Q1210" s="37"/>
      <c r="R1210" s="37"/>
    </row>
    <row r="1211" spans="1:18" x14ac:dyDescent="0.2">
      <c r="A1211" s="13"/>
      <c r="B1211" s="18"/>
      <c r="C1211" s="19"/>
      <c r="D1211" s="19"/>
      <c r="E1211" s="20"/>
      <c r="F1211" s="22"/>
      <c r="G1211" s="36"/>
      <c r="H1211" s="37"/>
      <c r="I1211" s="37"/>
      <c r="J1211" s="13"/>
      <c r="K1211" s="18"/>
      <c r="L1211" s="19"/>
      <c r="M1211" s="19"/>
      <c r="N1211" s="20"/>
      <c r="O1211" s="22"/>
      <c r="P1211" s="36"/>
      <c r="Q1211" s="37"/>
      <c r="R1211" s="37"/>
    </row>
    <row r="1212" spans="1:18" x14ac:dyDescent="0.2">
      <c r="A1212" s="13"/>
      <c r="B1212" s="18"/>
      <c r="C1212" s="19"/>
      <c r="D1212" s="19"/>
      <c r="E1212" s="20"/>
      <c r="F1212" s="22"/>
      <c r="G1212" s="36"/>
      <c r="H1212" s="37"/>
      <c r="I1212" s="37"/>
      <c r="J1212" s="13"/>
      <c r="K1212" s="18"/>
      <c r="L1212" s="19"/>
      <c r="M1212" s="19"/>
      <c r="N1212" s="20"/>
      <c r="O1212" s="22"/>
      <c r="P1212" s="36"/>
      <c r="Q1212" s="37"/>
      <c r="R1212" s="37"/>
    </row>
    <row r="1213" spans="1:18" x14ac:dyDescent="0.2">
      <c r="A1213" s="13"/>
      <c r="B1213" s="18"/>
      <c r="C1213" s="19"/>
      <c r="D1213" s="19"/>
      <c r="E1213" s="20"/>
      <c r="F1213" s="22"/>
      <c r="G1213" s="22"/>
      <c r="H1213" s="23"/>
      <c r="I1213" s="23"/>
      <c r="J1213" s="13"/>
      <c r="K1213" s="18"/>
      <c r="L1213" s="19"/>
      <c r="M1213" s="19"/>
      <c r="N1213" s="20"/>
      <c r="O1213" s="22"/>
      <c r="P1213" s="22"/>
      <c r="Q1213" s="23"/>
      <c r="R1213" s="23"/>
    </row>
    <row r="1214" spans="1:18" x14ac:dyDescent="0.2">
      <c r="A1214" s="13"/>
      <c r="B1214" s="248" t="s">
        <v>30</v>
      </c>
      <c r="C1214" s="249"/>
      <c r="D1214" s="249"/>
      <c r="E1214" s="250"/>
      <c r="F1214" s="22"/>
      <c r="G1214" s="22"/>
      <c r="H1214" s="23"/>
      <c r="I1214" s="23">
        <f>SUM(I1201:I1213)</f>
        <v>4630.7359999999999</v>
      </c>
      <c r="J1214" s="13"/>
      <c r="K1214" s="139" t="s">
        <v>30</v>
      </c>
      <c r="L1214" s="140"/>
      <c r="M1214" s="140"/>
      <c r="N1214" s="141"/>
      <c r="O1214" s="22"/>
      <c r="P1214" s="22"/>
      <c r="Q1214" s="23"/>
      <c r="R1214" s="23">
        <f>SUM(R1201:R1213)</f>
        <v>11231.66</v>
      </c>
    </row>
    <row r="1215" spans="1:18" x14ac:dyDescent="0.2">
      <c r="A1215" s="12" t="s">
        <v>31</v>
      </c>
      <c r="B1215" s="260" t="s">
        <v>32</v>
      </c>
      <c r="C1215" s="261"/>
      <c r="D1215" s="261"/>
      <c r="E1215" s="261"/>
      <c r="F1215" s="39"/>
      <c r="G1215" s="39"/>
      <c r="H1215" s="40"/>
      <c r="I1215" s="41">
        <f>SUM(I1214+I1196)</f>
        <v>4778.0959999999995</v>
      </c>
      <c r="J1215" s="12" t="s">
        <v>31</v>
      </c>
      <c r="K1215" s="142" t="s">
        <v>32</v>
      </c>
      <c r="L1215" s="143"/>
      <c r="M1215" s="143"/>
      <c r="N1215" s="143"/>
      <c r="O1215" s="143"/>
      <c r="P1215" s="143"/>
      <c r="Q1215" s="40"/>
      <c r="R1215" s="41">
        <f>SUM(R1214+R1196)</f>
        <v>11501.328799999999</v>
      </c>
    </row>
    <row r="1216" spans="1:18" x14ac:dyDescent="0.2">
      <c r="A1216" s="13" t="s">
        <v>33</v>
      </c>
      <c r="B1216" s="295">
        <f>E1183</f>
        <v>60</v>
      </c>
      <c r="C1216" s="296"/>
      <c r="D1216" s="296"/>
      <c r="E1216" s="296"/>
      <c r="F1216" s="296"/>
      <c r="G1216" s="296"/>
      <c r="H1216" s="40"/>
      <c r="I1216" s="41"/>
      <c r="J1216" s="13" t="s">
        <v>33</v>
      </c>
      <c r="K1216" s="293">
        <f>N1183</f>
        <v>50</v>
      </c>
      <c r="L1216" s="294"/>
      <c r="M1216" s="294"/>
      <c r="N1216" s="294"/>
      <c r="O1216" s="294"/>
      <c r="P1216" s="294"/>
      <c r="Q1216" s="40"/>
      <c r="R1216" s="41"/>
    </row>
    <row r="1217" spans="1:18" x14ac:dyDescent="0.2">
      <c r="A1217" s="13" t="s">
        <v>34</v>
      </c>
      <c r="B1217" s="42" t="s">
        <v>35</v>
      </c>
      <c r="C1217" s="43"/>
      <c r="D1217" s="43"/>
      <c r="E1217" s="39"/>
      <c r="F1217" s="44"/>
      <c r="G1217" s="44"/>
      <c r="H1217" s="40"/>
      <c r="I1217" s="41">
        <f>I1215/E1183</f>
        <v>79.634933333333322</v>
      </c>
      <c r="J1217" s="13" t="s">
        <v>34</v>
      </c>
      <c r="K1217" s="147" t="s">
        <v>35</v>
      </c>
      <c r="L1217" s="43"/>
      <c r="M1217" s="43"/>
      <c r="N1217" s="143"/>
      <c r="O1217" s="148"/>
      <c r="P1217" s="148"/>
      <c r="Q1217" s="40"/>
      <c r="R1217" s="41">
        <f>R1215/N1183</f>
        <v>230.02657599999998</v>
      </c>
    </row>
    <row r="1218" spans="1:18" x14ac:dyDescent="0.2">
      <c r="A1218" s="12"/>
      <c r="B1218" s="251" t="s">
        <v>36</v>
      </c>
      <c r="C1218" s="252"/>
      <c r="D1218" s="252"/>
      <c r="E1218" s="253"/>
      <c r="F1218" s="244" t="s">
        <v>37</v>
      </c>
      <c r="G1218" s="244" t="s">
        <v>38</v>
      </c>
      <c r="H1218" s="244" t="s">
        <v>39</v>
      </c>
      <c r="I1218" s="246" t="s">
        <v>15</v>
      </c>
      <c r="J1218" s="12"/>
      <c r="K1218" s="251" t="s">
        <v>36</v>
      </c>
      <c r="L1218" s="252"/>
      <c r="M1218" s="252"/>
      <c r="N1218" s="253"/>
      <c r="O1218" s="244" t="s">
        <v>37</v>
      </c>
      <c r="P1218" s="244" t="s">
        <v>38</v>
      </c>
      <c r="Q1218" s="244" t="s">
        <v>39</v>
      </c>
      <c r="R1218" s="246" t="s">
        <v>15</v>
      </c>
    </row>
    <row r="1219" spans="1:18" x14ac:dyDescent="0.2">
      <c r="A1219" s="13"/>
      <c r="B1219" s="254"/>
      <c r="C1219" s="255"/>
      <c r="D1219" s="255"/>
      <c r="E1219" s="256"/>
      <c r="F1219" s="245"/>
      <c r="G1219" s="245"/>
      <c r="H1219" s="245"/>
      <c r="I1219" s="247"/>
      <c r="J1219" s="13"/>
      <c r="K1219" s="254"/>
      <c r="L1219" s="255"/>
      <c r="M1219" s="255"/>
      <c r="N1219" s="256"/>
      <c r="O1219" s="245"/>
      <c r="P1219" s="245"/>
      <c r="Q1219" s="245"/>
      <c r="R1219" s="247"/>
    </row>
    <row r="1220" spans="1:18" x14ac:dyDescent="0.2">
      <c r="A1220" s="13" t="s">
        <v>40</v>
      </c>
      <c r="B1220" s="18" t="s">
        <v>41</v>
      </c>
      <c r="C1220" s="19"/>
      <c r="D1220" s="19"/>
      <c r="E1220" s="20"/>
      <c r="F1220" s="22"/>
      <c r="G1220" s="22"/>
      <c r="H1220" s="23"/>
      <c r="I1220" s="23"/>
      <c r="J1220" s="13" t="s">
        <v>40</v>
      </c>
      <c r="K1220" s="18" t="s">
        <v>41</v>
      </c>
      <c r="L1220" s="19"/>
      <c r="M1220" s="19"/>
      <c r="N1220" s="20"/>
      <c r="O1220" s="22"/>
      <c r="P1220" s="22"/>
      <c r="Q1220" s="23"/>
      <c r="R1220" s="23"/>
    </row>
    <row r="1221" spans="1:18" x14ac:dyDescent="0.2">
      <c r="A1221" s="13"/>
      <c r="B1221" s="18"/>
      <c r="C1221" s="19"/>
      <c r="D1221" s="19"/>
      <c r="E1221" s="20"/>
      <c r="F1221" s="22"/>
      <c r="G1221" s="22"/>
      <c r="H1221" s="23"/>
      <c r="I1221" s="23"/>
      <c r="J1221" s="13"/>
      <c r="K1221" s="18"/>
      <c r="L1221" s="19"/>
      <c r="M1221" s="19"/>
      <c r="N1221" s="20"/>
      <c r="O1221" s="22"/>
      <c r="P1221" s="22"/>
      <c r="Q1221" s="23"/>
      <c r="R1221" s="23"/>
    </row>
    <row r="1222" spans="1:18" x14ac:dyDescent="0.2">
      <c r="A1222" s="13"/>
      <c r="B1222" s="18"/>
      <c r="C1222" s="66"/>
      <c r="D1222" s="19"/>
      <c r="E1222" s="20"/>
      <c r="F1222" s="22"/>
      <c r="G1222" s="70"/>
      <c r="H1222" s="23"/>
      <c r="I1222" s="23"/>
      <c r="J1222" s="13"/>
      <c r="K1222" s="18"/>
      <c r="L1222" s="19"/>
      <c r="M1222" s="19"/>
      <c r="N1222" s="20"/>
      <c r="O1222" s="22"/>
      <c r="P1222" s="62"/>
      <c r="Q1222" s="23"/>
      <c r="R1222" s="23"/>
    </row>
    <row r="1223" spans="1:18" x14ac:dyDescent="0.2">
      <c r="A1223" s="13"/>
      <c r="B1223" s="18"/>
      <c r="C1223" s="66"/>
      <c r="D1223" s="19"/>
      <c r="E1223" s="20"/>
      <c r="F1223" s="22"/>
      <c r="G1223" s="70"/>
      <c r="H1223" s="23"/>
      <c r="I1223" s="23"/>
      <c r="J1223" s="13"/>
      <c r="K1223" s="18"/>
      <c r="L1223" s="19"/>
      <c r="M1223" s="19"/>
      <c r="N1223" s="20"/>
      <c r="O1223" s="22"/>
      <c r="P1223" s="22"/>
      <c r="Q1223" s="23"/>
      <c r="R1223" s="23"/>
    </row>
    <row r="1224" spans="1:18" x14ac:dyDescent="0.2">
      <c r="A1224" s="13"/>
      <c r="B1224" s="18"/>
      <c r="C1224" s="19"/>
      <c r="D1224" s="19"/>
      <c r="E1224" s="20"/>
      <c r="F1224" s="22"/>
      <c r="G1224" s="22"/>
      <c r="H1224" s="23"/>
      <c r="I1224" s="23"/>
      <c r="J1224" s="13"/>
      <c r="K1224" s="18"/>
      <c r="L1224" s="19"/>
      <c r="M1224" s="19"/>
      <c r="N1224" s="20"/>
      <c r="O1224" s="22"/>
      <c r="P1224" s="22"/>
      <c r="Q1224" s="38"/>
      <c r="R1224" s="38"/>
    </row>
    <row r="1225" spans="1:18" x14ac:dyDescent="0.2">
      <c r="A1225" s="13"/>
      <c r="B1225" s="18"/>
      <c r="C1225" s="19"/>
      <c r="D1225" s="19"/>
      <c r="E1225" s="20"/>
      <c r="F1225" s="22"/>
      <c r="G1225" s="22"/>
      <c r="H1225" s="23"/>
      <c r="I1225" s="23"/>
      <c r="J1225" s="13"/>
      <c r="K1225" s="18"/>
      <c r="L1225" s="19"/>
      <c r="M1225" s="19"/>
      <c r="N1225" s="20"/>
      <c r="O1225" s="22"/>
      <c r="P1225" s="22"/>
      <c r="Q1225" s="38"/>
      <c r="R1225" s="38"/>
    </row>
    <row r="1226" spans="1:18" x14ac:dyDescent="0.2">
      <c r="A1226" s="13"/>
      <c r="B1226" s="18"/>
      <c r="C1226" s="19"/>
      <c r="D1226" s="19"/>
      <c r="E1226" s="20"/>
      <c r="F1226" s="22"/>
      <c r="G1226" s="22"/>
      <c r="H1226" s="23"/>
      <c r="I1226" s="23"/>
      <c r="J1226" s="13"/>
      <c r="K1226" s="18"/>
      <c r="L1226" s="19"/>
      <c r="M1226" s="19"/>
      <c r="N1226" s="20"/>
      <c r="O1226" s="22"/>
      <c r="P1226" s="22"/>
      <c r="Q1226" s="45"/>
      <c r="R1226" s="45"/>
    </row>
    <row r="1227" spans="1:18" x14ac:dyDescent="0.2">
      <c r="A1227" s="13"/>
      <c r="B1227" s="18"/>
      <c r="C1227" s="19"/>
      <c r="D1227" s="19"/>
      <c r="E1227" s="20"/>
      <c r="F1227" s="22"/>
      <c r="G1227" s="22"/>
      <c r="H1227" s="23"/>
      <c r="I1227" s="23"/>
      <c r="J1227" s="13"/>
      <c r="K1227" s="18"/>
      <c r="L1227" s="19"/>
      <c r="M1227" s="19"/>
      <c r="N1227" s="20"/>
      <c r="O1227" s="22"/>
      <c r="P1227" s="22"/>
      <c r="Q1227" s="45"/>
      <c r="R1227" s="45"/>
    </row>
    <row r="1228" spans="1:18" x14ac:dyDescent="0.2">
      <c r="A1228" s="13"/>
      <c r="B1228" s="18"/>
      <c r="C1228" s="19"/>
      <c r="D1228" s="19"/>
      <c r="E1228" s="20"/>
      <c r="F1228" s="22"/>
      <c r="G1228" s="22"/>
      <c r="H1228" s="23"/>
      <c r="I1228" s="23"/>
      <c r="J1228" s="13"/>
      <c r="K1228" s="18"/>
      <c r="L1228" s="19"/>
      <c r="M1228" s="19"/>
      <c r="N1228" s="20"/>
      <c r="O1228" s="22"/>
      <c r="P1228" s="22"/>
      <c r="Q1228" s="23"/>
      <c r="R1228" s="23"/>
    </row>
    <row r="1229" spans="1:18" x14ac:dyDescent="0.2">
      <c r="A1229" s="13"/>
      <c r="B1229" s="18"/>
      <c r="C1229" s="19"/>
      <c r="D1229" s="19"/>
      <c r="E1229" s="20"/>
      <c r="F1229" s="22"/>
      <c r="G1229" s="22"/>
      <c r="H1229" s="23"/>
      <c r="I1229" s="23"/>
      <c r="J1229" s="13"/>
      <c r="K1229" s="18"/>
      <c r="L1229" s="19"/>
      <c r="M1229" s="19"/>
      <c r="N1229" s="20"/>
      <c r="O1229" s="22"/>
      <c r="P1229" s="22"/>
      <c r="Q1229" s="23"/>
      <c r="R1229" s="23"/>
    </row>
    <row r="1230" spans="1:18" x14ac:dyDescent="0.2">
      <c r="A1230" s="13"/>
      <c r="B1230" s="18"/>
      <c r="C1230" s="19"/>
      <c r="D1230" s="19"/>
      <c r="E1230" s="20"/>
      <c r="F1230" s="22"/>
      <c r="G1230" s="22"/>
      <c r="H1230" s="23"/>
      <c r="I1230" s="23"/>
      <c r="J1230" s="13"/>
      <c r="K1230" s="18"/>
      <c r="L1230" s="19"/>
      <c r="M1230" s="19"/>
      <c r="N1230" s="20"/>
      <c r="O1230" s="22"/>
      <c r="P1230" s="22"/>
      <c r="Q1230" s="23"/>
      <c r="R1230" s="23"/>
    </row>
    <row r="1231" spans="1:18" x14ac:dyDescent="0.2">
      <c r="A1231" s="13"/>
      <c r="B1231" s="18"/>
      <c r="C1231" s="19"/>
      <c r="D1231" s="19"/>
      <c r="E1231" s="20"/>
      <c r="F1231" s="22"/>
      <c r="G1231" s="22"/>
      <c r="H1231" s="23"/>
      <c r="I1231" s="23"/>
      <c r="J1231" s="13"/>
      <c r="K1231" s="18"/>
      <c r="L1231" s="19"/>
      <c r="M1231" s="19"/>
      <c r="N1231" s="20"/>
      <c r="O1231" s="22"/>
      <c r="P1231" s="22"/>
      <c r="Q1231" s="23"/>
      <c r="R1231" s="23"/>
    </row>
    <row r="1232" spans="1:18" x14ac:dyDescent="0.2">
      <c r="A1232" s="13"/>
      <c r="B1232" s="18"/>
      <c r="C1232" s="19"/>
      <c r="D1232" s="19"/>
      <c r="E1232" s="20"/>
      <c r="F1232" s="22"/>
      <c r="G1232" s="22"/>
      <c r="H1232" s="23"/>
      <c r="I1232" s="23"/>
      <c r="J1232" s="13"/>
      <c r="K1232" s="18"/>
      <c r="L1232" s="19"/>
      <c r="M1232" s="19"/>
      <c r="N1232" s="20"/>
      <c r="O1232" s="22"/>
      <c r="P1232" s="22"/>
      <c r="Q1232" s="23"/>
      <c r="R1232" s="23"/>
    </row>
    <row r="1233" spans="1:18" x14ac:dyDescent="0.2">
      <c r="A1233" s="13"/>
      <c r="B1233" s="18"/>
      <c r="C1233" s="19"/>
      <c r="D1233" s="19"/>
      <c r="E1233" s="20"/>
      <c r="F1233" s="22"/>
      <c r="G1233" s="22"/>
      <c r="H1233" s="23"/>
      <c r="I1233" s="23"/>
      <c r="J1233" s="13"/>
      <c r="K1233" s="18"/>
      <c r="L1233" s="19"/>
      <c r="M1233" s="19"/>
      <c r="N1233" s="20"/>
      <c r="O1233" s="22"/>
      <c r="P1233" s="22"/>
      <c r="Q1233" s="23"/>
      <c r="R1233" s="23"/>
    </row>
    <row r="1234" spans="1:18" x14ac:dyDescent="0.2">
      <c r="A1234" s="13"/>
      <c r="B1234" s="18"/>
      <c r="C1234" s="19"/>
      <c r="D1234" s="19"/>
      <c r="E1234" s="20"/>
      <c r="F1234" s="22"/>
      <c r="G1234" s="36"/>
      <c r="H1234" s="37"/>
      <c r="I1234" s="37"/>
      <c r="J1234" s="13"/>
      <c r="K1234" s="18"/>
      <c r="L1234" s="19"/>
      <c r="M1234" s="19"/>
      <c r="N1234" s="20"/>
      <c r="O1234" s="22"/>
      <c r="P1234" s="36"/>
      <c r="Q1234" s="37"/>
      <c r="R1234" s="37"/>
    </row>
    <row r="1235" spans="1:18" x14ac:dyDescent="0.2">
      <c r="A1235" s="13"/>
      <c r="B1235" s="248" t="s">
        <v>42</v>
      </c>
      <c r="C1235" s="249"/>
      <c r="D1235" s="249"/>
      <c r="E1235" s="250"/>
      <c r="F1235" s="46"/>
      <c r="G1235" s="46"/>
      <c r="H1235" s="47"/>
      <c r="I1235" s="47">
        <f>SUM(I1222:I1234)</f>
        <v>0</v>
      </c>
      <c r="J1235" s="13"/>
      <c r="K1235" s="139" t="s">
        <v>42</v>
      </c>
      <c r="L1235" s="140"/>
      <c r="M1235" s="140"/>
      <c r="N1235" s="141"/>
      <c r="O1235" s="46"/>
      <c r="P1235" s="46"/>
      <c r="Q1235" s="47"/>
      <c r="R1235" s="47">
        <f>SUM(R1222:R1234)</f>
        <v>0</v>
      </c>
    </row>
    <row r="1236" spans="1:18" x14ac:dyDescent="0.2">
      <c r="A1236" s="12" t="s">
        <v>43</v>
      </c>
      <c r="B1236" s="48" t="s">
        <v>44</v>
      </c>
      <c r="C1236" s="43"/>
      <c r="D1236" s="43"/>
      <c r="E1236" s="39"/>
      <c r="F1236" s="49"/>
      <c r="G1236" s="49"/>
      <c r="H1236" s="50"/>
      <c r="I1236" s="51">
        <f>SUM(I1217+I1235)</f>
        <v>79.634933333333322</v>
      </c>
      <c r="J1236" s="12" t="s">
        <v>43</v>
      </c>
      <c r="K1236" s="48" t="s">
        <v>44</v>
      </c>
      <c r="L1236" s="43"/>
      <c r="M1236" s="43"/>
      <c r="N1236" s="143"/>
      <c r="O1236" s="49"/>
      <c r="P1236" s="49"/>
      <c r="Q1236" s="50"/>
      <c r="R1236" s="51">
        <f>SUM(R1217+R1235)</f>
        <v>230.02657599999998</v>
      </c>
    </row>
    <row r="1237" spans="1:18" x14ac:dyDescent="0.2">
      <c r="A1237" s="13" t="s">
        <v>45</v>
      </c>
      <c r="B1237" s="48" t="s">
        <v>46</v>
      </c>
      <c r="C1237" s="43"/>
      <c r="D1237" s="43"/>
      <c r="E1237" s="39"/>
      <c r="F1237" s="49"/>
      <c r="G1237" s="52">
        <v>0.09</v>
      </c>
      <c r="H1237" s="53" t="s">
        <v>47</v>
      </c>
      <c r="I1237" s="51">
        <f>G1237*I1236</f>
        <v>7.1671439999999986</v>
      </c>
      <c r="J1237" s="13" t="s">
        <v>45</v>
      </c>
      <c r="K1237" s="48" t="s">
        <v>46</v>
      </c>
      <c r="L1237" s="43"/>
      <c r="M1237" s="43"/>
      <c r="N1237" s="143"/>
      <c r="O1237" s="49"/>
      <c r="P1237" s="52">
        <v>0.09</v>
      </c>
      <c r="Q1237" s="53" t="s">
        <v>47</v>
      </c>
      <c r="R1237" s="51">
        <f>P1237*R1236</f>
        <v>20.702391839999997</v>
      </c>
    </row>
    <row r="1238" spans="1:18" x14ac:dyDescent="0.2">
      <c r="A1238" s="13" t="s">
        <v>48</v>
      </c>
      <c r="B1238" s="48" t="s">
        <v>49</v>
      </c>
      <c r="C1238" s="43"/>
      <c r="D1238" s="43"/>
      <c r="E1238" s="39"/>
      <c r="F1238" s="49"/>
      <c r="G1238" s="52">
        <v>0.08</v>
      </c>
      <c r="H1238" s="53" t="s">
        <v>47</v>
      </c>
      <c r="I1238" s="51">
        <f>G1238*I1236</f>
        <v>6.3707946666666659</v>
      </c>
      <c r="J1238" s="13" t="s">
        <v>48</v>
      </c>
      <c r="K1238" s="48" t="s">
        <v>49</v>
      </c>
      <c r="L1238" s="43"/>
      <c r="M1238" s="43"/>
      <c r="N1238" s="143"/>
      <c r="O1238" s="49"/>
      <c r="P1238" s="52">
        <v>0.08</v>
      </c>
      <c r="Q1238" s="53" t="s">
        <v>47</v>
      </c>
      <c r="R1238" s="51">
        <f>P1238*R1236</f>
        <v>18.402126079999999</v>
      </c>
    </row>
    <row r="1239" spans="1:18" x14ac:dyDescent="0.2">
      <c r="A1239" s="13" t="s">
        <v>50</v>
      </c>
      <c r="B1239" s="48" t="s">
        <v>51</v>
      </c>
      <c r="C1239" s="43"/>
      <c r="D1239" s="43"/>
      <c r="E1239" s="39"/>
      <c r="F1239" s="49"/>
      <c r="G1239" s="52">
        <f>5/100</f>
        <v>0.05</v>
      </c>
      <c r="H1239" s="53" t="s">
        <v>52</v>
      </c>
      <c r="I1239" s="51">
        <f>G1239*(I1236+I1237+I1238)</f>
        <v>4.6586435999999996</v>
      </c>
      <c r="J1239" s="13" t="s">
        <v>50</v>
      </c>
      <c r="K1239" s="48" t="s">
        <v>51</v>
      </c>
      <c r="L1239" s="43"/>
      <c r="M1239" s="43"/>
      <c r="N1239" s="143"/>
      <c r="O1239" s="49"/>
      <c r="P1239" s="52">
        <f>5/100</f>
        <v>0.05</v>
      </c>
      <c r="Q1239" s="53" t="s">
        <v>52</v>
      </c>
      <c r="R1239" s="51">
        <f>P1239*(R1236+R1237+R1238)</f>
        <v>13.456554695999998</v>
      </c>
    </row>
    <row r="1240" spans="1:18" x14ac:dyDescent="0.2">
      <c r="A1240" s="54" t="s">
        <v>53</v>
      </c>
      <c r="B1240" s="48" t="s">
        <v>54</v>
      </c>
      <c r="C1240" s="43"/>
      <c r="D1240" s="43"/>
      <c r="E1240" s="39"/>
      <c r="F1240" s="49"/>
      <c r="G1240" s="49"/>
      <c r="H1240" s="55" t="s">
        <v>55</v>
      </c>
      <c r="I1240" s="51">
        <f>SUM(I1236+I1237+I1238+I1239)</f>
        <v>97.831515599999989</v>
      </c>
      <c r="J1240" s="54" t="s">
        <v>53</v>
      </c>
      <c r="K1240" s="48" t="s">
        <v>54</v>
      </c>
      <c r="L1240" s="43"/>
      <c r="M1240" s="43"/>
      <c r="N1240" s="143"/>
      <c r="O1240" s="49"/>
      <c r="P1240" s="49"/>
      <c r="Q1240" s="55" t="s">
        <v>55</v>
      </c>
      <c r="R1240" s="51">
        <f>SUM(R1236+R1237+R1238+R1239)</f>
        <v>282.58764861599997</v>
      </c>
    </row>
    <row r="1241" spans="1:18" s="1" customFormat="1" x14ac:dyDescent="0.2">
      <c r="A1241" s="285" t="s">
        <v>0</v>
      </c>
      <c r="B1241" s="285"/>
      <c r="C1241" s="285"/>
      <c r="D1241" s="285"/>
      <c r="E1241" s="285"/>
      <c r="F1241" s="285"/>
      <c r="G1241" s="285"/>
      <c r="H1241" s="285"/>
      <c r="I1241" s="285"/>
      <c r="J1241" s="285" t="s">
        <v>0</v>
      </c>
      <c r="K1241" s="285"/>
      <c r="L1241" s="285"/>
      <c r="M1241" s="285"/>
      <c r="N1241" s="285"/>
      <c r="O1241" s="285"/>
      <c r="P1241" s="285"/>
      <c r="Q1241" s="285"/>
      <c r="R1241" s="285"/>
    </row>
    <row r="1242" spans="1:18" x14ac:dyDescent="0.2">
      <c r="J1242" s="80"/>
      <c r="K1242" s="66"/>
      <c r="L1242" s="19"/>
      <c r="M1242" s="19"/>
      <c r="N1242" s="20"/>
      <c r="O1242" s="66"/>
      <c r="P1242" s="66"/>
      <c r="Q1242" s="66"/>
      <c r="R1242" s="66"/>
    </row>
    <row r="1243" spans="1:18" x14ac:dyDescent="0.2">
      <c r="A1243" s="2" t="s">
        <v>1</v>
      </c>
      <c r="C1243" s="4" t="s">
        <v>2</v>
      </c>
      <c r="D1243" s="5" t="s">
        <v>201</v>
      </c>
      <c r="E1243" s="237" t="s">
        <v>1193</v>
      </c>
      <c r="F1243" s="237"/>
      <c r="G1243" s="237"/>
      <c r="H1243" s="237"/>
      <c r="J1243" s="146" t="s">
        <v>1</v>
      </c>
      <c r="K1243" s="66"/>
      <c r="L1243" s="19" t="s">
        <v>2</v>
      </c>
      <c r="M1243" s="20" t="s">
        <v>197</v>
      </c>
      <c r="N1243" s="146" t="s">
        <v>198</v>
      </c>
      <c r="O1243" s="146"/>
      <c r="P1243" s="146"/>
      <c r="Q1243" s="146"/>
      <c r="R1243" s="66"/>
    </row>
    <row r="1244" spans="1:18" x14ac:dyDescent="0.2">
      <c r="A1244" s="2" t="s">
        <v>7</v>
      </c>
      <c r="C1244" s="4" t="s">
        <v>2</v>
      </c>
      <c r="E1244" s="2" t="s">
        <v>8</v>
      </c>
      <c r="F1244" s="8"/>
      <c r="G1244" s="8"/>
      <c r="H1244" s="8"/>
      <c r="J1244" s="146" t="s">
        <v>7</v>
      </c>
      <c r="K1244" s="66"/>
      <c r="L1244" s="19" t="s">
        <v>2</v>
      </c>
      <c r="M1244" s="19"/>
      <c r="N1244" s="146" t="s">
        <v>9</v>
      </c>
      <c r="O1244" s="25"/>
      <c r="P1244" s="25"/>
      <c r="Q1244" s="25"/>
      <c r="R1244" s="66"/>
    </row>
    <row r="1245" spans="1:18" x14ac:dyDescent="0.2">
      <c r="A1245" s="2" t="s">
        <v>10</v>
      </c>
      <c r="C1245" s="4" t="s">
        <v>2</v>
      </c>
      <c r="E1245" s="9">
        <v>75</v>
      </c>
      <c r="F1245" s="8"/>
      <c r="G1245" s="8"/>
      <c r="H1245" s="8"/>
      <c r="J1245" s="146" t="s">
        <v>10</v>
      </c>
      <c r="K1245" s="66"/>
      <c r="L1245" s="19" t="s">
        <v>2</v>
      </c>
      <c r="M1245" s="19"/>
      <c r="N1245" s="81">
        <v>50</v>
      </c>
      <c r="O1245" s="25"/>
      <c r="P1245" s="25"/>
      <c r="Q1245" s="25"/>
      <c r="R1245" s="66"/>
    </row>
    <row r="1246" spans="1:18" x14ac:dyDescent="0.2">
      <c r="B1246" s="8"/>
      <c r="F1246" s="11"/>
      <c r="G1246" s="8"/>
      <c r="H1246" s="8"/>
      <c r="I1246" s="8"/>
      <c r="J1246" s="80"/>
      <c r="K1246" s="25"/>
      <c r="L1246" s="19"/>
      <c r="M1246" s="19"/>
      <c r="N1246" s="20"/>
      <c r="O1246" s="88"/>
      <c r="P1246" s="25"/>
      <c r="Q1246" s="25"/>
      <c r="R1246" s="25"/>
    </row>
    <row r="1247" spans="1:18" x14ac:dyDescent="0.2">
      <c r="A1247" s="12"/>
      <c r="B1247" s="238" t="s">
        <v>11</v>
      </c>
      <c r="C1247" s="239"/>
      <c r="D1247" s="239"/>
      <c r="E1247" s="240"/>
      <c r="F1247" s="244" t="s">
        <v>12</v>
      </c>
      <c r="G1247" s="244" t="s">
        <v>13</v>
      </c>
      <c r="H1247" s="244" t="s">
        <v>14</v>
      </c>
      <c r="I1247" s="246" t="s">
        <v>15</v>
      </c>
      <c r="J1247" s="12"/>
      <c r="K1247" s="238" t="s">
        <v>11</v>
      </c>
      <c r="L1247" s="239"/>
      <c r="M1247" s="239"/>
      <c r="N1247" s="240"/>
      <c r="O1247" s="244" t="s">
        <v>12</v>
      </c>
      <c r="P1247" s="244" t="s">
        <v>13</v>
      </c>
      <c r="Q1247" s="244" t="s">
        <v>14</v>
      </c>
      <c r="R1247" s="246" t="s">
        <v>15</v>
      </c>
    </row>
    <row r="1248" spans="1:18" x14ac:dyDescent="0.2">
      <c r="A1248" s="13"/>
      <c r="B1248" s="241"/>
      <c r="C1248" s="242"/>
      <c r="D1248" s="242"/>
      <c r="E1248" s="243"/>
      <c r="F1248" s="245"/>
      <c r="G1248" s="245"/>
      <c r="H1248" s="245"/>
      <c r="I1248" s="247"/>
      <c r="J1248" s="13"/>
      <c r="K1248" s="241"/>
      <c r="L1248" s="242"/>
      <c r="M1248" s="242"/>
      <c r="N1248" s="243"/>
      <c r="O1248" s="245"/>
      <c r="P1248" s="245"/>
      <c r="Q1248" s="245"/>
      <c r="R1248" s="247"/>
    </row>
    <row r="1249" spans="1:18" x14ac:dyDescent="0.2">
      <c r="A1249" s="13" t="s">
        <v>16</v>
      </c>
      <c r="B1249" s="14" t="s">
        <v>17</v>
      </c>
      <c r="C1249" s="15"/>
      <c r="D1249" s="15"/>
      <c r="E1249" s="16"/>
      <c r="F1249" s="17"/>
      <c r="G1249" s="17"/>
      <c r="H1249" s="17"/>
      <c r="I1249" s="17"/>
      <c r="J1249" s="13" t="s">
        <v>16</v>
      </c>
      <c r="K1249" s="14" t="s">
        <v>17</v>
      </c>
      <c r="L1249" s="15"/>
      <c r="M1249" s="15"/>
      <c r="N1249" s="16"/>
      <c r="O1249" s="17"/>
      <c r="P1249" s="17"/>
      <c r="Q1249" s="17"/>
      <c r="R1249" s="17"/>
    </row>
    <row r="1250" spans="1:18" x14ac:dyDescent="0.2">
      <c r="A1250" s="13"/>
      <c r="B1250" s="18"/>
      <c r="C1250" s="19"/>
      <c r="D1250" s="19"/>
      <c r="E1250" s="20"/>
      <c r="F1250" s="21"/>
      <c r="G1250" s="22"/>
      <c r="H1250" s="21"/>
      <c r="I1250" s="21"/>
      <c r="J1250" s="13"/>
      <c r="K1250" s="18"/>
      <c r="L1250" s="19"/>
      <c r="M1250" s="19"/>
      <c r="N1250" s="20"/>
      <c r="O1250" s="21"/>
      <c r="P1250" s="22"/>
      <c r="Q1250" s="21"/>
      <c r="R1250" s="21"/>
    </row>
    <row r="1251" spans="1:18" x14ac:dyDescent="0.2">
      <c r="A1251" s="13"/>
      <c r="B1251" s="24" t="s">
        <v>18</v>
      </c>
      <c r="C1251" s="25"/>
      <c r="D1251" s="25"/>
      <c r="E1251" s="26"/>
      <c r="F1251" s="22">
        <v>1</v>
      </c>
      <c r="G1251" s="62">
        <v>1</v>
      </c>
      <c r="H1251" s="23">
        <v>69.42</v>
      </c>
      <c r="I1251" s="23">
        <f>G1251*H1251*F1251</f>
        <v>69.42</v>
      </c>
      <c r="J1251" s="13"/>
      <c r="K1251" s="24" t="s">
        <v>18</v>
      </c>
      <c r="L1251" s="25"/>
      <c r="M1251" s="25"/>
      <c r="N1251" s="26"/>
      <c r="O1251" s="22">
        <v>1</v>
      </c>
      <c r="P1251" s="62">
        <v>1</v>
      </c>
      <c r="Q1251" s="23">
        <v>69.42</v>
      </c>
      <c r="R1251" s="23">
        <f>P1251*Q1251*O1251</f>
        <v>69.42</v>
      </c>
    </row>
    <row r="1252" spans="1:18" x14ac:dyDescent="0.2">
      <c r="A1252" s="13"/>
      <c r="B1252" s="24" t="s">
        <v>1179</v>
      </c>
      <c r="C1252" s="25"/>
      <c r="D1252" s="25"/>
      <c r="E1252" s="26"/>
      <c r="F1252" s="22">
        <v>2</v>
      </c>
      <c r="G1252" s="62">
        <v>1</v>
      </c>
      <c r="H1252" s="23">
        <v>38.97</v>
      </c>
      <c r="I1252" s="23">
        <f>G1252*H1252*F1252</f>
        <v>77.94</v>
      </c>
      <c r="J1252" s="13"/>
      <c r="K1252" s="149" t="s">
        <v>1179</v>
      </c>
      <c r="L1252" s="146"/>
      <c r="M1252" s="19"/>
      <c r="N1252" s="20"/>
      <c r="O1252" s="22">
        <v>2</v>
      </c>
      <c r="P1252" s="62">
        <v>1</v>
      </c>
      <c r="Q1252" s="23">
        <v>38.97</v>
      </c>
      <c r="R1252" s="23">
        <f>P1252*Q1252*O1252</f>
        <v>77.94</v>
      </c>
    </row>
    <row r="1253" spans="1:18" x14ac:dyDescent="0.2">
      <c r="A1253" s="13"/>
      <c r="B1253" s="27"/>
      <c r="C1253" s="19"/>
      <c r="D1253" s="19"/>
      <c r="E1253" s="20"/>
      <c r="F1253" s="22"/>
      <c r="G1253" s="22"/>
      <c r="H1253" s="28"/>
      <c r="I1253" s="23"/>
      <c r="J1253" s="13"/>
      <c r="K1253" s="145"/>
      <c r="L1253" s="146"/>
      <c r="M1253" s="19"/>
      <c r="N1253" s="20"/>
      <c r="O1253" s="22"/>
      <c r="P1253" s="22"/>
      <c r="Q1253" s="23"/>
      <c r="R1253" s="23"/>
    </row>
    <row r="1254" spans="1:18" x14ac:dyDescent="0.2">
      <c r="A1254" s="13"/>
      <c r="B1254" s="27"/>
      <c r="C1254" s="19"/>
      <c r="D1254" s="19"/>
      <c r="E1254" s="20"/>
      <c r="F1254" s="22"/>
      <c r="G1254" s="22"/>
      <c r="H1254" s="29"/>
      <c r="I1254" s="30"/>
      <c r="J1254" s="13"/>
      <c r="K1254" s="145"/>
      <c r="L1254" s="19"/>
      <c r="M1254" s="19"/>
      <c r="N1254" s="20"/>
      <c r="O1254" s="22"/>
      <c r="P1254" s="22"/>
      <c r="Q1254" s="29"/>
      <c r="R1254" s="30"/>
    </row>
    <row r="1255" spans="1:18" x14ac:dyDescent="0.2">
      <c r="A1255" s="13"/>
      <c r="B1255" s="27"/>
      <c r="C1255" s="19"/>
      <c r="D1255" s="19"/>
      <c r="E1255" s="20"/>
      <c r="F1255" s="22"/>
      <c r="G1255" s="22"/>
      <c r="H1255" s="29"/>
      <c r="I1255" s="30"/>
      <c r="J1255" s="13"/>
      <c r="K1255" s="145"/>
      <c r="L1255" s="19"/>
      <c r="M1255" s="19"/>
      <c r="N1255" s="20"/>
      <c r="O1255" s="22"/>
      <c r="P1255" s="22"/>
      <c r="Q1255" s="29"/>
      <c r="R1255" s="30"/>
    </row>
    <row r="1256" spans="1:18" x14ac:dyDescent="0.2">
      <c r="A1256" s="13"/>
      <c r="B1256" s="18"/>
      <c r="C1256" s="19"/>
      <c r="D1256" s="19"/>
      <c r="E1256" s="20"/>
      <c r="F1256" s="22"/>
      <c r="G1256" s="22"/>
      <c r="H1256" s="28"/>
      <c r="I1256" s="23"/>
      <c r="J1256" s="13"/>
      <c r="K1256" s="18"/>
      <c r="L1256" s="19"/>
      <c r="M1256" s="19"/>
      <c r="N1256" s="20"/>
      <c r="O1256" s="22"/>
      <c r="P1256" s="22"/>
      <c r="Q1256" s="28"/>
      <c r="R1256" s="23"/>
    </row>
    <row r="1257" spans="1:18" x14ac:dyDescent="0.2">
      <c r="A1257" s="13"/>
      <c r="B1257" s="18"/>
      <c r="C1257" s="19"/>
      <c r="D1257" s="19"/>
      <c r="E1257" s="20"/>
      <c r="F1257" s="22"/>
      <c r="G1257" s="22"/>
      <c r="H1257" s="23"/>
      <c r="I1257" s="23"/>
      <c r="J1257" s="13"/>
      <c r="K1257" s="18"/>
      <c r="L1257" s="19"/>
      <c r="M1257" s="19"/>
      <c r="N1257" s="20"/>
      <c r="O1257" s="22"/>
      <c r="P1257" s="22"/>
      <c r="Q1257" s="23"/>
      <c r="R1257" s="23"/>
    </row>
    <row r="1258" spans="1:18" x14ac:dyDescent="0.2">
      <c r="A1258" s="13"/>
      <c r="B1258" s="248" t="s">
        <v>20</v>
      </c>
      <c r="C1258" s="249"/>
      <c r="D1258" s="249"/>
      <c r="E1258" s="250"/>
      <c r="F1258" s="31"/>
      <c r="G1258" s="31"/>
      <c r="H1258" s="32"/>
      <c r="I1258" s="32">
        <f>SUM(I1251:I1257)</f>
        <v>147.36000000000001</v>
      </c>
      <c r="J1258" s="13"/>
      <c r="K1258" s="139" t="s">
        <v>20</v>
      </c>
      <c r="L1258" s="140"/>
      <c r="M1258" s="140"/>
      <c r="N1258" s="141"/>
      <c r="O1258" s="31"/>
      <c r="P1258" s="31"/>
      <c r="Q1258" s="32"/>
      <c r="R1258" s="32">
        <f>SUM(R1251:R1257)</f>
        <v>147.36000000000001</v>
      </c>
    </row>
    <row r="1259" spans="1:18" x14ac:dyDescent="0.2">
      <c r="A1259" s="12"/>
      <c r="B1259" s="251" t="s">
        <v>21</v>
      </c>
      <c r="C1259" s="252"/>
      <c r="D1259" s="252"/>
      <c r="E1259" s="253"/>
      <c r="F1259" s="244" t="s">
        <v>22</v>
      </c>
      <c r="G1259" s="244" t="s">
        <v>13</v>
      </c>
      <c r="H1259" s="244" t="s">
        <v>14</v>
      </c>
      <c r="I1259" s="246" t="s">
        <v>15</v>
      </c>
      <c r="J1259" s="12"/>
      <c r="K1259" s="251" t="s">
        <v>21</v>
      </c>
      <c r="L1259" s="252"/>
      <c r="M1259" s="252"/>
      <c r="N1259" s="253"/>
      <c r="O1259" s="244" t="s">
        <v>22</v>
      </c>
      <c r="P1259" s="244" t="s">
        <v>13</v>
      </c>
      <c r="Q1259" s="244" t="s">
        <v>14</v>
      </c>
      <c r="R1259" s="246" t="s">
        <v>15</v>
      </c>
    </row>
    <row r="1260" spans="1:18" x14ac:dyDescent="0.2">
      <c r="A1260" s="13"/>
      <c r="B1260" s="254"/>
      <c r="C1260" s="255"/>
      <c r="D1260" s="255"/>
      <c r="E1260" s="256"/>
      <c r="F1260" s="245"/>
      <c r="G1260" s="245"/>
      <c r="H1260" s="245"/>
      <c r="I1260" s="247"/>
      <c r="J1260" s="13"/>
      <c r="K1260" s="254"/>
      <c r="L1260" s="255"/>
      <c r="M1260" s="255"/>
      <c r="N1260" s="256"/>
      <c r="O1260" s="245"/>
      <c r="P1260" s="245"/>
      <c r="Q1260" s="245"/>
      <c r="R1260" s="247"/>
    </row>
    <row r="1261" spans="1:18" x14ac:dyDescent="0.2">
      <c r="A1261" s="13" t="s">
        <v>23</v>
      </c>
      <c r="B1261" s="33" t="s">
        <v>24</v>
      </c>
      <c r="C1261" s="15"/>
      <c r="D1261" s="15"/>
      <c r="E1261" s="16"/>
      <c r="F1261" s="34"/>
      <c r="G1261" s="34"/>
      <c r="H1261" s="35"/>
      <c r="I1261" s="35"/>
      <c r="J1261" s="13" t="s">
        <v>23</v>
      </c>
      <c r="K1261" s="33" t="s">
        <v>24</v>
      </c>
      <c r="L1261" s="15"/>
      <c r="M1261" s="15"/>
      <c r="N1261" s="16"/>
      <c r="O1261" s="34"/>
      <c r="P1261" s="34"/>
      <c r="Q1261" s="35"/>
      <c r="R1261" s="35"/>
    </row>
    <row r="1262" spans="1:18" x14ac:dyDescent="0.2">
      <c r="A1262" s="13"/>
      <c r="B1262" s="18"/>
      <c r="C1262" s="19"/>
      <c r="D1262" s="19"/>
      <c r="E1262" s="20"/>
      <c r="F1262" s="22"/>
      <c r="G1262" s="22"/>
      <c r="H1262" s="23"/>
      <c r="I1262" s="23"/>
      <c r="J1262" s="13"/>
      <c r="K1262" s="18"/>
      <c r="L1262" s="19"/>
      <c r="M1262" s="19"/>
      <c r="N1262" s="20"/>
      <c r="O1262" s="22"/>
      <c r="P1262" s="22"/>
      <c r="Q1262" s="23"/>
      <c r="R1262" s="23"/>
    </row>
    <row r="1263" spans="1:18" x14ac:dyDescent="0.2">
      <c r="A1263" s="13"/>
      <c r="B1263" s="18" t="s">
        <v>97</v>
      </c>
      <c r="C1263" s="19"/>
      <c r="D1263" s="19"/>
      <c r="E1263" s="20"/>
      <c r="F1263" s="22">
        <v>1</v>
      </c>
      <c r="G1263" s="23">
        <v>1</v>
      </c>
      <c r="H1263" s="37">
        <v>1998.1</v>
      </c>
      <c r="I1263" s="37">
        <f>G1263*H1263*F1263</f>
        <v>1998.1</v>
      </c>
      <c r="J1263" s="13"/>
      <c r="K1263" s="18" t="s">
        <v>1172</v>
      </c>
      <c r="L1263" s="19"/>
      <c r="M1263" s="19"/>
      <c r="N1263" s="20"/>
      <c r="O1263" s="22">
        <v>1</v>
      </c>
      <c r="P1263" s="23">
        <v>1</v>
      </c>
      <c r="Q1263" s="37">
        <v>2173</v>
      </c>
      <c r="R1263" s="37">
        <f>P1263*Q1263*O1263</f>
        <v>2173</v>
      </c>
    </row>
    <row r="1264" spans="1:18" x14ac:dyDescent="0.2">
      <c r="A1264" s="13"/>
      <c r="B1264" s="18" t="s">
        <v>99</v>
      </c>
      <c r="C1264" s="19"/>
      <c r="D1264" s="19"/>
      <c r="E1264" s="20"/>
      <c r="F1264" s="22">
        <v>1</v>
      </c>
      <c r="G1264" s="23">
        <v>1</v>
      </c>
      <c r="H1264" s="37">
        <v>1537</v>
      </c>
      <c r="I1264" s="37">
        <f>G1264*H1264*F1264</f>
        <v>1537</v>
      </c>
      <c r="J1264" s="13"/>
      <c r="K1264" s="18" t="s">
        <v>1173</v>
      </c>
      <c r="L1264" s="19"/>
      <c r="M1264" s="19"/>
      <c r="N1264" s="20"/>
      <c r="O1264" s="22">
        <v>1</v>
      </c>
      <c r="P1264" s="23">
        <v>1</v>
      </c>
      <c r="Q1264" s="37">
        <v>1846</v>
      </c>
      <c r="R1264" s="37">
        <f>P1264*Q1264*O1264</f>
        <v>1846</v>
      </c>
    </row>
    <row r="1265" spans="1:18" x14ac:dyDescent="0.2">
      <c r="A1265" s="13"/>
      <c r="B1265" s="18" t="s">
        <v>1147</v>
      </c>
      <c r="C1265" s="66"/>
      <c r="D1265" s="19"/>
      <c r="E1265" s="20"/>
      <c r="F1265" s="22">
        <v>1</v>
      </c>
      <c r="G1265" s="23">
        <v>0.5</v>
      </c>
      <c r="H1265" s="37">
        <v>1420</v>
      </c>
      <c r="I1265" s="37">
        <f>G1265*H1265*F1265</f>
        <v>710</v>
      </c>
      <c r="J1265" s="13"/>
      <c r="K1265" s="18" t="s">
        <v>1174</v>
      </c>
      <c r="L1265" s="19"/>
      <c r="M1265" s="19"/>
      <c r="N1265" s="20"/>
      <c r="O1265" s="22">
        <v>1</v>
      </c>
      <c r="P1265" s="23">
        <v>0.25</v>
      </c>
      <c r="Q1265" s="37">
        <v>2450</v>
      </c>
      <c r="R1265" s="37">
        <f>P1265*Q1265*O1265</f>
        <v>612.5</v>
      </c>
    </row>
    <row r="1266" spans="1:18" x14ac:dyDescent="0.2">
      <c r="A1266" s="13"/>
      <c r="F1266" s="22"/>
      <c r="G1266" s="36"/>
      <c r="H1266" s="37"/>
      <c r="I1266" s="37"/>
      <c r="J1266" s="13"/>
      <c r="O1266" s="21"/>
      <c r="P1266" s="21"/>
      <c r="Q1266" s="21"/>
      <c r="R1266" s="37"/>
    </row>
    <row r="1267" spans="1:18" x14ac:dyDescent="0.2">
      <c r="A1267" s="13"/>
      <c r="B1267" s="18" t="s">
        <v>101</v>
      </c>
      <c r="C1267" s="19"/>
      <c r="D1267" s="19"/>
      <c r="E1267" s="20"/>
      <c r="F1267" s="22"/>
      <c r="G1267" s="36"/>
      <c r="H1267" s="37"/>
      <c r="I1267" s="37"/>
      <c r="J1267" s="13"/>
      <c r="K1267" s="18"/>
      <c r="L1267" s="19"/>
      <c r="M1267" s="19"/>
      <c r="N1267" s="20"/>
      <c r="O1267" s="22"/>
      <c r="P1267" s="36"/>
      <c r="Q1267" s="37"/>
      <c r="R1267" s="37"/>
    </row>
    <row r="1268" spans="1:18" x14ac:dyDescent="0.2">
      <c r="A1268" s="13"/>
      <c r="C1268" s="19"/>
      <c r="D1268" s="19"/>
      <c r="E1268" s="20"/>
      <c r="F1268" s="22"/>
      <c r="G1268" s="36"/>
      <c r="H1268" s="38"/>
      <c r="I1268" s="38"/>
      <c r="J1268" s="13"/>
      <c r="K1268" s="18"/>
      <c r="L1268" s="19"/>
      <c r="M1268" s="19"/>
      <c r="N1268" s="20"/>
      <c r="O1268" s="22"/>
      <c r="P1268" s="36"/>
      <c r="Q1268" s="38"/>
      <c r="R1268" s="38"/>
    </row>
    <row r="1269" spans="1:18" x14ac:dyDescent="0.2">
      <c r="A1269" s="13"/>
      <c r="B1269" s="18"/>
      <c r="C1269" s="19"/>
      <c r="D1269" s="19"/>
      <c r="E1269" s="20"/>
      <c r="F1269" s="22"/>
      <c r="G1269" s="36"/>
      <c r="H1269" s="38"/>
      <c r="I1269" s="38"/>
      <c r="J1269" s="13"/>
      <c r="K1269" s="18"/>
      <c r="L1269" s="19"/>
      <c r="M1269" s="19"/>
      <c r="N1269" s="20"/>
      <c r="O1269" s="22"/>
      <c r="P1269" s="36"/>
      <c r="Q1269" s="38"/>
      <c r="R1269" s="38"/>
    </row>
    <row r="1270" spans="1:18" x14ac:dyDescent="0.2">
      <c r="A1270" s="13"/>
      <c r="B1270" s="18"/>
      <c r="C1270" s="19"/>
      <c r="D1270" s="19"/>
      <c r="E1270" s="20"/>
      <c r="F1270" s="22"/>
      <c r="G1270" s="36"/>
      <c r="H1270" s="38"/>
      <c r="I1270" s="38"/>
      <c r="J1270" s="13"/>
      <c r="K1270" s="18"/>
      <c r="L1270" s="19"/>
      <c r="M1270" s="19"/>
      <c r="N1270" s="20"/>
      <c r="O1270" s="22"/>
      <c r="P1270" s="36"/>
      <c r="Q1270" s="38"/>
      <c r="R1270" s="38"/>
    </row>
    <row r="1271" spans="1:18" x14ac:dyDescent="0.2">
      <c r="A1271" s="13"/>
      <c r="B1271" s="18"/>
      <c r="C1271" s="19"/>
      <c r="D1271" s="19"/>
      <c r="E1271" s="20"/>
      <c r="F1271" s="22"/>
      <c r="G1271" s="36"/>
      <c r="H1271" s="38"/>
      <c r="I1271" s="38"/>
      <c r="J1271" s="13"/>
      <c r="K1271" s="18"/>
      <c r="L1271" s="19"/>
      <c r="M1271" s="19"/>
      <c r="N1271" s="20"/>
      <c r="O1271" s="22"/>
      <c r="P1271" s="36"/>
      <c r="Q1271" s="38"/>
      <c r="R1271" s="38"/>
    </row>
    <row r="1272" spans="1:18" x14ac:dyDescent="0.2">
      <c r="A1272" s="13"/>
      <c r="B1272" s="18"/>
      <c r="C1272" s="19"/>
      <c r="D1272" s="19"/>
      <c r="E1272" s="20"/>
      <c r="F1272" s="22"/>
      <c r="G1272" s="36"/>
      <c r="H1272" s="37"/>
      <c r="I1272" s="37"/>
      <c r="J1272" s="13"/>
      <c r="K1272" s="18"/>
      <c r="L1272" s="19"/>
      <c r="M1272" s="19"/>
      <c r="N1272" s="20"/>
      <c r="O1272" s="22"/>
      <c r="P1272" s="36"/>
      <c r="Q1272" s="37"/>
      <c r="R1272" s="37"/>
    </row>
    <row r="1273" spans="1:18" x14ac:dyDescent="0.2">
      <c r="A1273" s="13"/>
      <c r="B1273" s="18"/>
      <c r="C1273" s="19"/>
      <c r="D1273" s="19"/>
      <c r="E1273" s="20"/>
      <c r="F1273" s="22"/>
      <c r="G1273" s="36"/>
      <c r="H1273" s="37"/>
      <c r="I1273" s="37"/>
      <c r="J1273" s="13"/>
      <c r="K1273" s="18"/>
      <c r="L1273" s="19"/>
      <c r="M1273" s="19"/>
      <c r="N1273" s="20"/>
      <c r="O1273" s="22"/>
      <c r="P1273" s="36"/>
      <c r="Q1273" s="37"/>
      <c r="R1273" s="37"/>
    </row>
    <row r="1274" spans="1:18" x14ac:dyDescent="0.2">
      <c r="A1274" s="13"/>
      <c r="B1274" s="18"/>
      <c r="C1274" s="19"/>
      <c r="D1274" s="19"/>
      <c r="E1274" s="20"/>
      <c r="F1274" s="22"/>
      <c r="G1274" s="36"/>
      <c r="H1274" s="37"/>
      <c r="I1274" s="37"/>
      <c r="J1274" s="13"/>
      <c r="K1274" s="18"/>
      <c r="L1274" s="19"/>
      <c r="M1274" s="19"/>
      <c r="N1274" s="20"/>
      <c r="O1274" s="22"/>
      <c r="P1274" s="36"/>
      <c r="Q1274" s="37"/>
      <c r="R1274" s="37"/>
    </row>
    <row r="1275" spans="1:18" x14ac:dyDescent="0.2">
      <c r="A1275" s="13"/>
      <c r="B1275" s="18"/>
      <c r="C1275" s="19"/>
      <c r="D1275" s="19"/>
      <c r="E1275" s="20"/>
      <c r="F1275" s="22"/>
      <c r="G1275" s="22"/>
      <c r="H1275" s="23"/>
      <c r="I1275" s="23"/>
      <c r="J1275" s="13"/>
      <c r="K1275" s="18"/>
      <c r="L1275" s="19"/>
      <c r="M1275" s="19"/>
      <c r="N1275" s="20"/>
      <c r="O1275" s="22"/>
      <c r="P1275" s="22"/>
      <c r="Q1275" s="23"/>
      <c r="R1275" s="23"/>
    </row>
    <row r="1276" spans="1:18" x14ac:dyDescent="0.2">
      <c r="A1276" s="13"/>
      <c r="B1276" s="248" t="s">
        <v>30</v>
      </c>
      <c r="C1276" s="249"/>
      <c r="D1276" s="249"/>
      <c r="E1276" s="250"/>
      <c r="F1276" s="22"/>
      <c r="G1276" s="22"/>
      <c r="H1276" s="23"/>
      <c r="I1276" s="23">
        <f>SUM(I1263:I1275)</f>
        <v>4245.1000000000004</v>
      </c>
      <c r="J1276" s="13"/>
      <c r="K1276" s="139" t="s">
        <v>30</v>
      </c>
      <c r="L1276" s="140"/>
      <c r="M1276" s="140"/>
      <c r="N1276" s="141"/>
      <c r="O1276" s="22"/>
      <c r="P1276" s="22"/>
      <c r="Q1276" s="23"/>
      <c r="R1276" s="23">
        <f>SUM(R1263:R1275)</f>
        <v>4631.5</v>
      </c>
    </row>
    <row r="1277" spans="1:18" x14ac:dyDescent="0.2">
      <c r="A1277" s="12" t="s">
        <v>31</v>
      </c>
      <c r="B1277" s="260" t="s">
        <v>32</v>
      </c>
      <c r="C1277" s="261"/>
      <c r="D1277" s="261"/>
      <c r="E1277" s="261"/>
      <c r="F1277" s="39"/>
      <c r="G1277" s="39"/>
      <c r="H1277" s="40"/>
      <c r="I1277" s="41">
        <f>SUM(I1276+I1258)</f>
        <v>4392.46</v>
      </c>
      <c r="J1277" s="12" t="s">
        <v>31</v>
      </c>
      <c r="K1277" s="142" t="s">
        <v>32</v>
      </c>
      <c r="L1277" s="143"/>
      <c r="M1277" s="143"/>
      <c r="N1277" s="143"/>
      <c r="O1277" s="143"/>
      <c r="P1277" s="143"/>
      <c r="Q1277" s="40"/>
      <c r="R1277" s="41">
        <f>SUM(R1276+R1258)</f>
        <v>4778.8599999999997</v>
      </c>
    </row>
    <row r="1278" spans="1:18" x14ac:dyDescent="0.2">
      <c r="A1278" s="13" t="s">
        <v>33</v>
      </c>
      <c r="B1278" s="295">
        <f>E1245</f>
        <v>75</v>
      </c>
      <c r="C1278" s="296"/>
      <c r="D1278" s="296"/>
      <c r="E1278" s="296"/>
      <c r="F1278" s="296"/>
      <c r="G1278" s="296"/>
      <c r="H1278" s="40"/>
      <c r="I1278" s="41"/>
      <c r="J1278" s="13" t="s">
        <v>33</v>
      </c>
      <c r="K1278" s="293">
        <f>N1245</f>
        <v>50</v>
      </c>
      <c r="L1278" s="294"/>
      <c r="M1278" s="294"/>
      <c r="N1278" s="294"/>
      <c r="O1278" s="294"/>
      <c r="P1278" s="294"/>
      <c r="Q1278" s="40"/>
      <c r="R1278" s="41"/>
    </row>
    <row r="1279" spans="1:18" x14ac:dyDescent="0.2">
      <c r="A1279" s="13" t="s">
        <v>34</v>
      </c>
      <c r="B1279" s="42" t="s">
        <v>35</v>
      </c>
      <c r="C1279" s="43"/>
      <c r="D1279" s="43"/>
      <c r="E1279" s="39"/>
      <c r="F1279" s="44"/>
      <c r="G1279" s="44"/>
      <c r="H1279" s="40"/>
      <c r="I1279" s="41">
        <f>I1277/E1245</f>
        <v>58.566133333333333</v>
      </c>
      <c r="J1279" s="13" t="s">
        <v>34</v>
      </c>
      <c r="K1279" s="147" t="s">
        <v>35</v>
      </c>
      <c r="L1279" s="43"/>
      <c r="M1279" s="43"/>
      <c r="N1279" s="143"/>
      <c r="O1279" s="148"/>
      <c r="P1279" s="148"/>
      <c r="Q1279" s="40"/>
      <c r="R1279" s="41">
        <f>R1277/N1245</f>
        <v>95.577199999999991</v>
      </c>
    </row>
    <row r="1280" spans="1:18" x14ac:dyDescent="0.2">
      <c r="A1280" s="12"/>
      <c r="B1280" s="251" t="s">
        <v>36</v>
      </c>
      <c r="C1280" s="252"/>
      <c r="D1280" s="252"/>
      <c r="E1280" s="253"/>
      <c r="F1280" s="244" t="s">
        <v>37</v>
      </c>
      <c r="G1280" s="244" t="s">
        <v>38</v>
      </c>
      <c r="H1280" s="244" t="s">
        <v>39</v>
      </c>
      <c r="I1280" s="246" t="s">
        <v>15</v>
      </c>
      <c r="J1280" s="12"/>
      <c r="K1280" s="251" t="s">
        <v>36</v>
      </c>
      <c r="L1280" s="252"/>
      <c r="M1280" s="252"/>
      <c r="N1280" s="253"/>
      <c r="O1280" s="244" t="s">
        <v>37</v>
      </c>
      <c r="P1280" s="244" t="s">
        <v>38</v>
      </c>
      <c r="Q1280" s="244" t="s">
        <v>39</v>
      </c>
      <c r="R1280" s="246" t="s">
        <v>15</v>
      </c>
    </row>
    <row r="1281" spans="1:18" x14ac:dyDescent="0.2">
      <c r="A1281" s="13"/>
      <c r="B1281" s="254"/>
      <c r="C1281" s="255"/>
      <c r="D1281" s="255"/>
      <c r="E1281" s="256"/>
      <c r="F1281" s="245"/>
      <c r="G1281" s="245"/>
      <c r="H1281" s="245"/>
      <c r="I1281" s="247"/>
      <c r="J1281" s="13"/>
      <c r="K1281" s="254"/>
      <c r="L1281" s="255"/>
      <c r="M1281" s="255"/>
      <c r="N1281" s="256"/>
      <c r="O1281" s="245"/>
      <c r="P1281" s="245"/>
      <c r="Q1281" s="245"/>
      <c r="R1281" s="247"/>
    </row>
    <row r="1282" spans="1:18" x14ac:dyDescent="0.2">
      <c r="A1282" s="13" t="s">
        <v>40</v>
      </c>
      <c r="B1282" s="18" t="s">
        <v>41</v>
      </c>
      <c r="C1282" s="19"/>
      <c r="D1282" s="19"/>
      <c r="E1282" s="20"/>
      <c r="F1282" s="22"/>
      <c r="G1282" s="22"/>
      <c r="H1282" s="23"/>
      <c r="I1282" s="23"/>
      <c r="J1282" s="13" t="s">
        <v>40</v>
      </c>
      <c r="K1282" s="18" t="s">
        <v>41</v>
      </c>
      <c r="L1282" s="19"/>
      <c r="M1282" s="19"/>
      <c r="N1282" s="20"/>
      <c r="O1282" s="22"/>
      <c r="P1282" s="22"/>
      <c r="Q1282" s="23"/>
      <c r="R1282" s="23"/>
    </row>
    <row r="1283" spans="1:18" x14ac:dyDescent="0.2">
      <c r="A1283" s="13"/>
      <c r="B1283" s="18"/>
      <c r="C1283" s="19"/>
      <c r="D1283" s="19"/>
      <c r="E1283" s="20"/>
      <c r="F1283" s="22"/>
      <c r="G1283" s="22"/>
      <c r="H1283" s="23"/>
      <c r="I1283" s="23"/>
      <c r="J1283" s="13"/>
      <c r="K1283" s="18"/>
      <c r="L1283" s="19"/>
      <c r="M1283" s="19"/>
      <c r="N1283" s="20"/>
      <c r="O1283" s="22"/>
      <c r="P1283" s="22"/>
      <c r="Q1283" s="23"/>
      <c r="R1283" s="23"/>
    </row>
    <row r="1284" spans="1:18" x14ac:dyDescent="0.2">
      <c r="A1284" s="13"/>
      <c r="B1284" s="18"/>
      <c r="C1284" s="19"/>
      <c r="D1284" s="19"/>
      <c r="E1284" s="20"/>
      <c r="F1284" s="22"/>
      <c r="G1284" s="22"/>
      <c r="H1284" s="23"/>
      <c r="I1284" s="23"/>
      <c r="J1284" s="13"/>
      <c r="K1284" s="18" t="s">
        <v>200</v>
      </c>
      <c r="L1284" s="19"/>
      <c r="M1284" s="19"/>
      <c r="N1284" s="20"/>
      <c r="O1284" s="22" t="s">
        <v>9</v>
      </c>
      <c r="P1284" s="62">
        <v>1.25</v>
      </c>
      <c r="Q1284" s="107">
        <v>420</v>
      </c>
      <c r="R1284" s="23">
        <f>P1284*Q1284</f>
        <v>525</v>
      </c>
    </row>
    <row r="1285" spans="1:18" x14ac:dyDescent="0.2">
      <c r="A1285" s="13"/>
      <c r="B1285" s="18"/>
      <c r="C1285" s="19"/>
      <c r="D1285" s="19"/>
      <c r="E1285" s="20"/>
      <c r="F1285" s="22"/>
      <c r="G1285" s="22"/>
      <c r="H1285" s="23"/>
      <c r="I1285" s="23"/>
      <c r="J1285" s="13"/>
      <c r="K1285" s="18"/>
      <c r="L1285" s="19"/>
      <c r="M1285" s="19"/>
      <c r="N1285" s="20"/>
      <c r="O1285" s="22"/>
      <c r="P1285" s="22"/>
      <c r="Q1285" s="23"/>
      <c r="R1285" s="23"/>
    </row>
    <row r="1286" spans="1:18" x14ac:dyDescent="0.2">
      <c r="A1286" s="13"/>
      <c r="B1286" s="18"/>
      <c r="C1286" s="19"/>
      <c r="D1286" s="19"/>
      <c r="E1286" s="20"/>
      <c r="F1286" s="22"/>
      <c r="G1286" s="22"/>
      <c r="H1286" s="38"/>
      <c r="I1286" s="38"/>
      <c r="J1286" s="13"/>
      <c r="K1286" s="18"/>
      <c r="L1286" s="19"/>
      <c r="M1286" s="19"/>
      <c r="N1286" s="20"/>
      <c r="O1286" s="22"/>
      <c r="P1286" s="22"/>
      <c r="Q1286" s="38"/>
      <c r="R1286" s="38"/>
    </row>
    <row r="1287" spans="1:18" x14ac:dyDescent="0.2">
      <c r="A1287" s="13"/>
      <c r="B1287" s="18"/>
      <c r="C1287" s="19"/>
      <c r="D1287" s="19"/>
      <c r="E1287" s="20"/>
      <c r="F1287" s="22"/>
      <c r="G1287" s="22"/>
      <c r="H1287" s="38"/>
      <c r="I1287" s="38"/>
      <c r="J1287" s="13"/>
      <c r="K1287" s="18"/>
      <c r="L1287" s="19"/>
      <c r="M1287" s="19"/>
      <c r="N1287" s="20"/>
      <c r="O1287" s="22"/>
      <c r="P1287" s="22"/>
      <c r="Q1287" s="38"/>
      <c r="R1287" s="38"/>
    </row>
    <row r="1288" spans="1:18" x14ac:dyDescent="0.2">
      <c r="A1288" s="13"/>
      <c r="B1288" s="18"/>
      <c r="C1288" s="19"/>
      <c r="D1288" s="19"/>
      <c r="E1288" s="20"/>
      <c r="F1288" s="22"/>
      <c r="G1288" s="22"/>
      <c r="H1288" s="45"/>
      <c r="I1288" s="45"/>
      <c r="J1288" s="13"/>
      <c r="K1288" s="18"/>
      <c r="L1288" s="19"/>
      <c r="M1288" s="19"/>
      <c r="N1288" s="20"/>
      <c r="O1288" s="22"/>
      <c r="P1288" s="22"/>
      <c r="Q1288" s="45"/>
      <c r="R1288" s="45"/>
    </row>
    <row r="1289" spans="1:18" x14ac:dyDescent="0.2">
      <c r="A1289" s="13"/>
      <c r="B1289" s="18"/>
      <c r="C1289" s="19"/>
      <c r="D1289" s="19"/>
      <c r="E1289" s="20"/>
      <c r="F1289" s="22"/>
      <c r="G1289" s="22"/>
      <c r="H1289" s="45"/>
      <c r="I1289" s="45"/>
      <c r="J1289" s="13"/>
      <c r="K1289" s="18"/>
      <c r="L1289" s="19"/>
      <c r="M1289" s="19"/>
      <c r="N1289" s="20"/>
      <c r="O1289" s="22"/>
      <c r="P1289" s="22"/>
      <c r="Q1289" s="45"/>
      <c r="R1289" s="45"/>
    </row>
    <row r="1290" spans="1:18" x14ac:dyDescent="0.2">
      <c r="A1290" s="13"/>
      <c r="B1290" s="18"/>
      <c r="C1290" s="19"/>
      <c r="D1290" s="19"/>
      <c r="E1290" s="20"/>
      <c r="F1290" s="22"/>
      <c r="G1290" s="22"/>
      <c r="H1290" s="23"/>
      <c r="I1290" s="23"/>
      <c r="J1290" s="13"/>
      <c r="K1290" s="18"/>
      <c r="L1290" s="19"/>
      <c r="M1290" s="19"/>
      <c r="N1290" s="20"/>
      <c r="O1290" s="22"/>
      <c r="P1290" s="22"/>
      <c r="Q1290" s="23"/>
      <c r="R1290" s="23"/>
    </row>
    <row r="1291" spans="1:18" x14ac:dyDescent="0.2">
      <c r="A1291" s="13"/>
      <c r="B1291" s="18"/>
      <c r="C1291" s="19"/>
      <c r="D1291" s="19"/>
      <c r="E1291" s="20"/>
      <c r="F1291" s="22"/>
      <c r="G1291" s="22"/>
      <c r="H1291" s="23"/>
      <c r="I1291" s="23"/>
      <c r="J1291" s="13"/>
      <c r="K1291" s="18"/>
      <c r="L1291" s="19"/>
      <c r="M1291" s="19"/>
      <c r="N1291" s="20"/>
      <c r="O1291" s="22"/>
      <c r="P1291" s="22"/>
      <c r="Q1291" s="23"/>
      <c r="R1291" s="23"/>
    </row>
    <row r="1292" spans="1:18" x14ac:dyDescent="0.2">
      <c r="A1292" s="13"/>
      <c r="B1292" s="18"/>
      <c r="C1292" s="19"/>
      <c r="D1292" s="19"/>
      <c r="E1292" s="20"/>
      <c r="F1292" s="22"/>
      <c r="G1292" s="22"/>
      <c r="H1292" s="23"/>
      <c r="I1292" s="23"/>
      <c r="J1292" s="13"/>
      <c r="K1292" s="18"/>
      <c r="L1292" s="19"/>
      <c r="M1292" s="19"/>
      <c r="N1292" s="20"/>
      <c r="O1292" s="22"/>
      <c r="P1292" s="22"/>
      <c r="Q1292" s="23"/>
      <c r="R1292" s="23"/>
    </row>
    <row r="1293" spans="1:18" x14ac:dyDescent="0.2">
      <c r="A1293" s="13"/>
      <c r="B1293" s="18"/>
      <c r="C1293" s="19"/>
      <c r="D1293" s="19"/>
      <c r="E1293" s="20"/>
      <c r="F1293" s="22"/>
      <c r="G1293" s="22"/>
      <c r="H1293" s="23"/>
      <c r="I1293" s="23"/>
      <c r="J1293" s="13"/>
      <c r="K1293" s="18"/>
      <c r="L1293" s="19"/>
      <c r="M1293" s="19"/>
      <c r="N1293" s="20"/>
      <c r="O1293" s="22"/>
      <c r="P1293" s="22"/>
      <c r="Q1293" s="23"/>
      <c r="R1293" s="23"/>
    </row>
    <row r="1294" spans="1:18" x14ac:dyDescent="0.2">
      <c r="A1294" s="13"/>
      <c r="B1294" s="18"/>
      <c r="C1294" s="19"/>
      <c r="D1294" s="19"/>
      <c r="E1294" s="20"/>
      <c r="F1294" s="22"/>
      <c r="G1294" s="22"/>
      <c r="H1294" s="23"/>
      <c r="I1294" s="23"/>
      <c r="J1294" s="13"/>
      <c r="K1294" s="18"/>
      <c r="L1294" s="19"/>
      <c r="M1294" s="19"/>
      <c r="N1294" s="20"/>
      <c r="O1294" s="22"/>
      <c r="P1294" s="22"/>
      <c r="Q1294" s="23"/>
      <c r="R1294" s="23"/>
    </row>
    <row r="1295" spans="1:18" x14ac:dyDescent="0.2">
      <c r="A1295" s="13"/>
      <c r="B1295" s="18"/>
      <c r="C1295" s="19"/>
      <c r="D1295" s="19"/>
      <c r="E1295" s="20"/>
      <c r="F1295" s="22"/>
      <c r="G1295" s="22"/>
      <c r="H1295" s="23"/>
      <c r="I1295" s="23"/>
      <c r="J1295" s="13"/>
      <c r="K1295" s="18"/>
      <c r="L1295" s="19"/>
      <c r="M1295" s="19"/>
      <c r="N1295" s="20"/>
      <c r="O1295" s="22"/>
      <c r="P1295" s="22"/>
      <c r="Q1295" s="23"/>
      <c r="R1295" s="23"/>
    </row>
    <row r="1296" spans="1:18" x14ac:dyDescent="0.2">
      <c r="A1296" s="13"/>
      <c r="B1296" s="18"/>
      <c r="C1296" s="19"/>
      <c r="D1296" s="19"/>
      <c r="E1296" s="20"/>
      <c r="F1296" s="22"/>
      <c r="G1296" s="36"/>
      <c r="H1296" s="37"/>
      <c r="I1296" s="37"/>
      <c r="J1296" s="13"/>
      <c r="K1296" s="18"/>
      <c r="L1296" s="19"/>
      <c r="M1296" s="19"/>
      <c r="N1296" s="20"/>
      <c r="O1296" s="22"/>
      <c r="P1296" s="36"/>
      <c r="Q1296" s="37"/>
      <c r="R1296" s="37"/>
    </row>
    <row r="1297" spans="1:18" x14ac:dyDescent="0.2">
      <c r="A1297" s="13"/>
      <c r="B1297" s="248" t="s">
        <v>42</v>
      </c>
      <c r="C1297" s="249"/>
      <c r="D1297" s="249"/>
      <c r="E1297" s="250"/>
      <c r="F1297" s="46"/>
      <c r="G1297" s="46"/>
      <c r="H1297" s="47"/>
      <c r="I1297" s="47">
        <f>SUM(I1284:I1296)</f>
        <v>0</v>
      </c>
      <c r="J1297" s="13"/>
      <c r="K1297" s="139" t="s">
        <v>42</v>
      </c>
      <c r="L1297" s="140"/>
      <c r="M1297" s="140"/>
      <c r="N1297" s="141"/>
      <c r="O1297" s="46"/>
      <c r="P1297" s="46"/>
      <c r="Q1297" s="47"/>
      <c r="R1297" s="47">
        <f>SUM(R1284:R1296)</f>
        <v>525</v>
      </c>
    </row>
    <row r="1298" spans="1:18" x14ac:dyDescent="0.2">
      <c r="A1298" s="12" t="s">
        <v>43</v>
      </c>
      <c r="B1298" s="48" t="s">
        <v>44</v>
      </c>
      <c r="C1298" s="43"/>
      <c r="D1298" s="43"/>
      <c r="E1298" s="39"/>
      <c r="F1298" s="49"/>
      <c r="G1298" s="49"/>
      <c r="H1298" s="50"/>
      <c r="I1298" s="51">
        <f>SUM(I1279+I1297)</f>
        <v>58.566133333333333</v>
      </c>
      <c r="J1298" s="12" t="s">
        <v>43</v>
      </c>
      <c r="K1298" s="48" t="s">
        <v>44</v>
      </c>
      <c r="L1298" s="43"/>
      <c r="M1298" s="43"/>
      <c r="N1298" s="143"/>
      <c r="O1298" s="49"/>
      <c r="P1298" s="49"/>
      <c r="Q1298" s="50"/>
      <c r="R1298" s="51">
        <f>SUM(R1279+R1297)</f>
        <v>620.57719999999995</v>
      </c>
    </row>
    <row r="1299" spans="1:18" x14ac:dyDescent="0.2">
      <c r="A1299" s="13" t="s">
        <v>45</v>
      </c>
      <c r="B1299" s="48" t="s">
        <v>46</v>
      </c>
      <c r="C1299" s="43"/>
      <c r="D1299" s="43"/>
      <c r="E1299" s="39"/>
      <c r="F1299" s="49"/>
      <c r="G1299" s="52">
        <v>0.09</v>
      </c>
      <c r="H1299" s="53" t="s">
        <v>47</v>
      </c>
      <c r="I1299" s="51">
        <f>G1299*I1298</f>
        <v>5.2709519999999994</v>
      </c>
      <c r="J1299" s="13" t="s">
        <v>45</v>
      </c>
      <c r="K1299" s="48" t="s">
        <v>46</v>
      </c>
      <c r="L1299" s="43"/>
      <c r="M1299" s="43"/>
      <c r="N1299" s="143"/>
      <c r="O1299" s="49"/>
      <c r="P1299" s="52">
        <v>0.09</v>
      </c>
      <c r="Q1299" s="53" t="s">
        <v>47</v>
      </c>
      <c r="R1299" s="51">
        <f>P1299*R1298</f>
        <v>55.851947999999993</v>
      </c>
    </row>
    <row r="1300" spans="1:18" x14ac:dyDescent="0.2">
      <c r="A1300" s="13" t="s">
        <v>48</v>
      </c>
      <c r="B1300" s="48" t="s">
        <v>49</v>
      </c>
      <c r="C1300" s="43"/>
      <c r="D1300" s="43"/>
      <c r="E1300" s="39"/>
      <c r="F1300" s="49"/>
      <c r="G1300" s="52">
        <v>0.08</v>
      </c>
      <c r="H1300" s="53" t="s">
        <v>47</v>
      </c>
      <c r="I1300" s="51">
        <f>G1300*I1298</f>
        <v>4.6852906666666669</v>
      </c>
      <c r="J1300" s="13" t="s">
        <v>48</v>
      </c>
      <c r="K1300" s="48" t="s">
        <v>49</v>
      </c>
      <c r="L1300" s="43"/>
      <c r="M1300" s="43"/>
      <c r="N1300" s="143"/>
      <c r="O1300" s="49"/>
      <c r="P1300" s="52">
        <v>0.08</v>
      </c>
      <c r="Q1300" s="53" t="s">
        <v>47</v>
      </c>
      <c r="R1300" s="51">
        <f>P1300*R1298</f>
        <v>49.646175999999997</v>
      </c>
    </row>
    <row r="1301" spans="1:18" x14ac:dyDescent="0.2">
      <c r="A1301" s="13" t="s">
        <v>50</v>
      </c>
      <c r="B1301" s="48" t="s">
        <v>51</v>
      </c>
      <c r="C1301" s="43"/>
      <c r="D1301" s="43"/>
      <c r="E1301" s="39"/>
      <c r="F1301" s="49"/>
      <c r="G1301" s="52">
        <f>5/100</f>
        <v>0.05</v>
      </c>
      <c r="H1301" s="53" t="s">
        <v>52</v>
      </c>
      <c r="I1301" s="51">
        <f>G1301*(I1298+I1299+I1300)</f>
        <v>3.4261188000000007</v>
      </c>
      <c r="J1301" s="13" t="s">
        <v>50</v>
      </c>
      <c r="K1301" s="48" t="s">
        <v>51</v>
      </c>
      <c r="L1301" s="43"/>
      <c r="M1301" s="43"/>
      <c r="N1301" s="143"/>
      <c r="O1301" s="49"/>
      <c r="P1301" s="52">
        <f>5/100</f>
        <v>0.05</v>
      </c>
      <c r="Q1301" s="53" t="s">
        <v>52</v>
      </c>
      <c r="R1301" s="51">
        <f>P1301*(R1298+R1299+R1300)</f>
        <v>36.303766199999998</v>
      </c>
    </row>
    <row r="1302" spans="1:18" x14ac:dyDescent="0.2">
      <c r="A1302" s="54" t="s">
        <v>53</v>
      </c>
      <c r="B1302" s="48" t="s">
        <v>54</v>
      </c>
      <c r="C1302" s="43"/>
      <c r="D1302" s="43"/>
      <c r="E1302" s="39"/>
      <c r="F1302" s="49"/>
      <c r="G1302" s="49"/>
      <c r="H1302" s="55" t="s">
        <v>55</v>
      </c>
      <c r="I1302" s="51">
        <f>SUM(I1298+I1299+I1300+I1301)</f>
        <v>71.948494800000006</v>
      </c>
      <c r="J1302" s="54" t="s">
        <v>53</v>
      </c>
      <c r="K1302" s="48" t="s">
        <v>54</v>
      </c>
      <c r="L1302" s="43"/>
      <c r="M1302" s="43"/>
      <c r="N1302" s="143"/>
      <c r="O1302" s="49"/>
      <c r="P1302" s="49"/>
      <c r="Q1302" s="55" t="s">
        <v>55</v>
      </c>
      <c r="R1302" s="51">
        <f>SUM(R1298+R1299+R1300+R1301)</f>
        <v>762.37909019999995</v>
      </c>
    </row>
    <row r="1303" spans="1:18" s="1" customFormat="1" x14ac:dyDescent="0.2">
      <c r="A1303" s="285" t="s">
        <v>0</v>
      </c>
      <c r="B1303" s="285"/>
      <c r="C1303" s="285"/>
      <c r="D1303" s="285"/>
      <c r="E1303" s="285"/>
      <c r="F1303" s="285"/>
      <c r="G1303" s="285"/>
      <c r="H1303" s="285"/>
      <c r="I1303" s="285"/>
      <c r="J1303" s="285" t="s">
        <v>0</v>
      </c>
      <c r="K1303" s="285"/>
      <c r="L1303" s="285"/>
      <c r="M1303" s="285"/>
      <c r="N1303" s="285"/>
      <c r="O1303" s="285"/>
      <c r="P1303" s="285"/>
      <c r="Q1303" s="285"/>
      <c r="R1303" s="285"/>
    </row>
    <row r="1304" spans="1:18" x14ac:dyDescent="0.2">
      <c r="J1304" s="80"/>
      <c r="K1304" s="66"/>
      <c r="L1304" s="19"/>
      <c r="M1304" s="19"/>
      <c r="N1304" s="20"/>
      <c r="O1304" s="66"/>
      <c r="P1304" s="66"/>
      <c r="Q1304" s="66"/>
      <c r="R1304" s="66"/>
    </row>
    <row r="1305" spans="1:18" x14ac:dyDescent="0.2">
      <c r="A1305" s="2" t="s">
        <v>1</v>
      </c>
      <c r="C1305" s="4" t="s">
        <v>2</v>
      </c>
      <c r="D1305" s="5" t="s">
        <v>205</v>
      </c>
      <c r="E1305" s="237" t="s">
        <v>206</v>
      </c>
      <c r="F1305" s="237"/>
      <c r="G1305" s="237"/>
      <c r="H1305" s="237"/>
      <c r="J1305" s="146" t="s">
        <v>1</v>
      </c>
      <c r="K1305" s="66"/>
      <c r="L1305" s="19" t="s">
        <v>2</v>
      </c>
      <c r="M1305" s="20" t="s">
        <v>203</v>
      </c>
      <c r="N1305" s="146" t="s">
        <v>204</v>
      </c>
      <c r="O1305" s="146"/>
      <c r="P1305" s="146"/>
      <c r="Q1305" s="146"/>
      <c r="R1305" s="66"/>
    </row>
    <row r="1306" spans="1:18" x14ac:dyDescent="0.2">
      <c r="A1306" s="2" t="s">
        <v>7</v>
      </c>
      <c r="C1306" s="4" t="s">
        <v>2</v>
      </c>
      <c r="E1306" s="150" t="s">
        <v>66</v>
      </c>
      <c r="F1306" s="8"/>
      <c r="G1306" s="8"/>
      <c r="H1306" s="8"/>
      <c r="J1306" s="146" t="s">
        <v>7</v>
      </c>
      <c r="K1306" s="66"/>
      <c r="L1306" s="19" t="s">
        <v>2</v>
      </c>
      <c r="M1306" s="19"/>
      <c r="N1306" s="146" t="s">
        <v>9</v>
      </c>
      <c r="O1306" s="25"/>
      <c r="P1306" s="25"/>
      <c r="Q1306" s="25"/>
      <c r="R1306" s="66"/>
    </row>
    <row r="1307" spans="1:18" x14ac:dyDescent="0.2">
      <c r="A1307" s="2" t="s">
        <v>10</v>
      </c>
      <c r="C1307" s="4" t="s">
        <v>2</v>
      </c>
      <c r="E1307" s="9">
        <v>50</v>
      </c>
      <c r="F1307" s="8"/>
      <c r="G1307" s="8"/>
      <c r="H1307" s="8"/>
      <c r="J1307" s="146" t="s">
        <v>10</v>
      </c>
      <c r="K1307" s="66"/>
      <c r="L1307" s="19" t="s">
        <v>2</v>
      </c>
      <c r="M1307" s="19"/>
      <c r="N1307" s="81">
        <v>50</v>
      </c>
      <c r="O1307" s="25"/>
      <c r="P1307" s="25"/>
      <c r="Q1307" s="25"/>
      <c r="R1307" s="66"/>
    </row>
    <row r="1308" spans="1:18" x14ac:dyDescent="0.2">
      <c r="B1308" s="8"/>
      <c r="F1308" s="11"/>
      <c r="G1308" s="8"/>
      <c r="H1308" s="8"/>
      <c r="I1308" s="8"/>
      <c r="J1308" s="80"/>
      <c r="K1308" s="25"/>
      <c r="L1308" s="19"/>
      <c r="M1308" s="19"/>
      <c r="N1308" s="20"/>
      <c r="O1308" s="88"/>
      <c r="P1308" s="25"/>
      <c r="Q1308" s="25"/>
      <c r="R1308" s="25"/>
    </row>
    <row r="1309" spans="1:18" x14ac:dyDescent="0.2">
      <c r="A1309" s="12"/>
      <c r="B1309" s="238" t="s">
        <v>11</v>
      </c>
      <c r="C1309" s="239"/>
      <c r="D1309" s="239"/>
      <c r="E1309" s="240"/>
      <c r="F1309" s="244" t="s">
        <v>12</v>
      </c>
      <c r="G1309" s="244" t="s">
        <v>13</v>
      </c>
      <c r="H1309" s="244" t="s">
        <v>14</v>
      </c>
      <c r="I1309" s="246" t="s">
        <v>15</v>
      </c>
      <c r="J1309" s="12"/>
      <c r="K1309" s="238" t="s">
        <v>11</v>
      </c>
      <c r="L1309" s="239"/>
      <c r="M1309" s="239"/>
      <c r="N1309" s="240"/>
      <c r="O1309" s="244" t="s">
        <v>12</v>
      </c>
      <c r="P1309" s="244" t="s">
        <v>13</v>
      </c>
      <c r="Q1309" s="244" t="s">
        <v>14</v>
      </c>
      <c r="R1309" s="246" t="s">
        <v>15</v>
      </c>
    </row>
    <row r="1310" spans="1:18" x14ac:dyDescent="0.2">
      <c r="A1310" s="13"/>
      <c r="B1310" s="241"/>
      <c r="C1310" s="242"/>
      <c r="D1310" s="242"/>
      <c r="E1310" s="243"/>
      <c r="F1310" s="245"/>
      <c r="G1310" s="245"/>
      <c r="H1310" s="245"/>
      <c r="I1310" s="247"/>
      <c r="J1310" s="13"/>
      <c r="K1310" s="241"/>
      <c r="L1310" s="242"/>
      <c r="M1310" s="242"/>
      <c r="N1310" s="243"/>
      <c r="O1310" s="245"/>
      <c r="P1310" s="245"/>
      <c r="Q1310" s="245"/>
      <c r="R1310" s="247"/>
    </row>
    <row r="1311" spans="1:18" x14ac:dyDescent="0.2">
      <c r="A1311" s="13" t="s">
        <v>16</v>
      </c>
      <c r="B1311" s="14" t="s">
        <v>17</v>
      </c>
      <c r="C1311" s="15"/>
      <c r="D1311" s="15"/>
      <c r="E1311" s="16"/>
      <c r="F1311" s="17"/>
      <c r="G1311" s="17"/>
      <c r="H1311" s="17"/>
      <c r="I1311" s="17"/>
      <c r="J1311" s="13" t="s">
        <v>16</v>
      </c>
      <c r="K1311" s="14" t="s">
        <v>17</v>
      </c>
      <c r="L1311" s="15"/>
      <c r="M1311" s="15"/>
      <c r="N1311" s="16"/>
      <c r="O1311" s="17"/>
      <c r="P1311" s="17"/>
      <c r="Q1311" s="17"/>
      <c r="R1311" s="17"/>
    </row>
    <row r="1312" spans="1:18" x14ac:dyDescent="0.2">
      <c r="A1312" s="13"/>
      <c r="B1312" s="18"/>
      <c r="C1312" s="19"/>
      <c r="D1312" s="19"/>
      <c r="E1312" s="20"/>
      <c r="F1312" s="21"/>
      <c r="G1312" s="22"/>
      <c r="H1312" s="21"/>
      <c r="I1312" s="21"/>
      <c r="J1312" s="13"/>
      <c r="K1312" s="18"/>
      <c r="L1312" s="19"/>
      <c r="M1312" s="19"/>
      <c r="N1312" s="20"/>
      <c r="O1312" s="21"/>
      <c r="P1312" s="22"/>
      <c r="Q1312" s="21"/>
      <c r="R1312" s="21"/>
    </row>
    <row r="1313" spans="1:18" x14ac:dyDescent="0.2">
      <c r="A1313" s="13"/>
      <c r="B1313" s="24" t="s">
        <v>18</v>
      </c>
      <c r="C1313" s="25"/>
      <c r="D1313" s="25"/>
      <c r="E1313" s="26"/>
      <c r="F1313" s="22">
        <v>1</v>
      </c>
      <c r="G1313" s="62">
        <v>1</v>
      </c>
      <c r="H1313" s="23">
        <v>69.42</v>
      </c>
      <c r="I1313" s="23">
        <f>F1313*G1313*H1313</f>
        <v>69.42</v>
      </c>
      <c r="J1313" s="13"/>
      <c r="K1313" s="24" t="s">
        <v>18</v>
      </c>
      <c r="L1313" s="25"/>
      <c r="M1313" s="25"/>
      <c r="N1313" s="26"/>
      <c r="O1313" s="22">
        <v>1</v>
      </c>
      <c r="P1313" s="62">
        <v>1</v>
      </c>
      <c r="Q1313" s="23">
        <v>69.42</v>
      </c>
      <c r="R1313" s="23">
        <f>P1313*Q1313*O1313</f>
        <v>69.42</v>
      </c>
    </row>
    <row r="1314" spans="1:18" x14ac:dyDescent="0.2">
      <c r="A1314" s="13"/>
      <c r="B1314" s="24" t="s">
        <v>1179</v>
      </c>
      <c r="C1314" s="25"/>
      <c r="D1314" s="25"/>
      <c r="E1314" s="26"/>
      <c r="F1314" s="22">
        <v>2</v>
      </c>
      <c r="G1314" s="62">
        <v>1</v>
      </c>
      <c r="H1314" s="23">
        <v>38.97</v>
      </c>
      <c r="I1314" s="23">
        <f>F1314*G1314*H1314</f>
        <v>77.94</v>
      </c>
      <c r="J1314" s="13"/>
      <c r="K1314" s="149" t="s">
        <v>1179</v>
      </c>
      <c r="L1314" s="146"/>
      <c r="M1314" s="19"/>
      <c r="N1314" s="20"/>
      <c r="O1314" s="22">
        <v>2</v>
      </c>
      <c r="P1314" s="62">
        <v>1</v>
      </c>
      <c r="Q1314" s="23">
        <v>38.97</v>
      </c>
      <c r="R1314" s="23">
        <f>P1314*Q1314*O1314</f>
        <v>77.94</v>
      </c>
    </row>
    <row r="1315" spans="1:18" x14ac:dyDescent="0.2">
      <c r="A1315" s="13"/>
      <c r="B1315" s="27"/>
      <c r="C1315" s="19"/>
      <c r="D1315" s="19"/>
      <c r="E1315" s="20"/>
      <c r="F1315" s="22"/>
      <c r="G1315" s="22"/>
      <c r="H1315" s="28"/>
      <c r="I1315" s="23"/>
      <c r="J1315" s="13"/>
      <c r="K1315" s="145"/>
      <c r="L1315" s="146"/>
      <c r="M1315" s="19"/>
      <c r="N1315" s="20"/>
      <c r="O1315" s="22"/>
      <c r="P1315" s="22"/>
      <c r="Q1315" s="23"/>
      <c r="R1315" s="23"/>
    </row>
    <row r="1316" spans="1:18" x14ac:dyDescent="0.2">
      <c r="A1316" s="13"/>
      <c r="B1316" s="27"/>
      <c r="C1316" s="19"/>
      <c r="D1316" s="19"/>
      <c r="E1316" s="20"/>
      <c r="F1316" s="22"/>
      <c r="G1316" s="22"/>
      <c r="H1316" s="29"/>
      <c r="I1316" s="30"/>
      <c r="J1316" s="13"/>
      <c r="K1316" s="145"/>
      <c r="L1316" s="19"/>
      <c r="M1316" s="19"/>
      <c r="N1316" s="20"/>
      <c r="O1316" s="22"/>
      <c r="P1316" s="22"/>
      <c r="Q1316" s="29"/>
      <c r="R1316" s="30"/>
    </row>
    <row r="1317" spans="1:18" x14ac:dyDescent="0.2">
      <c r="A1317" s="13"/>
      <c r="B1317" s="27"/>
      <c r="C1317" s="19"/>
      <c r="D1317" s="19"/>
      <c r="E1317" s="20"/>
      <c r="F1317" s="22"/>
      <c r="G1317" s="22"/>
      <c r="H1317" s="29"/>
      <c r="I1317" s="30"/>
      <c r="J1317" s="13"/>
      <c r="K1317" s="145"/>
      <c r="L1317" s="19"/>
      <c r="M1317" s="19"/>
      <c r="N1317" s="20"/>
      <c r="O1317" s="22"/>
      <c r="P1317" s="22"/>
      <c r="Q1317" s="29"/>
      <c r="R1317" s="30"/>
    </row>
    <row r="1318" spans="1:18" x14ac:dyDescent="0.2">
      <c r="A1318" s="13"/>
      <c r="B1318" s="18"/>
      <c r="C1318" s="19"/>
      <c r="D1318" s="19"/>
      <c r="E1318" s="20"/>
      <c r="F1318" s="22"/>
      <c r="G1318" s="22"/>
      <c r="H1318" s="28"/>
      <c r="I1318" s="23"/>
      <c r="J1318" s="13"/>
      <c r="K1318" s="18"/>
      <c r="L1318" s="19"/>
      <c r="M1318" s="19"/>
      <c r="N1318" s="20"/>
      <c r="O1318" s="22"/>
      <c r="P1318" s="22"/>
      <c r="Q1318" s="28"/>
      <c r="R1318" s="23"/>
    </row>
    <row r="1319" spans="1:18" x14ac:dyDescent="0.2">
      <c r="A1319" s="13"/>
      <c r="B1319" s="18"/>
      <c r="C1319" s="19"/>
      <c r="D1319" s="19"/>
      <c r="E1319" s="20"/>
      <c r="F1319" s="22"/>
      <c r="G1319" s="22"/>
      <c r="H1319" s="23"/>
      <c r="I1319" s="23"/>
      <c r="J1319" s="13"/>
      <c r="K1319" s="18"/>
      <c r="L1319" s="19"/>
      <c r="M1319" s="19"/>
      <c r="N1319" s="20"/>
      <c r="O1319" s="22"/>
      <c r="P1319" s="22"/>
      <c r="Q1319" s="23"/>
      <c r="R1319" s="23"/>
    </row>
    <row r="1320" spans="1:18" x14ac:dyDescent="0.2">
      <c r="A1320" s="13"/>
      <c r="B1320" s="248" t="s">
        <v>20</v>
      </c>
      <c r="C1320" s="249"/>
      <c r="D1320" s="249"/>
      <c r="E1320" s="250"/>
      <c r="F1320" s="31"/>
      <c r="G1320" s="31"/>
      <c r="H1320" s="32"/>
      <c r="I1320" s="32">
        <f>SUM(I1313:I1319)</f>
        <v>147.36000000000001</v>
      </c>
      <c r="J1320" s="13"/>
      <c r="K1320" s="139" t="s">
        <v>20</v>
      </c>
      <c r="L1320" s="140"/>
      <c r="M1320" s="140"/>
      <c r="N1320" s="141"/>
      <c r="O1320" s="31"/>
      <c r="P1320" s="31"/>
      <c r="Q1320" s="32"/>
      <c r="R1320" s="32">
        <f>SUM(R1313:R1319)</f>
        <v>147.36000000000001</v>
      </c>
    </row>
    <row r="1321" spans="1:18" x14ac:dyDescent="0.2">
      <c r="A1321" s="12"/>
      <c r="B1321" s="251" t="s">
        <v>21</v>
      </c>
      <c r="C1321" s="252"/>
      <c r="D1321" s="252"/>
      <c r="E1321" s="253"/>
      <c r="F1321" s="244" t="s">
        <v>22</v>
      </c>
      <c r="G1321" s="244" t="s">
        <v>13</v>
      </c>
      <c r="H1321" s="244" t="s">
        <v>14</v>
      </c>
      <c r="I1321" s="246" t="s">
        <v>15</v>
      </c>
      <c r="J1321" s="12"/>
      <c r="K1321" s="251" t="s">
        <v>21</v>
      </c>
      <c r="L1321" s="252"/>
      <c r="M1321" s="252"/>
      <c r="N1321" s="253"/>
      <c r="O1321" s="244" t="s">
        <v>22</v>
      </c>
      <c r="P1321" s="244" t="s">
        <v>13</v>
      </c>
      <c r="Q1321" s="244" t="s">
        <v>14</v>
      </c>
      <c r="R1321" s="246" t="s">
        <v>15</v>
      </c>
    </row>
    <row r="1322" spans="1:18" x14ac:dyDescent="0.2">
      <c r="A1322" s="13"/>
      <c r="B1322" s="254"/>
      <c r="C1322" s="255"/>
      <c r="D1322" s="255"/>
      <c r="E1322" s="256"/>
      <c r="F1322" s="245"/>
      <c r="G1322" s="245"/>
      <c r="H1322" s="245"/>
      <c r="I1322" s="247"/>
      <c r="J1322" s="13"/>
      <c r="K1322" s="254"/>
      <c r="L1322" s="255"/>
      <c r="M1322" s="255"/>
      <c r="N1322" s="256"/>
      <c r="O1322" s="245"/>
      <c r="P1322" s="245"/>
      <c r="Q1322" s="245"/>
      <c r="R1322" s="247"/>
    </row>
    <row r="1323" spans="1:18" x14ac:dyDescent="0.2">
      <c r="A1323" s="13" t="s">
        <v>23</v>
      </c>
      <c r="B1323" s="33" t="s">
        <v>24</v>
      </c>
      <c r="C1323" s="15"/>
      <c r="D1323" s="15"/>
      <c r="E1323" s="16"/>
      <c r="F1323" s="34"/>
      <c r="G1323" s="34"/>
      <c r="H1323" s="35"/>
      <c r="I1323" s="35"/>
      <c r="J1323" s="13" t="s">
        <v>23</v>
      </c>
      <c r="K1323" s="33" t="s">
        <v>24</v>
      </c>
      <c r="L1323" s="15"/>
      <c r="M1323" s="15"/>
      <c r="N1323" s="16"/>
      <c r="O1323" s="34"/>
      <c r="P1323" s="34"/>
      <c r="Q1323" s="35"/>
      <c r="R1323" s="35"/>
    </row>
    <row r="1324" spans="1:18" x14ac:dyDescent="0.2">
      <c r="A1324" s="13"/>
      <c r="B1324" s="18"/>
      <c r="C1324" s="19"/>
      <c r="D1324" s="19"/>
      <c r="E1324" s="20"/>
      <c r="F1324" s="22"/>
      <c r="G1324" s="22"/>
      <c r="H1324" s="23"/>
      <c r="I1324" s="23"/>
      <c r="J1324" s="13"/>
      <c r="K1324" s="18"/>
      <c r="L1324" s="19"/>
      <c r="M1324" s="19"/>
      <c r="N1324" s="20"/>
      <c r="O1324" s="22"/>
      <c r="P1324" s="22"/>
      <c r="Q1324" s="23"/>
      <c r="R1324" s="23"/>
    </row>
    <row r="1325" spans="1:18" x14ac:dyDescent="0.2">
      <c r="A1325" s="13"/>
      <c r="B1325" s="18" t="s">
        <v>97</v>
      </c>
      <c r="C1325" s="19"/>
      <c r="D1325" s="19"/>
      <c r="E1325" s="20"/>
      <c r="F1325" s="22">
        <v>1</v>
      </c>
      <c r="G1325" s="23">
        <v>0.5</v>
      </c>
      <c r="H1325" s="37">
        <v>1998.1</v>
      </c>
      <c r="I1325" s="37">
        <f>G1325*H1325*F1325</f>
        <v>999.05</v>
      </c>
      <c r="J1325" s="13"/>
      <c r="K1325" s="18" t="s">
        <v>1172</v>
      </c>
      <c r="L1325" s="19"/>
      <c r="M1325" s="19"/>
      <c r="N1325" s="20"/>
      <c r="O1325" s="22">
        <v>1</v>
      </c>
      <c r="P1325" s="23">
        <v>1</v>
      </c>
      <c r="Q1325" s="37">
        <v>2173</v>
      </c>
      <c r="R1325" s="37">
        <f>P1325*Q1325*O1325</f>
        <v>2173</v>
      </c>
    </row>
    <row r="1326" spans="1:18" x14ac:dyDescent="0.2">
      <c r="A1326" s="13"/>
      <c r="B1326" s="18" t="s">
        <v>99</v>
      </c>
      <c r="C1326" s="19"/>
      <c r="D1326" s="19"/>
      <c r="E1326" s="20"/>
      <c r="F1326" s="22">
        <v>1</v>
      </c>
      <c r="G1326" s="23">
        <v>0.5</v>
      </c>
      <c r="H1326" s="37">
        <v>1537</v>
      </c>
      <c r="I1326" s="37">
        <f>G1326*H1326*F1326</f>
        <v>768.5</v>
      </c>
      <c r="J1326" s="13"/>
      <c r="K1326" s="18" t="s">
        <v>1173</v>
      </c>
      <c r="L1326" s="19"/>
      <c r="M1326" s="19"/>
      <c r="N1326" s="20"/>
      <c r="O1326" s="22">
        <v>1</v>
      </c>
      <c r="P1326" s="23">
        <v>1</v>
      </c>
      <c r="Q1326" s="37">
        <v>1846</v>
      </c>
      <c r="R1326" s="37">
        <f>P1326*Q1326*O1326</f>
        <v>1846</v>
      </c>
    </row>
    <row r="1327" spans="1:18" x14ac:dyDescent="0.2">
      <c r="A1327" s="13"/>
      <c r="B1327" s="18" t="s">
        <v>1147</v>
      </c>
      <c r="C1327" s="66"/>
      <c r="D1327" s="19"/>
      <c r="E1327" s="20"/>
      <c r="F1327" s="22">
        <v>1</v>
      </c>
      <c r="G1327" s="23">
        <v>0.5</v>
      </c>
      <c r="H1327" s="37">
        <v>1420</v>
      </c>
      <c r="I1327" s="37">
        <f>G1327*H1327*F1327</f>
        <v>710</v>
      </c>
      <c r="J1327" s="13"/>
      <c r="K1327" s="18" t="s">
        <v>1174</v>
      </c>
      <c r="L1327" s="19"/>
      <c r="M1327" s="19"/>
      <c r="N1327" s="20"/>
      <c r="O1327" s="22">
        <v>1</v>
      </c>
      <c r="P1327" s="23">
        <v>0.25</v>
      </c>
      <c r="Q1327" s="37">
        <v>2450</v>
      </c>
      <c r="R1327" s="37">
        <f>P1327*Q1327*O1327</f>
        <v>612.5</v>
      </c>
    </row>
    <row r="1328" spans="1:18" x14ac:dyDescent="0.2">
      <c r="A1328" s="13"/>
      <c r="B1328" s="18"/>
      <c r="F1328" s="22"/>
      <c r="G1328" s="36"/>
      <c r="H1328" s="37"/>
      <c r="I1328" s="37"/>
      <c r="J1328" s="13"/>
      <c r="O1328" s="21"/>
      <c r="P1328" s="21"/>
      <c r="Q1328" s="21"/>
      <c r="R1328" s="37"/>
    </row>
    <row r="1329" spans="1:18" x14ac:dyDescent="0.2">
      <c r="A1329" s="13"/>
      <c r="B1329" s="18" t="s">
        <v>101</v>
      </c>
      <c r="C1329" s="19"/>
      <c r="D1329" s="19"/>
      <c r="E1329" s="20"/>
      <c r="F1329" s="22"/>
      <c r="G1329" s="36"/>
      <c r="H1329" s="37"/>
      <c r="I1329" s="37"/>
      <c r="J1329" s="13"/>
      <c r="K1329" s="18"/>
      <c r="L1329" s="19"/>
      <c r="M1329" s="19"/>
      <c r="N1329" s="20"/>
      <c r="O1329" s="22"/>
      <c r="P1329" s="36"/>
      <c r="Q1329" s="37"/>
      <c r="R1329" s="37"/>
    </row>
    <row r="1330" spans="1:18" x14ac:dyDescent="0.2">
      <c r="A1330" s="13"/>
      <c r="C1330" s="19"/>
      <c r="D1330" s="19"/>
      <c r="E1330" s="20"/>
      <c r="F1330" s="22"/>
      <c r="G1330" s="36"/>
      <c r="H1330" s="38"/>
      <c r="I1330" s="38"/>
      <c r="J1330" s="13"/>
      <c r="K1330" s="18"/>
      <c r="L1330" s="19"/>
      <c r="M1330" s="19"/>
      <c r="N1330" s="20"/>
      <c r="O1330" s="22"/>
      <c r="P1330" s="36"/>
      <c r="Q1330" s="38"/>
      <c r="R1330" s="38"/>
    </row>
    <row r="1331" spans="1:18" x14ac:dyDescent="0.2">
      <c r="A1331" s="13"/>
      <c r="B1331" s="18"/>
      <c r="C1331" s="19"/>
      <c r="D1331" s="19"/>
      <c r="E1331" s="20"/>
      <c r="F1331" s="22"/>
      <c r="G1331" s="36"/>
      <c r="H1331" s="38"/>
      <c r="I1331" s="38"/>
      <c r="J1331" s="13"/>
      <c r="K1331" s="18"/>
      <c r="L1331" s="19"/>
      <c r="M1331" s="19"/>
      <c r="N1331" s="20"/>
      <c r="O1331" s="22"/>
      <c r="P1331" s="36"/>
      <c r="Q1331" s="38"/>
      <c r="R1331" s="38"/>
    </row>
    <row r="1332" spans="1:18" x14ac:dyDescent="0.2">
      <c r="A1332" s="13"/>
      <c r="B1332" s="18"/>
      <c r="C1332" s="19"/>
      <c r="D1332" s="19"/>
      <c r="E1332" s="20"/>
      <c r="F1332" s="22"/>
      <c r="G1332" s="36"/>
      <c r="H1332" s="38"/>
      <c r="I1332" s="38"/>
      <c r="J1332" s="13"/>
      <c r="K1332" s="18"/>
      <c r="L1332" s="19"/>
      <c r="M1332" s="19"/>
      <c r="N1332" s="20"/>
      <c r="O1332" s="22"/>
      <c r="P1332" s="36"/>
      <c r="Q1332" s="38"/>
      <c r="R1332" s="38"/>
    </row>
    <row r="1333" spans="1:18" x14ac:dyDescent="0.2">
      <c r="A1333" s="13"/>
      <c r="B1333" s="18"/>
      <c r="C1333" s="19"/>
      <c r="D1333" s="19"/>
      <c r="E1333" s="20"/>
      <c r="F1333" s="22"/>
      <c r="G1333" s="36"/>
      <c r="H1333" s="38"/>
      <c r="I1333" s="38"/>
      <c r="J1333" s="13"/>
      <c r="K1333" s="18"/>
      <c r="L1333" s="19"/>
      <c r="M1333" s="19"/>
      <c r="N1333" s="20"/>
      <c r="O1333" s="22"/>
      <c r="P1333" s="36"/>
      <c r="Q1333" s="38"/>
      <c r="R1333" s="38"/>
    </row>
    <row r="1334" spans="1:18" x14ac:dyDescent="0.2">
      <c r="A1334" s="13"/>
      <c r="B1334" s="18"/>
      <c r="C1334" s="19"/>
      <c r="D1334" s="19"/>
      <c r="E1334" s="20"/>
      <c r="F1334" s="22"/>
      <c r="G1334" s="36"/>
      <c r="H1334" s="37"/>
      <c r="I1334" s="37"/>
      <c r="J1334" s="13"/>
      <c r="K1334" s="18"/>
      <c r="L1334" s="19"/>
      <c r="M1334" s="19"/>
      <c r="N1334" s="20"/>
      <c r="O1334" s="22"/>
      <c r="P1334" s="36"/>
      <c r="Q1334" s="37"/>
      <c r="R1334" s="37"/>
    </row>
    <row r="1335" spans="1:18" x14ac:dyDescent="0.2">
      <c r="A1335" s="13"/>
      <c r="B1335" s="18"/>
      <c r="C1335" s="19"/>
      <c r="D1335" s="19"/>
      <c r="E1335" s="20"/>
      <c r="F1335" s="22"/>
      <c r="G1335" s="36"/>
      <c r="H1335" s="37"/>
      <c r="I1335" s="37"/>
      <c r="J1335" s="13"/>
      <c r="K1335" s="18"/>
      <c r="L1335" s="19"/>
      <c r="M1335" s="19"/>
      <c r="N1335" s="20"/>
      <c r="O1335" s="22"/>
      <c r="P1335" s="36"/>
      <c r="Q1335" s="37"/>
      <c r="R1335" s="37"/>
    </row>
    <row r="1336" spans="1:18" x14ac:dyDescent="0.2">
      <c r="A1336" s="13"/>
      <c r="B1336" s="18"/>
      <c r="C1336" s="19"/>
      <c r="D1336" s="19"/>
      <c r="E1336" s="20"/>
      <c r="F1336" s="22"/>
      <c r="G1336" s="36"/>
      <c r="H1336" s="37"/>
      <c r="I1336" s="37"/>
      <c r="J1336" s="13"/>
      <c r="K1336" s="18"/>
      <c r="L1336" s="19"/>
      <c r="M1336" s="19"/>
      <c r="N1336" s="20"/>
      <c r="O1336" s="22"/>
      <c r="P1336" s="36"/>
      <c r="Q1336" s="37"/>
      <c r="R1336" s="37"/>
    </row>
    <row r="1337" spans="1:18" x14ac:dyDescent="0.2">
      <c r="A1337" s="13"/>
      <c r="B1337" s="18"/>
      <c r="C1337" s="19"/>
      <c r="D1337" s="19"/>
      <c r="E1337" s="20"/>
      <c r="F1337" s="22"/>
      <c r="G1337" s="22"/>
      <c r="H1337" s="23"/>
      <c r="I1337" s="23"/>
      <c r="J1337" s="13"/>
      <c r="K1337" s="18"/>
      <c r="L1337" s="19"/>
      <c r="M1337" s="19"/>
      <c r="N1337" s="20"/>
      <c r="O1337" s="22"/>
      <c r="P1337" s="22"/>
      <c r="Q1337" s="23"/>
      <c r="R1337" s="23"/>
    </row>
    <row r="1338" spans="1:18" x14ac:dyDescent="0.2">
      <c r="A1338" s="13"/>
      <c r="B1338" s="248" t="s">
        <v>30</v>
      </c>
      <c r="C1338" s="249"/>
      <c r="D1338" s="249"/>
      <c r="E1338" s="250"/>
      <c r="F1338" s="22"/>
      <c r="G1338" s="22"/>
      <c r="H1338" s="23"/>
      <c r="I1338" s="23">
        <f>SUM(I1325:I1337)</f>
        <v>2477.5500000000002</v>
      </c>
      <c r="J1338" s="13"/>
      <c r="K1338" s="139" t="s">
        <v>30</v>
      </c>
      <c r="L1338" s="140"/>
      <c r="M1338" s="140"/>
      <c r="N1338" s="141"/>
      <c r="O1338" s="22"/>
      <c r="P1338" s="22"/>
      <c r="Q1338" s="23"/>
      <c r="R1338" s="23">
        <f>SUM(R1325:R1337)</f>
        <v>4631.5</v>
      </c>
    </row>
    <row r="1339" spans="1:18" x14ac:dyDescent="0.2">
      <c r="A1339" s="12" t="s">
        <v>31</v>
      </c>
      <c r="B1339" s="260" t="s">
        <v>32</v>
      </c>
      <c r="C1339" s="261"/>
      <c r="D1339" s="261"/>
      <c r="E1339" s="261"/>
      <c r="F1339" s="39"/>
      <c r="G1339" s="39"/>
      <c r="H1339" s="40"/>
      <c r="I1339" s="41">
        <f>I1320+I1338</f>
        <v>2624.9100000000003</v>
      </c>
      <c r="J1339" s="12" t="s">
        <v>31</v>
      </c>
      <c r="K1339" s="142" t="s">
        <v>32</v>
      </c>
      <c r="L1339" s="143"/>
      <c r="M1339" s="143"/>
      <c r="N1339" s="143"/>
      <c r="O1339" s="143"/>
      <c r="P1339" s="143"/>
      <c r="Q1339" s="40"/>
      <c r="R1339" s="41">
        <f>SUM(R1338+R1320)</f>
        <v>4778.8599999999997</v>
      </c>
    </row>
    <row r="1340" spans="1:18" x14ac:dyDescent="0.2">
      <c r="A1340" s="13" t="s">
        <v>33</v>
      </c>
      <c r="B1340" s="297">
        <f>E1307</f>
        <v>50</v>
      </c>
      <c r="C1340" s="298"/>
      <c r="D1340" s="298"/>
      <c r="E1340" s="298"/>
      <c r="F1340" s="298"/>
      <c r="G1340" s="298"/>
      <c r="H1340" s="40"/>
      <c r="I1340" s="41"/>
      <c r="J1340" s="13" t="s">
        <v>33</v>
      </c>
      <c r="K1340" s="293">
        <f>N1307</f>
        <v>50</v>
      </c>
      <c r="L1340" s="294"/>
      <c r="M1340" s="294"/>
      <c r="N1340" s="294"/>
      <c r="O1340" s="294"/>
      <c r="P1340" s="294"/>
      <c r="Q1340" s="40"/>
      <c r="R1340" s="41"/>
    </row>
    <row r="1341" spans="1:18" x14ac:dyDescent="0.2">
      <c r="A1341" s="13" t="s">
        <v>34</v>
      </c>
      <c r="B1341" s="42" t="s">
        <v>35</v>
      </c>
      <c r="C1341" s="43"/>
      <c r="D1341" s="43"/>
      <c r="E1341" s="39"/>
      <c r="F1341" s="44"/>
      <c r="G1341" s="44"/>
      <c r="H1341" s="40"/>
      <c r="I1341" s="41">
        <f>I1339/E1307</f>
        <v>52.498200000000004</v>
      </c>
      <c r="J1341" s="13" t="s">
        <v>34</v>
      </c>
      <c r="K1341" s="147" t="s">
        <v>35</v>
      </c>
      <c r="L1341" s="43"/>
      <c r="M1341" s="43"/>
      <c r="N1341" s="143"/>
      <c r="O1341" s="148"/>
      <c r="P1341" s="148"/>
      <c r="Q1341" s="40"/>
      <c r="R1341" s="41">
        <f>R1339/N1307</f>
        <v>95.577199999999991</v>
      </c>
    </row>
    <row r="1342" spans="1:18" x14ac:dyDescent="0.2">
      <c r="A1342" s="12"/>
      <c r="B1342" s="251" t="s">
        <v>36</v>
      </c>
      <c r="C1342" s="252"/>
      <c r="D1342" s="252"/>
      <c r="E1342" s="253"/>
      <c r="F1342" s="244" t="s">
        <v>37</v>
      </c>
      <c r="G1342" s="244" t="s">
        <v>38</v>
      </c>
      <c r="H1342" s="244" t="s">
        <v>39</v>
      </c>
      <c r="I1342" s="246" t="s">
        <v>15</v>
      </c>
      <c r="J1342" s="12"/>
      <c r="K1342" s="251" t="s">
        <v>36</v>
      </c>
      <c r="L1342" s="252"/>
      <c r="M1342" s="252"/>
      <c r="N1342" s="253"/>
      <c r="O1342" s="244" t="s">
        <v>37</v>
      </c>
      <c r="P1342" s="244" t="s">
        <v>38</v>
      </c>
      <c r="Q1342" s="244" t="s">
        <v>39</v>
      </c>
      <c r="R1342" s="246" t="s">
        <v>15</v>
      </c>
    </row>
    <row r="1343" spans="1:18" x14ac:dyDescent="0.2">
      <c r="A1343" s="13"/>
      <c r="B1343" s="254"/>
      <c r="C1343" s="255"/>
      <c r="D1343" s="255"/>
      <c r="E1343" s="256"/>
      <c r="F1343" s="245"/>
      <c r="G1343" s="245"/>
      <c r="H1343" s="245"/>
      <c r="I1343" s="247"/>
      <c r="J1343" s="13"/>
      <c r="K1343" s="254"/>
      <c r="L1343" s="255"/>
      <c r="M1343" s="255"/>
      <c r="N1343" s="256"/>
      <c r="O1343" s="245"/>
      <c r="P1343" s="245"/>
      <c r="Q1343" s="245"/>
      <c r="R1343" s="247"/>
    </row>
    <row r="1344" spans="1:18" x14ac:dyDescent="0.2">
      <c r="A1344" s="13" t="s">
        <v>40</v>
      </c>
      <c r="B1344" s="18" t="s">
        <v>41</v>
      </c>
      <c r="C1344" s="19"/>
      <c r="D1344" s="19"/>
      <c r="E1344" s="20"/>
      <c r="F1344" s="22"/>
      <c r="G1344" s="22"/>
      <c r="H1344" s="23"/>
      <c r="I1344" s="23"/>
      <c r="J1344" s="13" t="s">
        <v>40</v>
      </c>
      <c r="K1344" s="18" t="s">
        <v>41</v>
      </c>
      <c r="L1344" s="19"/>
      <c r="M1344" s="19"/>
      <c r="N1344" s="20"/>
      <c r="O1344" s="22"/>
      <c r="P1344" s="22"/>
      <c r="Q1344" s="23"/>
      <c r="R1344" s="23"/>
    </row>
    <row r="1345" spans="1:18" x14ac:dyDescent="0.2">
      <c r="A1345" s="13"/>
      <c r="B1345" s="18"/>
      <c r="C1345" s="19"/>
      <c r="D1345" s="19"/>
      <c r="E1345" s="20"/>
      <c r="F1345" s="22"/>
      <c r="G1345" s="22"/>
      <c r="H1345" s="23"/>
      <c r="I1345" s="23"/>
      <c r="J1345" s="13"/>
      <c r="K1345" s="18"/>
      <c r="L1345" s="19"/>
      <c r="M1345" s="19"/>
      <c r="N1345" s="20"/>
      <c r="O1345" s="22"/>
      <c r="P1345" s="22"/>
      <c r="Q1345" s="23"/>
      <c r="R1345" s="23"/>
    </row>
    <row r="1346" spans="1:18" x14ac:dyDescent="0.2">
      <c r="A1346" s="13"/>
      <c r="B1346" s="18"/>
      <c r="C1346" s="19"/>
      <c r="D1346" s="19"/>
      <c r="E1346" s="20"/>
      <c r="F1346" s="22"/>
      <c r="G1346" s="22"/>
      <c r="H1346" s="23"/>
      <c r="I1346" s="23"/>
      <c r="J1346" s="13"/>
      <c r="K1346" s="18" t="s">
        <v>200</v>
      </c>
      <c r="L1346" s="19"/>
      <c r="M1346" s="19"/>
      <c r="N1346" s="20"/>
      <c r="O1346" s="22" t="s">
        <v>9</v>
      </c>
      <c r="P1346" s="62">
        <v>1.25</v>
      </c>
      <c r="Q1346" s="107">
        <v>420</v>
      </c>
      <c r="R1346" s="23">
        <f>P1346*Q1346</f>
        <v>525</v>
      </c>
    </row>
    <row r="1347" spans="1:18" x14ac:dyDescent="0.2">
      <c r="A1347" s="13"/>
      <c r="B1347" s="18"/>
      <c r="C1347" s="19"/>
      <c r="D1347" s="19"/>
      <c r="E1347" s="20"/>
      <c r="F1347" s="22"/>
      <c r="G1347" s="22"/>
      <c r="H1347" s="23"/>
      <c r="I1347" s="23"/>
      <c r="J1347" s="13"/>
      <c r="K1347" s="18"/>
      <c r="L1347" s="19"/>
      <c r="M1347" s="19"/>
      <c r="N1347" s="20"/>
      <c r="O1347" s="22"/>
      <c r="P1347" s="22"/>
      <c r="Q1347" s="23"/>
      <c r="R1347" s="23"/>
    </row>
    <row r="1348" spans="1:18" x14ac:dyDescent="0.2">
      <c r="A1348" s="13"/>
      <c r="B1348" s="18"/>
      <c r="C1348" s="19"/>
      <c r="D1348" s="19"/>
      <c r="E1348" s="20"/>
      <c r="F1348" s="22"/>
      <c r="G1348" s="22"/>
      <c r="H1348" s="38"/>
      <c r="I1348" s="38"/>
      <c r="J1348" s="13"/>
      <c r="K1348" s="18"/>
      <c r="L1348" s="19"/>
      <c r="M1348" s="19"/>
      <c r="N1348" s="20"/>
      <c r="O1348" s="22"/>
      <c r="P1348" s="22"/>
      <c r="Q1348" s="38"/>
      <c r="R1348" s="38"/>
    </row>
    <row r="1349" spans="1:18" x14ac:dyDescent="0.2">
      <c r="A1349" s="13"/>
      <c r="B1349" s="18"/>
      <c r="C1349" s="19"/>
      <c r="D1349" s="19"/>
      <c r="E1349" s="20"/>
      <c r="F1349" s="22"/>
      <c r="G1349" s="22"/>
      <c r="H1349" s="38"/>
      <c r="I1349" s="38"/>
      <c r="J1349" s="13"/>
      <c r="K1349" s="18"/>
      <c r="L1349" s="19"/>
      <c r="M1349" s="19"/>
      <c r="N1349" s="20"/>
      <c r="O1349" s="22"/>
      <c r="P1349" s="22"/>
      <c r="Q1349" s="38"/>
      <c r="R1349" s="38"/>
    </row>
    <row r="1350" spans="1:18" x14ac:dyDescent="0.2">
      <c r="A1350" s="13"/>
      <c r="B1350" s="18"/>
      <c r="C1350" s="19"/>
      <c r="D1350" s="19"/>
      <c r="E1350" s="20"/>
      <c r="F1350" s="22"/>
      <c r="G1350" s="22"/>
      <c r="H1350" s="45"/>
      <c r="I1350" s="45"/>
      <c r="J1350" s="13"/>
      <c r="K1350" s="18"/>
      <c r="L1350" s="19"/>
      <c r="M1350" s="19"/>
      <c r="N1350" s="20"/>
      <c r="O1350" s="22"/>
      <c r="P1350" s="22"/>
      <c r="Q1350" s="45"/>
      <c r="R1350" s="45"/>
    </row>
    <row r="1351" spans="1:18" x14ac:dyDescent="0.2">
      <c r="A1351" s="13"/>
      <c r="B1351" s="18"/>
      <c r="C1351" s="19"/>
      <c r="D1351" s="19"/>
      <c r="E1351" s="20"/>
      <c r="F1351" s="22"/>
      <c r="G1351" s="22"/>
      <c r="H1351" s="45"/>
      <c r="I1351" s="45"/>
      <c r="J1351" s="13"/>
      <c r="K1351" s="18"/>
      <c r="L1351" s="19"/>
      <c r="M1351" s="19"/>
      <c r="N1351" s="20"/>
      <c r="O1351" s="22"/>
      <c r="P1351" s="22"/>
      <c r="Q1351" s="45"/>
      <c r="R1351" s="45"/>
    </row>
    <row r="1352" spans="1:18" x14ac:dyDescent="0.2">
      <c r="A1352" s="13"/>
      <c r="B1352" s="18"/>
      <c r="C1352" s="19"/>
      <c r="D1352" s="19"/>
      <c r="E1352" s="20"/>
      <c r="F1352" s="22"/>
      <c r="G1352" s="22"/>
      <c r="H1352" s="23"/>
      <c r="I1352" s="23"/>
      <c r="J1352" s="13"/>
      <c r="K1352" s="18"/>
      <c r="L1352" s="19"/>
      <c r="M1352" s="19"/>
      <c r="N1352" s="20"/>
      <c r="O1352" s="22"/>
      <c r="P1352" s="22"/>
      <c r="Q1352" s="23"/>
      <c r="R1352" s="23"/>
    </row>
    <row r="1353" spans="1:18" x14ac:dyDescent="0.2">
      <c r="A1353" s="13"/>
      <c r="B1353" s="18"/>
      <c r="C1353" s="19"/>
      <c r="D1353" s="19"/>
      <c r="E1353" s="20"/>
      <c r="F1353" s="22"/>
      <c r="G1353" s="22"/>
      <c r="H1353" s="23"/>
      <c r="I1353" s="23"/>
      <c r="J1353" s="13"/>
      <c r="K1353" s="18"/>
      <c r="L1353" s="19"/>
      <c r="M1353" s="19"/>
      <c r="N1353" s="20"/>
      <c r="O1353" s="22"/>
      <c r="P1353" s="22"/>
      <c r="Q1353" s="23"/>
      <c r="R1353" s="23"/>
    </row>
    <row r="1354" spans="1:18" x14ac:dyDescent="0.2">
      <c r="A1354" s="13"/>
      <c r="B1354" s="18"/>
      <c r="C1354" s="19"/>
      <c r="D1354" s="19"/>
      <c r="E1354" s="20"/>
      <c r="F1354" s="22"/>
      <c r="G1354" s="22"/>
      <c r="H1354" s="23"/>
      <c r="I1354" s="23"/>
      <c r="J1354" s="13"/>
      <c r="K1354" s="18"/>
      <c r="L1354" s="19"/>
      <c r="M1354" s="19"/>
      <c r="N1354" s="20"/>
      <c r="O1354" s="22"/>
      <c r="P1354" s="22"/>
      <c r="Q1354" s="23"/>
      <c r="R1354" s="23"/>
    </row>
    <row r="1355" spans="1:18" x14ac:dyDescent="0.2">
      <c r="A1355" s="13"/>
      <c r="B1355" s="18"/>
      <c r="C1355" s="19"/>
      <c r="D1355" s="19"/>
      <c r="E1355" s="20"/>
      <c r="F1355" s="22"/>
      <c r="G1355" s="22"/>
      <c r="H1355" s="23"/>
      <c r="I1355" s="23"/>
      <c r="J1355" s="13"/>
      <c r="K1355" s="18"/>
      <c r="L1355" s="19"/>
      <c r="M1355" s="19"/>
      <c r="N1355" s="20"/>
      <c r="O1355" s="22"/>
      <c r="P1355" s="22"/>
      <c r="Q1355" s="23"/>
      <c r="R1355" s="23"/>
    </row>
    <row r="1356" spans="1:18" x14ac:dyDescent="0.2">
      <c r="A1356" s="13"/>
      <c r="B1356" s="18"/>
      <c r="C1356" s="19"/>
      <c r="D1356" s="19"/>
      <c r="E1356" s="20"/>
      <c r="F1356" s="22"/>
      <c r="G1356" s="22"/>
      <c r="H1356" s="23"/>
      <c r="I1356" s="23"/>
      <c r="J1356" s="13"/>
      <c r="K1356" s="18"/>
      <c r="L1356" s="19"/>
      <c r="M1356" s="19"/>
      <c r="N1356" s="20"/>
      <c r="O1356" s="22"/>
      <c r="P1356" s="22"/>
      <c r="Q1356" s="23"/>
      <c r="R1356" s="23"/>
    </row>
    <row r="1357" spans="1:18" x14ac:dyDescent="0.2">
      <c r="A1357" s="13"/>
      <c r="B1357" s="18"/>
      <c r="C1357" s="19"/>
      <c r="D1357" s="19"/>
      <c r="E1357" s="20"/>
      <c r="F1357" s="22"/>
      <c r="G1357" s="22"/>
      <c r="H1357" s="23"/>
      <c r="I1357" s="23"/>
      <c r="J1357" s="13"/>
      <c r="K1357" s="18"/>
      <c r="L1357" s="19"/>
      <c r="M1357" s="19"/>
      <c r="N1357" s="20"/>
      <c r="O1357" s="22"/>
      <c r="P1357" s="22"/>
      <c r="Q1357" s="23"/>
      <c r="R1357" s="23"/>
    </row>
    <row r="1358" spans="1:18" x14ac:dyDescent="0.2">
      <c r="A1358" s="13"/>
      <c r="B1358" s="18"/>
      <c r="C1358" s="19"/>
      <c r="D1358" s="19"/>
      <c r="E1358" s="20"/>
      <c r="F1358" s="22"/>
      <c r="G1358" s="36"/>
      <c r="H1358" s="37"/>
      <c r="I1358" s="37"/>
      <c r="J1358" s="13"/>
      <c r="K1358" s="18"/>
      <c r="L1358" s="19"/>
      <c r="M1358" s="19"/>
      <c r="N1358" s="20"/>
      <c r="O1358" s="22"/>
      <c r="P1358" s="36"/>
      <c r="Q1358" s="37"/>
      <c r="R1358" s="37"/>
    </row>
    <row r="1359" spans="1:18" x14ac:dyDescent="0.2">
      <c r="A1359" s="13"/>
      <c r="B1359" s="248" t="s">
        <v>42</v>
      </c>
      <c r="C1359" s="249"/>
      <c r="D1359" s="249"/>
      <c r="E1359" s="250"/>
      <c r="F1359" s="46"/>
      <c r="G1359" s="46"/>
      <c r="H1359" s="47"/>
      <c r="I1359" s="47">
        <f>SUM(I1345:I1358)</f>
        <v>0</v>
      </c>
      <c r="J1359" s="13"/>
      <c r="K1359" s="139" t="s">
        <v>42</v>
      </c>
      <c r="L1359" s="140"/>
      <c r="M1359" s="140"/>
      <c r="N1359" s="141"/>
      <c r="O1359" s="46"/>
      <c r="P1359" s="46"/>
      <c r="Q1359" s="47"/>
      <c r="R1359" s="47">
        <f>SUM(R1346:R1358)</f>
        <v>525</v>
      </c>
    </row>
    <row r="1360" spans="1:18" x14ac:dyDescent="0.2">
      <c r="A1360" s="12" t="s">
        <v>43</v>
      </c>
      <c r="B1360" s="48" t="s">
        <v>44</v>
      </c>
      <c r="C1360" s="43"/>
      <c r="D1360" s="43"/>
      <c r="E1360" s="39"/>
      <c r="F1360" s="49"/>
      <c r="G1360" s="49"/>
      <c r="H1360" s="50"/>
      <c r="I1360" s="51">
        <f>SUM(I1341+I1359)</f>
        <v>52.498200000000004</v>
      </c>
      <c r="J1360" s="12" t="s">
        <v>43</v>
      </c>
      <c r="K1360" s="48" t="s">
        <v>44</v>
      </c>
      <c r="L1360" s="43"/>
      <c r="M1360" s="43"/>
      <c r="N1360" s="143"/>
      <c r="O1360" s="49"/>
      <c r="P1360" s="49"/>
      <c r="Q1360" s="50"/>
      <c r="R1360" s="51">
        <f>SUM(R1341+R1359)</f>
        <v>620.57719999999995</v>
      </c>
    </row>
    <row r="1361" spans="1:18" x14ac:dyDescent="0.2">
      <c r="A1361" s="13" t="s">
        <v>45</v>
      </c>
      <c r="B1361" s="48" t="s">
        <v>46</v>
      </c>
      <c r="C1361" s="43"/>
      <c r="D1361" s="43"/>
      <c r="E1361" s="39"/>
      <c r="F1361" s="49"/>
      <c r="G1361" s="52">
        <v>0.09</v>
      </c>
      <c r="H1361" s="53" t="s">
        <v>47</v>
      </c>
      <c r="I1361" s="51">
        <f>G1361*I1360</f>
        <v>4.7248380000000001</v>
      </c>
      <c r="J1361" s="13" t="s">
        <v>45</v>
      </c>
      <c r="K1361" s="48" t="s">
        <v>46</v>
      </c>
      <c r="L1361" s="43"/>
      <c r="M1361" s="43"/>
      <c r="N1361" s="143"/>
      <c r="O1361" s="49"/>
      <c r="P1361" s="52">
        <v>0.09</v>
      </c>
      <c r="Q1361" s="53" t="s">
        <v>47</v>
      </c>
      <c r="R1361" s="51">
        <f>P1361*R1360</f>
        <v>55.851947999999993</v>
      </c>
    </row>
    <row r="1362" spans="1:18" x14ac:dyDescent="0.2">
      <c r="A1362" s="13" t="s">
        <v>48</v>
      </c>
      <c r="B1362" s="48" t="s">
        <v>49</v>
      </c>
      <c r="C1362" s="43"/>
      <c r="D1362" s="43"/>
      <c r="E1362" s="39"/>
      <c r="F1362" s="49"/>
      <c r="G1362" s="52">
        <v>0.08</v>
      </c>
      <c r="H1362" s="53" t="s">
        <v>47</v>
      </c>
      <c r="I1362" s="51">
        <f>G1362*I1360</f>
        <v>4.1998560000000005</v>
      </c>
      <c r="J1362" s="13" t="s">
        <v>48</v>
      </c>
      <c r="K1362" s="48" t="s">
        <v>49</v>
      </c>
      <c r="L1362" s="43"/>
      <c r="M1362" s="43"/>
      <c r="N1362" s="143"/>
      <c r="O1362" s="49"/>
      <c r="P1362" s="52">
        <v>0.08</v>
      </c>
      <c r="Q1362" s="53" t="s">
        <v>47</v>
      </c>
      <c r="R1362" s="51">
        <f>P1362*R1360</f>
        <v>49.646175999999997</v>
      </c>
    </row>
    <row r="1363" spans="1:18" x14ac:dyDescent="0.2">
      <c r="A1363" s="13" t="s">
        <v>50</v>
      </c>
      <c r="B1363" s="48" t="s">
        <v>51</v>
      </c>
      <c r="C1363" s="43"/>
      <c r="D1363" s="43"/>
      <c r="E1363" s="39"/>
      <c r="F1363" s="49"/>
      <c r="G1363" s="52">
        <v>0.05</v>
      </c>
      <c r="H1363" s="53" t="s">
        <v>52</v>
      </c>
      <c r="I1363" s="51">
        <f>G1363*(I1360+I1361+I1362)</f>
        <v>3.0711447000000001</v>
      </c>
      <c r="J1363" s="13" t="s">
        <v>50</v>
      </c>
      <c r="K1363" s="48" t="s">
        <v>51</v>
      </c>
      <c r="L1363" s="43"/>
      <c r="M1363" s="43"/>
      <c r="N1363" s="143"/>
      <c r="O1363" s="49"/>
      <c r="P1363" s="52">
        <f>5/100</f>
        <v>0.05</v>
      </c>
      <c r="Q1363" s="53" t="s">
        <v>52</v>
      </c>
      <c r="R1363" s="51">
        <f>P1363*(R1360+R1361+R1362)</f>
        <v>36.303766199999998</v>
      </c>
    </row>
    <row r="1364" spans="1:18" x14ac:dyDescent="0.2">
      <c r="A1364" s="54" t="s">
        <v>53</v>
      </c>
      <c r="B1364" s="48" t="s">
        <v>54</v>
      </c>
      <c r="C1364" s="43"/>
      <c r="D1364" s="43"/>
      <c r="E1364" s="39"/>
      <c r="F1364" s="49"/>
      <c r="G1364" s="49"/>
      <c r="H1364" s="55" t="s">
        <v>55</v>
      </c>
      <c r="I1364" s="51">
        <f>SUM(I1360+I1361+I1362+I1363)</f>
        <v>64.494038700000004</v>
      </c>
      <c r="J1364" s="54" t="s">
        <v>53</v>
      </c>
      <c r="K1364" s="48" t="s">
        <v>54</v>
      </c>
      <c r="L1364" s="43"/>
      <c r="M1364" s="43"/>
      <c r="N1364" s="143"/>
      <c r="O1364" s="49"/>
      <c r="P1364" s="49"/>
      <c r="Q1364" s="55" t="s">
        <v>55</v>
      </c>
      <c r="R1364" s="51">
        <f>SUM(R1360+R1361+R1362+R1363)</f>
        <v>762.37909019999995</v>
      </c>
    </row>
    <row r="1365" spans="1:18" s="1" customFormat="1" x14ac:dyDescent="0.2">
      <c r="A1365" s="285" t="s">
        <v>0</v>
      </c>
      <c r="B1365" s="285"/>
      <c r="C1365" s="285"/>
      <c r="D1365" s="285"/>
      <c r="E1365" s="285"/>
      <c r="F1365" s="285"/>
      <c r="G1365" s="285"/>
      <c r="H1365" s="285"/>
      <c r="I1365" s="285"/>
      <c r="J1365" s="236" t="s">
        <v>0</v>
      </c>
      <c r="K1365" s="236"/>
      <c r="L1365" s="236"/>
      <c r="M1365" s="236"/>
      <c r="N1365" s="236"/>
      <c r="O1365" s="236"/>
      <c r="P1365" s="236"/>
      <c r="Q1365" s="236"/>
      <c r="R1365" s="236"/>
    </row>
    <row r="1367" spans="1:18" x14ac:dyDescent="0.2">
      <c r="A1367" s="2" t="s">
        <v>1</v>
      </c>
      <c r="C1367" s="4" t="s">
        <v>2</v>
      </c>
      <c r="D1367" s="5" t="s">
        <v>209</v>
      </c>
      <c r="E1367" s="237" t="s">
        <v>210</v>
      </c>
      <c r="F1367" s="237"/>
      <c r="G1367" s="237"/>
      <c r="H1367" s="237"/>
      <c r="J1367" s="144" t="s">
        <v>1</v>
      </c>
      <c r="L1367" s="4" t="s">
        <v>2</v>
      </c>
      <c r="M1367" s="5" t="s">
        <v>207</v>
      </c>
      <c r="N1367" s="144" t="s">
        <v>208</v>
      </c>
      <c r="O1367" s="144"/>
      <c r="P1367" s="144"/>
      <c r="Q1367" s="144"/>
    </row>
    <row r="1368" spans="1:18" x14ac:dyDescent="0.2">
      <c r="A1368" s="2" t="s">
        <v>7</v>
      </c>
      <c r="C1368" s="4" t="s">
        <v>2</v>
      </c>
      <c r="E1368" s="144" t="s">
        <v>1153</v>
      </c>
      <c r="F1368" s="8"/>
      <c r="G1368" s="8"/>
      <c r="H1368" s="8"/>
      <c r="J1368" s="144" t="s">
        <v>7</v>
      </c>
      <c r="L1368" s="4" t="s">
        <v>2</v>
      </c>
      <c r="N1368" s="144" t="s">
        <v>9</v>
      </c>
      <c r="O1368" s="8"/>
      <c r="P1368" s="8"/>
      <c r="Q1368" s="8"/>
    </row>
    <row r="1369" spans="1:18" x14ac:dyDescent="0.2">
      <c r="A1369" s="2" t="s">
        <v>10</v>
      </c>
      <c r="C1369" s="4" t="s">
        <v>2</v>
      </c>
      <c r="E1369" s="9">
        <v>30</v>
      </c>
      <c r="F1369" s="8"/>
      <c r="G1369" s="8"/>
      <c r="H1369" s="8"/>
      <c r="J1369" s="144" t="s">
        <v>10</v>
      </c>
      <c r="L1369" s="4" t="s">
        <v>2</v>
      </c>
      <c r="N1369" s="9">
        <v>1.25</v>
      </c>
      <c r="O1369" s="8"/>
      <c r="P1369" s="8"/>
      <c r="Q1369" s="8"/>
    </row>
    <row r="1370" spans="1:18" x14ac:dyDescent="0.2">
      <c r="B1370" s="8"/>
      <c r="F1370" s="11"/>
      <c r="G1370" s="8"/>
      <c r="H1370" s="8"/>
      <c r="I1370" s="8"/>
      <c r="K1370" s="8"/>
      <c r="O1370" s="11"/>
      <c r="P1370" s="8"/>
      <c r="Q1370" s="8"/>
      <c r="R1370" s="8"/>
    </row>
    <row r="1371" spans="1:18" x14ac:dyDescent="0.2">
      <c r="A1371" s="12"/>
      <c r="B1371" s="238" t="s">
        <v>11</v>
      </c>
      <c r="C1371" s="239"/>
      <c r="D1371" s="239"/>
      <c r="E1371" s="240"/>
      <c r="F1371" s="244" t="s">
        <v>12</v>
      </c>
      <c r="G1371" s="244" t="s">
        <v>13</v>
      </c>
      <c r="H1371" s="244" t="s">
        <v>14</v>
      </c>
      <c r="I1371" s="246" t="s">
        <v>15</v>
      </c>
      <c r="J1371" s="12"/>
      <c r="K1371" s="238" t="s">
        <v>11</v>
      </c>
      <c r="L1371" s="239"/>
      <c r="M1371" s="239"/>
      <c r="N1371" s="240"/>
      <c r="O1371" s="244" t="s">
        <v>12</v>
      </c>
      <c r="P1371" s="244" t="s">
        <v>13</v>
      </c>
      <c r="Q1371" s="244" t="s">
        <v>14</v>
      </c>
      <c r="R1371" s="246" t="s">
        <v>15</v>
      </c>
    </row>
    <row r="1372" spans="1:18" x14ac:dyDescent="0.2">
      <c r="A1372" s="13"/>
      <c r="B1372" s="241"/>
      <c r="C1372" s="242"/>
      <c r="D1372" s="242"/>
      <c r="E1372" s="243"/>
      <c r="F1372" s="245"/>
      <c r="G1372" s="245"/>
      <c r="H1372" s="245"/>
      <c r="I1372" s="247"/>
      <c r="J1372" s="13"/>
      <c r="K1372" s="241"/>
      <c r="L1372" s="242"/>
      <c r="M1372" s="242"/>
      <c r="N1372" s="243"/>
      <c r="O1372" s="245"/>
      <c r="P1372" s="245"/>
      <c r="Q1372" s="245"/>
      <c r="R1372" s="247"/>
    </row>
    <row r="1373" spans="1:18" x14ac:dyDescent="0.2">
      <c r="A1373" s="13" t="s">
        <v>16</v>
      </c>
      <c r="B1373" s="14" t="s">
        <v>17</v>
      </c>
      <c r="C1373" s="15"/>
      <c r="D1373" s="15"/>
      <c r="E1373" s="16"/>
      <c r="F1373" s="17"/>
      <c r="G1373" s="17"/>
      <c r="H1373" s="17"/>
      <c r="I1373" s="17"/>
      <c r="J1373" s="13" t="s">
        <v>16</v>
      </c>
      <c r="K1373" s="14" t="s">
        <v>17</v>
      </c>
      <c r="L1373" s="15"/>
      <c r="M1373" s="15"/>
      <c r="N1373" s="16"/>
      <c r="O1373" s="17"/>
      <c r="P1373" s="17"/>
      <c r="Q1373" s="17"/>
      <c r="R1373" s="17"/>
    </row>
    <row r="1374" spans="1:18" x14ac:dyDescent="0.2">
      <c r="A1374" s="13"/>
      <c r="B1374" s="18"/>
      <c r="C1374" s="19"/>
      <c r="D1374" s="19"/>
      <c r="E1374" s="20"/>
      <c r="F1374" s="21"/>
      <c r="G1374" s="22"/>
      <c r="H1374" s="21"/>
      <c r="I1374" s="21"/>
      <c r="J1374" s="13"/>
      <c r="K1374" s="18"/>
      <c r="L1374" s="19"/>
      <c r="M1374" s="19"/>
      <c r="N1374" s="20"/>
      <c r="O1374" s="21"/>
      <c r="P1374" s="22"/>
      <c r="Q1374" s="21"/>
      <c r="R1374" s="21"/>
    </row>
    <row r="1375" spans="1:18" x14ac:dyDescent="0.2">
      <c r="A1375" s="13"/>
      <c r="B1375" s="24" t="s">
        <v>18</v>
      </c>
      <c r="C1375" s="25"/>
      <c r="D1375" s="25"/>
      <c r="E1375" s="26"/>
      <c r="F1375" s="22">
        <v>1</v>
      </c>
      <c r="G1375" s="62">
        <v>1</v>
      </c>
      <c r="H1375" s="23">
        <v>69.42</v>
      </c>
      <c r="I1375" s="23">
        <f>G1375*H1375*F1375</f>
        <v>69.42</v>
      </c>
      <c r="J1375" s="13"/>
      <c r="K1375" s="24" t="s">
        <v>18</v>
      </c>
      <c r="L1375" s="25"/>
      <c r="M1375" s="25"/>
      <c r="N1375" s="26"/>
      <c r="O1375" s="22">
        <v>1</v>
      </c>
      <c r="P1375" s="62">
        <v>1</v>
      </c>
      <c r="Q1375" s="23">
        <v>69.42</v>
      </c>
      <c r="R1375" s="23">
        <f>P1375*Q1375*O1375</f>
        <v>69.42</v>
      </c>
    </row>
    <row r="1376" spans="1:18" x14ac:dyDescent="0.2">
      <c r="A1376" s="13"/>
      <c r="B1376" s="24" t="s">
        <v>1179</v>
      </c>
      <c r="C1376" s="25"/>
      <c r="D1376" s="25"/>
      <c r="E1376" s="26"/>
      <c r="F1376" s="22">
        <v>2</v>
      </c>
      <c r="G1376" s="62">
        <v>1</v>
      </c>
      <c r="H1376" s="23">
        <v>38.97</v>
      </c>
      <c r="I1376" s="23">
        <f>G1376*H1376*F1376</f>
        <v>77.94</v>
      </c>
      <c r="J1376" s="13"/>
      <c r="K1376" s="149" t="s">
        <v>1179</v>
      </c>
      <c r="L1376" s="146"/>
      <c r="M1376" s="19"/>
      <c r="N1376" s="20"/>
      <c r="O1376" s="22">
        <v>4</v>
      </c>
      <c r="P1376" s="62">
        <v>1</v>
      </c>
      <c r="Q1376" s="23">
        <v>38.97</v>
      </c>
      <c r="R1376" s="23">
        <f>P1376*Q1376*O1376</f>
        <v>155.88</v>
      </c>
    </row>
    <row r="1377" spans="1:18" x14ac:dyDescent="0.2">
      <c r="A1377" s="13"/>
      <c r="B1377" s="27"/>
      <c r="C1377" s="19"/>
      <c r="D1377" s="19"/>
      <c r="E1377" s="20"/>
      <c r="F1377" s="22"/>
      <c r="G1377" s="22"/>
      <c r="H1377" s="28"/>
      <c r="I1377" s="23"/>
      <c r="J1377" s="13"/>
      <c r="K1377" s="145"/>
      <c r="L1377" s="146"/>
      <c r="M1377" s="19"/>
      <c r="N1377" s="20"/>
      <c r="O1377" s="22"/>
      <c r="P1377" s="22"/>
      <c r="Q1377" s="23"/>
      <c r="R1377" s="23"/>
    </row>
    <row r="1378" spans="1:18" x14ac:dyDescent="0.2">
      <c r="A1378" s="13"/>
      <c r="B1378" s="27"/>
      <c r="C1378" s="19"/>
      <c r="D1378" s="19"/>
      <c r="E1378" s="20"/>
      <c r="F1378" s="22"/>
      <c r="G1378" s="22"/>
      <c r="H1378" s="29"/>
      <c r="I1378" s="30"/>
      <c r="J1378" s="13"/>
      <c r="K1378" s="145"/>
      <c r="L1378" s="19"/>
      <c r="M1378" s="19"/>
      <c r="N1378" s="20"/>
      <c r="O1378" s="22"/>
      <c r="P1378" s="22"/>
      <c r="Q1378" s="29"/>
      <c r="R1378" s="30"/>
    </row>
    <row r="1379" spans="1:18" x14ac:dyDescent="0.2">
      <c r="A1379" s="13"/>
      <c r="B1379" s="27"/>
      <c r="C1379" s="19"/>
      <c r="D1379" s="19"/>
      <c r="E1379" s="20"/>
      <c r="F1379" s="22"/>
      <c r="G1379" s="22"/>
      <c r="H1379" s="29"/>
      <c r="I1379" s="30"/>
      <c r="J1379" s="13"/>
      <c r="K1379" s="145"/>
      <c r="L1379" s="19"/>
      <c r="M1379" s="19"/>
      <c r="N1379" s="20"/>
      <c r="O1379" s="22"/>
      <c r="P1379" s="22"/>
      <c r="Q1379" s="29"/>
      <c r="R1379" s="30"/>
    </row>
    <row r="1380" spans="1:18" x14ac:dyDescent="0.2">
      <c r="A1380" s="13"/>
      <c r="B1380" s="18"/>
      <c r="C1380" s="19"/>
      <c r="D1380" s="19"/>
      <c r="E1380" s="20"/>
      <c r="F1380" s="22"/>
      <c r="G1380" s="22"/>
      <c r="H1380" s="28"/>
      <c r="I1380" s="23"/>
      <c r="J1380" s="13"/>
      <c r="K1380" s="18"/>
      <c r="L1380" s="19"/>
      <c r="M1380" s="19"/>
      <c r="N1380" s="20"/>
      <c r="O1380" s="22"/>
      <c r="P1380" s="22"/>
      <c r="Q1380" s="28"/>
      <c r="R1380" s="23"/>
    </row>
    <row r="1381" spans="1:18" x14ac:dyDescent="0.2">
      <c r="A1381" s="13"/>
      <c r="B1381" s="18"/>
      <c r="C1381" s="19"/>
      <c r="D1381" s="19"/>
      <c r="E1381" s="20"/>
      <c r="F1381" s="22"/>
      <c r="G1381" s="22"/>
      <c r="H1381" s="23"/>
      <c r="I1381" s="23"/>
      <c r="J1381" s="13"/>
      <c r="K1381" s="18"/>
      <c r="L1381" s="19"/>
      <c r="M1381" s="19"/>
      <c r="N1381" s="20"/>
      <c r="O1381" s="22"/>
      <c r="P1381" s="22"/>
      <c r="Q1381" s="23"/>
      <c r="R1381" s="23"/>
    </row>
    <row r="1382" spans="1:18" x14ac:dyDescent="0.2">
      <c r="A1382" s="13"/>
      <c r="B1382" s="248" t="s">
        <v>20</v>
      </c>
      <c r="C1382" s="249"/>
      <c r="D1382" s="249"/>
      <c r="E1382" s="250"/>
      <c r="F1382" s="31"/>
      <c r="G1382" s="31"/>
      <c r="H1382" s="32"/>
      <c r="I1382" s="32">
        <f>SUM(I1375:I1381)</f>
        <v>147.36000000000001</v>
      </c>
      <c r="J1382" s="13"/>
      <c r="K1382" s="139" t="s">
        <v>20</v>
      </c>
      <c r="L1382" s="140"/>
      <c r="M1382" s="140"/>
      <c r="N1382" s="141"/>
      <c r="O1382" s="31"/>
      <c r="P1382" s="31"/>
      <c r="Q1382" s="32"/>
      <c r="R1382" s="32">
        <f>SUM(R1375:R1381)</f>
        <v>225.3</v>
      </c>
    </row>
    <row r="1383" spans="1:18" x14ac:dyDescent="0.2">
      <c r="A1383" s="12"/>
      <c r="B1383" s="251" t="s">
        <v>21</v>
      </c>
      <c r="C1383" s="252"/>
      <c r="D1383" s="252"/>
      <c r="E1383" s="253"/>
      <c r="F1383" s="244" t="s">
        <v>22</v>
      </c>
      <c r="G1383" s="244" t="s">
        <v>13</v>
      </c>
      <c r="H1383" s="244" t="s">
        <v>14</v>
      </c>
      <c r="I1383" s="246" t="s">
        <v>15</v>
      </c>
      <c r="J1383" s="12"/>
      <c r="K1383" s="251" t="s">
        <v>21</v>
      </c>
      <c r="L1383" s="252"/>
      <c r="M1383" s="252"/>
      <c r="N1383" s="253"/>
      <c r="O1383" s="244" t="s">
        <v>22</v>
      </c>
      <c r="P1383" s="244" t="s">
        <v>13</v>
      </c>
      <c r="Q1383" s="244" t="s">
        <v>14</v>
      </c>
      <c r="R1383" s="246" t="s">
        <v>15</v>
      </c>
    </row>
    <row r="1384" spans="1:18" x14ac:dyDescent="0.2">
      <c r="A1384" s="13"/>
      <c r="B1384" s="254"/>
      <c r="C1384" s="255"/>
      <c r="D1384" s="255"/>
      <c r="E1384" s="256"/>
      <c r="F1384" s="245"/>
      <c r="G1384" s="245"/>
      <c r="H1384" s="245"/>
      <c r="I1384" s="247"/>
      <c r="J1384" s="13"/>
      <c r="K1384" s="254"/>
      <c r="L1384" s="255"/>
      <c r="M1384" s="255"/>
      <c r="N1384" s="256"/>
      <c r="O1384" s="245"/>
      <c r="P1384" s="245"/>
      <c r="Q1384" s="245"/>
      <c r="R1384" s="247"/>
    </row>
    <row r="1385" spans="1:18" x14ac:dyDescent="0.2">
      <c r="A1385" s="13" t="s">
        <v>23</v>
      </c>
      <c r="B1385" s="33" t="s">
        <v>24</v>
      </c>
      <c r="C1385" s="15"/>
      <c r="D1385" s="15"/>
      <c r="E1385" s="16"/>
      <c r="F1385" s="34"/>
      <c r="G1385" s="34"/>
      <c r="H1385" s="35"/>
      <c r="I1385" s="35"/>
      <c r="J1385" s="13" t="s">
        <v>23</v>
      </c>
      <c r="K1385" s="33" t="s">
        <v>24</v>
      </c>
      <c r="L1385" s="15"/>
      <c r="M1385" s="15"/>
      <c r="N1385" s="16"/>
      <c r="O1385" s="34"/>
      <c r="P1385" s="34"/>
      <c r="Q1385" s="35"/>
      <c r="R1385" s="35"/>
    </row>
    <row r="1386" spans="1:18" x14ac:dyDescent="0.2">
      <c r="A1386" s="13"/>
      <c r="B1386" s="18"/>
      <c r="C1386" s="19"/>
      <c r="D1386" s="19"/>
      <c r="E1386" s="20"/>
      <c r="F1386" s="22"/>
      <c r="G1386" s="22"/>
      <c r="H1386" s="23"/>
      <c r="I1386" s="23"/>
      <c r="J1386" s="13"/>
      <c r="K1386" s="18"/>
      <c r="L1386" s="19"/>
      <c r="M1386" s="19"/>
      <c r="N1386" s="20"/>
      <c r="O1386" s="22"/>
      <c r="P1386" s="22"/>
      <c r="Q1386" s="23"/>
      <c r="R1386" s="23"/>
    </row>
    <row r="1387" spans="1:18" x14ac:dyDescent="0.2">
      <c r="A1387" s="13"/>
      <c r="B1387" s="18" t="s">
        <v>1154</v>
      </c>
      <c r="C1387" s="19"/>
      <c r="D1387" s="19"/>
      <c r="E1387" s="20"/>
      <c r="F1387" s="22">
        <v>1</v>
      </c>
      <c r="G1387" s="23">
        <v>0.5</v>
      </c>
      <c r="H1387" s="37">
        <v>1998.1</v>
      </c>
      <c r="I1387" s="37">
        <f>G1387*H1387*F1387</f>
        <v>999.05</v>
      </c>
      <c r="J1387" s="13"/>
      <c r="K1387" s="18" t="s">
        <v>135</v>
      </c>
      <c r="L1387" s="19"/>
      <c r="M1387" s="19"/>
      <c r="N1387" s="20"/>
      <c r="O1387" s="22">
        <v>1</v>
      </c>
      <c r="P1387" s="23">
        <v>1</v>
      </c>
      <c r="Q1387" s="37">
        <v>123</v>
      </c>
      <c r="R1387" s="37">
        <f>P1387*Q1387*O1387</f>
        <v>123</v>
      </c>
    </row>
    <row r="1388" spans="1:18" x14ac:dyDescent="0.2">
      <c r="A1388" s="13"/>
      <c r="B1388" s="18" t="s">
        <v>99</v>
      </c>
      <c r="C1388" s="19"/>
      <c r="D1388" s="19"/>
      <c r="E1388" s="20"/>
      <c r="F1388" s="22">
        <v>1</v>
      </c>
      <c r="G1388" s="23">
        <v>0.5</v>
      </c>
      <c r="H1388" s="37">
        <v>1537</v>
      </c>
      <c r="I1388" s="37">
        <f>G1388*H1388*F1388</f>
        <v>768.5</v>
      </c>
      <c r="J1388" s="13"/>
      <c r="K1388" s="18" t="s">
        <v>1176</v>
      </c>
      <c r="L1388" s="19"/>
      <c r="M1388" s="19"/>
      <c r="N1388" s="20"/>
      <c r="O1388" s="22">
        <v>1</v>
      </c>
      <c r="P1388" s="23">
        <v>0.01</v>
      </c>
      <c r="Q1388" s="37">
        <v>2450</v>
      </c>
      <c r="R1388" s="37">
        <f>P1388*Q1388*O1388</f>
        <v>24.5</v>
      </c>
    </row>
    <row r="1389" spans="1:18" x14ac:dyDescent="0.2">
      <c r="A1389" s="13"/>
      <c r="B1389" s="18" t="s">
        <v>1147</v>
      </c>
      <c r="C1389" s="66"/>
      <c r="D1389" s="19"/>
      <c r="E1389" s="20"/>
      <c r="F1389" s="22">
        <v>1</v>
      </c>
      <c r="G1389" s="23">
        <v>0.5</v>
      </c>
      <c r="H1389" s="37">
        <v>1420</v>
      </c>
      <c r="I1389" s="37">
        <f>G1389*H1389*F1389</f>
        <v>710</v>
      </c>
      <c r="J1389" s="13"/>
      <c r="K1389" s="18" t="s">
        <v>1192</v>
      </c>
      <c r="L1389" s="19"/>
      <c r="M1389" s="19"/>
      <c r="N1389" s="20"/>
      <c r="O1389" s="22"/>
      <c r="P1389" s="36"/>
      <c r="R1389" s="37">
        <f>R1382*0.1</f>
        <v>22.53</v>
      </c>
    </row>
    <row r="1390" spans="1:18" x14ac:dyDescent="0.2">
      <c r="A1390" s="13"/>
      <c r="B1390" s="18"/>
      <c r="F1390" s="22"/>
      <c r="G1390" s="36"/>
      <c r="H1390" s="37"/>
      <c r="I1390" s="37"/>
      <c r="J1390" s="13"/>
      <c r="O1390" s="21"/>
      <c r="P1390" s="21"/>
      <c r="Q1390" s="21"/>
      <c r="R1390" s="37"/>
    </row>
    <row r="1391" spans="1:18" x14ac:dyDescent="0.2">
      <c r="A1391" s="13"/>
      <c r="B1391" s="18" t="s">
        <v>101</v>
      </c>
      <c r="C1391" s="19"/>
      <c r="D1391" s="19"/>
      <c r="E1391" s="20"/>
      <c r="F1391" s="22"/>
      <c r="G1391" s="36"/>
      <c r="H1391" s="37"/>
      <c r="I1391" s="37"/>
      <c r="J1391" s="13"/>
      <c r="K1391" s="18"/>
      <c r="L1391" s="19"/>
      <c r="M1391" s="19"/>
      <c r="N1391" s="20"/>
      <c r="O1391" s="22"/>
      <c r="P1391" s="36"/>
      <c r="Q1391" s="37"/>
      <c r="R1391" s="37"/>
    </row>
    <row r="1392" spans="1:18" x14ac:dyDescent="0.2">
      <c r="A1392" s="13"/>
      <c r="C1392" s="19"/>
      <c r="D1392" s="19"/>
      <c r="E1392" s="20"/>
      <c r="F1392" s="22"/>
      <c r="G1392" s="36"/>
      <c r="H1392" s="38"/>
      <c r="I1392" s="38"/>
      <c r="J1392" s="13"/>
      <c r="K1392" s="18"/>
      <c r="L1392" s="19"/>
      <c r="M1392" s="19"/>
      <c r="N1392" s="20"/>
      <c r="O1392" s="22"/>
      <c r="P1392" s="36"/>
      <c r="Q1392" s="38"/>
      <c r="R1392" s="38"/>
    </row>
    <row r="1393" spans="1:18" x14ac:dyDescent="0.2">
      <c r="A1393" s="13"/>
      <c r="B1393" s="18"/>
      <c r="C1393" s="19"/>
      <c r="D1393" s="19"/>
      <c r="E1393" s="20"/>
      <c r="F1393" s="22"/>
      <c r="G1393" s="36"/>
      <c r="H1393" s="38"/>
      <c r="I1393" s="38"/>
      <c r="J1393" s="13"/>
      <c r="K1393" s="18"/>
      <c r="L1393" s="19"/>
      <c r="M1393" s="19"/>
      <c r="N1393" s="20"/>
      <c r="O1393" s="22"/>
      <c r="P1393" s="36"/>
      <c r="Q1393" s="38"/>
      <c r="R1393" s="38"/>
    </row>
    <row r="1394" spans="1:18" x14ac:dyDescent="0.2">
      <c r="A1394" s="13"/>
      <c r="B1394" s="18"/>
      <c r="C1394" s="19"/>
      <c r="D1394" s="19"/>
      <c r="E1394" s="20"/>
      <c r="F1394" s="22"/>
      <c r="G1394" s="36"/>
      <c r="H1394" s="38"/>
      <c r="I1394" s="38"/>
      <c r="J1394" s="13"/>
      <c r="K1394" s="18"/>
      <c r="L1394" s="19"/>
      <c r="M1394" s="19"/>
      <c r="N1394" s="20"/>
      <c r="O1394" s="22"/>
      <c r="P1394" s="36"/>
      <c r="Q1394" s="38"/>
      <c r="R1394" s="38"/>
    </row>
    <row r="1395" spans="1:18" x14ac:dyDescent="0.2">
      <c r="A1395" s="13"/>
      <c r="B1395" s="18"/>
      <c r="C1395" s="19"/>
      <c r="D1395" s="19"/>
      <c r="E1395" s="20"/>
      <c r="F1395" s="22"/>
      <c r="G1395" s="36"/>
      <c r="H1395" s="38"/>
      <c r="I1395" s="38"/>
      <c r="J1395" s="13"/>
      <c r="K1395" s="18"/>
      <c r="L1395" s="19"/>
      <c r="M1395" s="19"/>
      <c r="N1395" s="20"/>
      <c r="O1395" s="22"/>
      <c r="P1395" s="36"/>
      <c r="Q1395" s="38"/>
      <c r="R1395" s="38"/>
    </row>
    <row r="1396" spans="1:18" x14ac:dyDescent="0.2">
      <c r="A1396" s="13"/>
      <c r="B1396" s="18"/>
      <c r="C1396" s="19"/>
      <c r="D1396" s="19"/>
      <c r="E1396" s="20"/>
      <c r="F1396" s="22"/>
      <c r="G1396" s="36"/>
      <c r="H1396" s="37"/>
      <c r="I1396" s="37"/>
      <c r="J1396" s="13"/>
      <c r="K1396" s="18"/>
      <c r="L1396" s="19"/>
      <c r="M1396" s="19"/>
      <c r="N1396" s="20"/>
      <c r="O1396" s="22"/>
      <c r="P1396" s="36"/>
      <c r="Q1396" s="37"/>
      <c r="R1396" s="37"/>
    </row>
    <row r="1397" spans="1:18" x14ac:dyDescent="0.2">
      <c r="A1397" s="13"/>
      <c r="B1397" s="18"/>
      <c r="C1397" s="19"/>
      <c r="D1397" s="19"/>
      <c r="E1397" s="20"/>
      <c r="F1397" s="22"/>
      <c r="G1397" s="36"/>
      <c r="H1397" s="37"/>
      <c r="I1397" s="37"/>
      <c r="J1397" s="13"/>
      <c r="K1397" s="18"/>
      <c r="L1397" s="19"/>
      <c r="M1397" s="19"/>
      <c r="N1397" s="20"/>
      <c r="O1397" s="22"/>
      <c r="P1397" s="36"/>
      <c r="Q1397" s="37"/>
      <c r="R1397" s="37"/>
    </row>
    <row r="1398" spans="1:18" x14ac:dyDescent="0.2">
      <c r="A1398" s="13"/>
      <c r="B1398" s="18"/>
      <c r="C1398" s="19"/>
      <c r="D1398" s="19"/>
      <c r="E1398" s="20"/>
      <c r="F1398" s="22"/>
      <c r="G1398" s="36"/>
      <c r="H1398" s="37"/>
      <c r="I1398" s="37"/>
      <c r="J1398" s="13"/>
      <c r="K1398" s="18"/>
      <c r="L1398" s="19"/>
      <c r="M1398" s="19"/>
      <c r="N1398" s="20"/>
      <c r="O1398" s="22"/>
      <c r="P1398" s="36"/>
      <c r="Q1398" s="37"/>
      <c r="R1398" s="37"/>
    </row>
    <row r="1399" spans="1:18" x14ac:dyDescent="0.2">
      <c r="A1399" s="13"/>
      <c r="B1399" s="18"/>
      <c r="C1399" s="19"/>
      <c r="D1399" s="19"/>
      <c r="E1399" s="20"/>
      <c r="F1399" s="22"/>
      <c r="G1399" s="22"/>
      <c r="H1399" s="23"/>
      <c r="I1399" s="23"/>
      <c r="J1399" s="13"/>
      <c r="K1399" s="18"/>
      <c r="L1399" s="19"/>
      <c r="M1399" s="19"/>
      <c r="N1399" s="20"/>
      <c r="O1399" s="22"/>
      <c r="P1399" s="22"/>
      <c r="Q1399" s="23"/>
      <c r="R1399" s="23"/>
    </row>
    <row r="1400" spans="1:18" x14ac:dyDescent="0.2">
      <c r="A1400" s="13"/>
      <c r="B1400" s="248" t="s">
        <v>30</v>
      </c>
      <c r="C1400" s="249"/>
      <c r="D1400" s="249"/>
      <c r="E1400" s="250"/>
      <c r="F1400" s="22"/>
      <c r="G1400" s="22"/>
      <c r="H1400" s="23"/>
      <c r="I1400" s="23">
        <f>SUM(I1387:I1399)</f>
        <v>2477.5500000000002</v>
      </c>
      <c r="J1400" s="13"/>
      <c r="K1400" s="139" t="s">
        <v>30</v>
      </c>
      <c r="L1400" s="140"/>
      <c r="M1400" s="140"/>
      <c r="N1400" s="141"/>
      <c r="O1400" s="22"/>
      <c r="P1400" s="22"/>
      <c r="Q1400" s="23"/>
      <c r="R1400" s="23">
        <f>SUM(R1387:R1399)</f>
        <v>170.03</v>
      </c>
    </row>
    <row r="1401" spans="1:18" x14ac:dyDescent="0.2">
      <c r="A1401" s="12" t="s">
        <v>31</v>
      </c>
      <c r="B1401" s="260" t="s">
        <v>32</v>
      </c>
      <c r="C1401" s="261"/>
      <c r="D1401" s="261"/>
      <c r="E1401" s="261"/>
      <c r="F1401" s="39"/>
      <c r="G1401" s="39"/>
      <c r="H1401" s="40"/>
      <c r="I1401" s="41">
        <f>SUM(I1400+I1382)</f>
        <v>2624.9100000000003</v>
      </c>
      <c r="J1401" s="12" t="s">
        <v>31</v>
      </c>
      <c r="K1401" s="142" t="s">
        <v>32</v>
      </c>
      <c r="L1401" s="143"/>
      <c r="M1401" s="143"/>
      <c r="N1401" s="143"/>
      <c r="O1401" s="143"/>
      <c r="P1401" s="143"/>
      <c r="Q1401" s="40"/>
      <c r="R1401" s="41">
        <f>SUM(R1400+R1382)</f>
        <v>395.33000000000004</v>
      </c>
    </row>
    <row r="1402" spans="1:18" x14ac:dyDescent="0.2">
      <c r="A1402" s="13" t="s">
        <v>33</v>
      </c>
      <c r="B1402" s="297">
        <f>E1369</f>
        <v>30</v>
      </c>
      <c r="C1402" s="298"/>
      <c r="D1402" s="298"/>
      <c r="E1402" s="298"/>
      <c r="F1402" s="298"/>
      <c r="G1402" s="298"/>
      <c r="H1402" s="40"/>
      <c r="I1402" s="41"/>
      <c r="J1402" s="13" t="s">
        <v>33</v>
      </c>
      <c r="K1402" s="283">
        <f>N1369</f>
        <v>1.25</v>
      </c>
      <c r="L1402" s="284"/>
      <c r="M1402" s="284"/>
      <c r="N1402" s="284"/>
      <c r="O1402" s="284"/>
      <c r="P1402" s="284"/>
      <c r="Q1402" s="40"/>
      <c r="R1402" s="41"/>
    </row>
    <row r="1403" spans="1:18" x14ac:dyDescent="0.2">
      <c r="A1403" s="13" t="s">
        <v>34</v>
      </c>
      <c r="B1403" s="42" t="s">
        <v>35</v>
      </c>
      <c r="C1403" s="43"/>
      <c r="D1403" s="43"/>
      <c r="E1403" s="39"/>
      <c r="F1403" s="44"/>
      <c r="G1403" s="44"/>
      <c r="H1403" s="40"/>
      <c r="I1403" s="41">
        <f>I1401/E1369</f>
        <v>87.497000000000014</v>
      </c>
      <c r="J1403" s="13" t="s">
        <v>34</v>
      </c>
      <c r="K1403" s="147" t="s">
        <v>35</v>
      </c>
      <c r="L1403" s="43"/>
      <c r="M1403" s="43"/>
      <c r="N1403" s="143"/>
      <c r="O1403" s="148"/>
      <c r="P1403" s="148"/>
      <c r="Q1403" s="40"/>
      <c r="R1403" s="41">
        <f>R1401/N1369</f>
        <v>316.26400000000001</v>
      </c>
    </row>
    <row r="1404" spans="1:18" x14ac:dyDescent="0.2">
      <c r="A1404" s="12"/>
      <c r="B1404" s="251" t="s">
        <v>36</v>
      </c>
      <c r="C1404" s="252"/>
      <c r="D1404" s="252"/>
      <c r="E1404" s="253"/>
      <c r="F1404" s="244" t="s">
        <v>37</v>
      </c>
      <c r="G1404" s="244" t="s">
        <v>38</v>
      </c>
      <c r="H1404" s="244" t="s">
        <v>39</v>
      </c>
      <c r="I1404" s="246" t="s">
        <v>15</v>
      </c>
      <c r="J1404" s="12"/>
      <c r="K1404" s="251" t="s">
        <v>36</v>
      </c>
      <c r="L1404" s="252"/>
      <c r="M1404" s="252"/>
      <c r="N1404" s="253"/>
      <c r="O1404" s="244" t="s">
        <v>37</v>
      </c>
      <c r="P1404" s="244" t="s">
        <v>38</v>
      </c>
      <c r="Q1404" s="244" t="s">
        <v>39</v>
      </c>
      <c r="R1404" s="246" t="s">
        <v>15</v>
      </c>
    </row>
    <row r="1405" spans="1:18" x14ac:dyDescent="0.2">
      <c r="A1405" s="13"/>
      <c r="B1405" s="254"/>
      <c r="C1405" s="255"/>
      <c r="D1405" s="255"/>
      <c r="E1405" s="256"/>
      <c r="F1405" s="245"/>
      <c r="G1405" s="245"/>
      <c r="H1405" s="245"/>
      <c r="I1405" s="247"/>
      <c r="J1405" s="13"/>
      <c r="K1405" s="254"/>
      <c r="L1405" s="255"/>
      <c r="M1405" s="255"/>
      <c r="N1405" s="256"/>
      <c r="O1405" s="245"/>
      <c r="P1405" s="245"/>
      <c r="Q1405" s="245"/>
      <c r="R1405" s="247"/>
    </row>
    <row r="1406" spans="1:18" x14ac:dyDescent="0.2">
      <c r="A1406" s="13" t="s">
        <v>40</v>
      </c>
      <c r="B1406" s="18" t="s">
        <v>41</v>
      </c>
      <c r="C1406" s="19"/>
      <c r="D1406" s="19"/>
      <c r="E1406" s="20"/>
      <c r="F1406" s="22"/>
      <c r="G1406" s="22"/>
      <c r="H1406" s="23"/>
      <c r="I1406" s="23"/>
      <c r="J1406" s="13" t="s">
        <v>40</v>
      </c>
      <c r="K1406" s="18" t="s">
        <v>41</v>
      </c>
      <c r="L1406" s="19"/>
      <c r="M1406" s="19"/>
      <c r="N1406" s="20"/>
      <c r="O1406" s="22"/>
      <c r="P1406" s="22"/>
      <c r="Q1406" s="23"/>
      <c r="R1406" s="23"/>
    </row>
    <row r="1407" spans="1:18" x14ac:dyDescent="0.2">
      <c r="A1407" s="13"/>
      <c r="B1407" s="18"/>
      <c r="C1407" s="19"/>
      <c r="D1407" s="19"/>
      <c r="E1407" s="20"/>
      <c r="F1407" s="22"/>
      <c r="G1407" s="22"/>
      <c r="H1407" s="23"/>
      <c r="I1407" s="23"/>
      <c r="J1407" s="13"/>
      <c r="K1407" s="18"/>
      <c r="L1407" s="19"/>
      <c r="M1407" s="19"/>
      <c r="N1407" s="20"/>
      <c r="O1407" s="22"/>
      <c r="P1407" s="22"/>
      <c r="Q1407" s="23"/>
      <c r="R1407" s="23"/>
    </row>
    <row r="1408" spans="1:18" x14ac:dyDescent="0.2">
      <c r="A1408" s="13"/>
      <c r="B1408" s="18"/>
      <c r="C1408" s="19"/>
      <c r="D1408" s="19"/>
      <c r="E1408" s="20"/>
      <c r="F1408" s="22"/>
      <c r="G1408" s="22"/>
      <c r="H1408" s="23"/>
      <c r="I1408" s="23"/>
      <c r="J1408" s="13"/>
      <c r="K1408" s="18" t="s">
        <v>137</v>
      </c>
      <c r="L1408" s="19"/>
      <c r="M1408" s="19"/>
      <c r="N1408" s="20"/>
      <c r="O1408" s="22" t="s">
        <v>9</v>
      </c>
      <c r="P1408" s="62">
        <v>1.25</v>
      </c>
      <c r="Q1408" s="107">
        <v>420</v>
      </c>
      <c r="R1408" s="23">
        <f>P1408*Q1408</f>
        <v>525</v>
      </c>
    </row>
    <row r="1409" spans="1:18" x14ac:dyDescent="0.2">
      <c r="A1409" s="13"/>
      <c r="B1409" s="18"/>
      <c r="C1409" s="19"/>
      <c r="D1409" s="19"/>
      <c r="E1409" s="20"/>
      <c r="F1409" s="22"/>
      <c r="G1409" s="22"/>
      <c r="H1409" s="23"/>
      <c r="I1409" s="23"/>
      <c r="J1409" s="13"/>
      <c r="K1409" s="18"/>
      <c r="L1409" s="19"/>
      <c r="M1409" s="19"/>
      <c r="N1409" s="20"/>
      <c r="O1409" s="22"/>
      <c r="P1409" s="22"/>
      <c r="Q1409" s="23"/>
      <c r="R1409" s="23"/>
    </row>
    <row r="1410" spans="1:18" x14ac:dyDescent="0.2">
      <c r="A1410" s="13"/>
      <c r="B1410" s="18"/>
      <c r="C1410" s="19"/>
      <c r="D1410" s="19"/>
      <c r="E1410" s="20"/>
      <c r="F1410" s="22"/>
      <c r="G1410" s="22"/>
      <c r="H1410" s="38"/>
      <c r="I1410" s="38"/>
      <c r="J1410" s="13"/>
      <c r="K1410" s="18"/>
      <c r="L1410" s="19"/>
      <c r="M1410" s="19"/>
      <c r="N1410" s="20"/>
      <c r="O1410" s="22"/>
      <c r="P1410" s="22"/>
      <c r="Q1410" s="38"/>
      <c r="R1410" s="38"/>
    </row>
    <row r="1411" spans="1:18" x14ac:dyDescent="0.2">
      <c r="A1411" s="13"/>
      <c r="B1411" s="18"/>
      <c r="C1411" s="19"/>
      <c r="D1411" s="19"/>
      <c r="E1411" s="20"/>
      <c r="F1411" s="22"/>
      <c r="G1411" s="22"/>
      <c r="H1411" s="38"/>
      <c r="I1411" s="38"/>
      <c r="J1411" s="13"/>
      <c r="K1411" s="18"/>
      <c r="L1411" s="19"/>
      <c r="M1411" s="19"/>
      <c r="N1411" s="20"/>
      <c r="O1411" s="22"/>
      <c r="P1411" s="22"/>
      <c r="Q1411" s="38"/>
      <c r="R1411" s="38"/>
    </row>
    <row r="1412" spans="1:18" x14ac:dyDescent="0.2">
      <c r="A1412" s="13"/>
      <c r="B1412" s="18"/>
      <c r="C1412" s="19"/>
      <c r="D1412" s="19"/>
      <c r="E1412" s="20"/>
      <c r="F1412" s="22"/>
      <c r="G1412" s="22"/>
      <c r="H1412" s="45"/>
      <c r="I1412" s="45"/>
      <c r="J1412" s="13"/>
      <c r="K1412" s="18"/>
      <c r="L1412" s="19"/>
      <c r="M1412" s="19"/>
      <c r="N1412" s="20"/>
      <c r="O1412" s="22"/>
      <c r="P1412" s="22"/>
      <c r="Q1412" s="45"/>
      <c r="R1412" s="45"/>
    </row>
    <row r="1413" spans="1:18" x14ac:dyDescent="0.2">
      <c r="A1413" s="13"/>
      <c r="B1413" s="18"/>
      <c r="C1413" s="19"/>
      <c r="D1413" s="19"/>
      <c r="E1413" s="20"/>
      <c r="F1413" s="22"/>
      <c r="G1413" s="22"/>
      <c r="H1413" s="45"/>
      <c r="I1413" s="45"/>
      <c r="J1413" s="13"/>
      <c r="K1413" s="18"/>
      <c r="L1413" s="19"/>
      <c r="M1413" s="19"/>
      <c r="N1413" s="20"/>
      <c r="O1413" s="22"/>
      <c r="P1413" s="22"/>
      <c r="Q1413" s="45"/>
      <c r="R1413" s="45"/>
    </row>
    <row r="1414" spans="1:18" x14ac:dyDescent="0.2">
      <c r="A1414" s="13"/>
      <c r="B1414" s="18"/>
      <c r="C1414" s="19"/>
      <c r="D1414" s="19"/>
      <c r="E1414" s="20"/>
      <c r="F1414" s="22"/>
      <c r="G1414" s="22"/>
      <c r="H1414" s="23"/>
      <c r="I1414" s="23"/>
      <c r="J1414" s="13"/>
      <c r="K1414" s="18"/>
      <c r="L1414" s="19"/>
      <c r="M1414" s="19"/>
      <c r="N1414" s="20"/>
      <c r="O1414" s="22"/>
      <c r="P1414" s="22"/>
      <c r="Q1414" s="23"/>
      <c r="R1414" s="23"/>
    </row>
    <row r="1415" spans="1:18" x14ac:dyDescent="0.2">
      <c r="A1415" s="13"/>
      <c r="B1415" s="18"/>
      <c r="C1415" s="19"/>
      <c r="D1415" s="19"/>
      <c r="E1415" s="20"/>
      <c r="F1415" s="22"/>
      <c r="G1415" s="22"/>
      <c r="H1415" s="23"/>
      <c r="I1415" s="23"/>
      <c r="J1415" s="13"/>
      <c r="K1415" s="18"/>
      <c r="L1415" s="19"/>
      <c r="M1415" s="19"/>
      <c r="N1415" s="20"/>
      <c r="O1415" s="22"/>
      <c r="P1415" s="22"/>
      <c r="Q1415" s="23"/>
      <c r="R1415" s="23"/>
    </row>
    <row r="1416" spans="1:18" x14ac:dyDescent="0.2">
      <c r="A1416" s="13"/>
      <c r="B1416" s="18"/>
      <c r="C1416" s="19"/>
      <c r="D1416" s="19"/>
      <c r="E1416" s="20"/>
      <c r="F1416" s="22"/>
      <c r="G1416" s="22"/>
      <c r="H1416" s="23"/>
      <c r="I1416" s="23"/>
      <c r="J1416" s="13"/>
      <c r="K1416" s="18"/>
      <c r="L1416" s="19"/>
      <c r="M1416" s="19"/>
      <c r="N1416" s="20"/>
      <c r="O1416" s="22"/>
      <c r="P1416" s="22"/>
      <c r="Q1416" s="23"/>
      <c r="R1416" s="23"/>
    </row>
    <row r="1417" spans="1:18" x14ac:dyDescent="0.2">
      <c r="A1417" s="13"/>
      <c r="B1417" s="18"/>
      <c r="C1417" s="19"/>
      <c r="D1417" s="19"/>
      <c r="E1417" s="20"/>
      <c r="F1417" s="22"/>
      <c r="G1417" s="22"/>
      <c r="H1417" s="23"/>
      <c r="I1417" s="23"/>
      <c r="J1417" s="13"/>
      <c r="K1417" s="18"/>
      <c r="L1417" s="19"/>
      <c r="M1417" s="19"/>
      <c r="N1417" s="20"/>
      <c r="O1417" s="22"/>
      <c r="P1417" s="22"/>
      <c r="Q1417" s="23"/>
      <c r="R1417" s="23"/>
    </row>
    <row r="1418" spans="1:18" x14ac:dyDescent="0.2">
      <c r="A1418" s="13"/>
      <c r="B1418" s="18"/>
      <c r="C1418" s="19"/>
      <c r="D1418" s="19"/>
      <c r="E1418" s="20"/>
      <c r="F1418" s="22"/>
      <c r="G1418" s="22"/>
      <c r="H1418" s="23"/>
      <c r="I1418" s="23"/>
      <c r="J1418" s="13"/>
      <c r="K1418" s="18"/>
      <c r="L1418" s="19"/>
      <c r="M1418" s="19"/>
      <c r="N1418" s="20"/>
      <c r="O1418" s="22"/>
      <c r="P1418" s="22"/>
      <c r="Q1418" s="23"/>
      <c r="R1418" s="23"/>
    </row>
    <row r="1419" spans="1:18" x14ac:dyDescent="0.2">
      <c r="A1419" s="13"/>
      <c r="B1419" s="18"/>
      <c r="C1419" s="19"/>
      <c r="D1419" s="19"/>
      <c r="E1419" s="20"/>
      <c r="F1419" s="22"/>
      <c r="G1419" s="22"/>
      <c r="H1419" s="23"/>
      <c r="I1419" s="23"/>
      <c r="J1419" s="13"/>
      <c r="K1419" s="18"/>
      <c r="L1419" s="19"/>
      <c r="M1419" s="19"/>
      <c r="N1419" s="20"/>
      <c r="O1419" s="22"/>
      <c r="P1419" s="22"/>
      <c r="Q1419" s="23"/>
      <c r="R1419" s="23"/>
    </row>
    <row r="1420" spans="1:18" x14ac:dyDescent="0.2">
      <c r="A1420" s="13"/>
      <c r="B1420" s="18"/>
      <c r="C1420" s="19"/>
      <c r="D1420" s="19"/>
      <c r="E1420" s="20"/>
      <c r="F1420" s="22"/>
      <c r="G1420" s="36"/>
      <c r="H1420" s="37"/>
      <c r="I1420" s="37"/>
      <c r="J1420" s="13"/>
      <c r="K1420" s="18"/>
      <c r="L1420" s="19"/>
      <c r="M1420" s="19"/>
      <c r="N1420" s="20"/>
      <c r="O1420" s="22"/>
      <c r="P1420" s="36"/>
      <c r="Q1420" s="37"/>
      <c r="R1420" s="37"/>
    </row>
    <row r="1421" spans="1:18" x14ac:dyDescent="0.2">
      <c r="A1421" s="13"/>
      <c r="B1421" s="248" t="s">
        <v>42</v>
      </c>
      <c r="C1421" s="249"/>
      <c r="D1421" s="249"/>
      <c r="E1421" s="250"/>
      <c r="F1421" s="46"/>
      <c r="G1421" s="46"/>
      <c r="H1421" s="47"/>
      <c r="I1421" s="47">
        <f>SUM(I1408:I1420)</f>
        <v>0</v>
      </c>
      <c r="J1421" s="13"/>
      <c r="K1421" s="139" t="s">
        <v>42</v>
      </c>
      <c r="L1421" s="140"/>
      <c r="M1421" s="140"/>
      <c r="N1421" s="141"/>
      <c r="O1421" s="46"/>
      <c r="P1421" s="46"/>
      <c r="Q1421" s="47"/>
      <c r="R1421" s="47">
        <f>SUM(R1408:R1420)</f>
        <v>525</v>
      </c>
    </row>
    <row r="1422" spans="1:18" x14ac:dyDescent="0.2">
      <c r="A1422" s="12" t="s">
        <v>43</v>
      </c>
      <c r="B1422" s="48" t="s">
        <v>44</v>
      </c>
      <c r="C1422" s="43"/>
      <c r="D1422" s="43"/>
      <c r="E1422" s="39"/>
      <c r="F1422" s="49"/>
      <c r="G1422" s="49"/>
      <c r="H1422" s="50"/>
      <c r="I1422" s="51">
        <f>SUM(I1403+I1421)</f>
        <v>87.497000000000014</v>
      </c>
      <c r="J1422" s="12" t="s">
        <v>43</v>
      </c>
      <c r="K1422" s="48" t="s">
        <v>44</v>
      </c>
      <c r="L1422" s="43"/>
      <c r="M1422" s="43"/>
      <c r="N1422" s="143"/>
      <c r="O1422" s="49"/>
      <c r="P1422" s="49"/>
      <c r="Q1422" s="50"/>
      <c r="R1422" s="51">
        <f>SUM(R1403+R1421)</f>
        <v>841.26400000000001</v>
      </c>
    </row>
    <row r="1423" spans="1:18" x14ac:dyDescent="0.2">
      <c r="A1423" s="13" t="s">
        <v>45</v>
      </c>
      <c r="B1423" s="48" t="s">
        <v>46</v>
      </c>
      <c r="C1423" s="43"/>
      <c r="D1423" s="43"/>
      <c r="E1423" s="39"/>
      <c r="F1423" s="49"/>
      <c r="G1423" s="52">
        <v>0.09</v>
      </c>
      <c r="H1423" s="53" t="s">
        <v>47</v>
      </c>
      <c r="I1423" s="51">
        <f>G1423*I1422</f>
        <v>7.8747300000000013</v>
      </c>
      <c r="J1423" s="13" t="s">
        <v>45</v>
      </c>
      <c r="K1423" s="48" t="s">
        <v>46</v>
      </c>
      <c r="L1423" s="43"/>
      <c r="M1423" s="43"/>
      <c r="N1423" s="143"/>
      <c r="O1423" s="49"/>
      <c r="P1423" s="52">
        <v>0.09</v>
      </c>
      <c r="Q1423" s="53" t="s">
        <v>47</v>
      </c>
      <c r="R1423" s="51">
        <f>P1423*R1422</f>
        <v>75.713759999999994</v>
      </c>
    </row>
    <row r="1424" spans="1:18" x14ac:dyDescent="0.2">
      <c r="A1424" s="13" t="s">
        <v>48</v>
      </c>
      <c r="B1424" s="48" t="s">
        <v>49</v>
      </c>
      <c r="C1424" s="43"/>
      <c r="D1424" s="43"/>
      <c r="E1424" s="39"/>
      <c r="F1424" s="49"/>
      <c r="G1424" s="52">
        <v>0.08</v>
      </c>
      <c r="H1424" s="53" t="s">
        <v>47</v>
      </c>
      <c r="I1424" s="51">
        <f>G1424*I1422</f>
        <v>6.9997600000000011</v>
      </c>
      <c r="J1424" s="13" t="s">
        <v>48</v>
      </c>
      <c r="K1424" s="48" t="s">
        <v>49</v>
      </c>
      <c r="L1424" s="43"/>
      <c r="M1424" s="43"/>
      <c r="N1424" s="143"/>
      <c r="O1424" s="49"/>
      <c r="P1424" s="52">
        <v>0.08</v>
      </c>
      <c r="Q1424" s="53" t="s">
        <v>47</v>
      </c>
      <c r="R1424" s="51">
        <f>P1424*R1422</f>
        <v>67.301119999999997</v>
      </c>
    </row>
    <row r="1425" spans="1:18" x14ac:dyDescent="0.2">
      <c r="A1425" s="13" t="s">
        <v>50</v>
      </c>
      <c r="B1425" s="48" t="s">
        <v>51</v>
      </c>
      <c r="C1425" s="43"/>
      <c r="D1425" s="43"/>
      <c r="E1425" s="39"/>
      <c r="F1425" s="49"/>
      <c r="G1425" s="52">
        <f>5/100</f>
        <v>0.05</v>
      </c>
      <c r="H1425" s="53" t="s">
        <v>52</v>
      </c>
      <c r="I1425" s="51">
        <f>G1425*(I1422+I1423+I1424)</f>
        <v>5.1185745000000011</v>
      </c>
      <c r="J1425" s="13" t="s">
        <v>50</v>
      </c>
      <c r="K1425" s="48" t="s">
        <v>51</v>
      </c>
      <c r="L1425" s="43"/>
      <c r="M1425" s="43"/>
      <c r="N1425" s="143"/>
      <c r="O1425" s="49"/>
      <c r="P1425" s="52">
        <f>5/100</f>
        <v>0.05</v>
      </c>
      <c r="Q1425" s="53" t="s">
        <v>52</v>
      </c>
      <c r="R1425" s="51">
        <f>P1425*(R1422+R1423+R1424)</f>
        <v>49.213943999999998</v>
      </c>
    </row>
    <row r="1426" spans="1:18" x14ac:dyDescent="0.2">
      <c r="A1426" s="54" t="s">
        <v>53</v>
      </c>
      <c r="B1426" s="48" t="s">
        <v>54</v>
      </c>
      <c r="C1426" s="43"/>
      <c r="D1426" s="43"/>
      <c r="E1426" s="39"/>
      <c r="F1426" s="49"/>
      <c r="G1426" s="49"/>
      <c r="H1426" s="55" t="s">
        <v>55</v>
      </c>
      <c r="I1426" s="51">
        <f>SUM(I1422+I1423+I1424+I1425)</f>
        <v>107.49006450000002</v>
      </c>
      <c r="J1426" s="54" t="s">
        <v>53</v>
      </c>
      <c r="K1426" s="48" t="s">
        <v>54</v>
      </c>
      <c r="L1426" s="43"/>
      <c r="M1426" s="43"/>
      <c r="N1426" s="143"/>
      <c r="O1426" s="49"/>
      <c r="P1426" s="49"/>
      <c r="Q1426" s="55" t="s">
        <v>55</v>
      </c>
      <c r="R1426" s="51">
        <f>SUM(R1422+R1423+R1424+R1425)</f>
        <v>1033.4928239999999</v>
      </c>
    </row>
    <row r="1427" spans="1:18" s="1" customFormat="1" x14ac:dyDescent="0.2">
      <c r="A1427" s="285" t="s">
        <v>0</v>
      </c>
      <c r="B1427" s="285"/>
      <c r="C1427" s="285"/>
      <c r="D1427" s="285"/>
      <c r="E1427" s="285"/>
      <c r="F1427" s="285"/>
      <c r="G1427" s="285"/>
      <c r="H1427" s="285"/>
      <c r="I1427" s="285"/>
      <c r="J1427" s="285" t="s">
        <v>0</v>
      </c>
      <c r="K1427" s="285"/>
      <c r="L1427" s="285"/>
      <c r="M1427" s="285"/>
      <c r="N1427" s="285"/>
      <c r="O1427" s="285"/>
      <c r="P1427" s="285"/>
      <c r="Q1427" s="285"/>
      <c r="R1427" s="285"/>
    </row>
    <row r="1429" spans="1:18" x14ac:dyDescent="0.2">
      <c r="A1429" s="2" t="s">
        <v>1</v>
      </c>
      <c r="C1429" s="4" t="s">
        <v>2</v>
      </c>
      <c r="D1429" s="5" t="s">
        <v>213</v>
      </c>
      <c r="E1429" s="237" t="s">
        <v>214</v>
      </c>
      <c r="F1429" s="237"/>
      <c r="G1429" s="237"/>
      <c r="H1429" s="237"/>
      <c r="J1429" s="144" t="s">
        <v>1</v>
      </c>
      <c r="L1429" s="4" t="s">
        <v>2</v>
      </c>
      <c r="M1429" s="5" t="s">
        <v>211</v>
      </c>
      <c r="N1429" s="144" t="s">
        <v>212</v>
      </c>
      <c r="O1429" s="144"/>
      <c r="P1429" s="144"/>
      <c r="Q1429" s="144"/>
    </row>
    <row r="1430" spans="1:18" x14ac:dyDescent="0.2">
      <c r="A1430" s="2" t="s">
        <v>7</v>
      </c>
      <c r="C1430" s="4" t="s">
        <v>2</v>
      </c>
      <c r="E1430" s="2" t="s">
        <v>9</v>
      </c>
      <c r="F1430" s="8"/>
      <c r="G1430" s="8"/>
      <c r="H1430" s="8"/>
      <c r="J1430" s="144" t="s">
        <v>7</v>
      </c>
      <c r="L1430" s="4" t="s">
        <v>2</v>
      </c>
      <c r="N1430" s="144" t="s">
        <v>8</v>
      </c>
      <c r="O1430" s="8"/>
      <c r="P1430" s="8"/>
      <c r="Q1430" s="8"/>
    </row>
    <row r="1431" spans="1:18" x14ac:dyDescent="0.2">
      <c r="A1431" s="2" t="s">
        <v>10</v>
      </c>
      <c r="C1431" s="4" t="s">
        <v>2</v>
      </c>
      <c r="E1431" s="9">
        <v>20</v>
      </c>
      <c r="F1431" s="8"/>
      <c r="G1431" s="8"/>
      <c r="H1431" s="8"/>
      <c r="J1431" s="144" t="s">
        <v>10</v>
      </c>
      <c r="L1431" s="4" t="s">
        <v>2</v>
      </c>
      <c r="N1431" s="9">
        <v>300</v>
      </c>
      <c r="O1431" s="8"/>
      <c r="P1431" s="8"/>
      <c r="Q1431" s="8"/>
    </row>
    <row r="1432" spans="1:18" x14ac:dyDescent="0.2">
      <c r="B1432" s="8"/>
      <c r="F1432" s="11"/>
      <c r="G1432" s="8"/>
      <c r="H1432" s="8"/>
      <c r="I1432" s="8"/>
      <c r="K1432" s="8"/>
      <c r="O1432" s="11"/>
      <c r="P1432" s="8"/>
      <c r="Q1432" s="8"/>
      <c r="R1432" s="8"/>
    </row>
    <row r="1433" spans="1:18" x14ac:dyDescent="0.2">
      <c r="A1433" s="12"/>
      <c r="B1433" s="238" t="s">
        <v>11</v>
      </c>
      <c r="C1433" s="239"/>
      <c r="D1433" s="239"/>
      <c r="E1433" s="240"/>
      <c r="F1433" s="244" t="s">
        <v>12</v>
      </c>
      <c r="G1433" s="244" t="s">
        <v>13</v>
      </c>
      <c r="H1433" s="244" t="s">
        <v>14</v>
      </c>
      <c r="I1433" s="246" t="s">
        <v>15</v>
      </c>
      <c r="J1433" s="12"/>
      <c r="K1433" s="238" t="s">
        <v>11</v>
      </c>
      <c r="L1433" s="239"/>
      <c r="M1433" s="239"/>
      <c r="N1433" s="240"/>
      <c r="O1433" s="244" t="s">
        <v>12</v>
      </c>
      <c r="P1433" s="244" t="s">
        <v>13</v>
      </c>
      <c r="Q1433" s="244" t="s">
        <v>14</v>
      </c>
      <c r="R1433" s="246" t="s">
        <v>15</v>
      </c>
    </row>
    <row r="1434" spans="1:18" x14ac:dyDescent="0.2">
      <c r="A1434" s="13"/>
      <c r="B1434" s="241"/>
      <c r="C1434" s="242"/>
      <c r="D1434" s="242"/>
      <c r="E1434" s="243"/>
      <c r="F1434" s="245"/>
      <c r="G1434" s="245"/>
      <c r="H1434" s="245"/>
      <c r="I1434" s="247"/>
      <c r="J1434" s="13"/>
      <c r="K1434" s="241"/>
      <c r="L1434" s="242"/>
      <c r="M1434" s="242"/>
      <c r="N1434" s="243"/>
      <c r="O1434" s="245"/>
      <c r="P1434" s="245"/>
      <c r="Q1434" s="245"/>
      <c r="R1434" s="247"/>
    </row>
    <row r="1435" spans="1:18" x14ac:dyDescent="0.2">
      <c r="A1435" s="13" t="s">
        <v>16</v>
      </c>
      <c r="B1435" s="14" t="s">
        <v>17</v>
      </c>
      <c r="C1435" s="15"/>
      <c r="D1435" s="15"/>
      <c r="E1435" s="16"/>
      <c r="F1435" s="17"/>
      <c r="G1435" s="17"/>
      <c r="H1435" s="17"/>
      <c r="I1435" s="17"/>
      <c r="J1435" s="13" t="s">
        <v>16</v>
      </c>
      <c r="K1435" s="14" t="s">
        <v>17</v>
      </c>
      <c r="L1435" s="15"/>
      <c r="M1435" s="15"/>
      <c r="N1435" s="16"/>
      <c r="O1435" s="17"/>
      <c r="P1435" s="17"/>
      <c r="Q1435" s="17"/>
      <c r="R1435" s="17"/>
    </row>
    <row r="1436" spans="1:18" x14ac:dyDescent="0.2">
      <c r="A1436" s="13"/>
      <c r="B1436" s="18"/>
      <c r="C1436" s="19"/>
      <c r="D1436" s="19"/>
      <c r="E1436" s="20"/>
      <c r="F1436" s="21"/>
      <c r="G1436" s="22"/>
      <c r="H1436" s="21"/>
      <c r="I1436" s="21"/>
      <c r="J1436" s="13"/>
      <c r="K1436" s="18"/>
      <c r="L1436" s="19"/>
      <c r="M1436" s="19"/>
      <c r="N1436" s="20"/>
      <c r="O1436" s="21"/>
      <c r="P1436" s="22"/>
      <c r="Q1436" s="21"/>
      <c r="R1436" s="21"/>
    </row>
    <row r="1437" spans="1:18" x14ac:dyDescent="0.2">
      <c r="A1437" s="13"/>
      <c r="B1437" s="24" t="s">
        <v>18</v>
      </c>
      <c r="C1437" s="25"/>
      <c r="D1437" s="25"/>
      <c r="E1437" s="26"/>
      <c r="F1437" s="22">
        <v>1</v>
      </c>
      <c r="G1437" s="62">
        <v>1</v>
      </c>
      <c r="H1437" s="23">
        <v>69.42</v>
      </c>
      <c r="I1437" s="23">
        <f>G1437*H1437*F1437</f>
        <v>69.42</v>
      </c>
      <c r="J1437" s="13"/>
      <c r="K1437" s="24" t="s">
        <v>18</v>
      </c>
      <c r="L1437" s="25"/>
      <c r="M1437" s="25"/>
      <c r="N1437" s="26"/>
      <c r="O1437" s="22">
        <v>1</v>
      </c>
      <c r="P1437" s="62">
        <v>1</v>
      </c>
      <c r="Q1437" s="23">
        <v>69.42</v>
      </c>
      <c r="R1437" s="23">
        <f>P1437*Q1437*O1437</f>
        <v>69.42</v>
      </c>
    </row>
    <row r="1438" spans="1:18" x14ac:dyDescent="0.2">
      <c r="A1438" s="13"/>
      <c r="B1438" s="24" t="s">
        <v>1179</v>
      </c>
      <c r="C1438" s="25"/>
      <c r="D1438" s="25"/>
      <c r="E1438" s="26"/>
      <c r="F1438" s="22">
        <v>3</v>
      </c>
      <c r="G1438" s="62">
        <v>1</v>
      </c>
      <c r="H1438" s="23">
        <v>38.97</v>
      </c>
      <c r="I1438" s="23">
        <f>G1438*H1438*F1438</f>
        <v>116.91</v>
      </c>
      <c r="J1438" s="13"/>
      <c r="K1438" s="24" t="s">
        <v>1179</v>
      </c>
      <c r="L1438" s="25"/>
      <c r="M1438" s="25"/>
      <c r="N1438" s="26"/>
      <c r="O1438" s="22">
        <v>2</v>
      </c>
      <c r="P1438" s="62">
        <v>1</v>
      </c>
      <c r="Q1438" s="23">
        <v>38.97</v>
      </c>
      <c r="R1438" s="23">
        <f>P1438*Q1438*O1438</f>
        <v>77.94</v>
      </c>
    </row>
    <row r="1439" spans="1:18" x14ac:dyDescent="0.2">
      <c r="A1439" s="13"/>
      <c r="B1439" s="27"/>
      <c r="C1439" s="19"/>
      <c r="D1439" s="19"/>
      <c r="E1439" s="20"/>
      <c r="F1439" s="22"/>
      <c r="G1439" s="22"/>
      <c r="H1439" s="28"/>
      <c r="I1439" s="23"/>
      <c r="J1439" s="13"/>
      <c r="K1439" s="145"/>
      <c r="L1439" s="19"/>
      <c r="M1439" s="19"/>
      <c r="N1439" s="20"/>
      <c r="O1439" s="22"/>
      <c r="P1439" s="22"/>
      <c r="Q1439" s="28"/>
      <c r="R1439" s="23"/>
    </row>
    <row r="1440" spans="1:18" x14ac:dyDescent="0.2">
      <c r="A1440" s="13"/>
      <c r="B1440" s="27"/>
      <c r="C1440" s="19"/>
      <c r="D1440" s="19"/>
      <c r="E1440" s="20"/>
      <c r="F1440" s="22"/>
      <c r="G1440" s="22"/>
      <c r="H1440" s="29"/>
      <c r="I1440" s="30"/>
      <c r="J1440" s="13"/>
      <c r="K1440" s="145"/>
      <c r="L1440" s="19"/>
      <c r="M1440" s="19"/>
      <c r="N1440" s="20"/>
      <c r="O1440" s="22"/>
      <c r="P1440" s="22"/>
      <c r="Q1440" s="29"/>
      <c r="R1440" s="30"/>
    </row>
    <row r="1441" spans="1:18" x14ac:dyDescent="0.2">
      <c r="A1441" s="13"/>
      <c r="B1441" s="27"/>
      <c r="C1441" s="19"/>
      <c r="D1441" s="19"/>
      <c r="E1441" s="20"/>
      <c r="F1441" s="22"/>
      <c r="G1441" s="22"/>
      <c r="H1441" s="29"/>
      <c r="I1441" s="30"/>
      <c r="J1441" s="13"/>
      <c r="K1441" s="145"/>
      <c r="L1441" s="19"/>
      <c r="M1441" s="19"/>
      <c r="N1441" s="20"/>
      <c r="O1441" s="22"/>
      <c r="P1441" s="22"/>
      <c r="Q1441" s="29"/>
      <c r="R1441" s="30"/>
    </row>
    <row r="1442" spans="1:18" x14ac:dyDescent="0.2">
      <c r="A1442" s="13"/>
      <c r="B1442" s="18"/>
      <c r="C1442" s="19"/>
      <c r="D1442" s="19"/>
      <c r="E1442" s="20"/>
      <c r="F1442" s="22"/>
      <c r="G1442" s="22"/>
      <c r="H1442" s="28"/>
      <c r="I1442" s="23"/>
      <c r="J1442" s="13"/>
      <c r="K1442" s="18"/>
      <c r="L1442" s="19"/>
      <c r="M1442" s="19"/>
      <c r="N1442" s="20"/>
      <c r="O1442" s="22"/>
      <c r="P1442" s="22"/>
      <c r="Q1442" s="28"/>
      <c r="R1442" s="23"/>
    </row>
    <row r="1443" spans="1:18" x14ac:dyDescent="0.2">
      <c r="A1443" s="13"/>
      <c r="B1443" s="18"/>
      <c r="C1443" s="19"/>
      <c r="D1443" s="19"/>
      <c r="E1443" s="20"/>
      <c r="F1443" s="22"/>
      <c r="G1443" s="22"/>
      <c r="H1443" s="23"/>
      <c r="I1443" s="23"/>
      <c r="J1443" s="13"/>
      <c r="K1443" s="18"/>
      <c r="L1443" s="19"/>
      <c r="M1443" s="19"/>
      <c r="N1443" s="20"/>
      <c r="O1443" s="22"/>
      <c r="P1443" s="22"/>
      <c r="Q1443" s="23"/>
      <c r="R1443" s="23"/>
    </row>
    <row r="1444" spans="1:18" x14ac:dyDescent="0.2">
      <c r="A1444" s="13"/>
      <c r="B1444" s="248" t="s">
        <v>20</v>
      </c>
      <c r="C1444" s="249"/>
      <c r="D1444" s="249"/>
      <c r="E1444" s="250"/>
      <c r="F1444" s="31"/>
      <c r="G1444" s="31"/>
      <c r="H1444" s="32"/>
      <c r="I1444" s="32">
        <f>SUM(I1437:I1443)</f>
        <v>186.32999999999998</v>
      </c>
      <c r="J1444" s="13"/>
      <c r="K1444" s="139" t="s">
        <v>20</v>
      </c>
      <c r="L1444" s="140"/>
      <c r="M1444" s="140"/>
      <c r="N1444" s="141"/>
      <c r="O1444" s="31"/>
      <c r="P1444" s="31"/>
      <c r="Q1444" s="32"/>
      <c r="R1444" s="32">
        <f>SUM(R1437:R1443)</f>
        <v>147.36000000000001</v>
      </c>
    </row>
    <row r="1445" spans="1:18" x14ac:dyDescent="0.2">
      <c r="A1445" s="12"/>
      <c r="B1445" s="251" t="s">
        <v>21</v>
      </c>
      <c r="C1445" s="252"/>
      <c r="D1445" s="252"/>
      <c r="E1445" s="253"/>
      <c r="F1445" s="244" t="s">
        <v>22</v>
      </c>
      <c r="G1445" s="244" t="s">
        <v>13</v>
      </c>
      <c r="H1445" s="244" t="s">
        <v>14</v>
      </c>
      <c r="I1445" s="246" t="s">
        <v>15</v>
      </c>
      <c r="J1445" s="12"/>
      <c r="K1445" s="251" t="s">
        <v>21</v>
      </c>
      <c r="L1445" s="252"/>
      <c r="M1445" s="252"/>
      <c r="N1445" s="253"/>
      <c r="O1445" s="244" t="s">
        <v>22</v>
      </c>
      <c r="P1445" s="244" t="s">
        <v>13</v>
      </c>
      <c r="Q1445" s="244" t="s">
        <v>14</v>
      </c>
      <c r="R1445" s="246" t="s">
        <v>15</v>
      </c>
    </row>
    <row r="1446" spans="1:18" x14ac:dyDescent="0.2">
      <c r="A1446" s="13"/>
      <c r="B1446" s="254"/>
      <c r="C1446" s="255"/>
      <c r="D1446" s="255"/>
      <c r="E1446" s="256"/>
      <c r="F1446" s="245"/>
      <c r="G1446" s="245"/>
      <c r="H1446" s="245"/>
      <c r="I1446" s="247"/>
      <c r="J1446" s="13"/>
      <c r="K1446" s="254"/>
      <c r="L1446" s="255"/>
      <c r="M1446" s="255"/>
      <c r="N1446" s="256"/>
      <c r="O1446" s="245"/>
      <c r="P1446" s="245"/>
      <c r="Q1446" s="245"/>
      <c r="R1446" s="247"/>
    </row>
    <row r="1447" spans="1:18" x14ac:dyDescent="0.2">
      <c r="A1447" s="13" t="s">
        <v>23</v>
      </c>
      <c r="B1447" s="33" t="s">
        <v>24</v>
      </c>
      <c r="C1447" s="15"/>
      <c r="D1447" s="15"/>
      <c r="E1447" s="16"/>
      <c r="F1447" s="34"/>
      <c r="G1447" s="34"/>
      <c r="H1447" s="35"/>
      <c r="I1447" s="35"/>
      <c r="J1447" s="13" t="s">
        <v>23</v>
      </c>
      <c r="K1447" s="33" t="s">
        <v>24</v>
      </c>
      <c r="L1447" s="15"/>
      <c r="M1447" s="15"/>
      <c r="N1447" s="16"/>
      <c r="O1447" s="34"/>
      <c r="P1447" s="34"/>
      <c r="Q1447" s="35"/>
      <c r="R1447" s="35"/>
    </row>
    <row r="1448" spans="1:18" x14ac:dyDescent="0.2">
      <c r="A1448" s="13"/>
      <c r="B1448" s="18"/>
      <c r="C1448" s="19"/>
      <c r="D1448" s="19"/>
      <c r="E1448" s="20"/>
      <c r="F1448" s="22"/>
      <c r="G1448" s="22"/>
      <c r="H1448" s="23"/>
      <c r="I1448" s="23"/>
      <c r="J1448" s="13"/>
      <c r="K1448" s="18"/>
      <c r="L1448" s="19"/>
      <c r="M1448" s="19"/>
      <c r="N1448" s="20"/>
      <c r="O1448" s="22"/>
      <c r="P1448" s="22"/>
      <c r="Q1448" s="23"/>
      <c r="R1448" s="23"/>
    </row>
    <row r="1449" spans="1:18" x14ac:dyDescent="0.2">
      <c r="A1449" s="13"/>
      <c r="B1449" s="18" t="s">
        <v>1130</v>
      </c>
      <c r="C1449" s="19"/>
      <c r="D1449" s="19"/>
      <c r="E1449" s="20"/>
      <c r="F1449" s="22">
        <v>2</v>
      </c>
      <c r="G1449" s="23">
        <v>1</v>
      </c>
      <c r="H1449" s="37">
        <v>1420</v>
      </c>
      <c r="I1449" s="37">
        <f>G1449*H1449*F1449</f>
        <v>2840</v>
      </c>
      <c r="J1449" s="13"/>
      <c r="K1449" s="18" t="s">
        <v>1172</v>
      </c>
      <c r="L1449" s="19"/>
      <c r="M1449" s="19"/>
      <c r="N1449" s="20"/>
      <c r="O1449" s="22">
        <v>1</v>
      </c>
      <c r="P1449" s="23">
        <v>1</v>
      </c>
      <c r="Q1449" s="37">
        <v>2173</v>
      </c>
      <c r="R1449" s="37">
        <f>P1449*Q1449*O1449</f>
        <v>2173</v>
      </c>
    </row>
    <row r="1450" spans="1:18" x14ac:dyDescent="0.2">
      <c r="A1450" s="13"/>
      <c r="B1450" s="18" t="s">
        <v>99</v>
      </c>
      <c r="C1450" s="19"/>
      <c r="D1450" s="19"/>
      <c r="E1450" s="20"/>
      <c r="F1450" s="22">
        <v>1</v>
      </c>
      <c r="G1450" s="23">
        <v>1</v>
      </c>
      <c r="H1450" s="37">
        <v>1537</v>
      </c>
      <c r="I1450" s="37">
        <f>G1450*H1450*F1450</f>
        <v>1537</v>
      </c>
      <c r="J1450" s="13"/>
      <c r="K1450" s="18" t="s">
        <v>1173</v>
      </c>
      <c r="L1450" s="19"/>
      <c r="M1450" s="19"/>
      <c r="N1450" s="20"/>
      <c r="O1450" s="22">
        <v>1</v>
      </c>
      <c r="P1450" s="23">
        <v>1</v>
      </c>
      <c r="Q1450" s="37">
        <v>1846</v>
      </c>
      <c r="R1450" s="37">
        <f>P1450*Q1450*O1450</f>
        <v>1846</v>
      </c>
    </row>
    <row r="1451" spans="1:18" x14ac:dyDescent="0.2">
      <c r="A1451" s="13"/>
      <c r="B1451" s="18" t="s">
        <v>217</v>
      </c>
      <c r="F1451" s="22">
        <v>1</v>
      </c>
      <c r="G1451" s="23">
        <v>0.1</v>
      </c>
      <c r="H1451" s="37">
        <v>1733</v>
      </c>
      <c r="I1451" s="37">
        <f>G1451*H1451*F1451</f>
        <v>173.3</v>
      </c>
      <c r="J1451" s="13"/>
      <c r="K1451" s="18" t="s">
        <v>1174</v>
      </c>
      <c r="L1451" s="19"/>
      <c r="M1451" s="19"/>
      <c r="N1451" s="20"/>
      <c r="O1451" s="22">
        <v>1</v>
      </c>
      <c r="P1451" s="23">
        <v>0.25</v>
      </c>
      <c r="Q1451" s="37">
        <v>2450</v>
      </c>
      <c r="R1451" s="37">
        <f>P1451*Q1451*O1451</f>
        <v>612.5</v>
      </c>
    </row>
    <row r="1452" spans="1:18" x14ac:dyDescent="0.2">
      <c r="A1452" s="13"/>
      <c r="B1452" s="18" t="s">
        <v>1192</v>
      </c>
      <c r="C1452" s="19"/>
      <c r="D1452" s="19"/>
      <c r="E1452" s="20"/>
      <c r="F1452" s="22"/>
      <c r="G1452" s="23"/>
      <c r="I1452" s="37">
        <f>0.1*I1444</f>
        <v>18.632999999999999</v>
      </c>
      <c r="J1452" s="13"/>
      <c r="K1452" s="18"/>
      <c r="O1452" s="22"/>
      <c r="P1452" s="36"/>
      <c r="Q1452" s="37"/>
      <c r="R1452" s="37"/>
    </row>
    <row r="1453" spans="1:18" x14ac:dyDescent="0.2">
      <c r="A1453" s="13"/>
      <c r="B1453" s="18"/>
      <c r="C1453" s="19"/>
      <c r="D1453" s="19"/>
      <c r="E1453" s="20"/>
      <c r="F1453" s="22"/>
      <c r="G1453" s="36"/>
      <c r="H1453" s="37"/>
      <c r="I1453" s="37"/>
      <c r="J1453" s="13"/>
      <c r="K1453" s="18"/>
      <c r="L1453" s="19"/>
      <c r="M1453" s="19"/>
      <c r="N1453" s="20"/>
      <c r="O1453" s="22"/>
      <c r="P1453" s="36"/>
      <c r="Q1453" s="37"/>
      <c r="R1453" s="37"/>
    </row>
    <row r="1454" spans="1:18" x14ac:dyDescent="0.2">
      <c r="A1454" s="13"/>
      <c r="B1454" s="18" t="s">
        <v>101</v>
      </c>
      <c r="C1454" s="19"/>
      <c r="D1454" s="19"/>
      <c r="E1454" s="20"/>
      <c r="F1454" s="22"/>
      <c r="G1454" s="36"/>
      <c r="H1454" s="38"/>
      <c r="I1454" s="38"/>
      <c r="J1454" s="13"/>
      <c r="K1454" s="18"/>
      <c r="L1454" s="19"/>
      <c r="M1454" s="19"/>
      <c r="N1454" s="20"/>
      <c r="O1454" s="22"/>
      <c r="P1454" s="36"/>
      <c r="Q1454" s="38"/>
      <c r="R1454" s="38"/>
    </row>
    <row r="1455" spans="1:18" x14ac:dyDescent="0.2">
      <c r="A1455" s="13"/>
      <c r="B1455" s="18"/>
      <c r="C1455" s="19"/>
      <c r="D1455" s="19"/>
      <c r="E1455" s="20"/>
      <c r="F1455" s="22"/>
      <c r="G1455" s="36"/>
      <c r="H1455" s="38"/>
      <c r="I1455" s="38"/>
      <c r="J1455" s="13"/>
      <c r="K1455" s="18"/>
      <c r="L1455" s="19"/>
      <c r="M1455" s="19"/>
      <c r="N1455" s="20"/>
      <c r="O1455" s="22"/>
      <c r="P1455" s="36"/>
      <c r="Q1455" s="38"/>
      <c r="R1455" s="38"/>
    </row>
    <row r="1456" spans="1:18" x14ac:dyDescent="0.2">
      <c r="A1456" s="13"/>
      <c r="B1456" s="18"/>
      <c r="C1456" s="19"/>
      <c r="D1456" s="19"/>
      <c r="E1456" s="20"/>
      <c r="F1456" s="22"/>
      <c r="G1456" s="36"/>
      <c r="H1456" s="38"/>
      <c r="I1456" s="38"/>
      <c r="J1456" s="13"/>
      <c r="K1456" s="18"/>
      <c r="L1456" s="19"/>
      <c r="M1456" s="19"/>
      <c r="N1456" s="20"/>
      <c r="O1456" s="22"/>
      <c r="P1456" s="36"/>
      <c r="Q1456" s="38"/>
      <c r="R1456" s="38"/>
    </row>
    <row r="1457" spans="1:18" x14ac:dyDescent="0.2">
      <c r="A1457" s="13"/>
      <c r="B1457" s="18"/>
      <c r="C1457" s="19"/>
      <c r="D1457" s="19"/>
      <c r="E1457" s="20"/>
      <c r="F1457" s="22"/>
      <c r="G1457" s="36"/>
      <c r="H1457" s="38"/>
      <c r="I1457" s="38"/>
      <c r="J1457" s="13"/>
      <c r="K1457" s="18"/>
      <c r="L1457" s="19"/>
      <c r="M1457" s="19"/>
      <c r="N1457" s="20"/>
      <c r="O1457" s="22"/>
      <c r="P1457" s="36"/>
      <c r="Q1457" s="38"/>
      <c r="R1457" s="38"/>
    </row>
    <row r="1458" spans="1:18" x14ac:dyDescent="0.2">
      <c r="A1458" s="13"/>
      <c r="B1458" s="18"/>
      <c r="C1458" s="19"/>
      <c r="D1458" s="19"/>
      <c r="E1458" s="20"/>
      <c r="F1458" s="22"/>
      <c r="G1458" s="36"/>
      <c r="H1458" s="37"/>
      <c r="I1458" s="37"/>
      <c r="J1458" s="13"/>
      <c r="K1458" s="18"/>
      <c r="L1458" s="19"/>
      <c r="M1458" s="19"/>
      <c r="N1458" s="20"/>
      <c r="O1458" s="22"/>
      <c r="P1458" s="36"/>
      <c r="Q1458" s="37"/>
      <c r="R1458" s="37"/>
    </row>
    <row r="1459" spans="1:18" x14ac:dyDescent="0.2">
      <c r="A1459" s="13"/>
      <c r="B1459" s="18"/>
      <c r="C1459" s="19"/>
      <c r="D1459" s="19"/>
      <c r="E1459" s="20"/>
      <c r="F1459" s="22"/>
      <c r="G1459" s="36"/>
      <c r="H1459" s="37"/>
      <c r="I1459" s="37"/>
      <c r="J1459" s="13"/>
      <c r="K1459" s="18"/>
      <c r="L1459" s="19"/>
      <c r="M1459" s="19"/>
      <c r="N1459" s="20"/>
      <c r="O1459" s="22"/>
      <c r="P1459" s="36"/>
      <c r="Q1459" s="37"/>
      <c r="R1459" s="37"/>
    </row>
    <row r="1460" spans="1:18" x14ac:dyDescent="0.2">
      <c r="A1460" s="13"/>
      <c r="B1460" s="18"/>
      <c r="C1460" s="19"/>
      <c r="D1460" s="19"/>
      <c r="E1460" s="20"/>
      <c r="F1460" s="22"/>
      <c r="G1460" s="36"/>
      <c r="H1460" s="37"/>
      <c r="I1460" s="37"/>
      <c r="J1460" s="13"/>
      <c r="K1460" s="18"/>
      <c r="L1460" s="19"/>
      <c r="M1460" s="19"/>
      <c r="N1460" s="20"/>
      <c r="O1460" s="22"/>
      <c r="P1460" s="36"/>
      <c r="Q1460" s="37"/>
      <c r="R1460" s="37"/>
    </row>
    <row r="1461" spans="1:18" x14ac:dyDescent="0.2">
      <c r="A1461" s="13"/>
      <c r="B1461" s="18"/>
      <c r="C1461" s="19"/>
      <c r="D1461" s="19"/>
      <c r="E1461" s="20"/>
      <c r="F1461" s="22"/>
      <c r="G1461" s="22"/>
      <c r="H1461" s="23"/>
      <c r="I1461" s="23"/>
      <c r="J1461" s="13"/>
      <c r="K1461" s="18"/>
      <c r="L1461" s="19"/>
      <c r="M1461" s="19"/>
      <c r="N1461" s="20"/>
      <c r="O1461" s="22"/>
      <c r="P1461" s="22"/>
      <c r="Q1461" s="23"/>
      <c r="R1461" s="23"/>
    </row>
    <row r="1462" spans="1:18" x14ac:dyDescent="0.2">
      <c r="A1462" s="13"/>
      <c r="B1462" s="248" t="s">
        <v>30</v>
      </c>
      <c r="C1462" s="249"/>
      <c r="D1462" s="249"/>
      <c r="E1462" s="250"/>
      <c r="F1462" s="22"/>
      <c r="G1462" s="22"/>
      <c r="H1462" s="23"/>
      <c r="I1462" s="23">
        <f>SUM(I1449:I1461)</f>
        <v>4568.933</v>
      </c>
      <c r="J1462" s="13"/>
      <c r="K1462" s="139" t="s">
        <v>30</v>
      </c>
      <c r="L1462" s="140"/>
      <c r="M1462" s="140"/>
      <c r="N1462" s="141"/>
      <c r="O1462" s="22"/>
      <c r="P1462" s="22"/>
      <c r="Q1462" s="23"/>
      <c r="R1462" s="23">
        <f>SUM(R1449:R1461)</f>
        <v>4631.5</v>
      </c>
    </row>
    <row r="1463" spans="1:18" x14ac:dyDescent="0.2">
      <c r="A1463" s="12" t="s">
        <v>31</v>
      </c>
      <c r="B1463" s="260" t="s">
        <v>32</v>
      </c>
      <c r="C1463" s="261"/>
      <c r="D1463" s="261"/>
      <c r="E1463" s="261"/>
      <c r="F1463" s="39"/>
      <c r="G1463" s="39"/>
      <c r="H1463" s="40"/>
      <c r="I1463" s="41">
        <f>SUM(I1462+I1444)</f>
        <v>4755.2629999999999</v>
      </c>
      <c r="J1463" s="12" t="s">
        <v>31</v>
      </c>
      <c r="K1463" s="142" t="s">
        <v>32</v>
      </c>
      <c r="L1463" s="143"/>
      <c r="M1463" s="143"/>
      <c r="N1463" s="143"/>
      <c r="O1463" s="143"/>
      <c r="P1463" s="143"/>
      <c r="Q1463" s="40"/>
      <c r="R1463" s="41">
        <f>SUM(R1462+R1444)</f>
        <v>4778.8599999999997</v>
      </c>
    </row>
    <row r="1464" spans="1:18" x14ac:dyDescent="0.2">
      <c r="A1464" s="13" t="s">
        <v>33</v>
      </c>
      <c r="B1464" s="264">
        <f>E1431</f>
        <v>20</v>
      </c>
      <c r="C1464" s="265"/>
      <c r="D1464" s="265"/>
      <c r="E1464" s="265"/>
      <c r="F1464" s="265"/>
      <c r="G1464" s="265"/>
      <c r="H1464" s="40"/>
      <c r="I1464" s="41"/>
      <c r="J1464" s="13" t="s">
        <v>33</v>
      </c>
      <c r="K1464" s="299">
        <f>N1431</f>
        <v>300</v>
      </c>
      <c r="L1464" s="300"/>
      <c r="M1464" s="300"/>
      <c r="N1464" s="300"/>
      <c r="O1464" s="300"/>
      <c r="P1464" s="300"/>
      <c r="Q1464" s="40"/>
      <c r="R1464" s="41"/>
    </row>
    <row r="1465" spans="1:18" x14ac:dyDescent="0.2">
      <c r="A1465" s="13" t="s">
        <v>34</v>
      </c>
      <c r="B1465" s="42" t="s">
        <v>35</v>
      </c>
      <c r="C1465" s="43"/>
      <c r="D1465" s="43"/>
      <c r="E1465" s="39"/>
      <c r="F1465" s="44"/>
      <c r="G1465" s="44"/>
      <c r="H1465" s="40"/>
      <c r="I1465" s="41">
        <f>I1463/E1431</f>
        <v>237.76315</v>
      </c>
      <c r="J1465" s="13" t="s">
        <v>34</v>
      </c>
      <c r="K1465" s="147" t="s">
        <v>35</v>
      </c>
      <c r="L1465" s="43"/>
      <c r="M1465" s="43"/>
      <c r="N1465" s="143"/>
      <c r="O1465" s="148"/>
      <c r="P1465" s="148"/>
      <c r="Q1465" s="40"/>
      <c r="R1465" s="41">
        <f>R1463/N1431</f>
        <v>15.929533333333332</v>
      </c>
    </row>
    <row r="1466" spans="1:18" x14ac:dyDescent="0.2">
      <c r="A1466" s="12"/>
      <c r="B1466" s="251" t="s">
        <v>36</v>
      </c>
      <c r="C1466" s="252"/>
      <c r="D1466" s="252"/>
      <c r="E1466" s="253"/>
      <c r="F1466" s="244" t="s">
        <v>37</v>
      </c>
      <c r="G1466" s="244" t="s">
        <v>38</v>
      </c>
      <c r="H1466" s="244" t="s">
        <v>39</v>
      </c>
      <c r="I1466" s="246" t="s">
        <v>15</v>
      </c>
      <c r="J1466" s="12"/>
      <c r="K1466" s="251" t="s">
        <v>36</v>
      </c>
      <c r="L1466" s="252"/>
      <c r="M1466" s="252"/>
      <c r="N1466" s="253"/>
      <c r="O1466" s="244" t="s">
        <v>37</v>
      </c>
      <c r="P1466" s="244" t="s">
        <v>38</v>
      </c>
      <c r="Q1466" s="244" t="s">
        <v>39</v>
      </c>
      <c r="R1466" s="246" t="s">
        <v>15</v>
      </c>
    </row>
    <row r="1467" spans="1:18" x14ac:dyDescent="0.2">
      <c r="A1467" s="13"/>
      <c r="B1467" s="254"/>
      <c r="C1467" s="255"/>
      <c r="D1467" s="255"/>
      <c r="E1467" s="256"/>
      <c r="F1467" s="245"/>
      <c r="G1467" s="245"/>
      <c r="H1467" s="245"/>
      <c r="I1467" s="247"/>
      <c r="J1467" s="13"/>
      <c r="K1467" s="254"/>
      <c r="L1467" s="255"/>
      <c r="M1467" s="255"/>
      <c r="N1467" s="256"/>
      <c r="O1467" s="245"/>
      <c r="P1467" s="245"/>
      <c r="Q1467" s="245"/>
      <c r="R1467" s="247"/>
    </row>
    <row r="1468" spans="1:18" x14ac:dyDescent="0.2">
      <c r="A1468" s="13" t="s">
        <v>40</v>
      </c>
      <c r="B1468" s="18" t="s">
        <v>41</v>
      </c>
      <c r="C1468" s="19"/>
      <c r="D1468" s="19"/>
      <c r="E1468" s="20"/>
      <c r="F1468" s="22"/>
      <c r="G1468" s="22"/>
      <c r="H1468" s="23"/>
      <c r="I1468" s="23"/>
      <c r="J1468" s="13" t="s">
        <v>40</v>
      </c>
      <c r="K1468" s="18" t="s">
        <v>41</v>
      </c>
      <c r="L1468" s="19"/>
      <c r="M1468" s="19"/>
      <c r="N1468" s="20"/>
      <c r="O1468" s="22"/>
      <c r="P1468" s="22"/>
      <c r="Q1468" s="23"/>
      <c r="R1468" s="23"/>
    </row>
    <row r="1469" spans="1:18" x14ac:dyDescent="0.2">
      <c r="A1469" s="13"/>
      <c r="B1469" s="18"/>
      <c r="C1469" s="19"/>
      <c r="D1469" s="19"/>
      <c r="E1469" s="20"/>
      <c r="F1469" s="22"/>
      <c r="G1469" s="22"/>
      <c r="H1469" s="23"/>
      <c r="I1469" s="23"/>
      <c r="J1469" s="13"/>
      <c r="K1469" s="18"/>
      <c r="L1469" s="19"/>
      <c r="M1469" s="19"/>
      <c r="N1469" s="20"/>
      <c r="O1469" s="22"/>
      <c r="P1469" s="22"/>
      <c r="Q1469" s="23"/>
      <c r="R1469" s="23"/>
    </row>
    <row r="1470" spans="1:18" x14ac:dyDescent="0.2">
      <c r="A1470" s="13"/>
      <c r="B1470" s="18"/>
      <c r="C1470" s="19"/>
      <c r="D1470" s="19"/>
      <c r="E1470" s="20"/>
      <c r="F1470" s="22"/>
      <c r="G1470" s="22"/>
      <c r="H1470" s="23"/>
      <c r="I1470" s="23"/>
      <c r="J1470" s="13"/>
      <c r="K1470" s="18"/>
      <c r="L1470" s="19"/>
      <c r="M1470" s="19"/>
      <c r="N1470" s="20"/>
      <c r="O1470" s="22"/>
      <c r="P1470" s="22"/>
      <c r="Q1470" s="23"/>
      <c r="R1470" s="23"/>
    </row>
    <row r="1471" spans="1:18" x14ac:dyDescent="0.2">
      <c r="A1471" s="13"/>
      <c r="B1471" s="18"/>
      <c r="C1471" s="19"/>
      <c r="D1471" s="19"/>
      <c r="E1471" s="20"/>
      <c r="F1471" s="22"/>
      <c r="G1471" s="22"/>
      <c r="H1471" s="23"/>
      <c r="I1471" s="23"/>
      <c r="J1471" s="13"/>
      <c r="K1471" s="18"/>
      <c r="L1471" s="19"/>
      <c r="M1471" s="19"/>
      <c r="N1471" s="20"/>
      <c r="O1471" s="22"/>
      <c r="P1471" s="22"/>
      <c r="Q1471" s="23"/>
      <c r="R1471" s="23"/>
    </row>
    <row r="1472" spans="1:18" x14ac:dyDescent="0.2">
      <c r="A1472" s="13"/>
      <c r="B1472" s="18"/>
      <c r="C1472" s="19"/>
      <c r="D1472" s="19"/>
      <c r="E1472" s="20"/>
      <c r="F1472" s="22"/>
      <c r="G1472" s="22"/>
      <c r="H1472" s="38"/>
      <c r="I1472" s="38"/>
      <c r="J1472" s="13"/>
      <c r="K1472" s="18"/>
      <c r="L1472" s="19"/>
      <c r="M1472" s="19"/>
      <c r="N1472" s="20"/>
      <c r="O1472" s="22"/>
      <c r="P1472" s="22"/>
      <c r="Q1472" s="38"/>
      <c r="R1472" s="38"/>
    </row>
    <row r="1473" spans="1:18" x14ac:dyDescent="0.2">
      <c r="A1473" s="13"/>
      <c r="B1473" s="18"/>
      <c r="C1473" s="19"/>
      <c r="D1473" s="19"/>
      <c r="E1473" s="20"/>
      <c r="F1473" s="22"/>
      <c r="G1473" s="22"/>
      <c r="H1473" s="38"/>
      <c r="I1473" s="38"/>
      <c r="J1473" s="13"/>
      <c r="K1473" s="18"/>
      <c r="L1473" s="19"/>
      <c r="M1473" s="19"/>
      <c r="N1473" s="20"/>
      <c r="O1473" s="22"/>
      <c r="P1473" s="22"/>
      <c r="Q1473" s="38"/>
      <c r="R1473" s="38"/>
    </row>
    <row r="1474" spans="1:18" x14ac:dyDescent="0.2">
      <c r="A1474" s="13"/>
      <c r="B1474" s="18"/>
      <c r="C1474" s="19"/>
      <c r="D1474" s="19"/>
      <c r="E1474" s="20"/>
      <c r="F1474" s="22"/>
      <c r="G1474" s="22"/>
      <c r="H1474" s="45"/>
      <c r="I1474" s="45"/>
      <c r="J1474" s="13"/>
      <c r="K1474" s="18"/>
      <c r="L1474" s="19"/>
      <c r="M1474" s="19"/>
      <c r="N1474" s="20"/>
      <c r="O1474" s="22"/>
      <c r="P1474" s="22"/>
      <c r="Q1474" s="45"/>
      <c r="R1474" s="45"/>
    </row>
    <row r="1475" spans="1:18" x14ac:dyDescent="0.2">
      <c r="A1475" s="13"/>
      <c r="B1475" s="18"/>
      <c r="C1475" s="19"/>
      <c r="D1475" s="19"/>
      <c r="E1475" s="20"/>
      <c r="F1475" s="22"/>
      <c r="G1475" s="22"/>
      <c r="H1475" s="45"/>
      <c r="I1475" s="45"/>
      <c r="J1475" s="13"/>
      <c r="K1475" s="18"/>
      <c r="L1475" s="19"/>
      <c r="M1475" s="19"/>
      <c r="N1475" s="20"/>
      <c r="O1475" s="22"/>
      <c r="P1475" s="22"/>
      <c r="Q1475" s="45"/>
      <c r="R1475" s="45"/>
    </row>
    <row r="1476" spans="1:18" x14ac:dyDescent="0.2">
      <c r="A1476" s="13"/>
      <c r="B1476" s="18"/>
      <c r="C1476" s="19"/>
      <c r="D1476" s="19"/>
      <c r="E1476" s="20"/>
      <c r="F1476" s="22"/>
      <c r="G1476" s="22"/>
      <c r="H1476" s="23"/>
      <c r="I1476" s="23"/>
      <c r="J1476" s="13"/>
      <c r="K1476" s="18"/>
      <c r="L1476" s="19"/>
      <c r="M1476" s="19"/>
      <c r="N1476" s="20"/>
      <c r="O1476" s="22"/>
      <c r="P1476" s="22"/>
      <c r="Q1476" s="23"/>
      <c r="R1476" s="23"/>
    </row>
    <row r="1477" spans="1:18" x14ac:dyDescent="0.2">
      <c r="A1477" s="13"/>
      <c r="B1477" s="18"/>
      <c r="C1477" s="19"/>
      <c r="D1477" s="19"/>
      <c r="E1477" s="20"/>
      <c r="F1477" s="22"/>
      <c r="G1477" s="22"/>
      <c r="H1477" s="23"/>
      <c r="I1477" s="23"/>
      <c r="J1477" s="13"/>
      <c r="K1477" s="18"/>
      <c r="L1477" s="19"/>
      <c r="M1477" s="19"/>
      <c r="N1477" s="20"/>
      <c r="O1477" s="22"/>
      <c r="P1477" s="22"/>
      <c r="Q1477" s="23"/>
      <c r="R1477" s="23"/>
    </row>
    <row r="1478" spans="1:18" x14ac:dyDescent="0.2">
      <c r="A1478" s="13"/>
      <c r="B1478" s="18"/>
      <c r="C1478" s="19"/>
      <c r="D1478" s="19"/>
      <c r="E1478" s="20"/>
      <c r="F1478" s="22"/>
      <c r="G1478" s="22"/>
      <c r="H1478" s="23"/>
      <c r="I1478" s="23"/>
      <c r="J1478" s="13"/>
      <c r="K1478" s="18"/>
      <c r="L1478" s="19"/>
      <c r="M1478" s="19"/>
      <c r="N1478" s="20"/>
      <c r="O1478" s="22"/>
      <c r="P1478" s="22"/>
      <c r="Q1478" s="23"/>
      <c r="R1478" s="23"/>
    </row>
    <row r="1479" spans="1:18" x14ac:dyDescent="0.2">
      <c r="A1479" s="13"/>
      <c r="B1479" s="18"/>
      <c r="C1479" s="19"/>
      <c r="D1479" s="19"/>
      <c r="E1479" s="20"/>
      <c r="F1479" s="22"/>
      <c r="G1479" s="22"/>
      <c r="H1479" s="23"/>
      <c r="I1479" s="23"/>
      <c r="J1479" s="13"/>
      <c r="K1479" s="18"/>
      <c r="L1479" s="19"/>
      <c r="M1479" s="19"/>
      <c r="N1479" s="20"/>
      <c r="O1479" s="22"/>
      <c r="P1479" s="22"/>
      <c r="Q1479" s="23"/>
      <c r="R1479" s="23"/>
    </row>
    <row r="1480" spans="1:18" x14ac:dyDescent="0.2">
      <c r="A1480" s="13"/>
      <c r="B1480" s="18"/>
      <c r="C1480" s="19"/>
      <c r="D1480" s="19"/>
      <c r="E1480" s="20"/>
      <c r="F1480" s="22"/>
      <c r="G1480" s="22"/>
      <c r="H1480" s="23"/>
      <c r="I1480" s="23"/>
      <c r="J1480" s="13"/>
      <c r="K1480" s="18"/>
      <c r="L1480" s="19"/>
      <c r="M1480" s="19"/>
      <c r="N1480" s="20"/>
      <c r="O1480" s="22"/>
      <c r="P1480" s="22"/>
      <c r="Q1480" s="23"/>
      <c r="R1480" s="23"/>
    </row>
    <row r="1481" spans="1:18" x14ac:dyDescent="0.2">
      <c r="A1481" s="13"/>
      <c r="B1481" s="18"/>
      <c r="C1481" s="19"/>
      <c r="D1481" s="19"/>
      <c r="E1481" s="20"/>
      <c r="F1481" s="22"/>
      <c r="G1481" s="22"/>
      <c r="H1481" s="23"/>
      <c r="I1481" s="23"/>
      <c r="J1481" s="13"/>
      <c r="K1481" s="18"/>
      <c r="L1481" s="19"/>
      <c r="M1481" s="19"/>
      <c r="N1481" s="20"/>
      <c r="O1481" s="22"/>
      <c r="P1481" s="22"/>
      <c r="Q1481" s="23"/>
      <c r="R1481" s="23"/>
    </row>
    <row r="1482" spans="1:18" x14ac:dyDescent="0.2">
      <c r="A1482" s="13"/>
      <c r="B1482" s="18"/>
      <c r="C1482" s="19"/>
      <c r="D1482" s="19"/>
      <c r="E1482" s="20"/>
      <c r="F1482" s="22"/>
      <c r="G1482" s="36"/>
      <c r="H1482" s="37"/>
      <c r="I1482" s="37"/>
      <c r="J1482" s="13"/>
      <c r="K1482" s="18"/>
      <c r="L1482" s="19"/>
      <c r="M1482" s="19"/>
      <c r="N1482" s="20"/>
      <c r="O1482" s="22"/>
      <c r="P1482" s="36"/>
      <c r="Q1482" s="37"/>
      <c r="R1482" s="37"/>
    </row>
    <row r="1483" spans="1:18" x14ac:dyDescent="0.2">
      <c r="A1483" s="13"/>
      <c r="B1483" s="248" t="s">
        <v>42</v>
      </c>
      <c r="C1483" s="249"/>
      <c r="D1483" s="249"/>
      <c r="E1483" s="250"/>
      <c r="F1483" s="46"/>
      <c r="G1483" s="46"/>
      <c r="H1483" s="47"/>
      <c r="I1483" s="47">
        <f>SUM(I1470:I1482)</f>
        <v>0</v>
      </c>
      <c r="J1483" s="13"/>
      <c r="K1483" s="139" t="s">
        <v>42</v>
      </c>
      <c r="L1483" s="140"/>
      <c r="M1483" s="140"/>
      <c r="N1483" s="141"/>
      <c r="O1483" s="46"/>
      <c r="P1483" s="46"/>
      <c r="Q1483" s="47"/>
      <c r="R1483" s="47">
        <f>SUM(R1470:R1482)</f>
        <v>0</v>
      </c>
    </row>
    <row r="1484" spans="1:18" x14ac:dyDescent="0.2">
      <c r="A1484" s="12" t="s">
        <v>43</v>
      </c>
      <c r="B1484" s="48" t="s">
        <v>44</v>
      </c>
      <c r="C1484" s="43"/>
      <c r="D1484" s="43"/>
      <c r="E1484" s="39"/>
      <c r="F1484" s="49"/>
      <c r="G1484" s="49"/>
      <c r="H1484" s="50"/>
      <c r="I1484" s="51">
        <f>SUM(I1465+I1483)</f>
        <v>237.76315</v>
      </c>
      <c r="J1484" s="12" t="s">
        <v>43</v>
      </c>
      <c r="K1484" s="48" t="s">
        <v>44</v>
      </c>
      <c r="L1484" s="43"/>
      <c r="M1484" s="43"/>
      <c r="N1484" s="143"/>
      <c r="O1484" s="49"/>
      <c r="P1484" s="49"/>
      <c r="Q1484" s="50"/>
      <c r="R1484" s="51">
        <f>SUM(R1465+R1483)</f>
        <v>15.929533333333332</v>
      </c>
    </row>
    <row r="1485" spans="1:18" x14ac:dyDescent="0.2">
      <c r="A1485" s="13" t="s">
        <v>45</v>
      </c>
      <c r="B1485" s="48" t="s">
        <v>46</v>
      </c>
      <c r="C1485" s="43"/>
      <c r="D1485" s="43"/>
      <c r="E1485" s="39"/>
      <c r="F1485" s="49"/>
      <c r="G1485" s="52">
        <v>0.09</v>
      </c>
      <c r="H1485" s="53" t="s">
        <v>47</v>
      </c>
      <c r="I1485" s="51">
        <f>G1485*I1484</f>
        <v>21.398683499999997</v>
      </c>
      <c r="J1485" s="13" t="s">
        <v>45</v>
      </c>
      <c r="K1485" s="48" t="s">
        <v>46</v>
      </c>
      <c r="L1485" s="43"/>
      <c r="M1485" s="43"/>
      <c r="N1485" s="143"/>
      <c r="O1485" s="49"/>
      <c r="P1485" s="52">
        <v>0.09</v>
      </c>
      <c r="Q1485" s="53" t="s">
        <v>47</v>
      </c>
      <c r="R1485" s="51">
        <f>P1485*R1484</f>
        <v>1.4336579999999999</v>
      </c>
    </row>
    <row r="1486" spans="1:18" x14ac:dyDescent="0.2">
      <c r="A1486" s="13" t="s">
        <v>48</v>
      </c>
      <c r="B1486" s="48" t="s">
        <v>49</v>
      </c>
      <c r="C1486" s="43"/>
      <c r="D1486" s="43"/>
      <c r="E1486" s="39"/>
      <c r="F1486" s="49"/>
      <c r="G1486" s="52">
        <v>0.08</v>
      </c>
      <c r="H1486" s="53" t="s">
        <v>47</v>
      </c>
      <c r="I1486" s="51">
        <f>G1486*I1484</f>
        <v>19.021052000000001</v>
      </c>
      <c r="J1486" s="13" t="s">
        <v>48</v>
      </c>
      <c r="K1486" s="48" t="s">
        <v>49</v>
      </c>
      <c r="L1486" s="43"/>
      <c r="M1486" s="43"/>
      <c r="N1486" s="143"/>
      <c r="O1486" s="49"/>
      <c r="P1486" s="52">
        <v>0.08</v>
      </c>
      <c r="Q1486" s="53" t="s">
        <v>47</v>
      </c>
      <c r="R1486" s="51">
        <f>P1486*R1484</f>
        <v>1.2743626666666665</v>
      </c>
    </row>
    <row r="1487" spans="1:18" x14ac:dyDescent="0.2">
      <c r="A1487" s="13" t="s">
        <v>50</v>
      </c>
      <c r="B1487" s="48" t="s">
        <v>51</v>
      </c>
      <c r="C1487" s="43"/>
      <c r="D1487" s="43"/>
      <c r="E1487" s="39"/>
      <c r="F1487" s="49"/>
      <c r="G1487" s="52">
        <v>0.05</v>
      </c>
      <c r="H1487" s="53" t="s">
        <v>52</v>
      </c>
      <c r="I1487" s="51">
        <f>G1487*(I1484+I1485+I1486)</f>
        <v>13.909144275000001</v>
      </c>
      <c r="J1487" s="13" t="s">
        <v>50</v>
      </c>
      <c r="K1487" s="48" t="s">
        <v>51</v>
      </c>
      <c r="L1487" s="43"/>
      <c r="M1487" s="43"/>
      <c r="N1487" s="143"/>
      <c r="O1487" s="49"/>
      <c r="P1487" s="52">
        <f>5/100</f>
        <v>0.05</v>
      </c>
      <c r="Q1487" s="53" t="s">
        <v>52</v>
      </c>
      <c r="R1487" s="51">
        <f>P1487*(R1484+R1485+R1486)</f>
        <v>0.93187769999999992</v>
      </c>
    </row>
    <row r="1488" spans="1:18" x14ac:dyDescent="0.2">
      <c r="A1488" s="54" t="s">
        <v>53</v>
      </c>
      <c r="B1488" s="48" t="s">
        <v>54</v>
      </c>
      <c r="C1488" s="43"/>
      <c r="D1488" s="43"/>
      <c r="E1488" s="39"/>
      <c r="F1488" s="49"/>
      <c r="G1488" s="49"/>
      <c r="H1488" s="55" t="s">
        <v>55</v>
      </c>
      <c r="I1488" s="51">
        <f>SUM(I1484+I1485+I1486+I1487)</f>
        <v>292.09202977500001</v>
      </c>
      <c r="J1488" s="54" t="s">
        <v>53</v>
      </c>
      <c r="K1488" s="48" t="s">
        <v>54</v>
      </c>
      <c r="L1488" s="43"/>
      <c r="M1488" s="43"/>
      <c r="N1488" s="143"/>
      <c r="O1488" s="49"/>
      <c r="P1488" s="49"/>
      <c r="Q1488" s="55" t="s">
        <v>55</v>
      </c>
      <c r="R1488" s="51">
        <f>SUM(R1484+R1485+R1486+R1487)</f>
        <v>19.569431699999999</v>
      </c>
    </row>
    <row r="1489" spans="1:18" s="1" customFormat="1" x14ac:dyDescent="0.2">
      <c r="A1489" s="285" t="s">
        <v>0</v>
      </c>
      <c r="B1489" s="285"/>
      <c r="C1489" s="285"/>
      <c r="D1489" s="285"/>
      <c r="E1489" s="285"/>
      <c r="F1489" s="285"/>
      <c r="G1489" s="285"/>
      <c r="H1489" s="285"/>
      <c r="I1489" s="285"/>
      <c r="J1489" s="285" t="s">
        <v>0</v>
      </c>
      <c r="K1489" s="285"/>
      <c r="L1489" s="285"/>
      <c r="M1489" s="285"/>
      <c r="N1489" s="285"/>
      <c r="O1489" s="285"/>
      <c r="P1489" s="285"/>
      <c r="Q1489" s="285"/>
      <c r="R1489" s="285"/>
    </row>
    <row r="1491" spans="1:18" x14ac:dyDescent="0.2">
      <c r="A1491" s="2" t="s">
        <v>1</v>
      </c>
      <c r="C1491" s="4" t="s">
        <v>2</v>
      </c>
      <c r="D1491" s="5" t="s">
        <v>218</v>
      </c>
      <c r="E1491" s="237" t="s">
        <v>6</v>
      </c>
      <c r="F1491" s="237"/>
      <c r="G1491" s="237"/>
      <c r="H1491" s="237"/>
      <c r="J1491" s="144" t="s">
        <v>1</v>
      </c>
      <c r="L1491" s="4" t="s">
        <v>2</v>
      </c>
      <c r="M1491" s="5" t="s">
        <v>215</v>
      </c>
      <c r="N1491" s="144" t="s">
        <v>216</v>
      </c>
      <c r="O1491" s="144"/>
      <c r="P1491" s="144"/>
      <c r="Q1491" s="144"/>
    </row>
    <row r="1492" spans="1:18" x14ac:dyDescent="0.2">
      <c r="A1492" s="2" t="s">
        <v>7</v>
      </c>
      <c r="C1492" s="4" t="s">
        <v>2</v>
      </c>
      <c r="E1492" s="2" t="s">
        <v>9</v>
      </c>
      <c r="F1492" s="8"/>
      <c r="G1492" s="8"/>
      <c r="H1492" s="8"/>
      <c r="J1492" s="144" t="s">
        <v>7</v>
      </c>
      <c r="L1492" s="4" t="s">
        <v>2</v>
      </c>
      <c r="N1492" s="144" t="s">
        <v>8</v>
      </c>
      <c r="O1492" s="8"/>
      <c r="P1492" s="8"/>
      <c r="Q1492" s="8"/>
    </row>
    <row r="1493" spans="1:18" x14ac:dyDescent="0.2">
      <c r="A1493" s="2" t="s">
        <v>10</v>
      </c>
      <c r="C1493" s="4" t="s">
        <v>2</v>
      </c>
      <c r="E1493" s="9">
        <v>60</v>
      </c>
      <c r="F1493" s="8"/>
      <c r="G1493" s="8"/>
      <c r="H1493" s="8"/>
      <c r="J1493" s="144" t="s">
        <v>10</v>
      </c>
      <c r="L1493" s="4" t="s">
        <v>2</v>
      </c>
      <c r="N1493" s="9">
        <v>300</v>
      </c>
      <c r="O1493" s="8"/>
      <c r="P1493" s="8"/>
      <c r="Q1493" s="8"/>
    </row>
    <row r="1494" spans="1:18" x14ac:dyDescent="0.2">
      <c r="B1494" s="8"/>
      <c r="F1494" s="11"/>
      <c r="G1494" s="8"/>
      <c r="H1494" s="8"/>
      <c r="I1494" s="8"/>
      <c r="K1494" s="8"/>
      <c r="O1494" s="11"/>
      <c r="P1494" s="8"/>
      <c r="Q1494" s="8"/>
      <c r="R1494" s="8"/>
    </row>
    <row r="1495" spans="1:18" x14ac:dyDescent="0.2">
      <c r="A1495" s="12"/>
      <c r="B1495" s="238" t="s">
        <v>11</v>
      </c>
      <c r="C1495" s="239"/>
      <c r="D1495" s="239"/>
      <c r="E1495" s="240"/>
      <c r="F1495" s="244" t="s">
        <v>12</v>
      </c>
      <c r="G1495" s="244" t="s">
        <v>13</v>
      </c>
      <c r="H1495" s="244" t="s">
        <v>14</v>
      </c>
      <c r="I1495" s="246" t="s">
        <v>15</v>
      </c>
      <c r="J1495" s="12"/>
      <c r="K1495" s="238" t="s">
        <v>11</v>
      </c>
      <c r="L1495" s="239"/>
      <c r="M1495" s="239"/>
      <c r="N1495" s="240"/>
      <c r="O1495" s="244" t="s">
        <v>12</v>
      </c>
      <c r="P1495" s="244" t="s">
        <v>13</v>
      </c>
      <c r="Q1495" s="244" t="s">
        <v>14</v>
      </c>
      <c r="R1495" s="246" t="s">
        <v>15</v>
      </c>
    </row>
    <row r="1496" spans="1:18" x14ac:dyDescent="0.2">
      <c r="A1496" s="13"/>
      <c r="B1496" s="241"/>
      <c r="C1496" s="242"/>
      <c r="D1496" s="242"/>
      <c r="E1496" s="243"/>
      <c r="F1496" s="245"/>
      <c r="G1496" s="245"/>
      <c r="H1496" s="245"/>
      <c r="I1496" s="247"/>
      <c r="J1496" s="13"/>
      <c r="K1496" s="241"/>
      <c r="L1496" s="242"/>
      <c r="M1496" s="242"/>
      <c r="N1496" s="243"/>
      <c r="O1496" s="245"/>
      <c r="P1496" s="245"/>
      <c r="Q1496" s="245"/>
      <c r="R1496" s="247"/>
    </row>
    <row r="1497" spans="1:18" x14ac:dyDescent="0.2">
      <c r="A1497" s="13" t="s">
        <v>16</v>
      </c>
      <c r="B1497" s="14" t="s">
        <v>17</v>
      </c>
      <c r="C1497" s="15"/>
      <c r="D1497" s="15"/>
      <c r="E1497" s="16"/>
      <c r="F1497" s="17"/>
      <c r="G1497" s="17"/>
      <c r="H1497" s="17"/>
      <c r="I1497" s="17"/>
      <c r="J1497" s="13" t="s">
        <v>16</v>
      </c>
      <c r="K1497" s="14" t="s">
        <v>17</v>
      </c>
      <c r="L1497" s="15"/>
      <c r="M1497" s="15"/>
      <c r="N1497" s="16"/>
      <c r="O1497" s="17"/>
      <c r="P1497" s="17"/>
      <c r="Q1497" s="17"/>
      <c r="R1497" s="17"/>
    </row>
    <row r="1498" spans="1:18" x14ac:dyDescent="0.2">
      <c r="A1498" s="13"/>
      <c r="B1498" s="18"/>
      <c r="C1498" s="19"/>
      <c r="D1498" s="19"/>
      <c r="E1498" s="20"/>
      <c r="F1498" s="21"/>
      <c r="G1498" s="22"/>
      <c r="H1498" s="21"/>
      <c r="I1498" s="21"/>
      <c r="J1498" s="13"/>
      <c r="K1498" s="18"/>
      <c r="L1498" s="19"/>
      <c r="M1498" s="19"/>
      <c r="N1498" s="20"/>
      <c r="O1498" s="21"/>
      <c r="P1498" s="22"/>
      <c r="Q1498" s="21"/>
      <c r="R1498" s="21"/>
    </row>
    <row r="1499" spans="1:18" x14ac:dyDescent="0.2">
      <c r="A1499" s="13"/>
      <c r="B1499" s="24" t="s">
        <v>18</v>
      </c>
      <c r="C1499" s="25"/>
      <c r="D1499" s="25"/>
      <c r="E1499" s="26"/>
      <c r="F1499" s="22">
        <v>1</v>
      </c>
      <c r="G1499" s="62">
        <v>1</v>
      </c>
      <c r="H1499" s="23">
        <v>69.42</v>
      </c>
      <c r="I1499" s="23">
        <f>G1499*H1499*F1499</f>
        <v>69.42</v>
      </c>
      <c r="J1499" s="13"/>
      <c r="K1499" s="24" t="s">
        <v>18</v>
      </c>
      <c r="L1499" s="25"/>
      <c r="M1499" s="25"/>
      <c r="N1499" s="26"/>
      <c r="O1499" s="22">
        <v>1</v>
      </c>
      <c r="P1499" s="62">
        <v>1</v>
      </c>
      <c r="Q1499" s="23">
        <v>69.42</v>
      </c>
      <c r="R1499" s="23">
        <f>P1499*Q1499*O1499</f>
        <v>69.42</v>
      </c>
    </row>
    <row r="1500" spans="1:18" x14ac:dyDescent="0.2">
      <c r="A1500" s="13"/>
      <c r="B1500" s="24" t="s">
        <v>1179</v>
      </c>
      <c r="C1500" s="25"/>
      <c r="D1500" s="25"/>
      <c r="E1500" s="26"/>
      <c r="F1500" s="22">
        <v>2</v>
      </c>
      <c r="G1500" s="62">
        <v>1</v>
      </c>
      <c r="H1500" s="23">
        <v>38.97</v>
      </c>
      <c r="I1500" s="23">
        <f>G1500*H1500*F1500</f>
        <v>77.94</v>
      </c>
      <c r="J1500" s="13"/>
      <c r="K1500" s="24" t="s">
        <v>1179</v>
      </c>
      <c r="L1500" s="25"/>
      <c r="M1500" s="25"/>
      <c r="N1500" s="26"/>
      <c r="O1500" s="22">
        <v>2</v>
      </c>
      <c r="P1500" s="62">
        <v>1</v>
      </c>
      <c r="Q1500" s="23">
        <v>38.97</v>
      </c>
      <c r="R1500" s="23">
        <f>P1500*Q1500*O1500</f>
        <v>77.94</v>
      </c>
    </row>
    <row r="1501" spans="1:18" x14ac:dyDescent="0.2">
      <c r="A1501" s="13"/>
      <c r="B1501" s="27"/>
      <c r="C1501" s="19"/>
      <c r="D1501" s="19"/>
      <c r="E1501" s="20"/>
      <c r="F1501" s="22"/>
      <c r="G1501" s="22"/>
      <c r="H1501" s="28"/>
      <c r="I1501" s="23"/>
      <c r="J1501" s="13"/>
      <c r="K1501" s="145"/>
      <c r="L1501" s="19"/>
      <c r="M1501" s="19"/>
      <c r="N1501" s="20"/>
      <c r="O1501" s="22"/>
      <c r="P1501" s="22"/>
      <c r="Q1501" s="28"/>
      <c r="R1501" s="23"/>
    </row>
    <row r="1502" spans="1:18" x14ac:dyDescent="0.2">
      <c r="A1502" s="13"/>
      <c r="B1502" s="27"/>
      <c r="C1502" s="19"/>
      <c r="D1502" s="19"/>
      <c r="E1502" s="20"/>
      <c r="F1502" s="22"/>
      <c r="G1502" s="22"/>
      <c r="H1502" s="29"/>
      <c r="I1502" s="30"/>
      <c r="J1502" s="13"/>
      <c r="K1502" s="145"/>
      <c r="L1502" s="19"/>
      <c r="M1502" s="19"/>
      <c r="N1502" s="20"/>
      <c r="O1502" s="22"/>
      <c r="P1502" s="22"/>
      <c r="Q1502" s="29"/>
      <c r="R1502" s="30"/>
    </row>
    <row r="1503" spans="1:18" x14ac:dyDescent="0.2">
      <c r="A1503" s="13"/>
      <c r="B1503" s="27"/>
      <c r="C1503" s="19"/>
      <c r="D1503" s="19"/>
      <c r="E1503" s="20"/>
      <c r="F1503" s="22"/>
      <c r="G1503" s="22"/>
      <c r="H1503" s="29"/>
      <c r="I1503" s="30"/>
      <c r="J1503" s="13"/>
      <c r="K1503" s="145"/>
      <c r="L1503" s="19"/>
      <c r="M1503" s="19"/>
      <c r="N1503" s="20"/>
      <c r="O1503" s="22"/>
      <c r="P1503" s="22"/>
      <c r="Q1503" s="29"/>
      <c r="R1503" s="30"/>
    </row>
    <row r="1504" spans="1:18" x14ac:dyDescent="0.2">
      <c r="A1504" s="13"/>
      <c r="B1504" s="18"/>
      <c r="C1504" s="19"/>
      <c r="D1504" s="19"/>
      <c r="E1504" s="20"/>
      <c r="F1504" s="22"/>
      <c r="G1504" s="22"/>
      <c r="H1504" s="28"/>
      <c r="I1504" s="23"/>
      <c r="J1504" s="13"/>
      <c r="K1504" s="18"/>
      <c r="L1504" s="19"/>
      <c r="M1504" s="19"/>
      <c r="N1504" s="20"/>
      <c r="O1504" s="22"/>
      <c r="P1504" s="22"/>
      <c r="Q1504" s="28"/>
      <c r="R1504" s="23"/>
    </row>
    <row r="1505" spans="1:18" x14ac:dyDescent="0.2">
      <c r="A1505" s="13"/>
      <c r="B1505" s="18"/>
      <c r="C1505" s="19"/>
      <c r="D1505" s="19"/>
      <c r="E1505" s="20"/>
      <c r="F1505" s="22"/>
      <c r="G1505" s="22"/>
      <c r="H1505" s="23"/>
      <c r="I1505" s="23"/>
      <c r="J1505" s="13"/>
      <c r="K1505" s="18"/>
      <c r="L1505" s="19"/>
      <c r="M1505" s="19"/>
      <c r="N1505" s="20"/>
      <c r="O1505" s="22"/>
      <c r="P1505" s="22"/>
      <c r="Q1505" s="23"/>
      <c r="R1505" s="23"/>
    </row>
    <row r="1506" spans="1:18" x14ac:dyDescent="0.2">
      <c r="A1506" s="13"/>
      <c r="B1506" s="248" t="s">
        <v>20</v>
      </c>
      <c r="C1506" s="249"/>
      <c r="D1506" s="249"/>
      <c r="E1506" s="250"/>
      <c r="F1506" s="31"/>
      <c r="G1506" s="31"/>
      <c r="H1506" s="32"/>
      <c r="I1506" s="32">
        <f>SUM(I1499:I1505)</f>
        <v>147.36000000000001</v>
      </c>
      <c r="J1506" s="13"/>
      <c r="K1506" s="139" t="s">
        <v>20</v>
      </c>
      <c r="L1506" s="140"/>
      <c r="M1506" s="140"/>
      <c r="N1506" s="141"/>
      <c r="O1506" s="31"/>
      <c r="P1506" s="31"/>
      <c r="Q1506" s="32"/>
      <c r="R1506" s="32">
        <f>SUM(R1499:R1505)</f>
        <v>147.36000000000001</v>
      </c>
    </row>
    <row r="1507" spans="1:18" x14ac:dyDescent="0.2">
      <c r="A1507" s="12"/>
      <c r="B1507" s="251" t="s">
        <v>21</v>
      </c>
      <c r="C1507" s="252"/>
      <c r="D1507" s="252"/>
      <c r="E1507" s="253"/>
      <c r="F1507" s="244" t="s">
        <v>22</v>
      </c>
      <c r="G1507" s="244" t="s">
        <v>13</v>
      </c>
      <c r="H1507" s="244" t="s">
        <v>14</v>
      </c>
      <c r="I1507" s="246" t="s">
        <v>15</v>
      </c>
      <c r="J1507" s="12"/>
      <c r="K1507" s="251" t="s">
        <v>21</v>
      </c>
      <c r="L1507" s="252"/>
      <c r="M1507" s="252"/>
      <c r="N1507" s="253"/>
      <c r="O1507" s="244" t="s">
        <v>22</v>
      </c>
      <c r="P1507" s="244" t="s">
        <v>13</v>
      </c>
      <c r="Q1507" s="244" t="s">
        <v>14</v>
      </c>
      <c r="R1507" s="246" t="s">
        <v>15</v>
      </c>
    </row>
    <row r="1508" spans="1:18" x14ac:dyDescent="0.2">
      <c r="A1508" s="13"/>
      <c r="B1508" s="254"/>
      <c r="C1508" s="255"/>
      <c r="D1508" s="255"/>
      <c r="E1508" s="256"/>
      <c r="F1508" s="245"/>
      <c r="G1508" s="245"/>
      <c r="H1508" s="245"/>
      <c r="I1508" s="247"/>
      <c r="J1508" s="13"/>
      <c r="K1508" s="254"/>
      <c r="L1508" s="255"/>
      <c r="M1508" s="255"/>
      <c r="N1508" s="256"/>
      <c r="O1508" s="245"/>
      <c r="P1508" s="245"/>
      <c r="Q1508" s="245"/>
      <c r="R1508" s="247"/>
    </row>
    <row r="1509" spans="1:18" x14ac:dyDescent="0.2">
      <c r="A1509" s="13" t="s">
        <v>23</v>
      </c>
      <c r="B1509" s="33" t="s">
        <v>24</v>
      </c>
      <c r="C1509" s="15"/>
      <c r="D1509" s="15"/>
      <c r="E1509" s="16"/>
      <c r="F1509" s="34"/>
      <c r="G1509" s="34"/>
      <c r="H1509" s="35"/>
      <c r="I1509" s="35"/>
      <c r="J1509" s="13" t="s">
        <v>23</v>
      </c>
      <c r="K1509" s="33" t="s">
        <v>24</v>
      </c>
      <c r="L1509" s="15"/>
      <c r="M1509" s="15"/>
      <c r="N1509" s="16"/>
      <c r="O1509" s="34"/>
      <c r="P1509" s="34"/>
      <c r="Q1509" s="35"/>
      <c r="R1509" s="35"/>
    </row>
    <row r="1510" spans="1:18" x14ac:dyDescent="0.2">
      <c r="A1510" s="13"/>
      <c r="B1510" s="18"/>
      <c r="C1510" s="19"/>
      <c r="D1510" s="19"/>
      <c r="E1510" s="20"/>
      <c r="F1510" s="22"/>
      <c r="G1510" s="22"/>
      <c r="H1510" s="23"/>
      <c r="I1510" s="23"/>
      <c r="J1510" s="13"/>
      <c r="K1510" s="18"/>
      <c r="L1510" s="19"/>
      <c r="M1510" s="19"/>
      <c r="N1510" s="20"/>
      <c r="O1510" s="22"/>
      <c r="P1510" s="22"/>
      <c r="Q1510" s="23"/>
      <c r="R1510" s="23"/>
    </row>
    <row r="1511" spans="1:18" x14ac:dyDescent="0.2">
      <c r="A1511" s="13"/>
      <c r="B1511" s="18" t="s">
        <v>1155</v>
      </c>
      <c r="C1511" s="19"/>
      <c r="D1511" s="19"/>
      <c r="E1511" s="20"/>
      <c r="F1511" s="22">
        <v>1</v>
      </c>
      <c r="G1511" s="23">
        <v>1</v>
      </c>
      <c r="H1511" s="37">
        <v>3379</v>
      </c>
      <c r="I1511" s="37">
        <f>G1511*H1511*F1511</f>
        <v>3379</v>
      </c>
      <c r="J1511" s="13"/>
      <c r="K1511" s="18" t="s">
        <v>1172</v>
      </c>
      <c r="L1511" s="19"/>
      <c r="M1511" s="19"/>
      <c r="N1511" s="20"/>
      <c r="O1511" s="22">
        <v>1</v>
      </c>
      <c r="P1511" s="23">
        <v>1</v>
      </c>
      <c r="Q1511" s="37">
        <v>2173</v>
      </c>
      <c r="R1511" s="37">
        <f>P1511*Q1511*O1511</f>
        <v>2173</v>
      </c>
    </row>
    <row r="1512" spans="1:18" x14ac:dyDescent="0.2">
      <c r="A1512" s="13"/>
      <c r="B1512" s="18" t="s">
        <v>221</v>
      </c>
      <c r="C1512" s="19"/>
      <c r="D1512" s="19"/>
      <c r="E1512" s="20"/>
      <c r="F1512" s="22">
        <v>1</v>
      </c>
      <c r="G1512" s="23">
        <v>1</v>
      </c>
      <c r="H1512" s="37">
        <v>1733</v>
      </c>
      <c r="I1512" s="37">
        <f>G1512*H1512*F1512</f>
        <v>1733</v>
      </c>
      <c r="J1512" s="13"/>
      <c r="K1512" s="18" t="s">
        <v>1173</v>
      </c>
      <c r="L1512" s="19"/>
      <c r="M1512" s="19"/>
      <c r="N1512" s="20"/>
      <c r="O1512" s="22">
        <v>1</v>
      </c>
      <c r="P1512" s="23">
        <v>1</v>
      </c>
      <c r="Q1512" s="37">
        <v>1846</v>
      </c>
      <c r="R1512" s="37">
        <f>P1512*Q1512*O1512</f>
        <v>1846</v>
      </c>
    </row>
    <row r="1513" spans="1:18" x14ac:dyDescent="0.2">
      <c r="A1513" s="13"/>
      <c r="B1513" s="18" t="s">
        <v>26</v>
      </c>
      <c r="C1513" s="19"/>
      <c r="D1513" s="19"/>
      <c r="E1513" s="20"/>
      <c r="F1513" s="22">
        <v>1</v>
      </c>
      <c r="G1513" s="23">
        <v>0.25</v>
      </c>
      <c r="H1513" s="37">
        <v>1733</v>
      </c>
      <c r="I1513" s="37">
        <f>G1513*H1513*F1513</f>
        <v>433.25</v>
      </c>
      <c r="J1513" s="13"/>
      <c r="K1513" s="18" t="s">
        <v>1174</v>
      </c>
      <c r="L1513" s="19"/>
      <c r="M1513" s="19"/>
      <c r="N1513" s="20"/>
      <c r="O1513" s="22">
        <v>1</v>
      </c>
      <c r="P1513" s="23">
        <v>0.25</v>
      </c>
      <c r="Q1513" s="37">
        <v>2450</v>
      </c>
      <c r="R1513" s="37">
        <f>P1513*Q1513*O1513</f>
        <v>612.5</v>
      </c>
    </row>
    <row r="1514" spans="1:18" x14ac:dyDescent="0.2">
      <c r="A1514" s="13"/>
      <c r="B1514" s="18" t="s">
        <v>1140</v>
      </c>
      <c r="C1514" s="19"/>
      <c r="D1514" s="19"/>
      <c r="E1514" s="20"/>
      <c r="F1514" s="22">
        <v>2</v>
      </c>
      <c r="G1514" s="23">
        <v>1</v>
      </c>
      <c r="H1514" s="37">
        <v>1420</v>
      </c>
      <c r="I1514" s="37">
        <f>G1514*H1514*F1514</f>
        <v>2840</v>
      </c>
      <c r="J1514" s="13"/>
      <c r="K1514" s="18"/>
      <c r="O1514" s="22"/>
      <c r="P1514" s="36"/>
      <c r="Q1514" s="37"/>
      <c r="R1514" s="37"/>
    </row>
    <row r="1515" spans="1:18" x14ac:dyDescent="0.2">
      <c r="A1515" s="13"/>
      <c r="B1515" s="18"/>
      <c r="C1515" s="19"/>
      <c r="D1515" s="19"/>
      <c r="E1515" s="20"/>
      <c r="F1515" s="22"/>
      <c r="G1515" s="36"/>
      <c r="H1515" s="37"/>
      <c r="I1515" s="37"/>
      <c r="J1515" s="13"/>
      <c r="K1515" s="18"/>
      <c r="L1515" s="19"/>
      <c r="M1515" s="19"/>
      <c r="N1515" s="20"/>
      <c r="O1515" s="22"/>
      <c r="P1515" s="36"/>
      <c r="Q1515" s="37"/>
      <c r="R1515" s="37"/>
    </row>
    <row r="1516" spans="1:18" x14ac:dyDescent="0.2">
      <c r="A1516" s="13"/>
      <c r="B1516" s="18" t="s">
        <v>27</v>
      </c>
      <c r="C1516" s="19"/>
      <c r="D1516" s="19"/>
      <c r="E1516" s="20"/>
      <c r="F1516" s="22"/>
      <c r="G1516" s="36"/>
      <c r="H1516" s="38"/>
      <c r="I1516" s="38"/>
      <c r="J1516" s="13"/>
      <c r="K1516" s="18"/>
      <c r="L1516" s="19"/>
      <c r="M1516" s="19"/>
      <c r="N1516" s="20"/>
      <c r="O1516" s="22"/>
      <c r="P1516" s="36"/>
      <c r="Q1516" s="38"/>
      <c r="R1516" s="38"/>
    </row>
    <row r="1517" spans="1:18" x14ac:dyDescent="0.2">
      <c r="A1517" s="13"/>
      <c r="B1517" s="18"/>
      <c r="C1517" s="19"/>
      <c r="D1517" s="19"/>
      <c r="E1517" s="20"/>
      <c r="F1517" s="22"/>
      <c r="G1517" s="36"/>
      <c r="H1517" s="38"/>
      <c r="I1517" s="38"/>
      <c r="J1517" s="13"/>
      <c r="K1517" s="18"/>
      <c r="L1517" s="19"/>
      <c r="M1517" s="19"/>
      <c r="N1517" s="20"/>
      <c r="O1517" s="22"/>
      <c r="P1517" s="36"/>
      <c r="Q1517" s="38"/>
      <c r="R1517" s="38"/>
    </row>
    <row r="1518" spans="1:18" x14ac:dyDescent="0.2">
      <c r="A1518" s="13"/>
      <c r="B1518" s="18"/>
      <c r="C1518" s="19"/>
      <c r="D1518" s="19"/>
      <c r="E1518" s="20"/>
      <c r="F1518" s="22"/>
      <c r="G1518" s="36"/>
      <c r="H1518" s="38"/>
      <c r="I1518" s="38"/>
      <c r="J1518" s="13"/>
      <c r="K1518" s="18"/>
      <c r="L1518" s="19"/>
      <c r="M1518" s="19"/>
      <c r="N1518" s="20"/>
      <c r="O1518" s="22"/>
      <c r="P1518" s="36"/>
      <c r="Q1518" s="38"/>
      <c r="R1518" s="38"/>
    </row>
    <row r="1519" spans="1:18" x14ac:dyDescent="0.2">
      <c r="A1519" s="13"/>
      <c r="B1519" s="18"/>
      <c r="C1519" s="19"/>
      <c r="D1519" s="19"/>
      <c r="E1519" s="20"/>
      <c r="F1519" s="22"/>
      <c r="G1519" s="36"/>
      <c r="H1519" s="38"/>
      <c r="I1519" s="38"/>
      <c r="J1519" s="13"/>
      <c r="K1519" s="18"/>
      <c r="L1519" s="19"/>
      <c r="M1519" s="19"/>
      <c r="N1519" s="20"/>
      <c r="O1519" s="22"/>
      <c r="P1519" s="36"/>
      <c r="Q1519" s="38"/>
      <c r="R1519" s="38"/>
    </row>
    <row r="1520" spans="1:18" x14ac:dyDescent="0.2">
      <c r="A1520" s="13"/>
      <c r="B1520" s="18"/>
      <c r="C1520" s="19"/>
      <c r="D1520" s="19"/>
      <c r="E1520" s="20"/>
      <c r="F1520" s="22"/>
      <c r="G1520" s="36"/>
      <c r="H1520" s="37"/>
      <c r="I1520" s="37"/>
      <c r="J1520" s="13"/>
      <c r="K1520" s="18"/>
      <c r="L1520" s="19"/>
      <c r="M1520" s="19"/>
      <c r="N1520" s="20"/>
      <c r="O1520" s="22"/>
      <c r="P1520" s="36"/>
      <c r="Q1520" s="37"/>
      <c r="R1520" s="37"/>
    </row>
    <row r="1521" spans="1:18" x14ac:dyDescent="0.2">
      <c r="A1521" s="13"/>
      <c r="B1521" s="18"/>
      <c r="C1521" s="19"/>
      <c r="D1521" s="19"/>
      <c r="E1521" s="20"/>
      <c r="F1521" s="22"/>
      <c r="G1521" s="36"/>
      <c r="H1521" s="37"/>
      <c r="I1521" s="37"/>
      <c r="J1521" s="13"/>
      <c r="K1521" s="18"/>
      <c r="L1521" s="19"/>
      <c r="M1521" s="19"/>
      <c r="N1521" s="20"/>
      <c r="O1521" s="22"/>
      <c r="P1521" s="36"/>
      <c r="Q1521" s="37"/>
      <c r="R1521" s="37"/>
    </row>
    <row r="1522" spans="1:18" x14ac:dyDescent="0.2">
      <c r="A1522" s="13"/>
      <c r="B1522" s="18"/>
      <c r="C1522" s="19"/>
      <c r="D1522" s="19"/>
      <c r="E1522" s="20"/>
      <c r="F1522" s="22"/>
      <c r="G1522" s="36"/>
      <c r="H1522" s="37"/>
      <c r="I1522" s="37"/>
      <c r="J1522" s="13"/>
      <c r="K1522" s="18"/>
      <c r="L1522" s="19"/>
      <c r="M1522" s="19"/>
      <c r="N1522" s="20"/>
      <c r="O1522" s="22"/>
      <c r="P1522" s="36"/>
      <c r="Q1522" s="37"/>
      <c r="R1522" s="37"/>
    </row>
    <row r="1523" spans="1:18" x14ac:dyDescent="0.2">
      <c r="A1523" s="13"/>
      <c r="B1523" s="18"/>
      <c r="C1523" s="19"/>
      <c r="D1523" s="19"/>
      <c r="E1523" s="20"/>
      <c r="F1523" s="22"/>
      <c r="G1523" s="22"/>
      <c r="H1523" s="23"/>
      <c r="I1523" s="23"/>
      <c r="J1523" s="13"/>
      <c r="K1523" s="18"/>
      <c r="L1523" s="19"/>
      <c r="M1523" s="19"/>
      <c r="N1523" s="20"/>
      <c r="O1523" s="22"/>
      <c r="P1523" s="22"/>
      <c r="Q1523" s="23"/>
      <c r="R1523" s="23"/>
    </row>
    <row r="1524" spans="1:18" x14ac:dyDescent="0.2">
      <c r="A1524" s="13"/>
      <c r="B1524" s="248" t="s">
        <v>30</v>
      </c>
      <c r="C1524" s="249"/>
      <c r="D1524" s="249"/>
      <c r="E1524" s="250"/>
      <c r="F1524" s="22"/>
      <c r="G1524" s="22"/>
      <c r="H1524" s="23"/>
      <c r="I1524" s="23">
        <f>SUM(I1511:I1523)</f>
        <v>8385.25</v>
      </c>
      <c r="J1524" s="13"/>
      <c r="K1524" s="139" t="s">
        <v>30</v>
      </c>
      <c r="L1524" s="140"/>
      <c r="M1524" s="140"/>
      <c r="N1524" s="141"/>
      <c r="O1524" s="22"/>
      <c r="P1524" s="22"/>
      <c r="Q1524" s="23"/>
      <c r="R1524" s="23">
        <f>SUM(R1511:R1523)</f>
        <v>4631.5</v>
      </c>
    </row>
    <row r="1525" spans="1:18" x14ac:dyDescent="0.2">
      <c r="A1525" s="12" t="s">
        <v>31</v>
      </c>
      <c r="B1525" s="260" t="s">
        <v>32</v>
      </c>
      <c r="C1525" s="261"/>
      <c r="D1525" s="261"/>
      <c r="E1525" s="261"/>
      <c r="F1525" s="39"/>
      <c r="G1525" s="39"/>
      <c r="H1525" s="40"/>
      <c r="I1525" s="41">
        <f>SUM(I1524+I1506)</f>
        <v>8532.61</v>
      </c>
      <c r="J1525" s="12" t="s">
        <v>31</v>
      </c>
      <c r="K1525" s="142" t="s">
        <v>32</v>
      </c>
      <c r="L1525" s="143"/>
      <c r="M1525" s="143"/>
      <c r="N1525" s="143"/>
      <c r="O1525" s="143"/>
      <c r="P1525" s="143"/>
      <c r="Q1525" s="40"/>
      <c r="R1525" s="41">
        <f>SUM(R1524+R1506)</f>
        <v>4778.8599999999997</v>
      </c>
    </row>
    <row r="1526" spans="1:18" x14ac:dyDescent="0.2">
      <c r="A1526" s="13" t="s">
        <v>33</v>
      </c>
      <c r="B1526" s="264">
        <f>E1493</f>
        <v>60</v>
      </c>
      <c r="C1526" s="265"/>
      <c r="D1526" s="265"/>
      <c r="E1526" s="265"/>
      <c r="F1526" s="265"/>
      <c r="G1526" s="265"/>
      <c r="H1526" s="40"/>
      <c r="I1526" s="41"/>
      <c r="J1526" s="13" t="s">
        <v>33</v>
      </c>
      <c r="K1526" s="299">
        <f>N1493</f>
        <v>300</v>
      </c>
      <c r="L1526" s="300"/>
      <c r="M1526" s="300"/>
      <c r="N1526" s="300"/>
      <c r="O1526" s="300"/>
      <c r="P1526" s="300"/>
      <c r="Q1526" s="40"/>
      <c r="R1526" s="41"/>
    </row>
    <row r="1527" spans="1:18" x14ac:dyDescent="0.2">
      <c r="A1527" s="13" t="s">
        <v>34</v>
      </c>
      <c r="B1527" s="42" t="s">
        <v>35</v>
      </c>
      <c r="C1527" s="43"/>
      <c r="D1527" s="43"/>
      <c r="E1527" s="39"/>
      <c r="F1527" s="44"/>
      <c r="G1527" s="44"/>
      <c r="H1527" s="40"/>
      <c r="I1527" s="41">
        <f>I1525/E1493</f>
        <v>142.21016666666668</v>
      </c>
      <c r="J1527" s="13" t="s">
        <v>34</v>
      </c>
      <c r="K1527" s="147" t="s">
        <v>35</v>
      </c>
      <c r="L1527" s="43"/>
      <c r="M1527" s="43"/>
      <c r="N1527" s="143"/>
      <c r="O1527" s="148"/>
      <c r="P1527" s="148"/>
      <c r="Q1527" s="40"/>
      <c r="R1527" s="41">
        <f>R1525/N1493</f>
        <v>15.929533333333332</v>
      </c>
    </row>
    <row r="1528" spans="1:18" x14ac:dyDescent="0.2">
      <c r="A1528" s="12"/>
      <c r="B1528" s="251" t="s">
        <v>36</v>
      </c>
      <c r="C1528" s="252"/>
      <c r="D1528" s="252"/>
      <c r="E1528" s="253"/>
      <c r="F1528" s="244" t="s">
        <v>37</v>
      </c>
      <c r="G1528" s="244" t="s">
        <v>38</v>
      </c>
      <c r="H1528" s="244" t="s">
        <v>39</v>
      </c>
      <c r="I1528" s="246" t="s">
        <v>15</v>
      </c>
      <c r="J1528" s="12"/>
      <c r="K1528" s="251" t="s">
        <v>36</v>
      </c>
      <c r="L1528" s="252"/>
      <c r="M1528" s="252"/>
      <c r="N1528" s="253"/>
      <c r="O1528" s="244" t="s">
        <v>37</v>
      </c>
      <c r="P1528" s="244" t="s">
        <v>38</v>
      </c>
      <c r="Q1528" s="244" t="s">
        <v>39</v>
      </c>
      <c r="R1528" s="246" t="s">
        <v>15</v>
      </c>
    </row>
    <row r="1529" spans="1:18" x14ac:dyDescent="0.2">
      <c r="A1529" s="13"/>
      <c r="B1529" s="254"/>
      <c r="C1529" s="255"/>
      <c r="D1529" s="255"/>
      <c r="E1529" s="256"/>
      <c r="F1529" s="245"/>
      <c r="G1529" s="245"/>
      <c r="H1529" s="245"/>
      <c r="I1529" s="247"/>
      <c r="J1529" s="13"/>
      <c r="K1529" s="254"/>
      <c r="L1529" s="255"/>
      <c r="M1529" s="255"/>
      <c r="N1529" s="256"/>
      <c r="O1529" s="245"/>
      <c r="P1529" s="245"/>
      <c r="Q1529" s="245"/>
      <c r="R1529" s="247"/>
    </row>
    <row r="1530" spans="1:18" x14ac:dyDescent="0.2">
      <c r="A1530" s="13" t="s">
        <v>40</v>
      </c>
      <c r="B1530" s="18" t="s">
        <v>41</v>
      </c>
      <c r="C1530" s="19"/>
      <c r="D1530" s="19"/>
      <c r="E1530" s="20"/>
      <c r="F1530" s="22"/>
      <c r="G1530" s="22"/>
      <c r="H1530" s="23"/>
      <c r="I1530" s="23"/>
      <c r="J1530" s="13" t="s">
        <v>40</v>
      </c>
      <c r="K1530" s="18" t="s">
        <v>41</v>
      </c>
      <c r="L1530" s="19"/>
      <c r="M1530" s="19"/>
      <c r="N1530" s="20"/>
      <c r="O1530" s="22"/>
      <c r="P1530" s="22"/>
      <c r="Q1530" s="23"/>
      <c r="R1530" s="23"/>
    </row>
    <row r="1531" spans="1:18" x14ac:dyDescent="0.2">
      <c r="A1531" s="13"/>
      <c r="B1531" s="18"/>
      <c r="C1531" s="19"/>
      <c r="D1531" s="19"/>
      <c r="E1531" s="20"/>
      <c r="F1531" s="22"/>
      <c r="G1531" s="22"/>
      <c r="H1531" s="23"/>
      <c r="I1531" s="23"/>
      <c r="J1531" s="13"/>
      <c r="K1531" s="18"/>
      <c r="L1531" s="19"/>
      <c r="M1531" s="19"/>
      <c r="N1531" s="20"/>
      <c r="O1531" s="22"/>
      <c r="P1531" s="22"/>
      <c r="Q1531" s="23"/>
      <c r="R1531" s="23"/>
    </row>
    <row r="1532" spans="1:18" x14ac:dyDescent="0.2">
      <c r="A1532" s="13"/>
      <c r="B1532" s="18"/>
      <c r="C1532" s="19"/>
      <c r="D1532" s="19"/>
      <c r="E1532" s="20"/>
      <c r="F1532" s="22"/>
      <c r="G1532" s="22"/>
      <c r="H1532" s="23"/>
      <c r="I1532" s="23"/>
      <c r="J1532" s="13"/>
      <c r="K1532" s="18"/>
      <c r="L1532" s="19"/>
      <c r="M1532" s="19"/>
      <c r="N1532" s="20"/>
      <c r="O1532" s="22"/>
      <c r="P1532" s="22"/>
      <c r="Q1532" s="23"/>
      <c r="R1532" s="23"/>
    </row>
    <row r="1533" spans="1:18" x14ac:dyDescent="0.2">
      <c r="A1533" s="13"/>
      <c r="B1533" s="18"/>
      <c r="C1533" s="19"/>
      <c r="D1533" s="19"/>
      <c r="E1533" s="20"/>
      <c r="F1533" s="22"/>
      <c r="G1533" s="22"/>
      <c r="H1533" s="23"/>
      <c r="I1533" s="23"/>
      <c r="J1533" s="13"/>
      <c r="K1533" s="18"/>
      <c r="L1533" s="19"/>
      <c r="M1533" s="19"/>
      <c r="N1533" s="20"/>
      <c r="O1533" s="22"/>
      <c r="P1533" s="22"/>
      <c r="Q1533" s="23"/>
      <c r="R1533" s="23"/>
    </row>
    <row r="1534" spans="1:18" x14ac:dyDescent="0.2">
      <c r="A1534" s="13"/>
      <c r="B1534" s="18"/>
      <c r="C1534" s="19"/>
      <c r="D1534" s="19"/>
      <c r="E1534" s="20"/>
      <c r="F1534" s="22"/>
      <c r="G1534" s="22"/>
      <c r="H1534" s="38"/>
      <c r="I1534" s="38"/>
      <c r="J1534" s="13"/>
      <c r="K1534" s="18"/>
      <c r="L1534" s="19"/>
      <c r="M1534" s="19"/>
      <c r="N1534" s="20"/>
      <c r="O1534" s="22"/>
      <c r="P1534" s="22"/>
      <c r="Q1534" s="38"/>
      <c r="R1534" s="38"/>
    </row>
    <row r="1535" spans="1:18" x14ac:dyDescent="0.2">
      <c r="A1535" s="13"/>
      <c r="B1535" s="18"/>
      <c r="C1535" s="19"/>
      <c r="D1535" s="19"/>
      <c r="E1535" s="20"/>
      <c r="F1535" s="22"/>
      <c r="G1535" s="22"/>
      <c r="H1535" s="38"/>
      <c r="I1535" s="38"/>
      <c r="J1535" s="13"/>
      <c r="K1535" s="18"/>
      <c r="L1535" s="19"/>
      <c r="M1535" s="19"/>
      <c r="N1535" s="20"/>
      <c r="O1535" s="22"/>
      <c r="P1535" s="22"/>
      <c r="Q1535" s="38"/>
      <c r="R1535" s="38"/>
    </row>
    <row r="1536" spans="1:18" x14ac:dyDescent="0.2">
      <c r="A1536" s="13"/>
      <c r="B1536" s="18"/>
      <c r="C1536" s="19"/>
      <c r="D1536" s="19"/>
      <c r="E1536" s="20"/>
      <c r="F1536" s="22"/>
      <c r="G1536" s="22"/>
      <c r="H1536" s="45"/>
      <c r="I1536" s="45"/>
      <c r="J1536" s="13"/>
      <c r="K1536" s="18"/>
      <c r="L1536" s="19"/>
      <c r="M1536" s="19"/>
      <c r="N1536" s="20"/>
      <c r="O1536" s="22"/>
      <c r="P1536" s="22"/>
      <c r="Q1536" s="45"/>
      <c r="R1536" s="45"/>
    </row>
    <row r="1537" spans="1:18" x14ac:dyDescent="0.2">
      <c r="A1537" s="13"/>
      <c r="B1537" s="18"/>
      <c r="C1537" s="19"/>
      <c r="D1537" s="19"/>
      <c r="E1537" s="20"/>
      <c r="F1537" s="22"/>
      <c r="G1537" s="22"/>
      <c r="H1537" s="45"/>
      <c r="I1537" s="45"/>
      <c r="J1537" s="13"/>
      <c r="K1537" s="18"/>
      <c r="L1537" s="19"/>
      <c r="M1537" s="19"/>
      <c r="N1537" s="20"/>
      <c r="O1537" s="22"/>
      <c r="P1537" s="22"/>
      <c r="Q1537" s="45"/>
      <c r="R1537" s="45"/>
    </row>
    <row r="1538" spans="1:18" x14ac:dyDescent="0.2">
      <c r="A1538" s="13"/>
      <c r="B1538" s="18"/>
      <c r="C1538" s="19"/>
      <c r="D1538" s="19"/>
      <c r="E1538" s="20"/>
      <c r="F1538" s="22"/>
      <c r="G1538" s="22"/>
      <c r="H1538" s="23"/>
      <c r="I1538" s="23"/>
      <c r="J1538" s="13"/>
      <c r="K1538" s="18"/>
      <c r="L1538" s="19"/>
      <c r="M1538" s="19"/>
      <c r="N1538" s="20"/>
      <c r="O1538" s="22"/>
      <c r="P1538" s="22"/>
      <c r="Q1538" s="23"/>
      <c r="R1538" s="23"/>
    </row>
    <row r="1539" spans="1:18" x14ac:dyDescent="0.2">
      <c r="A1539" s="13"/>
      <c r="B1539" s="18"/>
      <c r="C1539" s="19"/>
      <c r="D1539" s="19"/>
      <c r="E1539" s="20"/>
      <c r="F1539" s="22"/>
      <c r="G1539" s="22"/>
      <c r="H1539" s="23"/>
      <c r="I1539" s="23"/>
      <c r="J1539" s="13"/>
      <c r="K1539" s="18"/>
      <c r="L1539" s="19"/>
      <c r="M1539" s="19"/>
      <c r="N1539" s="20"/>
      <c r="O1539" s="22"/>
      <c r="P1539" s="22"/>
      <c r="Q1539" s="23"/>
      <c r="R1539" s="23"/>
    </row>
    <row r="1540" spans="1:18" x14ac:dyDescent="0.2">
      <c r="A1540" s="13"/>
      <c r="B1540" s="18"/>
      <c r="C1540" s="19"/>
      <c r="D1540" s="19"/>
      <c r="E1540" s="20"/>
      <c r="F1540" s="22"/>
      <c r="G1540" s="22"/>
      <c r="H1540" s="23"/>
      <c r="I1540" s="23"/>
      <c r="J1540" s="13"/>
      <c r="K1540" s="18"/>
      <c r="L1540" s="19"/>
      <c r="M1540" s="19"/>
      <c r="N1540" s="20"/>
      <c r="O1540" s="22"/>
      <c r="P1540" s="22"/>
      <c r="Q1540" s="23"/>
      <c r="R1540" s="23"/>
    </row>
    <row r="1541" spans="1:18" x14ac:dyDescent="0.2">
      <c r="A1541" s="13"/>
      <c r="B1541" s="18"/>
      <c r="C1541" s="19"/>
      <c r="D1541" s="19"/>
      <c r="E1541" s="20"/>
      <c r="F1541" s="22"/>
      <c r="G1541" s="22"/>
      <c r="H1541" s="23"/>
      <c r="I1541" s="23"/>
      <c r="J1541" s="13"/>
      <c r="K1541" s="18"/>
      <c r="L1541" s="19"/>
      <c r="M1541" s="19"/>
      <c r="N1541" s="20"/>
      <c r="O1541" s="22"/>
      <c r="P1541" s="22"/>
      <c r="Q1541" s="23"/>
      <c r="R1541" s="23"/>
    </row>
    <row r="1542" spans="1:18" x14ac:dyDescent="0.2">
      <c r="A1542" s="13"/>
      <c r="B1542" s="18"/>
      <c r="C1542" s="19"/>
      <c r="D1542" s="19"/>
      <c r="E1542" s="20"/>
      <c r="F1542" s="22"/>
      <c r="G1542" s="22"/>
      <c r="H1542" s="23"/>
      <c r="I1542" s="23"/>
      <c r="J1542" s="13"/>
      <c r="K1542" s="18"/>
      <c r="L1542" s="19"/>
      <c r="M1542" s="19"/>
      <c r="N1542" s="20"/>
      <c r="O1542" s="22"/>
      <c r="P1542" s="22"/>
      <c r="Q1542" s="23"/>
      <c r="R1542" s="23"/>
    </row>
    <row r="1543" spans="1:18" x14ac:dyDescent="0.2">
      <c r="A1543" s="13"/>
      <c r="B1543" s="18"/>
      <c r="C1543" s="19"/>
      <c r="D1543" s="19"/>
      <c r="E1543" s="20"/>
      <c r="F1543" s="22"/>
      <c r="G1543" s="22"/>
      <c r="H1543" s="23"/>
      <c r="I1543" s="23"/>
      <c r="J1543" s="13"/>
      <c r="K1543" s="18"/>
      <c r="L1543" s="19"/>
      <c r="M1543" s="19"/>
      <c r="N1543" s="20"/>
      <c r="O1543" s="22"/>
      <c r="P1543" s="22"/>
      <c r="Q1543" s="23"/>
      <c r="R1543" s="23"/>
    </row>
    <row r="1544" spans="1:18" x14ac:dyDescent="0.2">
      <c r="A1544" s="13"/>
      <c r="B1544" s="18"/>
      <c r="C1544" s="19"/>
      <c r="D1544" s="19"/>
      <c r="E1544" s="20"/>
      <c r="F1544" s="22"/>
      <c r="G1544" s="36"/>
      <c r="H1544" s="37"/>
      <c r="I1544" s="37"/>
      <c r="J1544" s="13"/>
      <c r="K1544" s="18"/>
      <c r="L1544" s="19"/>
      <c r="M1544" s="19"/>
      <c r="N1544" s="20"/>
      <c r="O1544" s="22"/>
      <c r="P1544" s="36"/>
      <c r="Q1544" s="37"/>
      <c r="R1544" s="37"/>
    </row>
    <row r="1545" spans="1:18" x14ac:dyDescent="0.2">
      <c r="A1545" s="13"/>
      <c r="B1545" s="248" t="s">
        <v>42</v>
      </c>
      <c r="C1545" s="249"/>
      <c r="D1545" s="249"/>
      <c r="E1545" s="250"/>
      <c r="F1545" s="46"/>
      <c r="G1545" s="46"/>
      <c r="H1545" s="47"/>
      <c r="I1545" s="47">
        <f>SUM(I1532:I1544)</f>
        <v>0</v>
      </c>
      <c r="J1545" s="13"/>
      <c r="K1545" s="139" t="s">
        <v>42</v>
      </c>
      <c r="L1545" s="140"/>
      <c r="M1545" s="140"/>
      <c r="N1545" s="141"/>
      <c r="O1545" s="46"/>
      <c r="P1545" s="46"/>
      <c r="Q1545" s="47"/>
      <c r="R1545" s="47">
        <f>SUM(R1532:R1544)</f>
        <v>0</v>
      </c>
    </row>
    <row r="1546" spans="1:18" x14ac:dyDescent="0.2">
      <c r="A1546" s="12" t="s">
        <v>43</v>
      </c>
      <c r="B1546" s="48" t="s">
        <v>44</v>
      </c>
      <c r="C1546" s="43"/>
      <c r="D1546" s="43"/>
      <c r="E1546" s="39"/>
      <c r="F1546" s="49"/>
      <c r="G1546" s="49"/>
      <c r="H1546" s="50"/>
      <c r="I1546" s="51">
        <f>SUM(I1527+I1545)</f>
        <v>142.21016666666668</v>
      </c>
      <c r="J1546" s="12" t="s">
        <v>43</v>
      </c>
      <c r="K1546" s="48" t="s">
        <v>44</v>
      </c>
      <c r="L1546" s="43"/>
      <c r="M1546" s="43"/>
      <c r="N1546" s="143"/>
      <c r="O1546" s="49"/>
      <c r="P1546" s="49"/>
      <c r="Q1546" s="50"/>
      <c r="R1546" s="51">
        <f>SUM(R1527+R1545)</f>
        <v>15.929533333333332</v>
      </c>
    </row>
    <row r="1547" spans="1:18" x14ac:dyDescent="0.2">
      <c r="A1547" s="13" t="s">
        <v>45</v>
      </c>
      <c r="B1547" s="48" t="s">
        <v>46</v>
      </c>
      <c r="C1547" s="43"/>
      <c r="D1547" s="43"/>
      <c r="E1547" s="39"/>
      <c r="F1547" s="49"/>
      <c r="G1547" s="52">
        <v>0.09</v>
      </c>
      <c r="H1547" s="53" t="s">
        <v>47</v>
      </c>
      <c r="I1547" s="51">
        <f>G1547*I1546</f>
        <v>12.798915000000001</v>
      </c>
      <c r="J1547" s="13" t="s">
        <v>45</v>
      </c>
      <c r="K1547" s="48" t="s">
        <v>46</v>
      </c>
      <c r="L1547" s="43"/>
      <c r="M1547" s="43"/>
      <c r="N1547" s="143"/>
      <c r="O1547" s="49"/>
      <c r="P1547" s="52">
        <v>0.09</v>
      </c>
      <c r="Q1547" s="53" t="s">
        <v>47</v>
      </c>
      <c r="R1547" s="51">
        <f>P1547*R1546</f>
        <v>1.4336579999999999</v>
      </c>
    </row>
    <row r="1548" spans="1:18" x14ac:dyDescent="0.2">
      <c r="A1548" s="13" t="s">
        <v>48</v>
      </c>
      <c r="B1548" s="48" t="s">
        <v>49</v>
      </c>
      <c r="C1548" s="43"/>
      <c r="D1548" s="43"/>
      <c r="E1548" s="39"/>
      <c r="F1548" s="49"/>
      <c r="G1548" s="52">
        <v>0.08</v>
      </c>
      <c r="H1548" s="53" t="s">
        <v>47</v>
      </c>
      <c r="I1548" s="51">
        <f>G1548*I1546</f>
        <v>11.376813333333335</v>
      </c>
      <c r="J1548" s="13" t="s">
        <v>48</v>
      </c>
      <c r="K1548" s="48" t="s">
        <v>49</v>
      </c>
      <c r="L1548" s="43"/>
      <c r="M1548" s="43"/>
      <c r="N1548" s="143"/>
      <c r="O1548" s="49"/>
      <c r="P1548" s="52">
        <v>0.08</v>
      </c>
      <c r="Q1548" s="53" t="s">
        <v>47</v>
      </c>
      <c r="R1548" s="51">
        <f>P1548*R1546</f>
        <v>1.2743626666666665</v>
      </c>
    </row>
    <row r="1549" spans="1:18" x14ac:dyDescent="0.2">
      <c r="A1549" s="13" t="s">
        <v>50</v>
      </c>
      <c r="B1549" s="48" t="s">
        <v>51</v>
      </c>
      <c r="C1549" s="43"/>
      <c r="D1549" s="43"/>
      <c r="E1549" s="39"/>
      <c r="F1549" s="49"/>
      <c r="G1549" s="52">
        <f>5/100</f>
        <v>0.05</v>
      </c>
      <c r="H1549" s="53" t="s">
        <v>52</v>
      </c>
      <c r="I1549" s="51">
        <f>G1549*(I1546+I1547+I1548)</f>
        <v>8.319294750000001</v>
      </c>
      <c r="J1549" s="13" t="s">
        <v>50</v>
      </c>
      <c r="K1549" s="48" t="s">
        <v>51</v>
      </c>
      <c r="L1549" s="43"/>
      <c r="M1549" s="43"/>
      <c r="N1549" s="143"/>
      <c r="O1549" s="49"/>
      <c r="P1549" s="52">
        <f>5/100</f>
        <v>0.05</v>
      </c>
      <c r="Q1549" s="53" t="s">
        <v>52</v>
      </c>
      <c r="R1549" s="51">
        <f>P1549*(R1546+R1547+R1548)</f>
        <v>0.93187769999999992</v>
      </c>
    </row>
    <row r="1550" spans="1:18" x14ac:dyDescent="0.2">
      <c r="A1550" s="54" t="s">
        <v>53</v>
      </c>
      <c r="B1550" s="48" t="s">
        <v>54</v>
      </c>
      <c r="C1550" s="43"/>
      <c r="D1550" s="43"/>
      <c r="E1550" s="39"/>
      <c r="F1550" s="49"/>
      <c r="G1550" s="49"/>
      <c r="H1550" s="55" t="s">
        <v>55</v>
      </c>
      <c r="I1550" s="51">
        <f>SUM(I1546+I1547+I1548+I1549)</f>
        <v>174.70518975000002</v>
      </c>
      <c r="J1550" s="54" t="s">
        <v>53</v>
      </c>
      <c r="K1550" s="48" t="s">
        <v>54</v>
      </c>
      <c r="L1550" s="43"/>
      <c r="M1550" s="43"/>
      <c r="N1550" s="143"/>
      <c r="O1550" s="49"/>
      <c r="P1550" s="49"/>
      <c r="Q1550" s="55" t="s">
        <v>55</v>
      </c>
      <c r="R1550" s="51">
        <f>SUM(R1546+R1547+R1548+R1549)</f>
        <v>19.569431699999999</v>
      </c>
    </row>
    <row r="1551" spans="1:18" x14ac:dyDescent="0.2">
      <c r="J1551" s="285" t="s">
        <v>0</v>
      </c>
      <c r="K1551" s="285"/>
      <c r="L1551" s="285"/>
      <c r="M1551" s="285"/>
      <c r="N1551" s="285"/>
      <c r="O1551" s="285"/>
      <c r="P1551" s="285"/>
      <c r="Q1551" s="285"/>
      <c r="R1551" s="285"/>
    </row>
    <row r="1553" spans="10:18" x14ac:dyDescent="0.2">
      <c r="J1553" s="144" t="s">
        <v>1</v>
      </c>
      <c r="L1553" s="4" t="s">
        <v>2</v>
      </c>
      <c r="M1553" s="5" t="s">
        <v>219</v>
      </c>
      <c r="N1553" s="144" t="s">
        <v>220</v>
      </c>
      <c r="O1553" s="144"/>
      <c r="P1553" s="144"/>
      <c r="Q1553" s="144"/>
    </row>
    <row r="1554" spans="10:18" x14ac:dyDescent="0.2">
      <c r="J1554" s="144" t="s">
        <v>7</v>
      </c>
      <c r="L1554" s="4" t="s">
        <v>2</v>
      </c>
      <c r="N1554" s="144" t="s">
        <v>8</v>
      </c>
      <c r="O1554" s="8"/>
      <c r="P1554" s="8"/>
      <c r="Q1554" s="8"/>
    </row>
    <row r="1555" spans="10:18" x14ac:dyDescent="0.2">
      <c r="J1555" s="144" t="s">
        <v>10</v>
      </c>
      <c r="L1555" s="4" t="s">
        <v>2</v>
      </c>
      <c r="N1555" s="9">
        <v>300</v>
      </c>
      <c r="O1555" s="8"/>
      <c r="P1555" s="8"/>
      <c r="Q1555" s="8"/>
    </row>
    <row r="1556" spans="10:18" x14ac:dyDescent="0.2">
      <c r="K1556" s="8"/>
      <c r="O1556" s="11"/>
      <c r="P1556" s="8"/>
      <c r="Q1556" s="8"/>
      <c r="R1556" s="8"/>
    </row>
    <row r="1557" spans="10:18" x14ac:dyDescent="0.2">
      <c r="J1557" s="12"/>
      <c r="K1557" s="238" t="s">
        <v>11</v>
      </c>
      <c r="L1557" s="239"/>
      <c r="M1557" s="239"/>
      <c r="N1557" s="240"/>
      <c r="O1557" s="244" t="s">
        <v>12</v>
      </c>
      <c r="P1557" s="244" t="s">
        <v>13</v>
      </c>
      <c r="Q1557" s="244" t="s">
        <v>14</v>
      </c>
      <c r="R1557" s="246" t="s">
        <v>15</v>
      </c>
    </row>
    <row r="1558" spans="10:18" x14ac:dyDescent="0.2">
      <c r="J1558" s="13"/>
      <c r="K1558" s="241"/>
      <c r="L1558" s="242"/>
      <c r="M1558" s="242"/>
      <c r="N1558" s="243"/>
      <c r="O1558" s="245"/>
      <c r="P1558" s="245"/>
      <c r="Q1558" s="245"/>
      <c r="R1558" s="247"/>
    </row>
    <row r="1559" spans="10:18" x14ac:dyDescent="0.2">
      <c r="J1559" s="13" t="s">
        <v>16</v>
      </c>
      <c r="K1559" s="14" t="s">
        <v>17</v>
      </c>
      <c r="L1559" s="15"/>
      <c r="M1559" s="15"/>
      <c r="N1559" s="16"/>
      <c r="O1559" s="17"/>
      <c r="P1559" s="17"/>
      <c r="Q1559" s="17"/>
      <c r="R1559" s="17"/>
    </row>
    <row r="1560" spans="10:18" x14ac:dyDescent="0.2">
      <c r="J1560" s="13"/>
      <c r="K1560" s="18"/>
      <c r="L1560" s="19"/>
      <c r="M1560" s="19"/>
      <c r="N1560" s="20"/>
      <c r="O1560" s="21"/>
      <c r="P1560" s="22"/>
      <c r="Q1560" s="21"/>
      <c r="R1560" s="21"/>
    </row>
    <row r="1561" spans="10:18" x14ac:dyDescent="0.2">
      <c r="J1561" s="13"/>
      <c r="K1561" s="24" t="s">
        <v>18</v>
      </c>
      <c r="L1561" s="25"/>
      <c r="M1561" s="25"/>
      <c r="N1561" s="26"/>
      <c r="O1561" s="22">
        <v>1</v>
      </c>
      <c r="P1561" s="62">
        <v>1</v>
      </c>
      <c r="Q1561" s="23">
        <v>69.42</v>
      </c>
      <c r="R1561" s="23">
        <f>P1561*Q1561*O1561</f>
        <v>69.42</v>
      </c>
    </row>
    <row r="1562" spans="10:18" x14ac:dyDescent="0.2">
      <c r="J1562" s="13"/>
      <c r="K1562" s="24" t="s">
        <v>1179</v>
      </c>
      <c r="L1562" s="25"/>
      <c r="M1562" s="25"/>
      <c r="N1562" s="26"/>
      <c r="O1562" s="22">
        <v>2</v>
      </c>
      <c r="P1562" s="62">
        <v>1</v>
      </c>
      <c r="Q1562" s="23">
        <v>38.97</v>
      </c>
      <c r="R1562" s="23">
        <f>P1562*Q1562*O1562</f>
        <v>77.94</v>
      </c>
    </row>
    <row r="1563" spans="10:18" x14ac:dyDescent="0.2">
      <c r="J1563" s="13"/>
      <c r="K1563" s="145"/>
      <c r="L1563" s="19"/>
      <c r="M1563" s="19"/>
      <c r="N1563" s="20"/>
      <c r="O1563" s="22"/>
      <c r="P1563" s="22"/>
      <c r="Q1563" s="28"/>
      <c r="R1563" s="23"/>
    </row>
    <row r="1564" spans="10:18" x14ac:dyDescent="0.2">
      <c r="J1564" s="13"/>
      <c r="K1564" s="145"/>
      <c r="L1564" s="19"/>
      <c r="M1564" s="19"/>
      <c r="N1564" s="20"/>
      <c r="O1564" s="22"/>
      <c r="P1564" s="22"/>
      <c r="Q1564" s="29"/>
      <c r="R1564" s="30"/>
    </row>
    <row r="1565" spans="10:18" x14ac:dyDescent="0.2">
      <c r="J1565" s="13"/>
      <c r="K1565" s="145"/>
      <c r="L1565" s="19"/>
      <c r="M1565" s="19"/>
      <c r="N1565" s="20"/>
      <c r="O1565" s="22"/>
      <c r="P1565" s="22"/>
      <c r="Q1565" s="29"/>
      <c r="R1565" s="30"/>
    </row>
    <row r="1566" spans="10:18" x14ac:dyDescent="0.2">
      <c r="J1566" s="13"/>
      <c r="K1566" s="18"/>
      <c r="L1566" s="19"/>
      <c r="M1566" s="19"/>
      <c r="N1566" s="20"/>
      <c r="O1566" s="22"/>
      <c r="P1566" s="22"/>
      <c r="Q1566" s="28"/>
      <c r="R1566" s="23"/>
    </row>
    <row r="1567" spans="10:18" x14ac:dyDescent="0.2">
      <c r="J1567" s="13"/>
      <c r="K1567" s="18"/>
      <c r="L1567" s="19"/>
      <c r="M1567" s="19"/>
      <c r="N1567" s="20"/>
      <c r="O1567" s="22"/>
      <c r="P1567" s="22"/>
      <c r="Q1567" s="23"/>
      <c r="R1567" s="23"/>
    </row>
    <row r="1568" spans="10:18" x14ac:dyDescent="0.2">
      <c r="J1568" s="13"/>
      <c r="K1568" s="139" t="s">
        <v>20</v>
      </c>
      <c r="L1568" s="140"/>
      <c r="M1568" s="140"/>
      <c r="N1568" s="141"/>
      <c r="O1568" s="31"/>
      <c r="P1568" s="31"/>
      <c r="Q1568" s="32"/>
      <c r="R1568" s="32">
        <f>SUM(R1561:R1567)</f>
        <v>147.36000000000001</v>
      </c>
    </row>
    <row r="1569" spans="10:18" x14ac:dyDescent="0.2">
      <c r="J1569" s="12"/>
      <c r="K1569" s="251" t="s">
        <v>21</v>
      </c>
      <c r="L1569" s="252"/>
      <c r="M1569" s="252"/>
      <c r="N1569" s="253"/>
      <c r="O1569" s="244" t="s">
        <v>22</v>
      </c>
      <c r="P1569" s="244" t="s">
        <v>13</v>
      </c>
      <c r="Q1569" s="244" t="s">
        <v>14</v>
      </c>
      <c r="R1569" s="246" t="s">
        <v>15</v>
      </c>
    </row>
    <row r="1570" spans="10:18" x14ac:dyDescent="0.2">
      <c r="J1570" s="13"/>
      <c r="K1570" s="254"/>
      <c r="L1570" s="255"/>
      <c r="M1570" s="255"/>
      <c r="N1570" s="256"/>
      <c r="O1570" s="245"/>
      <c r="P1570" s="245"/>
      <c r="Q1570" s="245"/>
      <c r="R1570" s="247"/>
    </row>
    <row r="1571" spans="10:18" x14ac:dyDescent="0.2">
      <c r="J1571" s="13" t="s">
        <v>23</v>
      </c>
      <c r="K1571" s="33" t="s">
        <v>24</v>
      </c>
      <c r="L1571" s="15"/>
      <c r="M1571" s="15"/>
      <c r="N1571" s="16"/>
      <c r="O1571" s="34"/>
      <c r="P1571" s="34"/>
      <c r="Q1571" s="35"/>
      <c r="R1571" s="35"/>
    </row>
    <row r="1572" spans="10:18" x14ac:dyDescent="0.2">
      <c r="J1572" s="13"/>
      <c r="K1572" s="18"/>
      <c r="L1572" s="19"/>
      <c r="M1572" s="19"/>
      <c r="N1572" s="20"/>
      <c r="O1572" s="22"/>
      <c r="P1572" s="22"/>
      <c r="Q1572" s="23"/>
      <c r="R1572" s="23"/>
    </row>
    <row r="1573" spans="10:18" x14ac:dyDescent="0.2">
      <c r="J1573" s="13"/>
      <c r="K1573" s="18" t="s">
        <v>1172</v>
      </c>
      <c r="L1573" s="19"/>
      <c r="M1573" s="19"/>
      <c r="N1573" s="20"/>
      <c r="O1573" s="22">
        <v>1</v>
      </c>
      <c r="P1573" s="23">
        <v>1</v>
      </c>
      <c r="Q1573" s="37">
        <v>2173</v>
      </c>
      <c r="R1573" s="37">
        <f>P1573*Q1573*O1573</f>
        <v>2173</v>
      </c>
    </row>
    <row r="1574" spans="10:18" x14ac:dyDescent="0.2">
      <c r="J1574" s="13"/>
      <c r="K1574" s="18" t="s">
        <v>1173</v>
      </c>
      <c r="L1574" s="19"/>
      <c r="M1574" s="19"/>
      <c r="N1574" s="20"/>
      <c r="O1574" s="22">
        <v>1</v>
      </c>
      <c r="P1574" s="23">
        <v>1</v>
      </c>
      <c r="Q1574" s="37">
        <v>1846</v>
      </c>
      <c r="R1574" s="37">
        <f>P1574*Q1574*O1574</f>
        <v>1846</v>
      </c>
    </row>
    <row r="1575" spans="10:18" x14ac:dyDescent="0.2">
      <c r="J1575" s="13"/>
      <c r="K1575" s="18" t="s">
        <v>1174</v>
      </c>
      <c r="L1575" s="19"/>
      <c r="M1575" s="19"/>
      <c r="N1575" s="20"/>
      <c r="O1575" s="22">
        <v>1</v>
      </c>
      <c r="P1575" s="23">
        <v>0.25</v>
      </c>
      <c r="Q1575" s="37">
        <v>2450</v>
      </c>
      <c r="R1575" s="37">
        <f>P1575*Q1575*O1575</f>
        <v>612.5</v>
      </c>
    </row>
    <row r="1576" spans="10:18" x14ac:dyDescent="0.2">
      <c r="J1576" s="13"/>
      <c r="K1576" s="18"/>
      <c r="O1576" s="22"/>
      <c r="P1576" s="36"/>
      <c r="Q1576" s="37"/>
      <c r="R1576" s="37"/>
    </row>
    <row r="1577" spans="10:18" x14ac:dyDescent="0.2">
      <c r="J1577" s="13"/>
      <c r="K1577" s="18"/>
      <c r="L1577" s="19"/>
      <c r="M1577" s="19"/>
      <c r="N1577" s="20"/>
      <c r="O1577" s="22"/>
      <c r="P1577" s="36"/>
      <c r="Q1577" s="37"/>
      <c r="R1577" s="37"/>
    </row>
    <row r="1578" spans="10:18" x14ac:dyDescent="0.2">
      <c r="J1578" s="13"/>
      <c r="K1578" s="18"/>
      <c r="L1578" s="19"/>
      <c r="M1578" s="19"/>
      <c r="N1578" s="20"/>
      <c r="O1578" s="22"/>
      <c r="P1578" s="36"/>
      <c r="Q1578" s="38"/>
      <c r="R1578" s="38"/>
    </row>
    <row r="1579" spans="10:18" x14ac:dyDescent="0.2">
      <c r="J1579" s="13"/>
      <c r="K1579" s="18"/>
      <c r="L1579" s="19"/>
      <c r="M1579" s="19"/>
      <c r="N1579" s="20"/>
      <c r="O1579" s="22"/>
      <c r="P1579" s="36"/>
      <c r="Q1579" s="38"/>
      <c r="R1579" s="38"/>
    </row>
    <row r="1580" spans="10:18" x14ac:dyDescent="0.2">
      <c r="J1580" s="13"/>
      <c r="K1580" s="18"/>
      <c r="L1580" s="19"/>
      <c r="M1580" s="19"/>
      <c r="N1580" s="20"/>
      <c r="O1580" s="22"/>
      <c r="P1580" s="36"/>
      <c r="Q1580" s="38"/>
      <c r="R1580" s="38"/>
    </row>
    <row r="1581" spans="10:18" x14ac:dyDescent="0.2">
      <c r="J1581" s="13"/>
      <c r="K1581" s="18"/>
      <c r="L1581" s="19"/>
      <c r="M1581" s="19"/>
      <c r="N1581" s="20"/>
      <c r="O1581" s="22"/>
      <c r="P1581" s="36"/>
      <c r="Q1581" s="38"/>
      <c r="R1581" s="38"/>
    </row>
    <row r="1582" spans="10:18" x14ac:dyDescent="0.2">
      <c r="J1582" s="13"/>
      <c r="K1582" s="18"/>
      <c r="L1582" s="19"/>
      <c r="M1582" s="19"/>
      <c r="N1582" s="20"/>
      <c r="O1582" s="22"/>
      <c r="P1582" s="36"/>
      <c r="Q1582" s="37"/>
      <c r="R1582" s="37"/>
    </row>
    <row r="1583" spans="10:18" x14ac:dyDescent="0.2">
      <c r="J1583" s="13"/>
      <c r="K1583" s="18"/>
      <c r="L1583" s="19"/>
      <c r="M1583" s="19"/>
      <c r="N1583" s="20"/>
      <c r="O1583" s="22"/>
      <c r="P1583" s="36"/>
      <c r="Q1583" s="37"/>
      <c r="R1583" s="37"/>
    </row>
    <row r="1584" spans="10:18" x14ac:dyDescent="0.2">
      <c r="J1584" s="13"/>
      <c r="K1584" s="18"/>
      <c r="L1584" s="19"/>
      <c r="M1584" s="19"/>
      <c r="N1584" s="20"/>
      <c r="O1584" s="22"/>
      <c r="P1584" s="36"/>
      <c r="Q1584" s="37"/>
      <c r="R1584" s="37"/>
    </row>
    <row r="1585" spans="10:18" x14ac:dyDescent="0.2">
      <c r="J1585" s="13"/>
      <c r="K1585" s="18"/>
      <c r="L1585" s="19"/>
      <c r="M1585" s="19"/>
      <c r="N1585" s="20"/>
      <c r="O1585" s="22"/>
      <c r="P1585" s="22"/>
      <c r="Q1585" s="23"/>
      <c r="R1585" s="23"/>
    </row>
    <row r="1586" spans="10:18" x14ac:dyDescent="0.2">
      <c r="J1586" s="13"/>
      <c r="K1586" s="139" t="s">
        <v>30</v>
      </c>
      <c r="L1586" s="140"/>
      <c r="M1586" s="140"/>
      <c r="N1586" s="141"/>
      <c r="O1586" s="22"/>
      <c r="P1586" s="22"/>
      <c r="Q1586" s="23"/>
      <c r="R1586" s="23">
        <f>SUM(R1573:R1585)</f>
        <v>4631.5</v>
      </c>
    </row>
    <row r="1587" spans="10:18" x14ac:dyDescent="0.2">
      <c r="J1587" s="12" t="s">
        <v>31</v>
      </c>
      <c r="K1587" s="142" t="s">
        <v>32</v>
      </c>
      <c r="L1587" s="143"/>
      <c r="M1587" s="143"/>
      <c r="N1587" s="143"/>
      <c r="O1587" s="143"/>
      <c r="P1587" s="143"/>
      <c r="Q1587" s="40"/>
      <c r="R1587" s="41">
        <f>SUM(R1586+R1568)</f>
        <v>4778.8599999999997</v>
      </c>
    </row>
    <row r="1588" spans="10:18" x14ac:dyDescent="0.2">
      <c r="J1588" s="13" t="s">
        <v>33</v>
      </c>
      <c r="K1588" s="299">
        <f>N1555</f>
        <v>300</v>
      </c>
      <c r="L1588" s="300"/>
      <c r="M1588" s="300"/>
      <c r="N1588" s="300"/>
      <c r="O1588" s="300"/>
      <c r="P1588" s="300"/>
      <c r="Q1588" s="40"/>
      <c r="R1588" s="41"/>
    </row>
    <row r="1589" spans="10:18" x14ac:dyDescent="0.2">
      <c r="J1589" s="13" t="s">
        <v>34</v>
      </c>
      <c r="K1589" s="147" t="s">
        <v>35</v>
      </c>
      <c r="L1589" s="43"/>
      <c r="M1589" s="43"/>
      <c r="N1589" s="143"/>
      <c r="O1589" s="148"/>
      <c r="P1589" s="148"/>
      <c r="Q1589" s="40"/>
      <c r="R1589" s="41">
        <f>R1587/N1555</f>
        <v>15.929533333333332</v>
      </c>
    </row>
    <row r="1590" spans="10:18" x14ac:dyDescent="0.2">
      <c r="J1590" s="12"/>
      <c r="K1590" s="251" t="s">
        <v>36</v>
      </c>
      <c r="L1590" s="252"/>
      <c r="M1590" s="252"/>
      <c r="N1590" s="253"/>
      <c r="O1590" s="244" t="s">
        <v>37</v>
      </c>
      <c r="P1590" s="244" t="s">
        <v>38</v>
      </c>
      <c r="Q1590" s="244" t="s">
        <v>39</v>
      </c>
      <c r="R1590" s="246" t="s">
        <v>15</v>
      </c>
    </row>
    <row r="1591" spans="10:18" x14ac:dyDescent="0.2">
      <c r="J1591" s="13"/>
      <c r="K1591" s="254"/>
      <c r="L1591" s="255"/>
      <c r="M1591" s="255"/>
      <c r="N1591" s="256"/>
      <c r="O1591" s="245"/>
      <c r="P1591" s="245"/>
      <c r="Q1591" s="245"/>
      <c r="R1591" s="247"/>
    </row>
    <row r="1592" spans="10:18" x14ac:dyDescent="0.2">
      <c r="J1592" s="13" t="s">
        <v>40</v>
      </c>
      <c r="K1592" s="18" t="s">
        <v>41</v>
      </c>
      <c r="L1592" s="19"/>
      <c r="M1592" s="19"/>
      <c r="N1592" s="20"/>
      <c r="O1592" s="22"/>
      <c r="P1592" s="22"/>
      <c r="Q1592" s="23"/>
      <c r="R1592" s="23"/>
    </row>
    <row r="1593" spans="10:18" x14ac:dyDescent="0.2">
      <c r="J1593" s="13"/>
      <c r="K1593" s="18"/>
      <c r="L1593" s="19"/>
      <c r="M1593" s="19"/>
      <c r="N1593" s="20"/>
      <c r="O1593" s="22"/>
      <c r="P1593" s="22"/>
      <c r="Q1593" s="23"/>
      <c r="R1593" s="23"/>
    </row>
    <row r="1594" spans="10:18" x14ac:dyDescent="0.2">
      <c r="J1594" s="13"/>
      <c r="K1594" s="18"/>
      <c r="L1594" s="19"/>
      <c r="M1594" s="19"/>
      <c r="N1594" s="20"/>
      <c r="O1594" s="22"/>
      <c r="P1594" s="22"/>
      <c r="Q1594" s="23"/>
      <c r="R1594" s="23"/>
    </row>
    <row r="1595" spans="10:18" x14ac:dyDescent="0.2">
      <c r="J1595" s="13"/>
      <c r="K1595" s="18"/>
      <c r="L1595" s="19"/>
      <c r="M1595" s="19"/>
      <c r="N1595" s="20"/>
      <c r="O1595" s="22"/>
      <c r="P1595" s="22"/>
      <c r="Q1595" s="23"/>
      <c r="R1595" s="23"/>
    </row>
    <row r="1596" spans="10:18" x14ac:dyDescent="0.2">
      <c r="J1596" s="13"/>
      <c r="K1596" s="18"/>
      <c r="L1596" s="19"/>
      <c r="M1596" s="19"/>
      <c r="N1596" s="20"/>
      <c r="O1596" s="22"/>
      <c r="P1596" s="22"/>
      <c r="Q1596" s="38"/>
      <c r="R1596" s="38"/>
    </row>
    <row r="1597" spans="10:18" x14ac:dyDescent="0.2">
      <c r="J1597" s="13"/>
      <c r="K1597" s="18"/>
      <c r="L1597" s="19"/>
      <c r="M1597" s="19"/>
      <c r="N1597" s="20"/>
      <c r="O1597" s="22"/>
      <c r="P1597" s="22"/>
      <c r="Q1597" s="38"/>
      <c r="R1597" s="38"/>
    </row>
    <row r="1598" spans="10:18" x14ac:dyDescent="0.2">
      <c r="J1598" s="13"/>
      <c r="K1598" s="18"/>
      <c r="L1598" s="19"/>
      <c r="M1598" s="19"/>
      <c r="N1598" s="20"/>
      <c r="O1598" s="22"/>
      <c r="P1598" s="22"/>
      <c r="Q1598" s="45"/>
      <c r="R1598" s="45"/>
    </row>
    <row r="1599" spans="10:18" x14ac:dyDescent="0.2">
      <c r="J1599" s="13"/>
      <c r="K1599" s="18"/>
      <c r="L1599" s="19"/>
      <c r="M1599" s="19"/>
      <c r="N1599" s="20"/>
      <c r="O1599" s="22"/>
      <c r="P1599" s="22"/>
      <c r="Q1599" s="45"/>
      <c r="R1599" s="45"/>
    </row>
    <row r="1600" spans="10:18" x14ac:dyDescent="0.2">
      <c r="J1600" s="13"/>
      <c r="K1600" s="18"/>
      <c r="L1600" s="19"/>
      <c r="M1600" s="19"/>
      <c r="N1600" s="20"/>
      <c r="O1600" s="22"/>
      <c r="P1600" s="22"/>
      <c r="Q1600" s="23"/>
      <c r="R1600" s="23"/>
    </row>
    <row r="1601" spans="10:18" x14ac:dyDescent="0.2">
      <c r="J1601" s="13"/>
      <c r="K1601" s="18"/>
      <c r="L1601" s="19"/>
      <c r="M1601" s="19"/>
      <c r="N1601" s="20"/>
      <c r="O1601" s="22"/>
      <c r="P1601" s="22"/>
      <c r="Q1601" s="23"/>
      <c r="R1601" s="23"/>
    </row>
    <row r="1602" spans="10:18" x14ac:dyDescent="0.2">
      <c r="J1602" s="13"/>
      <c r="K1602" s="18"/>
      <c r="L1602" s="19"/>
      <c r="M1602" s="19"/>
      <c r="N1602" s="20"/>
      <c r="O1602" s="22"/>
      <c r="P1602" s="22"/>
      <c r="Q1602" s="23"/>
      <c r="R1602" s="23"/>
    </row>
    <row r="1603" spans="10:18" x14ac:dyDescent="0.2">
      <c r="J1603" s="13"/>
      <c r="K1603" s="18"/>
      <c r="L1603" s="19"/>
      <c r="M1603" s="19"/>
      <c r="N1603" s="20"/>
      <c r="O1603" s="22"/>
      <c r="P1603" s="22"/>
      <c r="Q1603" s="23"/>
      <c r="R1603" s="23"/>
    </row>
    <row r="1604" spans="10:18" x14ac:dyDescent="0.2">
      <c r="J1604" s="13"/>
      <c r="K1604" s="18"/>
      <c r="L1604" s="19"/>
      <c r="M1604" s="19"/>
      <c r="N1604" s="20"/>
      <c r="O1604" s="22"/>
      <c r="P1604" s="22"/>
      <c r="Q1604" s="23"/>
      <c r="R1604" s="23"/>
    </row>
    <row r="1605" spans="10:18" x14ac:dyDescent="0.2">
      <c r="J1605" s="13"/>
      <c r="K1605" s="18"/>
      <c r="L1605" s="19"/>
      <c r="M1605" s="19"/>
      <c r="N1605" s="20"/>
      <c r="O1605" s="22"/>
      <c r="P1605" s="22"/>
      <c r="Q1605" s="23"/>
      <c r="R1605" s="23"/>
    </row>
    <row r="1606" spans="10:18" x14ac:dyDescent="0.2">
      <c r="J1606" s="13"/>
      <c r="K1606" s="18"/>
      <c r="L1606" s="19"/>
      <c r="M1606" s="19"/>
      <c r="N1606" s="20"/>
      <c r="O1606" s="22"/>
      <c r="P1606" s="36"/>
      <c r="Q1606" s="37"/>
      <c r="R1606" s="37"/>
    </row>
    <row r="1607" spans="10:18" x14ac:dyDescent="0.2">
      <c r="J1607" s="13"/>
      <c r="K1607" s="139" t="s">
        <v>42</v>
      </c>
      <c r="L1607" s="140"/>
      <c r="M1607" s="140"/>
      <c r="N1607" s="141"/>
      <c r="O1607" s="46"/>
      <c r="P1607" s="46"/>
      <c r="Q1607" s="47"/>
      <c r="R1607" s="47">
        <f>SUM(R1594:R1606)</f>
        <v>0</v>
      </c>
    </row>
    <row r="1608" spans="10:18" x14ac:dyDescent="0.2">
      <c r="J1608" s="12" t="s">
        <v>43</v>
      </c>
      <c r="K1608" s="48" t="s">
        <v>44</v>
      </c>
      <c r="L1608" s="43"/>
      <c r="M1608" s="43"/>
      <c r="N1608" s="143"/>
      <c r="O1608" s="49"/>
      <c r="P1608" s="49"/>
      <c r="Q1608" s="50"/>
      <c r="R1608" s="51">
        <f>SUM(R1589+R1607)</f>
        <v>15.929533333333332</v>
      </c>
    </row>
    <row r="1609" spans="10:18" x14ac:dyDescent="0.2">
      <c r="J1609" s="13" t="s">
        <v>45</v>
      </c>
      <c r="K1609" s="48" t="s">
        <v>46</v>
      </c>
      <c r="L1609" s="43"/>
      <c r="M1609" s="43"/>
      <c r="N1609" s="143"/>
      <c r="O1609" s="49"/>
      <c r="P1609" s="52">
        <v>0.09</v>
      </c>
      <c r="Q1609" s="53" t="s">
        <v>47</v>
      </c>
      <c r="R1609" s="51">
        <f>P1609*R1608</f>
        <v>1.4336579999999999</v>
      </c>
    </row>
    <row r="1610" spans="10:18" x14ac:dyDescent="0.2">
      <c r="J1610" s="13" t="s">
        <v>48</v>
      </c>
      <c r="K1610" s="48" t="s">
        <v>49</v>
      </c>
      <c r="L1610" s="43"/>
      <c r="M1610" s="43"/>
      <c r="N1610" s="143"/>
      <c r="O1610" s="49"/>
      <c r="P1610" s="52">
        <v>0.08</v>
      </c>
      <c r="Q1610" s="53" t="s">
        <v>47</v>
      </c>
      <c r="R1610" s="51">
        <f>P1610*R1608</f>
        <v>1.2743626666666665</v>
      </c>
    </row>
    <row r="1611" spans="10:18" x14ac:dyDescent="0.2">
      <c r="J1611" s="13" t="s">
        <v>50</v>
      </c>
      <c r="K1611" s="48" t="s">
        <v>51</v>
      </c>
      <c r="L1611" s="43"/>
      <c r="M1611" s="43"/>
      <c r="N1611" s="143"/>
      <c r="O1611" s="49"/>
      <c r="P1611" s="52">
        <f>5/100</f>
        <v>0.05</v>
      </c>
      <c r="Q1611" s="53" t="s">
        <v>52</v>
      </c>
      <c r="R1611" s="51">
        <f>P1611*(R1608+R1609+R1610)</f>
        <v>0.93187769999999992</v>
      </c>
    </row>
    <row r="1612" spans="10:18" x14ac:dyDescent="0.2">
      <c r="J1612" s="54" t="s">
        <v>53</v>
      </c>
      <c r="K1612" s="48" t="s">
        <v>54</v>
      </c>
      <c r="L1612" s="43"/>
      <c r="M1612" s="43"/>
      <c r="N1612" s="143"/>
      <c r="O1612" s="49"/>
      <c r="P1612" s="49"/>
      <c r="Q1612" s="55" t="s">
        <v>55</v>
      </c>
      <c r="R1612" s="51">
        <f>SUM(R1608+R1609+R1610+R1611)</f>
        <v>19.569431699999999</v>
      </c>
    </row>
  </sheetData>
  <sheetProtection selectLockedCells="1" selectUnlockedCells="1"/>
  <mergeCells count="1112">
    <mergeCell ref="J1551:R1551"/>
    <mergeCell ref="K1588:P1588"/>
    <mergeCell ref="K1590:N1591"/>
    <mergeCell ref="O1590:O1591"/>
    <mergeCell ref="P1590:P1591"/>
    <mergeCell ref="Q1590:Q1591"/>
    <mergeCell ref="R1590:R1591"/>
    <mergeCell ref="K1557:N1558"/>
    <mergeCell ref="O1557:O1558"/>
    <mergeCell ref="P1557:P1558"/>
    <mergeCell ref="Q1557:Q1558"/>
    <mergeCell ref="R1557:R1558"/>
    <mergeCell ref="K1569:N1570"/>
    <mergeCell ref="O1569:O1570"/>
    <mergeCell ref="P1569:P1570"/>
    <mergeCell ref="Q1569:Q1570"/>
    <mergeCell ref="R1569:R1570"/>
    <mergeCell ref="O1528:O1529"/>
    <mergeCell ref="P1528:P1529"/>
    <mergeCell ref="Q1528:Q1529"/>
    <mergeCell ref="R1528:R1529"/>
    <mergeCell ref="B1545:E1545"/>
    <mergeCell ref="B1525:E1525"/>
    <mergeCell ref="B1526:G1526"/>
    <mergeCell ref="K1526:P1526"/>
    <mergeCell ref="B1528:E1529"/>
    <mergeCell ref="F1528:F1529"/>
    <mergeCell ref="G1528:G1529"/>
    <mergeCell ref="H1528:H1529"/>
    <mergeCell ref="I1528:I1529"/>
    <mergeCell ref="K1528:N1529"/>
    <mergeCell ref="O1507:O1508"/>
    <mergeCell ref="P1507:P1508"/>
    <mergeCell ref="Q1507:Q1508"/>
    <mergeCell ref="R1507:R1508"/>
    <mergeCell ref="B1524:E1524"/>
    <mergeCell ref="B1507:E1508"/>
    <mergeCell ref="F1507:F1508"/>
    <mergeCell ref="G1507:G1508"/>
    <mergeCell ref="H1507:H1508"/>
    <mergeCell ref="I1507:I1508"/>
    <mergeCell ref="K1507:N1508"/>
    <mergeCell ref="O1495:O1496"/>
    <mergeCell ref="P1495:P1496"/>
    <mergeCell ref="Q1495:Q1496"/>
    <mergeCell ref="R1495:R1496"/>
    <mergeCell ref="B1506:E1506"/>
    <mergeCell ref="A1489:I1489"/>
    <mergeCell ref="J1489:R1489"/>
    <mergeCell ref="E1491:H1491"/>
    <mergeCell ref="B1495:E1496"/>
    <mergeCell ref="F1495:F1496"/>
    <mergeCell ref="G1495:G1496"/>
    <mergeCell ref="H1495:H1496"/>
    <mergeCell ref="I1495:I1496"/>
    <mergeCell ref="K1495:N1496"/>
    <mergeCell ref="O1466:O1467"/>
    <mergeCell ref="P1466:P1467"/>
    <mergeCell ref="Q1466:Q1467"/>
    <mergeCell ref="R1466:R1467"/>
    <mergeCell ref="B1483:E1483"/>
    <mergeCell ref="B1463:E1463"/>
    <mergeCell ref="B1464:G1464"/>
    <mergeCell ref="K1464:P1464"/>
    <mergeCell ref="B1466:E1467"/>
    <mergeCell ref="F1466:F1467"/>
    <mergeCell ref="G1466:G1467"/>
    <mergeCell ref="H1466:H1467"/>
    <mergeCell ref="I1466:I1467"/>
    <mergeCell ref="K1466:N1467"/>
    <mergeCell ref="O1445:O1446"/>
    <mergeCell ref="P1445:P1446"/>
    <mergeCell ref="Q1445:Q1446"/>
    <mergeCell ref="R1445:R1446"/>
    <mergeCell ref="B1462:E1462"/>
    <mergeCell ref="B1445:E1446"/>
    <mergeCell ref="F1445:F1446"/>
    <mergeCell ref="G1445:G1446"/>
    <mergeCell ref="H1445:H1446"/>
    <mergeCell ref="I1445:I1446"/>
    <mergeCell ref="K1445:N1446"/>
    <mergeCell ref="O1433:O1434"/>
    <mergeCell ref="P1433:P1434"/>
    <mergeCell ref="Q1433:Q1434"/>
    <mergeCell ref="R1433:R1434"/>
    <mergeCell ref="B1444:E1444"/>
    <mergeCell ref="A1427:I1427"/>
    <mergeCell ref="J1427:R1427"/>
    <mergeCell ref="E1429:H1429"/>
    <mergeCell ref="B1433:E1434"/>
    <mergeCell ref="F1433:F1434"/>
    <mergeCell ref="G1433:G1434"/>
    <mergeCell ref="H1433:H1434"/>
    <mergeCell ref="I1433:I1434"/>
    <mergeCell ref="K1433:N1434"/>
    <mergeCell ref="O1404:O1405"/>
    <mergeCell ref="P1404:P1405"/>
    <mergeCell ref="Q1404:Q1405"/>
    <mergeCell ref="R1404:R1405"/>
    <mergeCell ref="B1421:E1421"/>
    <mergeCell ref="B1401:E1401"/>
    <mergeCell ref="B1402:G1402"/>
    <mergeCell ref="K1402:P1402"/>
    <mergeCell ref="B1404:E1405"/>
    <mergeCell ref="F1404:F1405"/>
    <mergeCell ref="G1404:G1405"/>
    <mergeCell ref="H1404:H1405"/>
    <mergeCell ref="I1404:I1405"/>
    <mergeCell ref="K1404:N1405"/>
    <mergeCell ref="O1383:O1384"/>
    <mergeCell ref="P1383:P1384"/>
    <mergeCell ref="Q1383:Q1384"/>
    <mergeCell ref="R1383:R1384"/>
    <mergeCell ref="B1400:E1400"/>
    <mergeCell ref="B1383:E1384"/>
    <mergeCell ref="F1383:F1384"/>
    <mergeCell ref="G1383:G1384"/>
    <mergeCell ref="H1383:H1384"/>
    <mergeCell ref="I1383:I1384"/>
    <mergeCell ref="K1383:N1384"/>
    <mergeCell ref="O1371:O1372"/>
    <mergeCell ref="P1371:P1372"/>
    <mergeCell ref="Q1371:Q1372"/>
    <mergeCell ref="R1371:R1372"/>
    <mergeCell ref="B1382:E1382"/>
    <mergeCell ref="A1365:I1365"/>
    <mergeCell ref="J1365:R1365"/>
    <mergeCell ref="E1367:H1367"/>
    <mergeCell ref="B1371:E1372"/>
    <mergeCell ref="F1371:F1372"/>
    <mergeCell ref="G1371:G1372"/>
    <mergeCell ref="H1371:H1372"/>
    <mergeCell ref="I1371:I1372"/>
    <mergeCell ref="K1371:N1372"/>
    <mergeCell ref="O1342:O1343"/>
    <mergeCell ref="P1342:P1343"/>
    <mergeCell ref="Q1342:Q1343"/>
    <mergeCell ref="R1342:R1343"/>
    <mergeCell ref="B1359:E1359"/>
    <mergeCell ref="B1339:E1339"/>
    <mergeCell ref="B1340:G1340"/>
    <mergeCell ref="K1340:P1340"/>
    <mergeCell ref="B1342:E1343"/>
    <mergeCell ref="F1342:F1343"/>
    <mergeCell ref="G1342:G1343"/>
    <mergeCell ref="H1342:H1343"/>
    <mergeCell ref="I1342:I1343"/>
    <mergeCell ref="K1342:N1343"/>
    <mergeCell ref="O1321:O1322"/>
    <mergeCell ref="P1321:P1322"/>
    <mergeCell ref="Q1321:Q1322"/>
    <mergeCell ref="R1321:R1322"/>
    <mergeCell ref="B1338:E1338"/>
    <mergeCell ref="B1321:E1322"/>
    <mergeCell ref="F1321:F1322"/>
    <mergeCell ref="G1321:G1322"/>
    <mergeCell ref="H1321:H1322"/>
    <mergeCell ref="I1321:I1322"/>
    <mergeCell ref="K1321:N1322"/>
    <mergeCell ref="P1309:P1310"/>
    <mergeCell ref="Q1309:Q1310"/>
    <mergeCell ref="R1309:R1310"/>
    <mergeCell ref="B1320:E1320"/>
    <mergeCell ref="A1303:I1303"/>
    <mergeCell ref="J1303:R1303"/>
    <mergeCell ref="E1305:H1305"/>
    <mergeCell ref="B1309:E1310"/>
    <mergeCell ref="F1309:F1310"/>
    <mergeCell ref="G1309:G1310"/>
    <mergeCell ref="H1309:H1310"/>
    <mergeCell ref="I1309:I1310"/>
    <mergeCell ref="K1309:N1310"/>
    <mergeCell ref="O1309:O1310"/>
    <mergeCell ref="O1280:O1281"/>
    <mergeCell ref="P1280:P1281"/>
    <mergeCell ref="Q1280:Q1281"/>
    <mergeCell ref="R1280:R1281"/>
    <mergeCell ref="B1297:E1297"/>
    <mergeCell ref="B1277:E1277"/>
    <mergeCell ref="B1278:G1278"/>
    <mergeCell ref="K1278:P1278"/>
    <mergeCell ref="B1280:E1281"/>
    <mergeCell ref="F1280:F1281"/>
    <mergeCell ref="G1280:G1281"/>
    <mergeCell ref="H1280:H1281"/>
    <mergeCell ref="I1280:I1281"/>
    <mergeCell ref="K1280:N1281"/>
    <mergeCell ref="O1259:O1260"/>
    <mergeCell ref="P1259:P1260"/>
    <mergeCell ref="Q1259:Q1260"/>
    <mergeCell ref="R1259:R1260"/>
    <mergeCell ref="B1276:E1276"/>
    <mergeCell ref="B1259:E1260"/>
    <mergeCell ref="F1259:F1260"/>
    <mergeCell ref="G1259:G1260"/>
    <mergeCell ref="H1259:H1260"/>
    <mergeCell ref="I1259:I1260"/>
    <mergeCell ref="K1259:N1260"/>
    <mergeCell ref="P1247:P1248"/>
    <mergeCell ref="Q1247:Q1248"/>
    <mergeCell ref="R1247:R1248"/>
    <mergeCell ref="B1258:E1258"/>
    <mergeCell ref="A1241:I1241"/>
    <mergeCell ref="J1241:R1241"/>
    <mergeCell ref="E1243:H1243"/>
    <mergeCell ref="B1247:E1248"/>
    <mergeCell ref="F1247:F1248"/>
    <mergeCell ref="G1247:G1248"/>
    <mergeCell ref="H1247:H1248"/>
    <mergeCell ref="I1247:I1248"/>
    <mergeCell ref="K1247:N1248"/>
    <mergeCell ref="O1247:O1248"/>
    <mergeCell ref="O1218:O1219"/>
    <mergeCell ref="P1218:P1219"/>
    <mergeCell ref="Q1218:Q1219"/>
    <mergeCell ref="R1218:R1219"/>
    <mergeCell ref="B1235:E1235"/>
    <mergeCell ref="B1215:E1215"/>
    <mergeCell ref="B1216:G1216"/>
    <mergeCell ref="K1216:P1216"/>
    <mergeCell ref="B1218:E1219"/>
    <mergeCell ref="F1218:F1219"/>
    <mergeCell ref="G1218:G1219"/>
    <mergeCell ref="H1218:H1219"/>
    <mergeCell ref="I1218:I1219"/>
    <mergeCell ref="K1218:N1219"/>
    <mergeCell ref="O1197:O1198"/>
    <mergeCell ref="P1197:P1198"/>
    <mergeCell ref="Q1197:Q1198"/>
    <mergeCell ref="R1197:R1198"/>
    <mergeCell ref="B1214:E1214"/>
    <mergeCell ref="B1196:E1196"/>
    <mergeCell ref="B1197:E1198"/>
    <mergeCell ref="F1197:F1198"/>
    <mergeCell ref="G1197:G1198"/>
    <mergeCell ref="H1197:H1198"/>
    <mergeCell ref="I1197:I1198"/>
    <mergeCell ref="K1197:N1198"/>
    <mergeCell ref="P1185:P1186"/>
    <mergeCell ref="Q1185:Q1186"/>
    <mergeCell ref="R1185:R1186"/>
    <mergeCell ref="B1190:C1190"/>
    <mergeCell ref="B1191:C1191"/>
    <mergeCell ref="A1179:I1179"/>
    <mergeCell ref="J1179:R1179"/>
    <mergeCell ref="E1181:H1181"/>
    <mergeCell ref="B1185:E1186"/>
    <mergeCell ref="F1185:F1186"/>
    <mergeCell ref="G1185:G1186"/>
    <mergeCell ref="H1185:H1186"/>
    <mergeCell ref="I1185:I1186"/>
    <mergeCell ref="K1185:N1186"/>
    <mergeCell ref="O1185:O1186"/>
    <mergeCell ref="O1156:O1157"/>
    <mergeCell ref="P1156:P1157"/>
    <mergeCell ref="Q1156:Q1157"/>
    <mergeCell ref="R1156:R1157"/>
    <mergeCell ref="B1173:E1173"/>
    <mergeCell ref="B1153:E1153"/>
    <mergeCell ref="B1154:G1154"/>
    <mergeCell ref="K1154:P1154"/>
    <mergeCell ref="B1156:E1157"/>
    <mergeCell ref="F1156:F1157"/>
    <mergeCell ref="G1156:G1157"/>
    <mergeCell ref="H1156:H1157"/>
    <mergeCell ref="I1156:I1157"/>
    <mergeCell ref="K1156:N1157"/>
    <mergeCell ref="O1135:O1136"/>
    <mergeCell ref="P1135:P1136"/>
    <mergeCell ref="Q1135:Q1136"/>
    <mergeCell ref="R1135:R1136"/>
    <mergeCell ref="B1152:E1152"/>
    <mergeCell ref="B1134:E1134"/>
    <mergeCell ref="B1135:E1136"/>
    <mergeCell ref="F1135:F1136"/>
    <mergeCell ref="G1135:G1136"/>
    <mergeCell ref="H1135:H1136"/>
    <mergeCell ref="I1135:I1136"/>
    <mergeCell ref="K1135:N1136"/>
    <mergeCell ref="P1123:P1124"/>
    <mergeCell ref="Q1123:Q1124"/>
    <mergeCell ref="R1123:R1124"/>
    <mergeCell ref="B1128:C1128"/>
    <mergeCell ref="B1129:C1129"/>
    <mergeCell ref="A1117:I1117"/>
    <mergeCell ref="J1117:R1117"/>
    <mergeCell ref="E1119:I1119"/>
    <mergeCell ref="B1123:E1124"/>
    <mergeCell ref="F1123:F1124"/>
    <mergeCell ref="G1123:G1124"/>
    <mergeCell ref="H1123:H1124"/>
    <mergeCell ref="I1123:I1124"/>
    <mergeCell ref="K1123:N1124"/>
    <mergeCell ref="O1123:O1124"/>
    <mergeCell ref="O1094:O1095"/>
    <mergeCell ref="P1094:P1095"/>
    <mergeCell ref="Q1094:Q1095"/>
    <mergeCell ref="R1094:R1095"/>
    <mergeCell ref="B1111:E1111"/>
    <mergeCell ref="B1091:E1091"/>
    <mergeCell ref="B1092:G1092"/>
    <mergeCell ref="K1092:P1092"/>
    <mergeCell ref="B1094:E1095"/>
    <mergeCell ref="F1094:F1095"/>
    <mergeCell ref="G1094:G1095"/>
    <mergeCell ref="H1094:H1095"/>
    <mergeCell ref="I1094:I1095"/>
    <mergeCell ref="K1094:N1095"/>
    <mergeCell ref="O1073:O1074"/>
    <mergeCell ref="P1073:P1074"/>
    <mergeCell ref="Q1073:Q1074"/>
    <mergeCell ref="R1073:R1074"/>
    <mergeCell ref="B1090:E1090"/>
    <mergeCell ref="B1072:E1072"/>
    <mergeCell ref="B1073:E1074"/>
    <mergeCell ref="F1073:F1074"/>
    <mergeCell ref="G1073:G1074"/>
    <mergeCell ref="H1073:H1074"/>
    <mergeCell ref="I1073:I1074"/>
    <mergeCell ref="K1073:N1074"/>
    <mergeCell ref="O1061:O1062"/>
    <mergeCell ref="P1061:P1062"/>
    <mergeCell ref="Q1061:Q1062"/>
    <mergeCell ref="R1061:R1062"/>
    <mergeCell ref="B1066:C1066"/>
    <mergeCell ref="B1067:C1067"/>
    <mergeCell ref="A1055:I1055"/>
    <mergeCell ref="J1055:R1055"/>
    <mergeCell ref="E1057:H1057"/>
    <mergeCell ref="B1061:E1062"/>
    <mergeCell ref="F1061:F1062"/>
    <mergeCell ref="G1061:G1062"/>
    <mergeCell ref="H1061:H1062"/>
    <mergeCell ref="I1061:I1062"/>
    <mergeCell ref="K1061:N1062"/>
    <mergeCell ref="O1032:O1033"/>
    <mergeCell ref="P1032:P1033"/>
    <mergeCell ref="Q1032:Q1033"/>
    <mergeCell ref="R1032:R1033"/>
    <mergeCell ref="B1049:E1049"/>
    <mergeCell ref="K1045:Q1045"/>
    <mergeCell ref="B1029:E1029"/>
    <mergeCell ref="B1030:G1030"/>
    <mergeCell ref="K1030:P1030"/>
    <mergeCell ref="B1032:E1033"/>
    <mergeCell ref="F1032:F1033"/>
    <mergeCell ref="G1032:G1033"/>
    <mergeCell ref="H1032:H1033"/>
    <mergeCell ref="I1032:I1033"/>
    <mergeCell ref="K1032:N1033"/>
    <mergeCell ref="O1011:O1012"/>
    <mergeCell ref="P1011:P1012"/>
    <mergeCell ref="Q1011:Q1012"/>
    <mergeCell ref="R1011:R1012"/>
    <mergeCell ref="B1028:E1028"/>
    <mergeCell ref="K1042:Q1042"/>
    <mergeCell ref="K1043:Q1043"/>
    <mergeCell ref="K1044:Q1044"/>
    <mergeCell ref="B1005:C1005"/>
    <mergeCell ref="B1010:E1010"/>
    <mergeCell ref="B1011:E1012"/>
    <mergeCell ref="F1011:F1012"/>
    <mergeCell ref="G1011:G1012"/>
    <mergeCell ref="H1011:H1012"/>
    <mergeCell ref="I1011:I1012"/>
    <mergeCell ref="K1011:N1012"/>
    <mergeCell ref="O999:O1000"/>
    <mergeCell ref="P999:P1000"/>
    <mergeCell ref="Q999:Q1000"/>
    <mergeCell ref="R999:R1000"/>
    <mergeCell ref="B1004:C1004"/>
    <mergeCell ref="B999:E1000"/>
    <mergeCell ref="F999:F1000"/>
    <mergeCell ref="G999:G1000"/>
    <mergeCell ref="H999:H1000"/>
    <mergeCell ref="I999:I1000"/>
    <mergeCell ref="K999:N1000"/>
    <mergeCell ref="B987:E987"/>
    <mergeCell ref="A993:I993"/>
    <mergeCell ref="J993:R993"/>
    <mergeCell ref="O970:O971"/>
    <mergeCell ref="P970:P971"/>
    <mergeCell ref="Q970:Q971"/>
    <mergeCell ref="R970:R971"/>
    <mergeCell ref="B967:E967"/>
    <mergeCell ref="B968:G968"/>
    <mergeCell ref="K968:P968"/>
    <mergeCell ref="B970:E971"/>
    <mergeCell ref="F970:F971"/>
    <mergeCell ref="G970:G971"/>
    <mergeCell ref="H970:H971"/>
    <mergeCell ref="I970:I971"/>
    <mergeCell ref="K970:N971"/>
    <mergeCell ref="O949:O950"/>
    <mergeCell ref="P949:P950"/>
    <mergeCell ref="Q949:Q950"/>
    <mergeCell ref="R949:R950"/>
    <mergeCell ref="B966:E966"/>
    <mergeCell ref="B948:E948"/>
    <mergeCell ref="B949:E950"/>
    <mergeCell ref="F949:F950"/>
    <mergeCell ref="G949:G950"/>
    <mergeCell ref="H949:H950"/>
    <mergeCell ref="I949:I950"/>
    <mergeCell ref="K949:N950"/>
    <mergeCell ref="P937:P938"/>
    <mergeCell ref="Q937:Q938"/>
    <mergeCell ref="R937:R938"/>
    <mergeCell ref="B942:C942"/>
    <mergeCell ref="B943:C943"/>
    <mergeCell ref="K942:R942"/>
    <mergeCell ref="K943:R943"/>
    <mergeCell ref="K944:R944"/>
    <mergeCell ref="K945:R945"/>
    <mergeCell ref="A931:I931"/>
    <mergeCell ref="J931:R931"/>
    <mergeCell ref="E933:H933"/>
    <mergeCell ref="B937:E938"/>
    <mergeCell ref="F937:F938"/>
    <mergeCell ref="G937:G938"/>
    <mergeCell ref="H937:H938"/>
    <mergeCell ref="I937:I938"/>
    <mergeCell ref="K937:N938"/>
    <mergeCell ref="O937:O938"/>
    <mergeCell ref="O908:O909"/>
    <mergeCell ref="P908:P909"/>
    <mergeCell ref="Q908:Q909"/>
    <mergeCell ref="R908:R909"/>
    <mergeCell ref="B925:E925"/>
    <mergeCell ref="B905:E905"/>
    <mergeCell ref="B906:G906"/>
    <mergeCell ref="K906:P906"/>
    <mergeCell ref="B908:E909"/>
    <mergeCell ref="F908:F909"/>
    <mergeCell ref="G908:G909"/>
    <mergeCell ref="H908:H909"/>
    <mergeCell ref="I908:I909"/>
    <mergeCell ref="K908:N909"/>
    <mergeCell ref="O887:O888"/>
    <mergeCell ref="P887:P888"/>
    <mergeCell ref="Q887:Q888"/>
    <mergeCell ref="R887:R888"/>
    <mergeCell ref="B904:E904"/>
    <mergeCell ref="B886:E886"/>
    <mergeCell ref="B887:E888"/>
    <mergeCell ref="F887:F888"/>
    <mergeCell ref="G887:G888"/>
    <mergeCell ref="H887:H888"/>
    <mergeCell ref="I887:I888"/>
    <mergeCell ref="K887:N888"/>
    <mergeCell ref="P875:P876"/>
    <mergeCell ref="Q875:Q876"/>
    <mergeCell ref="R875:R876"/>
    <mergeCell ref="B880:C880"/>
    <mergeCell ref="B881:C881"/>
    <mergeCell ref="A869:I869"/>
    <mergeCell ref="J869:R869"/>
    <mergeCell ref="E871:H871"/>
    <mergeCell ref="B875:E876"/>
    <mergeCell ref="F875:F876"/>
    <mergeCell ref="G875:G876"/>
    <mergeCell ref="H875:H876"/>
    <mergeCell ref="I875:I876"/>
    <mergeCell ref="K875:N876"/>
    <mergeCell ref="O875:O876"/>
    <mergeCell ref="O846:O847"/>
    <mergeCell ref="P846:P847"/>
    <mergeCell ref="Q846:Q847"/>
    <mergeCell ref="R846:R847"/>
    <mergeCell ref="B863:E863"/>
    <mergeCell ref="K863:N863"/>
    <mergeCell ref="B843:E843"/>
    <mergeCell ref="K843:N843"/>
    <mergeCell ref="B844:G844"/>
    <mergeCell ref="K844:P844"/>
    <mergeCell ref="B846:E847"/>
    <mergeCell ref="F846:F847"/>
    <mergeCell ref="G846:G847"/>
    <mergeCell ref="H846:H847"/>
    <mergeCell ref="I846:I847"/>
    <mergeCell ref="K846:N847"/>
    <mergeCell ref="O825:O826"/>
    <mergeCell ref="P825:P826"/>
    <mergeCell ref="Q825:Q826"/>
    <mergeCell ref="R825:R826"/>
    <mergeCell ref="B842:E842"/>
    <mergeCell ref="K842:N842"/>
    <mergeCell ref="B824:E824"/>
    <mergeCell ref="K824:N824"/>
    <mergeCell ref="B825:E826"/>
    <mergeCell ref="F825:F826"/>
    <mergeCell ref="G825:G826"/>
    <mergeCell ref="H825:H826"/>
    <mergeCell ref="I825:I826"/>
    <mergeCell ref="K825:N826"/>
    <mergeCell ref="P813:P814"/>
    <mergeCell ref="Q813:Q814"/>
    <mergeCell ref="R813:R814"/>
    <mergeCell ref="B818:C818"/>
    <mergeCell ref="K818:L818"/>
    <mergeCell ref="B819:C819"/>
    <mergeCell ref="K819:L819"/>
    <mergeCell ref="A807:I807"/>
    <mergeCell ref="J807:R807"/>
    <mergeCell ref="E809:H809"/>
    <mergeCell ref="B813:E814"/>
    <mergeCell ref="F813:F814"/>
    <mergeCell ref="G813:G814"/>
    <mergeCell ref="H813:H814"/>
    <mergeCell ref="I813:I814"/>
    <mergeCell ref="K813:N814"/>
    <mergeCell ref="O813:O814"/>
    <mergeCell ref="O784:O785"/>
    <mergeCell ref="P784:P785"/>
    <mergeCell ref="Q784:Q785"/>
    <mergeCell ref="R784:R785"/>
    <mergeCell ref="B801:E801"/>
    <mergeCell ref="K801:N801"/>
    <mergeCell ref="B781:E781"/>
    <mergeCell ref="K781:N781"/>
    <mergeCell ref="B782:G782"/>
    <mergeCell ref="K782:P782"/>
    <mergeCell ref="B784:E785"/>
    <mergeCell ref="F784:F785"/>
    <mergeCell ref="G784:G785"/>
    <mergeCell ref="H784:H785"/>
    <mergeCell ref="I784:I785"/>
    <mergeCell ref="K784:N785"/>
    <mergeCell ref="O763:O764"/>
    <mergeCell ref="P763:P764"/>
    <mergeCell ref="Q763:Q764"/>
    <mergeCell ref="R763:R764"/>
    <mergeCell ref="B780:E780"/>
    <mergeCell ref="K780:N780"/>
    <mergeCell ref="B762:E762"/>
    <mergeCell ref="K762:N762"/>
    <mergeCell ref="B763:E764"/>
    <mergeCell ref="F763:F764"/>
    <mergeCell ref="G763:G764"/>
    <mergeCell ref="H763:H764"/>
    <mergeCell ref="I763:I764"/>
    <mergeCell ref="K763:N764"/>
    <mergeCell ref="P751:P752"/>
    <mergeCell ref="Q751:Q752"/>
    <mergeCell ref="R751:R752"/>
    <mergeCell ref="B756:C756"/>
    <mergeCell ref="K756:L756"/>
    <mergeCell ref="B757:C757"/>
    <mergeCell ref="K757:L757"/>
    <mergeCell ref="A745:I745"/>
    <mergeCell ref="J745:R745"/>
    <mergeCell ref="E747:H747"/>
    <mergeCell ref="B751:E752"/>
    <mergeCell ref="F751:F752"/>
    <mergeCell ref="G751:G752"/>
    <mergeCell ref="H751:H752"/>
    <mergeCell ref="I751:I752"/>
    <mergeCell ref="K751:N752"/>
    <mergeCell ref="O751:O752"/>
    <mergeCell ref="O722:O723"/>
    <mergeCell ref="P722:P723"/>
    <mergeCell ref="Q722:Q723"/>
    <mergeCell ref="R722:R723"/>
    <mergeCell ref="B739:E739"/>
    <mergeCell ref="K739:N739"/>
    <mergeCell ref="B719:E719"/>
    <mergeCell ref="K719:N719"/>
    <mergeCell ref="B720:G720"/>
    <mergeCell ref="K720:P720"/>
    <mergeCell ref="B722:E723"/>
    <mergeCell ref="F722:F723"/>
    <mergeCell ref="G722:G723"/>
    <mergeCell ref="H722:H723"/>
    <mergeCell ref="I722:I723"/>
    <mergeCell ref="K722:N723"/>
    <mergeCell ref="O701:O702"/>
    <mergeCell ref="P701:P702"/>
    <mergeCell ref="Q701:Q702"/>
    <mergeCell ref="R701:R702"/>
    <mergeCell ref="B718:E718"/>
    <mergeCell ref="K718:N718"/>
    <mergeCell ref="B700:E700"/>
    <mergeCell ref="K700:N700"/>
    <mergeCell ref="B701:E702"/>
    <mergeCell ref="F701:F702"/>
    <mergeCell ref="G701:G702"/>
    <mergeCell ref="H701:H702"/>
    <mergeCell ref="I701:I702"/>
    <mergeCell ref="K701:N702"/>
    <mergeCell ref="P689:P690"/>
    <mergeCell ref="Q689:Q690"/>
    <mergeCell ref="R689:R690"/>
    <mergeCell ref="B694:C694"/>
    <mergeCell ref="K694:L694"/>
    <mergeCell ref="B695:C695"/>
    <mergeCell ref="K695:L695"/>
    <mergeCell ref="A683:I683"/>
    <mergeCell ref="J683:R683"/>
    <mergeCell ref="E685:H685"/>
    <mergeCell ref="B689:E690"/>
    <mergeCell ref="F689:F690"/>
    <mergeCell ref="G689:G690"/>
    <mergeCell ref="H689:H690"/>
    <mergeCell ref="I689:I690"/>
    <mergeCell ref="K689:N690"/>
    <mergeCell ref="O689:O690"/>
    <mergeCell ref="O660:O661"/>
    <mergeCell ref="P660:P661"/>
    <mergeCell ref="Q660:Q661"/>
    <mergeCell ref="R660:R661"/>
    <mergeCell ref="B677:E677"/>
    <mergeCell ref="K677:N677"/>
    <mergeCell ref="B657:E657"/>
    <mergeCell ref="K657:N657"/>
    <mergeCell ref="B658:G658"/>
    <mergeCell ref="K658:P658"/>
    <mergeCell ref="B660:E661"/>
    <mergeCell ref="F660:F661"/>
    <mergeCell ref="G660:G661"/>
    <mergeCell ref="H660:H661"/>
    <mergeCell ref="I660:I661"/>
    <mergeCell ref="K660:N661"/>
    <mergeCell ref="O639:O640"/>
    <mergeCell ref="P639:P640"/>
    <mergeCell ref="Q639:Q640"/>
    <mergeCell ref="R639:R640"/>
    <mergeCell ref="B656:E656"/>
    <mergeCell ref="K656:N656"/>
    <mergeCell ref="B638:E638"/>
    <mergeCell ref="K638:N638"/>
    <mergeCell ref="B639:E640"/>
    <mergeCell ref="F639:F640"/>
    <mergeCell ref="G639:G640"/>
    <mergeCell ref="H639:H640"/>
    <mergeCell ref="I639:I640"/>
    <mergeCell ref="K639:N640"/>
    <mergeCell ref="Q627:Q628"/>
    <mergeCell ref="R627:R628"/>
    <mergeCell ref="B632:C632"/>
    <mergeCell ref="K632:L632"/>
    <mergeCell ref="B633:C633"/>
    <mergeCell ref="K633:L633"/>
    <mergeCell ref="A621:I621"/>
    <mergeCell ref="J621:R621"/>
    <mergeCell ref="B627:E628"/>
    <mergeCell ref="F627:F628"/>
    <mergeCell ref="G627:G628"/>
    <mergeCell ref="H627:H628"/>
    <mergeCell ref="I627:I628"/>
    <mergeCell ref="K627:N628"/>
    <mergeCell ref="O627:O628"/>
    <mergeCell ref="P627:P628"/>
    <mergeCell ref="O598:O599"/>
    <mergeCell ref="P598:P599"/>
    <mergeCell ref="Q598:Q599"/>
    <mergeCell ref="R598:R599"/>
    <mergeCell ref="B615:E615"/>
    <mergeCell ref="K615:N615"/>
    <mergeCell ref="B595:E595"/>
    <mergeCell ref="K595:N595"/>
    <mergeCell ref="B596:G596"/>
    <mergeCell ref="K596:P596"/>
    <mergeCell ref="B598:E599"/>
    <mergeCell ref="F598:F599"/>
    <mergeCell ref="G598:G599"/>
    <mergeCell ref="H598:H599"/>
    <mergeCell ref="I598:I599"/>
    <mergeCell ref="K598:N599"/>
    <mergeCell ref="O577:O578"/>
    <mergeCell ref="P577:P578"/>
    <mergeCell ref="Q577:Q578"/>
    <mergeCell ref="R577:R578"/>
    <mergeCell ref="B594:E594"/>
    <mergeCell ref="K594:N594"/>
    <mergeCell ref="B576:E576"/>
    <mergeCell ref="K576:N576"/>
    <mergeCell ref="B577:E578"/>
    <mergeCell ref="F577:F578"/>
    <mergeCell ref="G577:G578"/>
    <mergeCell ref="H577:H578"/>
    <mergeCell ref="I577:I578"/>
    <mergeCell ref="K577:N578"/>
    <mergeCell ref="Q565:Q566"/>
    <mergeCell ref="R565:R566"/>
    <mergeCell ref="B570:C570"/>
    <mergeCell ref="K570:L570"/>
    <mergeCell ref="B571:C571"/>
    <mergeCell ref="K571:L571"/>
    <mergeCell ref="A559:I559"/>
    <mergeCell ref="J559:R559"/>
    <mergeCell ref="B565:E566"/>
    <mergeCell ref="F565:F566"/>
    <mergeCell ref="G565:G566"/>
    <mergeCell ref="H565:H566"/>
    <mergeCell ref="I565:I566"/>
    <mergeCell ref="K565:N566"/>
    <mergeCell ref="O565:O566"/>
    <mergeCell ref="P565:P566"/>
    <mergeCell ref="O536:O537"/>
    <mergeCell ref="P536:P537"/>
    <mergeCell ref="Q536:Q537"/>
    <mergeCell ref="R536:R537"/>
    <mergeCell ref="B553:E553"/>
    <mergeCell ref="K553:N553"/>
    <mergeCell ref="B533:E533"/>
    <mergeCell ref="K533:N533"/>
    <mergeCell ref="B534:G534"/>
    <mergeCell ref="K534:P534"/>
    <mergeCell ref="B536:E537"/>
    <mergeCell ref="F536:F537"/>
    <mergeCell ref="G536:G537"/>
    <mergeCell ref="H536:H537"/>
    <mergeCell ref="I536:I537"/>
    <mergeCell ref="K536:N537"/>
    <mergeCell ref="O515:O516"/>
    <mergeCell ref="P515:P516"/>
    <mergeCell ref="Q515:Q516"/>
    <mergeCell ref="R515:R516"/>
    <mergeCell ref="B532:E532"/>
    <mergeCell ref="K532:N532"/>
    <mergeCell ref="B515:E516"/>
    <mergeCell ref="F515:F516"/>
    <mergeCell ref="G515:G516"/>
    <mergeCell ref="H515:H516"/>
    <mergeCell ref="I515:I516"/>
    <mergeCell ref="K515:N516"/>
    <mergeCell ref="P503:P504"/>
    <mergeCell ref="Q503:Q504"/>
    <mergeCell ref="R503:R504"/>
    <mergeCell ref="B508:C508"/>
    <mergeCell ref="B509:C509"/>
    <mergeCell ref="B514:E514"/>
    <mergeCell ref="K514:N514"/>
    <mergeCell ref="A497:I497"/>
    <mergeCell ref="J497:R497"/>
    <mergeCell ref="N499:Q499"/>
    <mergeCell ref="B503:E504"/>
    <mergeCell ref="F503:F504"/>
    <mergeCell ref="G503:G504"/>
    <mergeCell ref="H503:H504"/>
    <mergeCell ref="I503:I504"/>
    <mergeCell ref="K503:N504"/>
    <mergeCell ref="O503:O504"/>
    <mergeCell ref="O474:O475"/>
    <mergeCell ref="P474:P475"/>
    <mergeCell ref="Q474:Q475"/>
    <mergeCell ref="R474:R475"/>
    <mergeCell ref="B482:E483"/>
    <mergeCell ref="B491:E491"/>
    <mergeCell ref="K491:N491"/>
    <mergeCell ref="B471:E471"/>
    <mergeCell ref="K471:N471"/>
    <mergeCell ref="B472:G472"/>
    <mergeCell ref="K472:P472"/>
    <mergeCell ref="B474:E475"/>
    <mergeCell ref="F474:F475"/>
    <mergeCell ref="G474:G475"/>
    <mergeCell ref="H474:H475"/>
    <mergeCell ref="I474:I475"/>
    <mergeCell ref="K474:N475"/>
    <mergeCell ref="O453:O454"/>
    <mergeCell ref="P453:P454"/>
    <mergeCell ref="Q453:Q454"/>
    <mergeCell ref="R453:R454"/>
    <mergeCell ref="B470:E470"/>
    <mergeCell ref="K470:N470"/>
    <mergeCell ref="B452:E452"/>
    <mergeCell ref="K452:N452"/>
    <mergeCell ref="B453:E454"/>
    <mergeCell ref="F453:F454"/>
    <mergeCell ref="G453:G454"/>
    <mergeCell ref="H453:H454"/>
    <mergeCell ref="I453:I454"/>
    <mergeCell ref="K453:N454"/>
    <mergeCell ref="O441:O442"/>
    <mergeCell ref="P441:P442"/>
    <mergeCell ref="Q441:Q442"/>
    <mergeCell ref="R441:R442"/>
    <mergeCell ref="B446:C446"/>
    <mergeCell ref="B447:C447"/>
    <mergeCell ref="A435:I435"/>
    <mergeCell ref="J435:R435"/>
    <mergeCell ref="E437:H437"/>
    <mergeCell ref="N437:Q437"/>
    <mergeCell ref="B441:E442"/>
    <mergeCell ref="F441:F442"/>
    <mergeCell ref="G441:G442"/>
    <mergeCell ref="H441:H442"/>
    <mergeCell ref="I441:I442"/>
    <mergeCell ref="K441:N442"/>
    <mergeCell ref="O412:O413"/>
    <mergeCell ref="P412:P413"/>
    <mergeCell ref="Q412:Q413"/>
    <mergeCell ref="R412:R413"/>
    <mergeCell ref="B429:E429"/>
    <mergeCell ref="K429:N429"/>
    <mergeCell ref="B409:E409"/>
    <mergeCell ref="K409:N409"/>
    <mergeCell ref="B410:G410"/>
    <mergeCell ref="K410:P410"/>
    <mergeCell ref="B412:E413"/>
    <mergeCell ref="F412:F413"/>
    <mergeCell ref="G412:G413"/>
    <mergeCell ref="H412:H413"/>
    <mergeCell ref="I412:I413"/>
    <mergeCell ref="K412:N413"/>
    <mergeCell ref="O391:O392"/>
    <mergeCell ref="P391:P392"/>
    <mergeCell ref="Q391:Q392"/>
    <mergeCell ref="R391:R392"/>
    <mergeCell ref="B408:E408"/>
    <mergeCell ref="K408:N408"/>
    <mergeCell ref="B390:E390"/>
    <mergeCell ref="K390:N390"/>
    <mergeCell ref="B391:E392"/>
    <mergeCell ref="F391:F392"/>
    <mergeCell ref="G391:G392"/>
    <mergeCell ref="H391:H392"/>
    <mergeCell ref="I391:I392"/>
    <mergeCell ref="K391:N392"/>
    <mergeCell ref="O379:O380"/>
    <mergeCell ref="P379:P380"/>
    <mergeCell ref="Q379:Q380"/>
    <mergeCell ref="R379:R380"/>
    <mergeCell ref="B384:C384"/>
    <mergeCell ref="B385:C385"/>
    <mergeCell ref="A373:I373"/>
    <mergeCell ref="J373:R373"/>
    <mergeCell ref="E375:H375"/>
    <mergeCell ref="N375:Q375"/>
    <mergeCell ref="B379:E380"/>
    <mergeCell ref="F379:F380"/>
    <mergeCell ref="G379:G380"/>
    <mergeCell ref="H379:H380"/>
    <mergeCell ref="I379:I380"/>
    <mergeCell ref="K379:N380"/>
    <mergeCell ref="O350:O351"/>
    <mergeCell ref="P350:P351"/>
    <mergeCell ref="Q350:Q351"/>
    <mergeCell ref="R350:R351"/>
    <mergeCell ref="B367:E367"/>
    <mergeCell ref="K367:N367"/>
    <mergeCell ref="B347:E347"/>
    <mergeCell ref="K347:N347"/>
    <mergeCell ref="B348:G348"/>
    <mergeCell ref="K348:P348"/>
    <mergeCell ref="B350:E351"/>
    <mergeCell ref="F350:F351"/>
    <mergeCell ref="G350:G351"/>
    <mergeCell ref="H350:H351"/>
    <mergeCell ref="I350:I351"/>
    <mergeCell ref="K350:N351"/>
    <mergeCell ref="O329:O330"/>
    <mergeCell ref="P329:P330"/>
    <mergeCell ref="Q329:Q330"/>
    <mergeCell ref="R329:R330"/>
    <mergeCell ref="B346:E346"/>
    <mergeCell ref="K346:N346"/>
    <mergeCell ref="B329:E330"/>
    <mergeCell ref="F329:F330"/>
    <mergeCell ref="G329:G330"/>
    <mergeCell ref="H329:H330"/>
    <mergeCell ref="I329:I330"/>
    <mergeCell ref="K329:N330"/>
    <mergeCell ref="O317:O318"/>
    <mergeCell ref="P317:P318"/>
    <mergeCell ref="Q317:Q318"/>
    <mergeCell ref="R317:R318"/>
    <mergeCell ref="B328:E328"/>
    <mergeCell ref="K328:N328"/>
    <mergeCell ref="A311:I311"/>
    <mergeCell ref="J311:R311"/>
    <mergeCell ref="E313:H313"/>
    <mergeCell ref="N313:Q313"/>
    <mergeCell ref="B317:E318"/>
    <mergeCell ref="F317:F318"/>
    <mergeCell ref="G317:G318"/>
    <mergeCell ref="H317:H318"/>
    <mergeCell ref="I317:I318"/>
    <mergeCell ref="K317:N318"/>
    <mergeCell ref="O288:O289"/>
    <mergeCell ref="P288:P289"/>
    <mergeCell ref="Q288:Q289"/>
    <mergeCell ref="R288:R289"/>
    <mergeCell ref="B305:E305"/>
    <mergeCell ref="K305:N305"/>
    <mergeCell ref="B285:E285"/>
    <mergeCell ref="K285:N285"/>
    <mergeCell ref="B286:G286"/>
    <mergeCell ref="K286:P286"/>
    <mergeCell ref="B288:E289"/>
    <mergeCell ref="F288:F289"/>
    <mergeCell ref="G288:G289"/>
    <mergeCell ref="H288:H289"/>
    <mergeCell ref="I288:I289"/>
    <mergeCell ref="K288:N289"/>
    <mergeCell ref="O267:O268"/>
    <mergeCell ref="P267:P268"/>
    <mergeCell ref="Q267:Q268"/>
    <mergeCell ref="R267:R268"/>
    <mergeCell ref="B276:E277"/>
    <mergeCell ref="B284:E284"/>
    <mergeCell ref="K284:N284"/>
    <mergeCell ref="B267:E268"/>
    <mergeCell ref="F267:F268"/>
    <mergeCell ref="G267:G268"/>
    <mergeCell ref="H267:H268"/>
    <mergeCell ref="I267:I268"/>
    <mergeCell ref="K267:N268"/>
    <mergeCell ref="P255:P256"/>
    <mergeCell ref="Q255:Q256"/>
    <mergeCell ref="R255:R256"/>
    <mergeCell ref="B260:C260"/>
    <mergeCell ref="B261:C261"/>
    <mergeCell ref="B266:E266"/>
    <mergeCell ref="K266:N266"/>
    <mergeCell ref="A249:I249"/>
    <mergeCell ref="J249:R249"/>
    <mergeCell ref="E251:H251"/>
    <mergeCell ref="B255:E256"/>
    <mergeCell ref="F255:F256"/>
    <mergeCell ref="G255:G256"/>
    <mergeCell ref="H255:H256"/>
    <mergeCell ref="I255:I256"/>
    <mergeCell ref="K255:N256"/>
    <mergeCell ref="O255:O256"/>
    <mergeCell ref="O226:O227"/>
    <mergeCell ref="P226:P227"/>
    <mergeCell ref="Q226:Q227"/>
    <mergeCell ref="R226:R227"/>
    <mergeCell ref="B243:E243"/>
    <mergeCell ref="K243:N243"/>
    <mergeCell ref="B223:E223"/>
    <mergeCell ref="K223:N223"/>
    <mergeCell ref="B224:G224"/>
    <mergeCell ref="K224:P224"/>
    <mergeCell ref="B226:E227"/>
    <mergeCell ref="F226:F227"/>
    <mergeCell ref="G226:G227"/>
    <mergeCell ref="H226:H227"/>
    <mergeCell ref="I226:I227"/>
    <mergeCell ref="K226:N227"/>
    <mergeCell ref="O205:O206"/>
    <mergeCell ref="P205:P206"/>
    <mergeCell ref="Q205:Q206"/>
    <mergeCell ref="R205:R206"/>
    <mergeCell ref="B214:E215"/>
    <mergeCell ref="B222:E222"/>
    <mergeCell ref="K222:N222"/>
    <mergeCell ref="B204:E204"/>
    <mergeCell ref="K204:N204"/>
    <mergeCell ref="B205:E206"/>
    <mergeCell ref="F205:F206"/>
    <mergeCell ref="G205:G206"/>
    <mergeCell ref="H205:H206"/>
    <mergeCell ref="I205:I206"/>
    <mergeCell ref="K205:N206"/>
    <mergeCell ref="O193:O194"/>
    <mergeCell ref="P193:P194"/>
    <mergeCell ref="Q193:Q194"/>
    <mergeCell ref="R193:R194"/>
    <mergeCell ref="B198:C198"/>
    <mergeCell ref="B199:C199"/>
    <mergeCell ref="A187:I187"/>
    <mergeCell ref="J187:R187"/>
    <mergeCell ref="E189:H189"/>
    <mergeCell ref="N189:Q189"/>
    <mergeCell ref="B193:E194"/>
    <mergeCell ref="F193:F194"/>
    <mergeCell ref="G193:G194"/>
    <mergeCell ref="H193:H194"/>
    <mergeCell ref="I193:I194"/>
    <mergeCell ref="K193:N194"/>
    <mergeCell ref="O164:O165"/>
    <mergeCell ref="P164:P165"/>
    <mergeCell ref="Q164:Q165"/>
    <mergeCell ref="R164:R165"/>
    <mergeCell ref="B181:E181"/>
    <mergeCell ref="K181:N181"/>
    <mergeCell ref="B161:E161"/>
    <mergeCell ref="K161:N161"/>
    <mergeCell ref="B162:G162"/>
    <mergeCell ref="K162:P162"/>
    <mergeCell ref="B164:E165"/>
    <mergeCell ref="F164:F165"/>
    <mergeCell ref="G164:G165"/>
    <mergeCell ref="H164:H165"/>
    <mergeCell ref="I164:I165"/>
    <mergeCell ref="K164:N165"/>
    <mergeCell ref="O143:O144"/>
    <mergeCell ref="P143:P144"/>
    <mergeCell ref="Q143:Q144"/>
    <mergeCell ref="R143:R144"/>
    <mergeCell ref="B152:E153"/>
    <mergeCell ref="B160:E160"/>
    <mergeCell ref="K160:N160"/>
    <mergeCell ref="B142:E142"/>
    <mergeCell ref="K142:N142"/>
    <mergeCell ref="B143:E144"/>
    <mergeCell ref="F143:F144"/>
    <mergeCell ref="G143:G144"/>
    <mergeCell ref="H143:H144"/>
    <mergeCell ref="I143:I144"/>
    <mergeCell ref="K143:N144"/>
    <mergeCell ref="O131:O132"/>
    <mergeCell ref="P131:P132"/>
    <mergeCell ref="Q131:Q132"/>
    <mergeCell ref="R131:R132"/>
    <mergeCell ref="B136:C136"/>
    <mergeCell ref="B137:C137"/>
    <mergeCell ref="A125:I125"/>
    <mergeCell ref="J125:R125"/>
    <mergeCell ref="E127:H127"/>
    <mergeCell ref="N127:Q127"/>
    <mergeCell ref="B131:E132"/>
    <mergeCell ref="F131:F132"/>
    <mergeCell ref="G131:G132"/>
    <mergeCell ref="H131:H132"/>
    <mergeCell ref="I131:I132"/>
    <mergeCell ref="K131:N132"/>
    <mergeCell ref="O102:O103"/>
    <mergeCell ref="P102:P103"/>
    <mergeCell ref="Q102:Q103"/>
    <mergeCell ref="R102:R103"/>
    <mergeCell ref="B119:E119"/>
    <mergeCell ref="K119:N119"/>
    <mergeCell ref="B99:E99"/>
    <mergeCell ref="K99:N99"/>
    <mergeCell ref="B100:G100"/>
    <mergeCell ref="K100:P100"/>
    <mergeCell ref="B102:E103"/>
    <mergeCell ref="F102:F103"/>
    <mergeCell ref="G102:G103"/>
    <mergeCell ref="H102:H103"/>
    <mergeCell ref="I102:I103"/>
    <mergeCell ref="K102:N103"/>
    <mergeCell ref="O81:O82"/>
    <mergeCell ref="P81:P82"/>
    <mergeCell ref="Q81:Q82"/>
    <mergeCell ref="R81:R82"/>
    <mergeCell ref="B90:E91"/>
    <mergeCell ref="B98:E98"/>
    <mergeCell ref="K98:N98"/>
    <mergeCell ref="B80:E80"/>
    <mergeCell ref="K80:N80"/>
    <mergeCell ref="B81:E82"/>
    <mergeCell ref="F81:F82"/>
    <mergeCell ref="G81:G82"/>
    <mergeCell ref="H81:H82"/>
    <mergeCell ref="I81:I82"/>
    <mergeCell ref="K81:N82"/>
    <mergeCell ref="O69:O70"/>
    <mergeCell ref="P69:P70"/>
    <mergeCell ref="Q69:Q70"/>
    <mergeCell ref="R69:R70"/>
    <mergeCell ref="B74:C74"/>
    <mergeCell ref="B75:C75"/>
    <mergeCell ref="A63:I63"/>
    <mergeCell ref="J63:R63"/>
    <mergeCell ref="E65:H65"/>
    <mergeCell ref="N65:Q65"/>
    <mergeCell ref="B69:E70"/>
    <mergeCell ref="F69:F70"/>
    <mergeCell ref="G69:G70"/>
    <mergeCell ref="H69:H70"/>
    <mergeCell ref="I69:I70"/>
    <mergeCell ref="K69:N70"/>
    <mergeCell ref="O40:O41"/>
    <mergeCell ref="P40:P41"/>
    <mergeCell ref="Q40:Q41"/>
    <mergeCell ref="R40:R41"/>
    <mergeCell ref="B57:E57"/>
    <mergeCell ref="K57:N57"/>
    <mergeCell ref="B37:E37"/>
    <mergeCell ref="K37:N37"/>
    <mergeCell ref="B38:G38"/>
    <mergeCell ref="K38:P38"/>
    <mergeCell ref="B40:E41"/>
    <mergeCell ref="F40:F41"/>
    <mergeCell ref="G40:G41"/>
    <mergeCell ref="H40:H41"/>
    <mergeCell ref="I40:I41"/>
    <mergeCell ref="K40:N41"/>
    <mergeCell ref="A1:I1"/>
    <mergeCell ref="J1:R1"/>
    <mergeCell ref="N3:Q3"/>
    <mergeCell ref="B7:E8"/>
    <mergeCell ref="F7:F8"/>
    <mergeCell ref="G7:G8"/>
    <mergeCell ref="H7:H8"/>
    <mergeCell ref="I7:I8"/>
    <mergeCell ref="K7:N8"/>
    <mergeCell ref="O7:O8"/>
    <mergeCell ref="O19:O20"/>
    <mergeCell ref="P19:P20"/>
    <mergeCell ref="Q19:Q20"/>
    <mergeCell ref="R19:R20"/>
    <mergeCell ref="B36:E36"/>
    <mergeCell ref="K36:N36"/>
    <mergeCell ref="B19:E20"/>
    <mergeCell ref="F19:F20"/>
    <mergeCell ref="G19:G20"/>
    <mergeCell ref="H19:H20"/>
    <mergeCell ref="I19:I20"/>
    <mergeCell ref="K19:N20"/>
    <mergeCell ref="P7:P8"/>
    <mergeCell ref="Q7:Q8"/>
    <mergeCell ref="R7:R8"/>
    <mergeCell ref="B11:E11"/>
    <mergeCell ref="B12:E12"/>
    <mergeCell ref="B18:E18"/>
    <mergeCell ref="K18:N18"/>
  </mergeCells>
  <printOptions horizontalCentered="1"/>
  <pageMargins left="0.5" right="0" top="1" bottom="0.75" header="0" footer="0"/>
  <pageSetup paperSize="9" scale="79" orientation="portrait" horizontalDpi="4294967294" verticalDpi="200" r:id="rId1"/>
  <rowBreaks count="23" manualBreakCount="23">
    <brk id="62" max="17" man="1"/>
    <brk id="124" max="17" man="1"/>
    <brk id="186" max="17" man="1"/>
    <brk id="248" max="17" man="1"/>
    <brk id="310" max="17" man="1"/>
    <brk id="372" max="17" man="1"/>
    <brk id="434" max="17" man="1"/>
    <brk id="558" max="17" man="1"/>
    <brk id="620" max="17" man="1"/>
    <brk id="682" max="17" man="1"/>
    <brk id="744" max="17" man="1"/>
    <brk id="806" max="17" man="1"/>
    <brk id="868" max="17" man="1"/>
    <brk id="930" max="17" man="1"/>
    <brk id="992" max="17" man="1"/>
    <brk id="1054" max="17" man="1"/>
    <brk id="1116" max="17" man="1"/>
    <brk id="1178" max="17" man="1"/>
    <brk id="1240" max="17" man="1"/>
    <brk id="1302" max="17" man="1"/>
    <brk id="1364" max="17" man="1"/>
    <brk id="1426" max="17" man="1"/>
    <brk id="1488" max="17" man="1"/>
  </rowBreaks>
  <colBreaks count="1" manualBreakCount="1">
    <brk id="9" max="161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R876"/>
  <sheetViews>
    <sheetView view="pageBreakPreview" zoomScale="80" zoomScaleSheetLayoutView="80" workbookViewId="0">
      <selection activeCell="H19" sqref="H19:H20"/>
    </sheetView>
  </sheetViews>
  <sheetFormatPr defaultColWidth="9.14453125" defaultRowHeight="15" x14ac:dyDescent="0.2"/>
  <cols>
    <col min="1" max="1" width="3.2265625" style="10" customWidth="1"/>
    <col min="2" max="2" width="17.75390625" style="3" customWidth="1"/>
    <col min="3" max="3" width="2.6875" style="4" customWidth="1"/>
    <col min="4" max="4" width="11.56640625" style="4" customWidth="1"/>
    <col min="5" max="5" width="13.44921875" style="5" customWidth="1"/>
    <col min="6" max="8" width="17.08203125" style="3" customWidth="1"/>
    <col min="9" max="9" width="23.9453125" style="3" customWidth="1"/>
    <col min="10" max="10" width="3.2265625" style="10" customWidth="1"/>
    <col min="11" max="11" width="17.75390625" style="3" customWidth="1"/>
    <col min="12" max="12" width="2.6875" style="4" customWidth="1"/>
    <col min="13" max="13" width="11.56640625" style="4" customWidth="1"/>
    <col min="14" max="14" width="13.44921875" style="5" customWidth="1"/>
    <col min="15" max="17" width="17.08203125" style="3" customWidth="1"/>
    <col min="18" max="18" width="23.9453125" style="3" customWidth="1"/>
    <col min="19" max="16384" width="9.14453125" style="7"/>
  </cols>
  <sheetData>
    <row r="1" spans="1:18" s="1" customFormat="1" x14ac:dyDescent="0.2">
      <c r="A1" s="236" t="s">
        <v>0</v>
      </c>
      <c r="B1" s="236"/>
      <c r="C1" s="236"/>
      <c r="D1" s="236"/>
      <c r="E1" s="236"/>
      <c r="F1" s="236"/>
      <c r="G1" s="236"/>
      <c r="H1" s="236"/>
      <c r="I1" s="236"/>
      <c r="J1" s="236" t="s">
        <v>0</v>
      </c>
      <c r="K1" s="236"/>
      <c r="L1" s="236"/>
      <c r="M1" s="236"/>
      <c r="N1" s="236"/>
      <c r="O1" s="236"/>
      <c r="P1" s="236"/>
      <c r="Q1" s="236"/>
      <c r="R1" s="236"/>
    </row>
    <row r="3" spans="1:18" x14ac:dyDescent="0.2">
      <c r="A3" s="2" t="s">
        <v>1</v>
      </c>
      <c r="C3" s="4" t="s">
        <v>2</v>
      </c>
      <c r="D3" s="5">
        <v>200</v>
      </c>
      <c r="E3" s="237" t="s">
        <v>222</v>
      </c>
      <c r="F3" s="237"/>
      <c r="G3" s="237"/>
      <c r="H3" s="237"/>
      <c r="J3" s="2" t="s">
        <v>1</v>
      </c>
      <c r="L3" s="4" t="s">
        <v>2</v>
      </c>
      <c r="M3" s="5">
        <v>203</v>
      </c>
      <c r="N3" s="237" t="s">
        <v>223</v>
      </c>
      <c r="O3" s="237"/>
      <c r="P3" s="237"/>
      <c r="Q3" s="237"/>
    </row>
    <row r="4" spans="1:18" x14ac:dyDescent="0.2">
      <c r="A4" s="2" t="s">
        <v>7</v>
      </c>
      <c r="C4" s="4" t="s">
        <v>2</v>
      </c>
      <c r="E4" s="2" t="s">
        <v>224</v>
      </c>
      <c r="F4" s="8"/>
      <c r="G4" s="8"/>
      <c r="H4" s="8"/>
      <c r="J4" s="2" t="s">
        <v>7</v>
      </c>
      <c r="L4" s="4" t="s">
        <v>2</v>
      </c>
      <c r="N4" s="2" t="s">
        <v>9</v>
      </c>
      <c r="O4" s="8"/>
      <c r="P4" s="8"/>
      <c r="Q4" s="8"/>
    </row>
    <row r="5" spans="1:18" x14ac:dyDescent="0.2">
      <c r="A5" s="2" t="s">
        <v>10</v>
      </c>
      <c r="C5" s="4" t="s">
        <v>2</v>
      </c>
      <c r="E5" s="9">
        <f>50*1</f>
        <v>50</v>
      </c>
      <c r="F5" s="8"/>
      <c r="G5" s="8"/>
      <c r="H5" s="8"/>
      <c r="J5" s="2" t="s">
        <v>10</v>
      </c>
      <c r="L5" s="4" t="s">
        <v>2</v>
      </c>
      <c r="N5" s="9">
        <v>15</v>
      </c>
      <c r="O5" s="8"/>
      <c r="P5" s="8"/>
      <c r="Q5" s="8"/>
    </row>
    <row r="6" spans="1:18" x14ac:dyDescent="0.2">
      <c r="B6" s="8"/>
      <c r="F6" s="11"/>
      <c r="G6" s="8"/>
      <c r="H6" s="8"/>
      <c r="I6" s="8"/>
      <c r="K6" s="8"/>
      <c r="O6" s="11"/>
      <c r="P6" s="8"/>
      <c r="Q6" s="8"/>
      <c r="R6" s="8"/>
    </row>
    <row r="7" spans="1:18" x14ac:dyDescent="0.2">
      <c r="A7" s="12"/>
      <c r="B7" s="238" t="s">
        <v>11</v>
      </c>
      <c r="C7" s="239"/>
      <c r="D7" s="239"/>
      <c r="E7" s="240"/>
      <c r="F7" s="244" t="s">
        <v>12</v>
      </c>
      <c r="G7" s="244" t="s">
        <v>13</v>
      </c>
      <c r="H7" s="244" t="s">
        <v>14</v>
      </c>
      <c r="I7" s="246" t="s">
        <v>15</v>
      </c>
      <c r="J7" s="12"/>
      <c r="K7" s="238" t="s">
        <v>11</v>
      </c>
      <c r="L7" s="239"/>
      <c r="M7" s="239"/>
      <c r="N7" s="240"/>
      <c r="O7" s="244" t="s">
        <v>12</v>
      </c>
      <c r="P7" s="244" t="s">
        <v>13</v>
      </c>
      <c r="Q7" s="244" t="s">
        <v>14</v>
      </c>
      <c r="R7" s="246" t="s">
        <v>15</v>
      </c>
    </row>
    <row r="8" spans="1:18" x14ac:dyDescent="0.2">
      <c r="A8" s="13"/>
      <c r="B8" s="241"/>
      <c r="C8" s="242"/>
      <c r="D8" s="242"/>
      <c r="E8" s="243"/>
      <c r="F8" s="245"/>
      <c r="G8" s="245"/>
      <c r="H8" s="245"/>
      <c r="I8" s="247"/>
      <c r="J8" s="13"/>
      <c r="K8" s="241"/>
      <c r="L8" s="242"/>
      <c r="M8" s="242"/>
      <c r="N8" s="243"/>
      <c r="O8" s="245"/>
      <c r="P8" s="245"/>
      <c r="Q8" s="245"/>
      <c r="R8" s="247"/>
    </row>
    <row r="9" spans="1:18" x14ac:dyDescent="0.2">
      <c r="A9" s="13" t="s">
        <v>16</v>
      </c>
      <c r="B9" s="14" t="s">
        <v>17</v>
      </c>
      <c r="C9" s="15"/>
      <c r="D9" s="15"/>
      <c r="E9" s="16"/>
      <c r="F9" s="17"/>
      <c r="G9" s="17"/>
      <c r="H9" s="17"/>
      <c r="I9" s="17"/>
      <c r="J9" s="13" t="s">
        <v>16</v>
      </c>
      <c r="K9" s="14" t="s">
        <v>17</v>
      </c>
      <c r="L9" s="15"/>
      <c r="M9" s="15"/>
      <c r="N9" s="16"/>
      <c r="O9" s="17"/>
      <c r="P9" s="17"/>
      <c r="Q9" s="17"/>
      <c r="R9" s="17"/>
    </row>
    <row r="10" spans="1:18" x14ac:dyDescent="0.2">
      <c r="A10" s="13"/>
      <c r="B10" s="18"/>
      <c r="C10" s="19"/>
      <c r="D10" s="19"/>
      <c r="E10" s="20"/>
      <c r="F10" s="21"/>
      <c r="G10" s="22"/>
      <c r="H10" s="21"/>
      <c r="I10" s="21"/>
      <c r="J10" s="13"/>
      <c r="K10" s="18"/>
      <c r="L10" s="19"/>
      <c r="M10" s="19"/>
      <c r="N10" s="20"/>
      <c r="O10" s="21"/>
      <c r="P10" s="22"/>
      <c r="Q10" s="21"/>
      <c r="R10" s="21"/>
    </row>
    <row r="11" spans="1:18" x14ac:dyDescent="0.2">
      <c r="A11" s="13"/>
      <c r="B11" s="24" t="s">
        <v>18</v>
      </c>
      <c r="C11" s="25"/>
      <c r="D11" s="25"/>
      <c r="E11" s="26"/>
      <c r="F11" s="22">
        <v>1</v>
      </c>
      <c r="G11" s="62">
        <v>1</v>
      </c>
      <c r="H11" s="23">
        <v>69.42</v>
      </c>
      <c r="I11" s="23">
        <f>G11*H11*F11</f>
        <v>69.42</v>
      </c>
      <c r="J11" s="13"/>
      <c r="K11" s="24" t="s">
        <v>18</v>
      </c>
      <c r="L11" s="25"/>
      <c r="M11" s="25"/>
      <c r="N11" s="26"/>
      <c r="O11" s="22">
        <v>1</v>
      </c>
      <c r="P11" s="62">
        <v>1</v>
      </c>
      <c r="Q11" s="23">
        <v>69.42</v>
      </c>
      <c r="R11" s="23">
        <f>O11*P11*Q11</f>
        <v>69.42</v>
      </c>
    </row>
    <row r="12" spans="1:18" x14ac:dyDescent="0.2">
      <c r="A12" s="13"/>
      <c r="B12" s="24" t="s">
        <v>1179</v>
      </c>
      <c r="C12" s="25"/>
      <c r="D12" s="25"/>
      <c r="E12" s="26"/>
      <c r="F12" s="22">
        <v>2</v>
      </c>
      <c r="G12" s="62">
        <v>1</v>
      </c>
      <c r="H12" s="23">
        <v>38.97</v>
      </c>
      <c r="I12" s="23">
        <f>G12*H12*F12</f>
        <v>77.94</v>
      </c>
      <c r="J12" s="13"/>
      <c r="K12" s="24" t="s">
        <v>1179</v>
      </c>
      <c r="L12" s="25"/>
      <c r="M12" s="25"/>
      <c r="N12" s="26"/>
      <c r="O12" s="22">
        <v>10</v>
      </c>
      <c r="P12" s="62">
        <v>1</v>
      </c>
      <c r="Q12" s="23">
        <v>38.97</v>
      </c>
      <c r="R12" s="23">
        <f>O12*P12*Q12</f>
        <v>389.7</v>
      </c>
    </row>
    <row r="13" spans="1:18" x14ac:dyDescent="0.2">
      <c r="A13" s="13"/>
      <c r="B13" s="27"/>
      <c r="C13" s="19"/>
      <c r="D13" s="19"/>
      <c r="E13" s="20"/>
      <c r="F13" s="22"/>
      <c r="G13" s="22"/>
      <c r="H13" s="28"/>
      <c r="I13" s="23"/>
      <c r="J13" s="13"/>
      <c r="K13" s="27"/>
      <c r="L13" s="19"/>
      <c r="M13" s="19"/>
      <c r="N13" s="20"/>
      <c r="O13" s="22"/>
      <c r="P13" s="22"/>
      <c r="Q13" s="28"/>
      <c r="R13" s="23"/>
    </row>
    <row r="14" spans="1:18" ht="15" customHeight="1" x14ac:dyDescent="0.2">
      <c r="A14" s="13"/>
      <c r="B14" s="27"/>
      <c r="C14" s="19"/>
      <c r="D14" s="19"/>
      <c r="E14" s="20"/>
      <c r="F14" s="22"/>
      <c r="G14" s="22"/>
      <c r="H14" s="29"/>
      <c r="I14" s="30"/>
      <c r="J14" s="13"/>
      <c r="K14" s="27"/>
      <c r="L14" s="19"/>
      <c r="M14" s="19"/>
      <c r="N14" s="20"/>
      <c r="O14" s="22"/>
      <c r="P14" s="22"/>
      <c r="Q14" s="29"/>
      <c r="R14" s="30"/>
    </row>
    <row r="15" spans="1:18" x14ac:dyDescent="0.2">
      <c r="A15" s="13"/>
      <c r="B15" s="27"/>
      <c r="C15" s="19"/>
      <c r="D15" s="19"/>
      <c r="E15" s="20"/>
      <c r="F15" s="22"/>
      <c r="G15" s="22"/>
      <c r="H15" s="29"/>
      <c r="I15" s="30"/>
      <c r="J15" s="13"/>
      <c r="K15" s="27"/>
      <c r="L15" s="19"/>
      <c r="M15" s="19"/>
      <c r="N15" s="20"/>
      <c r="O15" s="22"/>
      <c r="P15" s="22"/>
      <c r="Q15" s="29"/>
      <c r="R15" s="30"/>
    </row>
    <row r="16" spans="1:18" x14ac:dyDescent="0.2">
      <c r="A16" s="13"/>
      <c r="B16" s="18"/>
      <c r="C16" s="19"/>
      <c r="D16" s="19"/>
      <c r="E16" s="20"/>
      <c r="F16" s="22"/>
      <c r="G16" s="22"/>
      <c r="H16" s="28"/>
      <c r="I16" s="23"/>
      <c r="J16" s="13"/>
      <c r="K16" s="18"/>
      <c r="L16" s="19"/>
      <c r="M16" s="19"/>
      <c r="N16" s="20"/>
      <c r="O16" s="22"/>
      <c r="P16" s="22"/>
      <c r="Q16" s="28"/>
      <c r="R16" s="23"/>
    </row>
    <row r="17" spans="1:18" x14ac:dyDescent="0.2">
      <c r="A17" s="13"/>
      <c r="B17" s="18"/>
      <c r="C17" s="19"/>
      <c r="D17" s="19"/>
      <c r="E17" s="20"/>
      <c r="F17" s="22"/>
      <c r="G17" s="22"/>
      <c r="H17" s="23"/>
      <c r="I17" s="23"/>
      <c r="J17" s="13"/>
      <c r="K17" s="18"/>
      <c r="L17" s="19"/>
      <c r="M17" s="19"/>
      <c r="N17" s="20"/>
      <c r="O17" s="22"/>
      <c r="P17" s="22"/>
      <c r="Q17" s="23"/>
      <c r="R17" s="23"/>
    </row>
    <row r="18" spans="1:18" x14ac:dyDescent="0.2">
      <c r="A18" s="13"/>
      <c r="B18" s="248" t="s">
        <v>20</v>
      </c>
      <c r="C18" s="249"/>
      <c r="D18" s="249"/>
      <c r="E18" s="250"/>
      <c r="F18" s="31"/>
      <c r="G18" s="31"/>
      <c r="H18" s="32"/>
      <c r="I18" s="32">
        <f>SUM(I11:I17)</f>
        <v>147.36000000000001</v>
      </c>
      <c r="J18" s="13"/>
      <c r="K18" s="248" t="s">
        <v>20</v>
      </c>
      <c r="L18" s="249"/>
      <c r="M18" s="249"/>
      <c r="N18" s="250"/>
      <c r="O18" s="31"/>
      <c r="P18" s="31"/>
      <c r="Q18" s="32"/>
      <c r="R18" s="32">
        <f>SUM(R11:R17)</f>
        <v>459.12</v>
      </c>
    </row>
    <row r="19" spans="1:18" x14ac:dyDescent="0.2">
      <c r="A19" s="12"/>
      <c r="B19" s="251" t="s">
        <v>21</v>
      </c>
      <c r="C19" s="252"/>
      <c r="D19" s="252"/>
      <c r="E19" s="253"/>
      <c r="F19" s="244" t="s">
        <v>22</v>
      </c>
      <c r="G19" s="244" t="s">
        <v>13</v>
      </c>
      <c r="H19" s="244" t="s">
        <v>14</v>
      </c>
      <c r="I19" s="246" t="s">
        <v>15</v>
      </c>
      <c r="J19" s="12"/>
      <c r="K19" s="251" t="s">
        <v>21</v>
      </c>
      <c r="L19" s="252"/>
      <c r="M19" s="252"/>
      <c r="N19" s="253"/>
      <c r="O19" s="244" t="s">
        <v>22</v>
      </c>
      <c r="P19" s="244" t="s">
        <v>13</v>
      </c>
      <c r="Q19" s="244" t="s">
        <v>14</v>
      </c>
      <c r="R19" s="246" t="s">
        <v>15</v>
      </c>
    </row>
    <row r="20" spans="1:18" x14ac:dyDescent="0.2">
      <c r="A20" s="13"/>
      <c r="B20" s="254"/>
      <c r="C20" s="255"/>
      <c r="D20" s="255"/>
      <c r="E20" s="256"/>
      <c r="F20" s="245"/>
      <c r="G20" s="245"/>
      <c r="H20" s="245"/>
      <c r="I20" s="247"/>
      <c r="J20" s="13"/>
      <c r="K20" s="254"/>
      <c r="L20" s="255"/>
      <c r="M20" s="255"/>
      <c r="N20" s="256"/>
      <c r="O20" s="245"/>
      <c r="P20" s="245"/>
      <c r="Q20" s="245"/>
      <c r="R20" s="247"/>
    </row>
    <row r="21" spans="1:18" x14ac:dyDescent="0.2">
      <c r="A21" s="13" t="s">
        <v>23</v>
      </c>
      <c r="B21" s="33" t="s">
        <v>24</v>
      </c>
      <c r="C21" s="15"/>
      <c r="D21" s="15"/>
      <c r="E21" s="16"/>
      <c r="F21" s="34"/>
      <c r="G21" s="34"/>
      <c r="H21" s="35"/>
      <c r="I21" s="35"/>
      <c r="J21" s="13" t="s">
        <v>23</v>
      </c>
      <c r="K21" s="33" t="s">
        <v>24</v>
      </c>
      <c r="L21" s="15"/>
      <c r="M21" s="15"/>
      <c r="N21" s="16"/>
      <c r="O21" s="34"/>
      <c r="P21" s="34"/>
      <c r="Q21" s="35"/>
      <c r="R21" s="35"/>
    </row>
    <row r="22" spans="1:18" x14ac:dyDescent="0.2">
      <c r="A22" s="13"/>
      <c r="B22" s="18"/>
      <c r="C22" s="19"/>
      <c r="D22" s="19"/>
      <c r="E22" s="20"/>
      <c r="F22" s="22"/>
      <c r="G22" s="22"/>
      <c r="H22" s="23"/>
      <c r="I22" s="23"/>
      <c r="J22" s="13"/>
      <c r="K22" s="18"/>
      <c r="L22" s="19"/>
      <c r="M22" s="19"/>
      <c r="N22" s="20"/>
      <c r="O22" s="22"/>
      <c r="P22" s="22"/>
      <c r="Q22" s="23"/>
      <c r="R22" s="23"/>
    </row>
    <row r="23" spans="1:18" x14ac:dyDescent="0.2">
      <c r="A23" s="13"/>
      <c r="B23" s="18" t="s">
        <v>1172</v>
      </c>
      <c r="C23" s="19"/>
      <c r="D23" s="19"/>
      <c r="E23" s="20"/>
      <c r="F23" s="22">
        <v>1</v>
      </c>
      <c r="G23" s="23">
        <v>1</v>
      </c>
      <c r="H23" s="37">
        <v>2173</v>
      </c>
      <c r="I23" s="37">
        <f>G23*H23*F23</f>
        <v>2173</v>
      </c>
      <c r="J23" s="13"/>
      <c r="K23" s="18" t="s">
        <v>1172</v>
      </c>
      <c r="L23" s="19"/>
      <c r="M23" s="19"/>
      <c r="N23" s="20"/>
      <c r="O23" s="22">
        <v>1</v>
      </c>
      <c r="P23" s="23">
        <v>1</v>
      </c>
      <c r="Q23" s="37">
        <v>2173</v>
      </c>
      <c r="R23" s="23">
        <f>O23*P23*Q23</f>
        <v>2173</v>
      </c>
    </row>
    <row r="24" spans="1:18" x14ac:dyDescent="0.2">
      <c r="A24" s="13"/>
      <c r="B24" s="18" t="s">
        <v>1173</v>
      </c>
      <c r="C24" s="19"/>
      <c r="D24" s="19"/>
      <c r="E24" s="20"/>
      <c r="F24" s="22">
        <v>1</v>
      </c>
      <c r="G24" s="23">
        <v>1</v>
      </c>
      <c r="H24" s="37">
        <v>1846</v>
      </c>
      <c r="I24" s="37">
        <f>G24*H24*F24</f>
        <v>1846</v>
      </c>
      <c r="J24" s="13"/>
      <c r="K24" s="18" t="s">
        <v>1173</v>
      </c>
      <c r="L24" s="19"/>
      <c r="M24" s="19"/>
      <c r="N24" s="20"/>
      <c r="O24" s="22">
        <v>1</v>
      </c>
      <c r="P24" s="23">
        <v>1</v>
      </c>
      <c r="Q24" s="37">
        <v>1846</v>
      </c>
      <c r="R24" s="23">
        <f>O24*P24*Q24</f>
        <v>1846</v>
      </c>
    </row>
    <row r="25" spans="1:18" x14ac:dyDescent="0.2">
      <c r="A25" s="13"/>
      <c r="B25" s="18" t="s">
        <v>1174</v>
      </c>
      <c r="C25" s="19"/>
      <c r="D25" s="19"/>
      <c r="E25" s="20"/>
      <c r="F25" s="22">
        <v>1</v>
      </c>
      <c r="G25" s="23">
        <v>0.25</v>
      </c>
      <c r="H25" s="37">
        <v>2450</v>
      </c>
      <c r="I25" s="37">
        <f>G25*H25*F25</f>
        <v>612.5</v>
      </c>
      <c r="J25" s="13"/>
      <c r="K25" s="18" t="s">
        <v>1174</v>
      </c>
      <c r="L25" s="19"/>
      <c r="M25" s="19"/>
      <c r="N25" s="20"/>
      <c r="O25" s="22">
        <v>1</v>
      </c>
      <c r="P25" s="23">
        <v>0.25</v>
      </c>
      <c r="Q25" s="37">
        <v>2450</v>
      </c>
      <c r="R25" s="23">
        <f>O25*P25*Q25</f>
        <v>612.5</v>
      </c>
    </row>
    <row r="26" spans="1:18" x14ac:dyDescent="0.2">
      <c r="A26" s="13"/>
      <c r="B26" s="18"/>
      <c r="F26" s="22"/>
      <c r="G26" s="36"/>
      <c r="H26" s="37"/>
      <c r="I26" s="37"/>
      <c r="J26" s="13"/>
      <c r="K26" s="18"/>
      <c r="L26" s="19"/>
      <c r="M26" s="19"/>
      <c r="N26" s="20"/>
      <c r="O26" s="22"/>
      <c r="P26" s="23"/>
      <c r="Q26" s="37"/>
      <c r="R26" s="23"/>
    </row>
    <row r="27" spans="1:18" x14ac:dyDescent="0.2">
      <c r="A27" s="13"/>
      <c r="B27" s="301"/>
      <c r="C27" s="302"/>
      <c r="D27" s="302"/>
      <c r="E27" s="303"/>
      <c r="F27" s="22"/>
      <c r="G27" s="23"/>
      <c r="H27" s="37"/>
      <c r="I27" s="37"/>
      <c r="J27" s="13"/>
      <c r="K27" s="18"/>
      <c r="L27" s="19"/>
      <c r="M27" s="19"/>
      <c r="N27" s="20"/>
      <c r="O27" s="22"/>
      <c r="P27" s="36"/>
      <c r="Q27" s="37"/>
      <c r="R27" s="23"/>
    </row>
    <row r="28" spans="1:18" x14ac:dyDescent="0.2">
      <c r="A28" s="13"/>
      <c r="B28" s="304"/>
      <c r="C28" s="302"/>
      <c r="D28" s="302"/>
      <c r="E28" s="303"/>
      <c r="F28" s="22"/>
      <c r="G28" s="36"/>
      <c r="H28" s="38"/>
      <c r="I28" s="38"/>
      <c r="J28" s="13"/>
      <c r="K28" s="18"/>
      <c r="L28" s="19"/>
      <c r="M28" s="19"/>
      <c r="N28" s="20"/>
      <c r="O28" s="22"/>
      <c r="P28" s="36"/>
      <c r="Q28" s="38"/>
      <c r="R28" s="38"/>
    </row>
    <row r="29" spans="1:18" x14ac:dyDescent="0.2">
      <c r="A29" s="13"/>
      <c r="B29" s="18"/>
      <c r="C29" s="19"/>
      <c r="D29" s="19"/>
      <c r="E29" s="20"/>
      <c r="F29" s="22"/>
      <c r="G29" s="36"/>
      <c r="H29" s="38"/>
      <c r="I29" s="38"/>
      <c r="J29" s="13"/>
      <c r="K29" s="18"/>
      <c r="L29" s="19"/>
      <c r="M29" s="19"/>
      <c r="N29" s="20"/>
      <c r="O29" s="22"/>
      <c r="P29" s="36"/>
      <c r="Q29" s="37"/>
      <c r="R29" s="37"/>
    </row>
    <row r="30" spans="1:18" x14ac:dyDescent="0.2">
      <c r="A30" s="13"/>
      <c r="B30" s="18"/>
      <c r="C30" s="19"/>
      <c r="D30" s="19"/>
      <c r="E30" s="20"/>
      <c r="F30" s="22"/>
      <c r="G30" s="36"/>
      <c r="H30" s="38"/>
      <c r="I30" s="38"/>
      <c r="J30" s="13"/>
      <c r="K30" s="18"/>
      <c r="L30" s="19"/>
      <c r="M30" s="19"/>
      <c r="N30" s="20"/>
      <c r="O30" s="22"/>
      <c r="P30" s="36"/>
      <c r="Q30" s="38"/>
      <c r="R30" s="38"/>
    </row>
    <row r="31" spans="1:18" x14ac:dyDescent="0.2">
      <c r="A31" s="13"/>
      <c r="B31" s="18"/>
      <c r="C31" s="19"/>
      <c r="D31" s="19"/>
      <c r="E31" s="20"/>
      <c r="F31" s="22"/>
      <c r="G31" s="36"/>
      <c r="H31" s="38"/>
      <c r="I31" s="38"/>
      <c r="J31" s="13"/>
      <c r="K31" s="18"/>
      <c r="L31" s="19"/>
      <c r="M31" s="19"/>
      <c r="N31" s="20"/>
      <c r="O31" s="22"/>
      <c r="P31" s="36"/>
      <c r="Q31" s="38"/>
      <c r="R31" s="38"/>
    </row>
    <row r="32" spans="1:18" x14ac:dyDescent="0.2">
      <c r="A32" s="13"/>
      <c r="B32" s="18"/>
      <c r="C32" s="19"/>
      <c r="D32" s="19"/>
      <c r="E32" s="20"/>
      <c r="F32" s="22"/>
      <c r="G32" s="36"/>
      <c r="H32" s="37"/>
      <c r="I32" s="37"/>
      <c r="J32" s="13"/>
      <c r="K32" s="18"/>
      <c r="L32" s="19"/>
      <c r="M32" s="19"/>
      <c r="N32" s="20"/>
      <c r="O32" s="22"/>
      <c r="P32" s="36"/>
      <c r="Q32" s="37"/>
      <c r="R32" s="37"/>
    </row>
    <row r="33" spans="1:18" x14ac:dyDescent="0.2">
      <c r="A33" s="13"/>
      <c r="B33" s="18"/>
      <c r="C33" s="19"/>
      <c r="D33" s="19"/>
      <c r="E33" s="20"/>
      <c r="F33" s="22"/>
      <c r="G33" s="36"/>
      <c r="H33" s="37"/>
      <c r="I33" s="37"/>
      <c r="J33" s="13"/>
      <c r="K33" s="18"/>
      <c r="L33" s="19"/>
      <c r="M33" s="19"/>
      <c r="N33" s="20"/>
      <c r="O33" s="22"/>
      <c r="P33" s="36"/>
      <c r="Q33" s="37"/>
      <c r="R33" s="37"/>
    </row>
    <row r="34" spans="1:18" ht="15" customHeight="1" x14ac:dyDescent="0.2">
      <c r="A34" s="13"/>
      <c r="B34" s="18"/>
      <c r="C34" s="19"/>
      <c r="D34" s="19"/>
      <c r="E34" s="20"/>
      <c r="F34" s="22"/>
      <c r="G34" s="36"/>
      <c r="H34" s="37"/>
      <c r="I34" s="37"/>
      <c r="J34" s="13"/>
      <c r="K34" s="18"/>
      <c r="L34" s="19"/>
      <c r="M34" s="19"/>
      <c r="N34" s="20"/>
      <c r="O34" s="22"/>
      <c r="P34" s="36"/>
      <c r="Q34" s="37"/>
      <c r="R34" s="37"/>
    </row>
    <row r="35" spans="1:18" x14ac:dyDescent="0.2">
      <c r="A35" s="13"/>
      <c r="B35" s="18"/>
      <c r="C35" s="19"/>
      <c r="D35" s="19"/>
      <c r="E35" s="20"/>
      <c r="F35" s="22"/>
      <c r="G35" s="22"/>
      <c r="H35" s="23"/>
      <c r="I35" s="23"/>
      <c r="J35" s="13"/>
      <c r="K35" s="18"/>
      <c r="L35" s="19"/>
      <c r="M35" s="19"/>
      <c r="N35" s="20"/>
      <c r="O35" s="22"/>
      <c r="P35" s="22"/>
      <c r="Q35" s="23"/>
      <c r="R35" s="23"/>
    </row>
    <row r="36" spans="1:18" x14ac:dyDescent="0.2">
      <c r="A36" s="13"/>
      <c r="B36" s="248" t="s">
        <v>30</v>
      </c>
      <c r="C36" s="249"/>
      <c r="D36" s="249"/>
      <c r="E36" s="250"/>
      <c r="F36" s="22"/>
      <c r="G36" s="22"/>
      <c r="H36" s="23"/>
      <c r="I36" s="23">
        <f>SUM(I23:I35)</f>
        <v>4631.5</v>
      </c>
      <c r="J36" s="13"/>
      <c r="K36" s="248" t="s">
        <v>30</v>
      </c>
      <c r="L36" s="249"/>
      <c r="M36" s="249"/>
      <c r="N36" s="250"/>
      <c r="O36" s="22"/>
      <c r="P36" s="22"/>
      <c r="Q36" s="23"/>
      <c r="R36" s="23">
        <f>SUM(R23:R35)</f>
        <v>4631.5</v>
      </c>
    </row>
    <row r="37" spans="1:18" x14ac:dyDescent="0.2">
      <c r="A37" s="12" t="s">
        <v>31</v>
      </c>
      <c r="B37" s="260" t="s">
        <v>32</v>
      </c>
      <c r="C37" s="261"/>
      <c r="D37" s="261"/>
      <c r="E37" s="261"/>
      <c r="F37" s="39"/>
      <c r="G37" s="39"/>
      <c r="H37" s="40"/>
      <c r="I37" s="41">
        <f>SUM(I36+I18)</f>
        <v>4778.8599999999997</v>
      </c>
      <c r="J37" s="12" t="s">
        <v>31</v>
      </c>
      <c r="K37" s="260" t="s">
        <v>32</v>
      </c>
      <c r="L37" s="261"/>
      <c r="M37" s="261"/>
      <c r="N37" s="261"/>
      <c r="O37" s="39"/>
      <c r="P37" s="39"/>
      <c r="Q37" s="40"/>
      <c r="R37" s="41">
        <f>SUM(R36+R18)</f>
        <v>5090.62</v>
      </c>
    </row>
    <row r="38" spans="1:18" x14ac:dyDescent="0.2">
      <c r="A38" s="13" t="s">
        <v>33</v>
      </c>
      <c r="B38" s="264">
        <f>E5</f>
        <v>50</v>
      </c>
      <c r="C38" s="265"/>
      <c r="D38" s="265"/>
      <c r="E38" s="265"/>
      <c r="F38" s="265"/>
      <c r="G38" s="265"/>
      <c r="H38" s="40"/>
      <c r="I38" s="41"/>
      <c r="J38" s="13" t="s">
        <v>33</v>
      </c>
      <c r="K38" s="264">
        <f>N5</f>
        <v>15</v>
      </c>
      <c r="L38" s="265"/>
      <c r="M38" s="265"/>
      <c r="N38" s="265"/>
      <c r="O38" s="265"/>
      <c r="P38" s="265"/>
      <c r="Q38" s="40"/>
      <c r="R38" s="41"/>
    </row>
    <row r="39" spans="1:18" x14ac:dyDescent="0.2">
      <c r="A39" s="13" t="s">
        <v>34</v>
      </c>
      <c r="B39" s="42" t="s">
        <v>35</v>
      </c>
      <c r="C39" s="43"/>
      <c r="D39" s="43"/>
      <c r="E39" s="39"/>
      <c r="F39" s="44"/>
      <c r="G39" s="44"/>
      <c r="H39" s="40"/>
      <c r="I39" s="41">
        <f>I37/E5</f>
        <v>95.577199999999991</v>
      </c>
      <c r="J39" s="13" t="s">
        <v>34</v>
      </c>
      <c r="K39" s="42" t="s">
        <v>35</v>
      </c>
      <c r="L39" s="43"/>
      <c r="M39" s="43"/>
      <c r="N39" s="39"/>
      <c r="O39" s="44"/>
      <c r="P39" s="44"/>
      <c r="Q39" s="40"/>
      <c r="R39" s="41">
        <f>R37/N5</f>
        <v>339.37466666666666</v>
      </c>
    </row>
    <row r="40" spans="1:18" x14ac:dyDescent="0.2">
      <c r="A40" s="12"/>
      <c r="B40" s="251" t="s">
        <v>36</v>
      </c>
      <c r="C40" s="252"/>
      <c r="D40" s="252"/>
      <c r="E40" s="253"/>
      <c r="F40" s="244" t="s">
        <v>37</v>
      </c>
      <c r="G40" s="244" t="s">
        <v>38</v>
      </c>
      <c r="H40" s="244" t="s">
        <v>39</v>
      </c>
      <c r="I40" s="246" t="s">
        <v>15</v>
      </c>
      <c r="J40" s="12"/>
      <c r="K40" s="251" t="s">
        <v>36</v>
      </c>
      <c r="L40" s="252"/>
      <c r="M40" s="252"/>
      <c r="N40" s="253"/>
      <c r="O40" s="244" t="s">
        <v>37</v>
      </c>
      <c r="P40" s="244" t="s">
        <v>38</v>
      </c>
      <c r="Q40" s="244" t="s">
        <v>39</v>
      </c>
      <c r="R40" s="246" t="s">
        <v>15</v>
      </c>
    </row>
    <row r="41" spans="1:18" x14ac:dyDescent="0.2">
      <c r="A41" s="13"/>
      <c r="B41" s="254"/>
      <c r="C41" s="255"/>
      <c r="D41" s="255"/>
      <c r="E41" s="256"/>
      <c r="F41" s="245"/>
      <c r="G41" s="245"/>
      <c r="H41" s="245"/>
      <c r="I41" s="247"/>
      <c r="J41" s="13"/>
      <c r="K41" s="254"/>
      <c r="L41" s="255"/>
      <c r="M41" s="255"/>
      <c r="N41" s="256"/>
      <c r="O41" s="245"/>
      <c r="P41" s="245"/>
      <c r="Q41" s="245"/>
      <c r="R41" s="247"/>
    </row>
    <row r="42" spans="1:18" x14ac:dyDescent="0.2">
      <c r="A42" s="13" t="s">
        <v>40</v>
      </c>
      <c r="B42" s="18" t="s">
        <v>41</v>
      </c>
      <c r="C42" s="19"/>
      <c r="D42" s="19"/>
      <c r="E42" s="20"/>
      <c r="F42" s="22"/>
      <c r="G42" s="22"/>
      <c r="H42" s="23"/>
      <c r="I42" s="23"/>
      <c r="J42" s="13" t="s">
        <v>40</v>
      </c>
      <c r="K42" s="18" t="s">
        <v>41</v>
      </c>
      <c r="L42" s="19"/>
      <c r="M42" s="19"/>
      <c r="N42" s="20"/>
      <c r="O42" s="22"/>
      <c r="P42" s="22"/>
      <c r="Q42" s="23"/>
      <c r="R42" s="23"/>
    </row>
    <row r="43" spans="1:18" x14ac:dyDescent="0.2">
      <c r="A43" s="13"/>
      <c r="B43" s="18"/>
      <c r="C43" s="19"/>
      <c r="D43" s="19"/>
      <c r="E43" s="20"/>
      <c r="F43" s="22"/>
      <c r="G43" s="22"/>
      <c r="H43" s="23"/>
      <c r="I43" s="23"/>
      <c r="J43" s="13"/>
      <c r="K43" s="18"/>
      <c r="L43" s="19"/>
      <c r="M43" s="19"/>
      <c r="N43" s="20"/>
      <c r="O43" s="22"/>
      <c r="P43" s="22"/>
      <c r="Q43" s="23"/>
      <c r="R43" s="23"/>
    </row>
    <row r="44" spans="1:18" x14ac:dyDescent="0.2">
      <c r="A44" s="13"/>
      <c r="B44" s="18" t="s">
        <v>225</v>
      </c>
      <c r="C44" s="66"/>
      <c r="D44" s="19"/>
      <c r="E44" s="20"/>
      <c r="F44" s="22" t="s">
        <v>9</v>
      </c>
      <c r="G44" s="22">
        <v>1.1499999999999999</v>
      </c>
      <c r="H44" s="23">
        <v>350</v>
      </c>
      <c r="I44" s="23">
        <f>H44*G44</f>
        <v>402.49999999999994</v>
      </c>
      <c r="J44" s="13"/>
      <c r="K44" s="18" t="s">
        <v>226</v>
      </c>
      <c r="L44" s="66"/>
      <c r="M44" s="19"/>
      <c r="N44" s="20"/>
      <c r="O44" s="62" t="s">
        <v>227</v>
      </c>
      <c r="P44" s="62">
        <v>2.8</v>
      </c>
      <c r="Q44" s="107">
        <v>180</v>
      </c>
      <c r="R44" s="23">
        <f>P44*Q44</f>
        <v>503.99999999999994</v>
      </c>
    </row>
    <row r="45" spans="1:18" x14ac:dyDescent="0.2">
      <c r="A45" s="13"/>
      <c r="B45" s="18" t="s">
        <v>228</v>
      </c>
      <c r="C45" s="66"/>
      <c r="D45" s="19"/>
      <c r="E45" s="20"/>
      <c r="F45" s="22"/>
      <c r="G45" s="22"/>
      <c r="H45" s="23"/>
      <c r="I45" s="23"/>
      <c r="J45" s="13"/>
      <c r="K45" s="18" t="s">
        <v>229</v>
      </c>
      <c r="L45" s="19"/>
      <c r="M45" s="19"/>
      <c r="N45" s="20"/>
      <c r="O45" s="22" t="s">
        <v>9</v>
      </c>
      <c r="P45" s="22">
        <v>1.1499999999999999</v>
      </c>
      <c r="Q45" s="107">
        <v>650</v>
      </c>
      <c r="R45" s="23">
        <f>P45*Q45</f>
        <v>747.49999999999989</v>
      </c>
    </row>
    <row r="46" spans="1:18" x14ac:dyDescent="0.2">
      <c r="A46" s="13"/>
      <c r="B46" s="18"/>
      <c r="C46" s="19"/>
      <c r="D46" s="19"/>
      <c r="E46" s="20"/>
      <c r="F46" s="22"/>
      <c r="G46" s="22"/>
      <c r="H46" s="38"/>
      <c r="I46" s="38"/>
      <c r="J46" s="13"/>
      <c r="K46" s="18"/>
      <c r="L46" s="19"/>
      <c r="M46" s="19"/>
      <c r="N46" s="20"/>
      <c r="O46" s="22"/>
      <c r="P46" s="22"/>
      <c r="Q46" s="38"/>
      <c r="R46" s="38"/>
    </row>
    <row r="47" spans="1:18" x14ac:dyDescent="0.2">
      <c r="A47" s="13"/>
      <c r="B47" s="18"/>
      <c r="C47" s="19"/>
      <c r="D47" s="19"/>
      <c r="E47" s="20"/>
      <c r="F47" s="22"/>
      <c r="G47" s="22"/>
      <c r="H47" s="38"/>
      <c r="I47" s="38"/>
      <c r="J47" s="13"/>
      <c r="K47" s="18"/>
      <c r="L47" s="19"/>
      <c r="M47" s="19"/>
      <c r="N47" s="20"/>
      <c r="O47" s="22"/>
      <c r="P47" s="22"/>
      <c r="Q47" s="38"/>
      <c r="R47" s="38"/>
    </row>
    <row r="48" spans="1:18" x14ac:dyDescent="0.2">
      <c r="A48" s="13"/>
      <c r="B48" s="18"/>
      <c r="C48" s="19"/>
      <c r="D48" s="19"/>
      <c r="E48" s="20"/>
      <c r="F48" s="22"/>
      <c r="G48" s="22"/>
      <c r="H48" s="45"/>
      <c r="I48" s="45"/>
      <c r="J48" s="13"/>
      <c r="K48" s="18"/>
      <c r="L48" s="19"/>
      <c r="M48" s="19"/>
      <c r="N48" s="20"/>
      <c r="O48" s="22"/>
      <c r="P48" s="22"/>
      <c r="Q48" s="45"/>
      <c r="R48" s="45"/>
    </row>
    <row r="49" spans="1:18" x14ac:dyDescent="0.2">
      <c r="A49" s="13"/>
      <c r="B49" s="18"/>
      <c r="C49" s="19"/>
      <c r="D49" s="19"/>
      <c r="E49" s="20"/>
      <c r="F49" s="22"/>
      <c r="G49" s="22"/>
      <c r="H49" s="45"/>
      <c r="I49" s="45"/>
      <c r="J49" s="13"/>
      <c r="K49" s="18"/>
      <c r="L49" s="19"/>
      <c r="M49" s="19"/>
      <c r="N49" s="20"/>
      <c r="O49" s="22"/>
      <c r="P49" s="22"/>
      <c r="Q49" s="45"/>
      <c r="R49" s="45"/>
    </row>
    <row r="50" spans="1:18" ht="15" customHeight="1" x14ac:dyDescent="0.2">
      <c r="A50" s="13"/>
      <c r="B50" s="18"/>
      <c r="C50" s="19"/>
      <c r="D50" s="19"/>
      <c r="E50" s="20"/>
      <c r="F50" s="22"/>
      <c r="G50" s="22"/>
      <c r="H50" s="23"/>
      <c r="I50" s="23"/>
      <c r="J50" s="13"/>
      <c r="K50" s="18"/>
      <c r="L50" s="19"/>
      <c r="M50" s="19"/>
      <c r="N50" s="20"/>
      <c r="O50" s="22"/>
      <c r="P50" s="22"/>
      <c r="Q50" s="23"/>
      <c r="R50" s="23"/>
    </row>
    <row r="51" spans="1:18" x14ac:dyDescent="0.2">
      <c r="A51" s="13"/>
      <c r="B51" s="18"/>
      <c r="C51" s="19"/>
      <c r="D51" s="19"/>
      <c r="E51" s="20"/>
      <c r="F51" s="22"/>
      <c r="G51" s="22"/>
      <c r="H51" s="23"/>
      <c r="I51" s="23"/>
      <c r="J51" s="13"/>
      <c r="K51" s="18"/>
      <c r="L51" s="19"/>
      <c r="M51" s="19"/>
      <c r="N51" s="20"/>
      <c r="O51" s="22"/>
      <c r="P51" s="22"/>
      <c r="Q51" s="23"/>
      <c r="R51" s="23"/>
    </row>
    <row r="52" spans="1:18" x14ac:dyDescent="0.2">
      <c r="A52" s="13"/>
      <c r="B52" s="18"/>
      <c r="C52" s="19"/>
      <c r="D52" s="19"/>
      <c r="E52" s="20"/>
      <c r="F52" s="22"/>
      <c r="G52" s="22"/>
      <c r="H52" s="23"/>
      <c r="I52" s="23"/>
      <c r="J52" s="13"/>
      <c r="K52" s="18"/>
      <c r="L52" s="19"/>
      <c r="M52" s="19"/>
      <c r="N52" s="20"/>
      <c r="O52" s="22"/>
      <c r="P52" s="22"/>
      <c r="Q52" s="23"/>
      <c r="R52" s="23"/>
    </row>
    <row r="53" spans="1:18" x14ac:dyDescent="0.2">
      <c r="A53" s="13"/>
      <c r="B53" s="18"/>
      <c r="C53" s="19"/>
      <c r="D53" s="19"/>
      <c r="E53" s="20"/>
      <c r="F53" s="22"/>
      <c r="G53" s="22"/>
      <c r="H53" s="23"/>
      <c r="I53" s="23"/>
      <c r="J53" s="13"/>
      <c r="K53" s="18"/>
      <c r="L53" s="19"/>
      <c r="M53" s="19"/>
      <c r="N53" s="20"/>
      <c r="O53" s="22"/>
      <c r="P53" s="22"/>
      <c r="Q53" s="23"/>
      <c r="R53" s="23"/>
    </row>
    <row r="54" spans="1:18" x14ac:dyDescent="0.2">
      <c r="A54" s="13"/>
      <c r="B54" s="18"/>
      <c r="C54" s="19"/>
      <c r="D54" s="19"/>
      <c r="E54" s="20"/>
      <c r="F54" s="22"/>
      <c r="G54" s="22"/>
      <c r="H54" s="23"/>
      <c r="I54" s="23"/>
      <c r="J54" s="13"/>
      <c r="K54" s="18"/>
      <c r="L54" s="19"/>
      <c r="M54" s="19"/>
      <c r="N54" s="20"/>
      <c r="O54" s="22"/>
      <c r="P54" s="22"/>
      <c r="Q54" s="23"/>
      <c r="R54" s="23"/>
    </row>
    <row r="55" spans="1:18" x14ac:dyDescent="0.2">
      <c r="A55" s="13"/>
      <c r="B55" s="18"/>
      <c r="C55" s="19"/>
      <c r="D55" s="19"/>
      <c r="E55" s="20"/>
      <c r="F55" s="22"/>
      <c r="G55" s="22"/>
      <c r="H55" s="23"/>
      <c r="I55" s="23"/>
      <c r="J55" s="13"/>
      <c r="K55" s="18"/>
      <c r="L55" s="19"/>
      <c r="M55" s="19"/>
      <c r="N55" s="20"/>
      <c r="O55" s="22"/>
      <c r="P55" s="22"/>
      <c r="Q55" s="23"/>
      <c r="R55" s="23"/>
    </row>
    <row r="56" spans="1:18" x14ac:dyDescent="0.2">
      <c r="A56" s="13"/>
      <c r="B56" s="18"/>
      <c r="C56" s="19"/>
      <c r="D56" s="19"/>
      <c r="E56" s="20"/>
      <c r="F56" s="22"/>
      <c r="G56" s="36"/>
      <c r="H56" s="37"/>
      <c r="I56" s="37"/>
      <c r="J56" s="13"/>
      <c r="K56" s="18"/>
      <c r="L56" s="19"/>
      <c r="M56" s="19"/>
      <c r="N56" s="20"/>
      <c r="O56" s="22"/>
      <c r="P56" s="36"/>
      <c r="Q56" s="37"/>
      <c r="R56" s="37"/>
    </row>
    <row r="57" spans="1:18" x14ac:dyDescent="0.2">
      <c r="A57" s="13"/>
      <c r="B57" s="248" t="s">
        <v>42</v>
      </c>
      <c r="C57" s="249"/>
      <c r="D57" s="249"/>
      <c r="E57" s="250"/>
      <c r="F57" s="46"/>
      <c r="G57" s="46"/>
      <c r="H57" s="47"/>
      <c r="I57" s="47">
        <f>SUM(I44:I56)</f>
        <v>402.49999999999994</v>
      </c>
      <c r="J57" s="13"/>
      <c r="K57" s="248" t="s">
        <v>42</v>
      </c>
      <c r="L57" s="249"/>
      <c r="M57" s="249"/>
      <c r="N57" s="250"/>
      <c r="O57" s="46"/>
      <c r="P57" s="46"/>
      <c r="Q57" s="47"/>
      <c r="R57" s="47">
        <f>SUM(R44:R56)</f>
        <v>1251.4999999999998</v>
      </c>
    </row>
    <row r="58" spans="1:18" x14ac:dyDescent="0.2">
      <c r="A58" s="12" t="s">
        <v>43</v>
      </c>
      <c r="B58" s="48" t="s">
        <v>44</v>
      </c>
      <c r="C58" s="43"/>
      <c r="D58" s="43"/>
      <c r="E58" s="39"/>
      <c r="F58" s="49"/>
      <c r="G58" s="49"/>
      <c r="H58" s="50"/>
      <c r="I58" s="51">
        <f>SUM(I39+I57)</f>
        <v>498.07719999999995</v>
      </c>
      <c r="J58" s="12" t="s">
        <v>43</v>
      </c>
      <c r="K58" s="48" t="s">
        <v>44</v>
      </c>
      <c r="L58" s="43"/>
      <c r="M58" s="43"/>
      <c r="N58" s="39"/>
      <c r="O58" s="49"/>
      <c r="P58" s="49"/>
      <c r="Q58" s="50"/>
      <c r="R58" s="51">
        <f>SUM(R39+R57)</f>
        <v>1590.8746666666664</v>
      </c>
    </row>
    <row r="59" spans="1:18" x14ac:dyDescent="0.2">
      <c r="A59" s="13" t="s">
        <v>45</v>
      </c>
      <c r="B59" s="48" t="s">
        <v>46</v>
      </c>
      <c r="C59" s="43"/>
      <c r="D59" s="43"/>
      <c r="E59" s="39"/>
      <c r="F59" s="49"/>
      <c r="G59" s="52">
        <v>0.09</v>
      </c>
      <c r="H59" s="53" t="s">
        <v>47</v>
      </c>
      <c r="I59" s="51">
        <f>G59*I58</f>
        <v>44.826947999999994</v>
      </c>
      <c r="J59" s="13" t="s">
        <v>45</v>
      </c>
      <c r="K59" s="48" t="s">
        <v>46</v>
      </c>
      <c r="L59" s="43"/>
      <c r="M59" s="43"/>
      <c r="N59" s="39"/>
      <c r="O59" s="49"/>
      <c r="P59" s="52">
        <v>0.09</v>
      </c>
      <c r="Q59" s="53" t="s">
        <v>47</v>
      </c>
      <c r="R59" s="51">
        <f>P59*R58</f>
        <v>143.17871999999997</v>
      </c>
    </row>
    <row r="60" spans="1:18" x14ac:dyDescent="0.2">
      <c r="A60" s="13" t="s">
        <v>48</v>
      </c>
      <c r="B60" s="48" t="s">
        <v>49</v>
      </c>
      <c r="C60" s="43"/>
      <c r="D60" s="43"/>
      <c r="E60" s="39"/>
      <c r="F60" s="49"/>
      <c r="G60" s="52">
        <v>0.08</v>
      </c>
      <c r="H60" s="53" t="s">
        <v>47</v>
      </c>
      <c r="I60" s="51">
        <f>G60*I58</f>
        <v>39.846176</v>
      </c>
      <c r="J60" s="13" t="s">
        <v>48</v>
      </c>
      <c r="K60" s="48" t="s">
        <v>49</v>
      </c>
      <c r="L60" s="43"/>
      <c r="M60" s="43"/>
      <c r="N60" s="39"/>
      <c r="O60" s="49"/>
      <c r="P60" s="52">
        <v>0.08</v>
      </c>
      <c r="Q60" s="53" t="s">
        <v>47</v>
      </c>
      <c r="R60" s="51">
        <f>P60*R58</f>
        <v>127.26997333333331</v>
      </c>
    </row>
    <row r="61" spans="1:18" x14ac:dyDescent="0.2">
      <c r="A61" s="13" t="s">
        <v>50</v>
      </c>
      <c r="B61" s="48" t="s">
        <v>51</v>
      </c>
      <c r="C61" s="43"/>
      <c r="D61" s="43"/>
      <c r="E61" s="39"/>
      <c r="F61" s="49"/>
      <c r="G61" s="52">
        <f>5/100</f>
        <v>0.05</v>
      </c>
      <c r="H61" s="53" t="s">
        <v>52</v>
      </c>
      <c r="I61" s="51">
        <f>G61*(I58+I59+I60)</f>
        <v>29.1375162</v>
      </c>
      <c r="J61" s="13" t="s">
        <v>50</v>
      </c>
      <c r="K61" s="48" t="s">
        <v>51</v>
      </c>
      <c r="L61" s="43"/>
      <c r="M61" s="43"/>
      <c r="N61" s="39"/>
      <c r="O61" s="49"/>
      <c r="P61" s="52">
        <v>0.05</v>
      </c>
      <c r="Q61" s="53" t="s">
        <v>52</v>
      </c>
      <c r="R61" s="51">
        <f>P61*(R58+R59+R60)</f>
        <v>93.06616799999999</v>
      </c>
    </row>
    <row r="62" spans="1:18" x14ac:dyDescent="0.2">
      <c r="A62" s="54" t="s">
        <v>53</v>
      </c>
      <c r="B62" s="48" t="s">
        <v>54</v>
      </c>
      <c r="C62" s="43"/>
      <c r="D62" s="43"/>
      <c r="E62" s="39"/>
      <c r="F62" s="49"/>
      <c r="G62" s="49"/>
      <c r="H62" s="55" t="s">
        <v>55</v>
      </c>
      <c r="I62" s="51">
        <f>SUM(I58+I59+I60+I61)</f>
        <v>611.88784020000003</v>
      </c>
      <c r="J62" s="54" t="s">
        <v>53</v>
      </c>
      <c r="K62" s="48" t="s">
        <v>54</v>
      </c>
      <c r="L62" s="43"/>
      <c r="M62" s="43"/>
      <c r="N62" s="39"/>
      <c r="O62" s="49"/>
      <c r="P62" s="49"/>
      <c r="Q62" s="55" t="s">
        <v>55</v>
      </c>
      <c r="R62" s="51">
        <f>SUM(R58+R59+R60+R61)</f>
        <v>1954.3895279999997</v>
      </c>
    </row>
    <row r="63" spans="1:18" s="1" customFormat="1" x14ac:dyDescent="0.2">
      <c r="A63" s="236" t="s">
        <v>0</v>
      </c>
      <c r="B63" s="236"/>
      <c r="C63" s="236"/>
      <c r="D63" s="236"/>
      <c r="E63" s="236"/>
      <c r="F63" s="236"/>
      <c r="G63" s="236"/>
      <c r="H63" s="236"/>
      <c r="I63" s="236"/>
      <c r="J63" s="236" t="s">
        <v>0</v>
      </c>
      <c r="K63" s="236"/>
      <c r="L63" s="236"/>
      <c r="M63" s="236"/>
      <c r="N63" s="236"/>
      <c r="O63" s="236"/>
      <c r="P63" s="236"/>
      <c r="Q63" s="236"/>
      <c r="R63" s="236"/>
    </row>
    <row r="65" spans="1:18" x14ac:dyDescent="0.2">
      <c r="A65" s="2" t="s">
        <v>1</v>
      </c>
      <c r="C65" s="4" t="s">
        <v>2</v>
      </c>
      <c r="D65" s="5" t="s">
        <v>230</v>
      </c>
      <c r="E65" s="8" t="s">
        <v>231</v>
      </c>
      <c r="F65" s="8"/>
      <c r="G65" s="8"/>
      <c r="H65" s="8"/>
      <c r="J65" s="2" t="s">
        <v>1</v>
      </c>
      <c r="L65" s="4" t="s">
        <v>2</v>
      </c>
      <c r="M65" s="5">
        <v>204</v>
      </c>
      <c r="N65" s="237" t="s">
        <v>232</v>
      </c>
      <c r="O65" s="237"/>
      <c r="P65" s="237"/>
      <c r="Q65" s="237"/>
    </row>
    <row r="66" spans="1:18" x14ac:dyDescent="0.2">
      <c r="A66" s="2" t="s">
        <v>7</v>
      </c>
      <c r="C66" s="4" t="s">
        <v>2</v>
      </c>
      <c r="E66" s="2" t="s">
        <v>224</v>
      </c>
      <c r="F66" s="8"/>
      <c r="G66" s="8"/>
      <c r="H66" s="8"/>
      <c r="J66" s="2" t="s">
        <v>7</v>
      </c>
      <c r="L66" s="4" t="s">
        <v>2</v>
      </c>
      <c r="N66" s="2" t="s">
        <v>9</v>
      </c>
      <c r="O66" s="8"/>
      <c r="P66" s="8"/>
      <c r="Q66" s="8"/>
    </row>
    <row r="67" spans="1:18" x14ac:dyDescent="0.2">
      <c r="A67" s="2" t="s">
        <v>10</v>
      </c>
      <c r="C67" s="4" t="s">
        <v>2</v>
      </c>
      <c r="E67" s="9">
        <v>40</v>
      </c>
      <c r="F67" s="8"/>
      <c r="G67" s="8"/>
      <c r="H67" s="8"/>
      <c r="J67" s="2" t="s">
        <v>10</v>
      </c>
      <c r="L67" s="4" t="s">
        <v>2</v>
      </c>
      <c r="N67" s="9">
        <v>15</v>
      </c>
      <c r="O67" s="8"/>
      <c r="P67" s="8"/>
      <c r="Q67" s="8"/>
    </row>
    <row r="68" spans="1:18" x14ac:dyDescent="0.2">
      <c r="B68" s="8"/>
      <c r="F68" s="11"/>
      <c r="G68" s="8"/>
      <c r="H68" s="8"/>
      <c r="I68" s="8"/>
      <c r="K68" s="8"/>
      <c r="O68" s="11"/>
      <c r="P68" s="8"/>
      <c r="Q68" s="8"/>
      <c r="R68" s="8"/>
    </row>
    <row r="69" spans="1:18" x14ac:dyDescent="0.2">
      <c r="A69" s="12"/>
      <c r="B69" s="238" t="s">
        <v>11</v>
      </c>
      <c r="C69" s="239"/>
      <c r="D69" s="239"/>
      <c r="E69" s="240"/>
      <c r="F69" s="244" t="s">
        <v>12</v>
      </c>
      <c r="G69" s="244" t="s">
        <v>13</v>
      </c>
      <c r="H69" s="244" t="s">
        <v>14</v>
      </c>
      <c r="I69" s="246" t="s">
        <v>15</v>
      </c>
      <c r="J69" s="12"/>
      <c r="K69" s="238" t="s">
        <v>11</v>
      </c>
      <c r="L69" s="239"/>
      <c r="M69" s="239"/>
      <c r="N69" s="240"/>
      <c r="O69" s="244" t="s">
        <v>12</v>
      </c>
      <c r="P69" s="244" t="s">
        <v>13</v>
      </c>
      <c r="Q69" s="244" t="s">
        <v>14</v>
      </c>
      <c r="R69" s="246" t="s">
        <v>15</v>
      </c>
    </row>
    <row r="70" spans="1:18" x14ac:dyDescent="0.2">
      <c r="A70" s="13"/>
      <c r="B70" s="241"/>
      <c r="C70" s="242"/>
      <c r="D70" s="242"/>
      <c r="E70" s="243"/>
      <c r="F70" s="245"/>
      <c r="G70" s="245"/>
      <c r="H70" s="245"/>
      <c r="I70" s="247"/>
      <c r="J70" s="13"/>
      <c r="K70" s="241"/>
      <c r="L70" s="242"/>
      <c r="M70" s="242"/>
      <c r="N70" s="243"/>
      <c r="O70" s="245"/>
      <c r="P70" s="245"/>
      <c r="Q70" s="245"/>
      <c r="R70" s="247"/>
    </row>
    <row r="71" spans="1:18" x14ac:dyDescent="0.2">
      <c r="A71" s="13" t="s">
        <v>16</v>
      </c>
      <c r="B71" s="14" t="s">
        <v>17</v>
      </c>
      <c r="C71" s="15"/>
      <c r="D71" s="15"/>
      <c r="E71" s="16"/>
      <c r="F71" s="17"/>
      <c r="G71" s="17"/>
      <c r="H71" s="17"/>
      <c r="I71" s="17"/>
      <c r="J71" s="13" t="s">
        <v>16</v>
      </c>
      <c r="K71" s="14" t="s">
        <v>17</v>
      </c>
      <c r="L71" s="15"/>
      <c r="M71" s="15"/>
      <c r="N71" s="16"/>
      <c r="O71" s="17"/>
      <c r="P71" s="17"/>
      <c r="Q71" s="17"/>
      <c r="R71" s="17"/>
    </row>
    <row r="72" spans="1:18" x14ac:dyDescent="0.2">
      <c r="A72" s="13"/>
      <c r="B72" s="18"/>
      <c r="C72" s="19"/>
      <c r="D72" s="19"/>
      <c r="E72" s="20"/>
      <c r="F72" s="21"/>
      <c r="G72" s="22"/>
      <c r="H72" s="21"/>
      <c r="I72" s="21"/>
      <c r="J72" s="13"/>
      <c r="K72" s="18"/>
      <c r="L72" s="19"/>
      <c r="M72" s="19"/>
      <c r="N72" s="20"/>
      <c r="O72" s="21"/>
      <c r="P72" s="22"/>
      <c r="Q72" s="21"/>
      <c r="R72" s="21"/>
    </row>
    <row r="73" spans="1:18" x14ac:dyDescent="0.2">
      <c r="A73" s="13"/>
      <c r="B73" s="24" t="s">
        <v>18</v>
      </c>
      <c r="C73" s="25"/>
      <c r="D73" s="25"/>
      <c r="E73" s="26"/>
      <c r="F73" s="22">
        <v>1</v>
      </c>
      <c r="G73" s="62">
        <v>1</v>
      </c>
      <c r="H73" s="23">
        <v>69.42</v>
      </c>
      <c r="I73" s="23">
        <f>G73*H73*F73</f>
        <v>69.42</v>
      </c>
      <c r="J73" s="13"/>
      <c r="K73" s="24" t="s">
        <v>18</v>
      </c>
      <c r="L73" s="25"/>
      <c r="M73" s="25"/>
      <c r="N73" s="26"/>
      <c r="O73" s="22">
        <v>1</v>
      </c>
      <c r="P73" s="62">
        <v>1</v>
      </c>
      <c r="Q73" s="23">
        <v>69.42</v>
      </c>
      <c r="R73" s="23">
        <f>P73*Q73*O73</f>
        <v>69.42</v>
      </c>
    </row>
    <row r="74" spans="1:18" x14ac:dyDescent="0.2">
      <c r="A74" s="13"/>
      <c r="B74" s="24" t="s">
        <v>1179</v>
      </c>
      <c r="C74" s="25"/>
      <c r="D74" s="25"/>
      <c r="E74" s="26"/>
      <c r="F74" s="22">
        <v>2</v>
      </c>
      <c r="G74" s="62">
        <v>1</v>
      </c>
      <c r="H74" s="23">
        <v>38.97</v>
      </c>
      <c r="I74" s="23">
        <f>G74*H74*F74</f>
        <v>77.94</v>
      </c>
      <c r="J74" s="13"/>
      <c r="K74" s="24" t="s">
        <v>1179</v>
      </c>
      <c r="L74" s="25"/>
      <c r="M74" s="25"/>
      <c r="N74" s="26"/>
      <c r="O74" s="22">
        <v>10</v>
      </c>
      <c r="P74" s="62">
        <v>1</v>
      </c>
      <c r="Q74" s="23">
        <v>38.97</v>
      </c>
      <c r="R74" s="23">
        <f>P74*Q74*O74</f>
        <v>389.7</v>
      </c>
    </row>
    <row r="75" spans="1:18" x14ac:dyDescent="0.2">
      <c r="A75" s="13"/>
      <c r="B75" s="27"/>
      <c r="C75" s="19"/>
      <c r="D75" s="19"/>
      <c r="E75" s="20"/>
      <c r="F75" s="22"/>
      <c r="G75" s="22"/>
      <c r="H75" s="28"/>
      <c r="I75" s="23"/>
      <c r="J75" s="13"/>
      <c r="K75" s="27"/>
      <c r="L75" s="19"/>
      <c r="M75" s="19"/>
      <c r="N75" s="20"/>
      <c r="O75" s="22"/>
      <c r="P75" s="22"/>
      <c r="Q75" s="28"/>
      <c r="R75" s="23"/>
    </row>
    <row r="76" spans="1:18" ht="15" customHeight="1" x14ac:dyDescent="0.2">
      <c r="A76" s="13"/>
      <c r="B76" s="27"/>
      <c r="C76" s="19"/>
      <c r="D76" s="19"/>
      <c r="E76" s="20"/>
      <c r="F76" s="22"/>
      <c r="G76" s="22"/>
      <c r="H76" s="29"/>
      <c r="I76" s="30"/>
      <c r="J76" s="13"/>
      <c r="K76" s="27"/>
      <c r="L76" s="19"/>
      <c r="M76" s="19"/>
      <c r="N76" s="20"/>
      <c r="O76" s="22"/>
      <c r="P76" s="22"/>
      <c r="Q76" s="29"/>
      <c r="R76" s="30"/>
    </row>
    <row r="77" spans="1:18" x14ac:dyDescent="0.2">
      <c r="A77" s="13"/>
      <c r="B77" s="27"/>
      <c r="C77" s="19"/>
      <c r="D77" s="19"/>
      <c r="E77" s="20"/>
      <c r="F77" s="22"/>
      <c r="G77" s="22"/>
      <c r="H77" s="29"/>
      <c r="I77" s="30"/>
      <c r="J77" s="13"/>
      <c r="K77" s="27"/>
      <c r="L77" s="19"/>
      <c r="M77" s="19"/>
      <c r="N77" s="20"/>
      <c r="O77" s="22"/>
      <c r="P77" s="22"/>
      <c r="Q77" s="29"/>
      <c r="R77" s="30"/>
    </row>
    <row r="78" spans="1:18" x14ac:dyDescent="0.2">
      <c r="A78" s="13"/>
      <c r="B78" s="18"/>
      <c r="C78" s="19"/>
      <c r="D78" s="19"/>
      <c r="E78" s="20"/>
      <c r="F78" s="22"/>
      <c r="G78" s="22"/>
      <c r="H78" s="28"/>
      <c r="I78" s="23"/>
      <c r="J78" s="13"/>
      <c r="K78" s="18"/>
      <c r="L78" s="19"/>
      <c r="M78" s="19"/>
      <c r="N78" s="20"/>
      <c r="O78" s="22"/>
      <c r="P78" s="22"/>
      <c r="Q78" s="28"/>
      <c r="R78" s="23"/>
    </row>
    <row r="79" spans="1:18" x14ac:dyDescent="0.2">
      <c r="A79" s="13"/>
      <c r="B79" s="18"/>
      <c r="C79" s="19"/>
      <c r="D79" s="19"/>
      <c r="E79" s="20"/>
      <c r="F79" s="22"/>
      <c r="G79" s="22"/>
      <c r="H79" s="23"/>
      <c r="I79" s="23"/>
      <c r="J79" s="13"/>
      <c r="K79" s="18"/>
      <c r="L79" s="19"/>
      <c r="M79" s="19"/>
      <c r="N79" s="20"/>
      <c r="O79" s="22"/>
      <c r="P79" s="22"/>
      <c r="Q79" s="23"/>
      <c r="R79" s="23"/>
    </row>
    <row r="80" spans="1:18" x14ac:dyDescent="0.2">
      <c r="A80" s="13"/>
      <c r="B80" s="248" t="s">
        <v>20</v>
      </c>
      <c r="C80" s="249"/>
      <c r="D80" s="249"/>
      <c r="E80" s="250"/>
      <c r="F80" s="31"/>
      <c r="G80" s="31"/>
      <c r="H80" s="32"/>
      <c r="I80" s="32">
        <f>SUM(I73:I79)</f>
        <v>147.36000000000001</v>
      </c>
      <c r="J80" s="13"/>
      <c r="K80" s="248" t="s">
        <v>20</v>
      </c>
      <c r="L80" s="249"/>
      <c r="M80" s="249"/>
      <c r="N80" s="250"/>
      <c r="O80" s="31"/>
      <c r="P80" s="31"/>
      <c r="Q80" s="32"/>
      <c r="R80" s="32">
        <f>SUM(R73:R79)</f>
        <v>459.12</v>
      </c>
    </row>
    <row r="81" spans="1:18" x14ac:dyDescent="0.2">
      <c r="A81" s="12"/>
      <c r="B81" s="251" t="s">
        <v>21</v>
      </c>
      <c r="C81" s="252"/>
      <c r="D81" s="252"/>
      <c r="E81" s="253"/>
      <c r="F81" s="244" t="s">
        <v>22</v>
      </c>
      <c r="G81" s="244" t="s">
        <v>13</v>
      </c>
      <c r="H81" s="244" t="s">
        <v>14</v>
      </c>
      <c r="I81" s="246" t="s">
        <v>15</v>
      </c>
      <c r="J81" s="12"/>
      <c r="K81" s="251" t="s">
        <v>21</v>
      </c>
      <c r="L81" s="252"/>
      <c r="M81" s="252"/>
      <c r="N81" s="253"/>
      <c r="O81" s="244" t="s">
        <v>22</v>
      </c>
      <c r="P81" s="244" t="s">
        <v>13</v>
      </c>
      <c r="Q81" s="244" t="s">
        <v>14</v>
      </c>
      <c r="R81" s="246" t="s">
        <v>15</v>
      </c>
    </row>
    <row r="82" spans="1:18" x14ac:dyDescent="0.2">
      <c r="A82" s="13"/>
      <c r="B82" s="254"/>
      <c r="C82" s="255"/>
      <c r="D82" s="255"/>
      <c r="E82" s="256"/>
      <c r="F82" s="245"/>
      <c r="G82" s="245"/>
      <c r="H82" s="245"/>
      <c r="I82" s="247"/>
      <c r="J82" s="13"/>
      <c r="K82" s="254"/>
      <c r="L82" s="255"/>
      <c r="M82" s="255"/>
      <c r="N82" s="256"/>
      <c r="O82" s="245"/>
      <c r="P82" s="245"/>
      <c r="Q82" s="245"/>
      <c r="R82" s="247"/>
    </row>
    <row r="83" spans="1:18" x14ac:dyDescent="0.2">
      <c r="A83" s="13" t="s">
        <v>23</v>
      </c>
      <c r="B83" s="33" t="s">
        <v>24</v>
      </c>
      <c r="C83" s="15"/>
      <c r="D83" s="15"/>
      <c r="E83" s="16"/>
      <c r="F83" s="34"/>
      <c r="G83" s="34"/>
      <c r="H83" s="35"/>
      <c r="I83" s="35"/>
      <c r="J83" s="13" t="s">
        <v>23</v>
      </c>
      <c r="K83" s="33" t="s">
        <v>24</v>
      </c>
      <c r="L83" s="15"/>
      <c r="M83" s="15"/>
      <c r="N83" s="16"/>
      <c r="O83" s="34"/>
      <c r="P83" s="34"/>
      <c r="Q83" s="35"/>
      <c r="R83" s="35"/>
    </row>
    <row r="84" spans="1:18" x14ac:dyDescent="0.2">
      <c r="A84" s="13"/>
      <c r="B84" s="18"/>
      <c r="C84" s="19"/>
      <c r="D84" s="19"/>
      <c r="E84" s="20"/>
      <c r="F84" s="22"/>
      <c r="G84" s="22"/>
      <c r="H84" s="23"/>
      <c r="I84" s="23"/>
      <c r="J84" s="13"/>
      <c r="K84" s="18"/>
      <c r="L84" s="19"/>
      <c r="M84" s="19"/>
      <c r="N84" s="20"/>
      <c r="O84" s="22"/>
      <c r="P84" s="22"/>
      <c r="Q84" s="23"/>
      <c r="R84" s="23"/>
    </row>
    <row r="85" spans="1:18" ht="17.25" customHeight="1" x14ac:dyDescent="0.2">
      <c r="A85" s="13"/>
      <c r="B85" s="18" t="s">
        <v>1172</v>
      </c>
      <c r="C85" s="19"/>
      <c r="D85" s="19"/>
      <c r="E85" s="20"/>
      <c r="F85" s="22">
        <v>1</v>
      </c>
      <c r="G85" s="23">
        <v>1</v>
      </c>
      <c r="H85" s="37">
        <v>2173</v>
      </c>
      <c r="I85" s="37">
        <f>G85*H85*F85</f>
        <v>2173</v>
      </c>
      <c r="J85" s="13"/>
      <c r="K85" s="18" t="s">
        <v>1172</v>
      </c>
      <c r="L85" s="19"/>
      <c r="M85" s="19"/>
      <c r="N85" s="20"/>
      <c r="O85" s="22">
        <v>1</v>
      </c>
      <c r="P85" s="23">
        <v>1</v>
      </c>
      <c r="Q85" s="37">
        <v>2173</v>
      </c>
      <c r="R85" s="37">
        <f>P85*Q85*O85</f>
        <v>2173</v>
      </c>
    </row>
    <row r="86" spans="1:18" ht="17.25" customHeight="1" x14ac:dyDescent="0.2">
      <c r="A86" s="13"/>
      <c r="B86" s="18" t="s">
        <v>1173</v>
      </c>
      <c r="C86" s="19"/>
      <c r="D86" s="19"/>
      <c r="E86" s="20"/>
      <c r="F86" s="22">
        <v>1</v>
      </c>
      <c r="G86" s="23">
        <v>1</v>
      </c>
      <c r="H86" s="37">
        <v>1846</v>
      </c>
      <c r="I86" s="37">
        <f>G86*H86*F86</f>
        <v>1846</v>
      </c>
      <c r="J86" s="13"/>
      <c r="K86" s="18" t="s">
        <v>1173</v>
      </c>
      <c r="L86" s="19"/>
      <c r="M86" s="19"/>
      <c r="N86" s="20"/>
      <c r="O86" s="22">
        <v>1</v>
      </c>
      <c r="P86" s="23">
        <v>1</v>
      </c>
      <c r="Q86" s="37">
        <v>1846</v>
      </c>
      <c r="R86" s="37">
        <f>P86*Q86*O86</f>
        <v>1846</v>
      </c>
    </row>
    <row r="87" spans="1:18" x14ac:dyDescent="0.2">
      <c r="A87" s="13"/>
      <c r="B87" s="18" t="s">
        <v>233</v>
      </c>
      <c r="C87" s="19"/>
      <c r="D87" s="19"/>
      <c r="E87" s="20"/>
      <c r="F87" s="22">
        <v>1</v>
      </c>
      <c r="G87" s="23">
        <v>0.25</v>
      </c>
      <c r="H87" s="37">
        <v>123</v>
      </c>
      <c r="I87" s="37">
        <f>G87*H87*F87</f>
        <v>30.75</v>
      </c>
      <c r="J87" s="13"/>
      <c r="K87" s="18" t="s">
        <v>1174</v>
      </c>
      <c r="L87" s="19"/>
      <c r="M87" s="19"/>
      <c r="N87" s="20"/>
      <c r="O87" s="22">
        <v>1</v>
      </c>
      <c r="P87" s="23">
        <v>0.25</v>
      </c>
      <c r="Q87" s="37">
        <v>2450</v>
      </c>
      <c r="R87" s="37">
        <f>P87*Q87*O87</f>
        <v>612.5</v>
      </c>
    </row>
    <row r="88" spans="1:18" x14ac:dyDescent="0.2">
      <c r="A88" s="13"/>
      <c r="B88" s="18" t="s">
        <v>1201</v>
      </c>
      <c r="C88" s="19"/>
      <c r="D88" s="19"/>
      <c r="E88" s="20"/>
      <c r="F88" s="22">
        <v>1</v>
      </c>
      <c r="G88" s="23">
        <v>0.25</v>
      </c>
      <c r="H88" s="37">
        <v>2450</v>
      </c>
      <c r="I88" s="37">
        <f>G88*H88*F88</f>
        <v>612.5</v>
      </c>
      <c r="J88" s="13"/>
      <c r="K88" s="18"/>
      <c r="L88" s="19"/>
      <c r="M88" s="19"/>
      <c r="N88" s="20"/>
      <c r="O88" s="22"/>
      <c r="P88" s="23"/>
      <c r="Q88" s="37"/>
      <c r="R88" s="37"/>
    </row>
    <row r="89" spans="1:18" x14ac:dyDescent="0.2">
      <c r="A89" s="13"/>
      <c r="B89" s="89"/>
      <c r="C89" s="90"/>
      <c r="D89" s="90"/>
      <c r="E89" s="91"/>
      <c r="F89" s="22"/>
      <c r="G89" s="23"/>
      <c r="H89" s="37"/>
      <c r="I89" s="37"/>
      <c r="J89" s="13"/>
      <c r="K89" s="18"/>
      <c r="L89" s="19"/>
      <c r="M89" s="19"/>
      <c r="N89" s="20"/>
      <c r="O89" s="22"/>
      <c r="P89" s="36"/>
      <c r="Q89" s="37"/>
      <c r="R89" s="37"/>
    </row>
    <row r="90" spans="1:18" x14ac:dyDescent="0.2">
      <c r="A90" s="13"/>
      <c r="B90" s="92"/>
      <c r="C90" s="90"/>
      <c r="D90" s="90"/>
      <c r="E90" s="91"/>
      <c r="F90" s="22"/>
      <c r="G90" s="36"/>
      <c r="H90" s="38"/>
      <c r="I90" s="38"/>
      <c r="J90" s="13"/>
      <c r="K90" s="18"/>
      <c r="L90" s="19"/>
      <c r="M90" s="19"/>
      <c r="N90" s="20"/>
      <c r="O90" s="22"/>
      <c r="P90" s="36"/>
      <c r="Q90" s="38"/>
      <c r="R90" s="38"/>
    </row>
    <row r="91" spans="1:18" x14ac:dyDescent="0.2">
      <c r="A91" s="13"/>
      <c r="B91" s="18"/>
      <c r="C91" s="19"/>
      <c r="D91" s="19"/>
      <c r="E91" s="20"/>
      <c r="F91" s="22"/>
      <c r="G91" s="36"/>
      <c r="H91" s="38"/>
      <c r="I91" s="38"/>
      <c r="J91" s="13"/>
      <c r="K91" s="18"/>
      <c r="L91" s="19"/>
      <c r="M91" s="19"/>
      <c r="N91" s="20"/>
      <c r="O91" s="22"/>
      <c r="P91" s="36"/>
      <c r="Q91" s="37"/>
      <c r="R91" s="37"/>
    </row>
    <row r="92" spans="1:18" x14ac:dyDescent="0.2">
      <c r="A92" s="13"/>
      <c r="B92" s="18"/>
      <c r="C92" s="19"/>
      <c r="D92" s="19"/>
      <c r="E92" s="20"/>
      <c r="F92" s="22"/>
      <c r="G92" s="36"/>
      <c r="H92" s="38"/>
      <c r="I92" s="38"/>
      <c r="J92" s="13"/>
      <c r="K92" s="18"/>
      <c r="L92" s="19"/>
      <c r="M92" s="19"/>
      <c r="N92" s="20"/>
      <c r="O92" s="22"/>
      <c r="P92" s="36"/>
      <c r="Q92" s="38"/>
      <c r="R92" s="38"/>
    </row>
    <row r="93" spans="1:18" x14ac:dyDescent="0.2">
      <c r="A93" s="13"/>
      <c r="B93" s="18"/>
      <c r="C93" s="19"/>
      <c r="D93" s="19"/>
      <c r="E93" s="20"/>
      <c r="F93" s="22"/>
      <c r="G93" s="36"/>
      <c r="H93" s="38"/>
      <c r="I93" s="38"/>
      <c r="J93" s="13"/>
      <c r="K93" s="18"/>
      <c r="L93" s="19"/>
      <c r="M93" s="19"/>
      <c r="N93" s="20"/>
      <c r="O93" s="22"/>
      <c r="P93" s="36"/>
      <c r="Q93" s="38"/>
      <c r="R93" s="38"/>
    </row>
    <row r="94" spans="1:18" x14ac:dyDescent="0.2">
      <c r="A94" s="13"/>
      <c r="B94" s="18"/>
      <c r="C94" s="19"/>
      <c r="D94" s="19"/>
      <c r="E94" s="20"/>
      <c r="F94" s="22"/>
      <c r="G94" s="36"/>
      <c r="H94" s="37"/>
      <c r="I94" s="37"/>
      <c r="J94" s="13"/>
      <c r="K94" s="18"/>
      <c r="L94" s="19"/>
      <c r="M94" s="19"/>
      <c r="N94" s="20"/>
      <c r="O94" s="22"/>
      <c r="P94" s="36"/>
      <c r="Q94" s="37"/>
      <c r="R94" s="37"/>
    </row>
    <row r="95" spans="1:18" x14ac:dyDescent="0.2">
      <c r="A95" s="13"/>
      <c r="B95" s="18"/>
      <c r="C95" s="19"/>
      <c r="D95" s="19"/>
      <c r="E95" s="20"/>
      <c r="F95" s="22"/>
      <c r="G95" s="36"/>
      <c r="H95" s="37"/>
      <c r="I95" s="37"/>
      <c r="J95" s="13"/>
      <c r="K95" s="18"/>
      <c r="L95" s="19"/>
      <c r="M95" s="19"/>
      <c r="N95" s="20"/>
      <c r="O95" s="22"/>
      <c r="P95" s="36"/>
      <c r="Q95" s="37"/>
      <c r="R95" s="37"/>
    </row>
    <row r="96" spans="1:18" ht="15" customHeight="1" x14ac:dyDescent="0.2">
      <c r="A96" s="13"/>
      <c r="B96" s="18"/>
      <c r="C96" s="19"/>
      <c r="D96" s="19"/>
      <c r="E96" s="20"/>
      <c r="F96" s="22"/>
      <c r="G96" s="36"/>
      <c r="H96" s="37"/>
      <c r="I96" s="37"/>
      <c r="J96" s="13"/>
      <c r="K96" s="18"/>
      <c r="L96" s="19"/>
      <c r="M96" s="19"/>
      <c r="N96" s="20"/>
      <c r="O96" s="22"/>
      <c r="P96" s="36"/>
      <c r="Q96" s="37"/>
      <c r="R96" s="37"/>
    </row>
    <row r="97" spans="1:18" x14ac:dyDescent="0.2">
      <c r="A97" s="13"/>
      <c r="B97" s="18"/>
      <c r="C97" s="19"/>
      <c r="D97" s="19"/>
      <c r="E97" s="20"/>
      <c r="F97" s="22"/>
      <c r="G97" s="22"/>
      <c r="H97" s="23"/>
      <c r="I97" s="23"/>
      <c r="J97" s="13"/>
      <c r="K97" s="18"/>
      <c r="L97" s="19"/>
      <c r="M97" s="19"/>
      <c r="N97" s="20"/>
      <c r="O97" s="22"/>
      <c r="P97" s="22"/>
      <c r="Q97" s="23"/>
      <c r="R97" s="23"/>
    </row>
    <row r="98" spans="1:18" x14ac:dyDescent="0.2">
      <c r="A98" s="13"/>
      <c r="B98" s="248" t="s">
        <v>30</v>
      </c>
      <c r="C98" s="249"/>
      <c r="D98" s="249"/>
      <c r="E98" s="250"/>
      <c r="F98" s="22"/>
      <c r="G98" s="22"/>
      <c r="H98" s="23"/>
      <c r="I98" s="23">
        <f>SUM(I85:I97)</f>
        <v>4662.25</v>
      </c>
      <c r="J98" s="13"/>
      <c r="K98" s="248" t="s">
        <v>30</v>
      </c>
      <c r="L98" s="249"/>
      <c r="M98" s="249"/>
      <c r="N98" s="250"/>
      <c r="O98" s="22"/>
      <c r="P98" s="22"/>
      <c r="Q98" s="23"/>
      <c r="R98" s="23">
        <f>SUM(R85:R97)</f>
        <v>4631.5</v>
      </c>
    </row>
    <row r="99" spans="1:18" x14ac:dyDescent="0.2">
      <c r="A99" s="12" t="s">
        <v>31</v>
      </c>
      <c r="B99" s="260" t="s">
        <v>32</v>
      </c>
      <c r="C99" s="261"/>
      <c r="D99" s="261"/>
      <c r="E99" s="261"/>
      <c r="F99" s="39"/>
      <c r="G99" s="39"/>
      <c r="H99" s="40"/>
      <c r="I99" s="41">
        <f>SUM(I98+I80)</f>
        <v>4809.6099999999997</v>
      </c>
      <c r="J99" s="12" t="s">
        <v>31</v>
      </c>
      <c r="K99" s="260" t="s">
        <v>32</v>
      </c>
      <c r="L99" s="261"/>
      <c r="M99" s="261"/>
      <c r="N99" s="261"/>
      <c r="O99" s="39"/>
      <c r="P99" s="39"/>
      <c r="Q99" s="40"/>
      <c r="R99" s="41">
        <f>SUM(R98+R80)</f>
        <v>5090.62</v>
      </c>
    </row>
    <row r="100" spans="1:18" x14ac:dyDescent="0.2">
      <c r="A100" s="13" t="s">
        <v>33</v>
      </c>
      <c r="B100" s="264">
        <f>E67</f>
        <v>40</v>
      </c>
      <c r="C100" s="265"/>
      <c r="D100" s="265"/>
      <c r="E100" s="265"/>
      <c r="F100" s="265"/>
      <c r="G100" s="265"/>
      <c r="H100" s="40"/>
      <c r="I100" s="41"/>
      <c r="J100" s="13" t="s">
        <v>33</v>
      </c>
      <c r="K100" s="264">
        <f>N67</f>
        <v>15</v>
      </c>
      <c r="L100" s="265"/>
      <c r="M100" s="265"/>
      <c r="N100" s="265"/>
      <c r="O100" s="265"/>
      <c r="P100" s="265"/>
      <c r="Q100" s="40"/>
      <c r="R100" s="41"/>
    </row>
    <row r="101" spans="1:18" x14ac:dyDescent="0.2">
      <c r="A101" s="13" t="s">
        <v>34</v>
      </c>
      <c r="B101" s="42" t="s">
        <v>35</v>
      </c>
      <c r="C101" s="43"/>
      <c r="D101" s="43"/>
      <c r="E101" s="39"/>
      <c r="F101" s="44"/>
      <c r="G101" s="44"/>
      <c r="H101" s="40"/>
      <c r="I101" s="41">
        <f>I99/E67</f>
        <v>120.24024999999999</v>
      </c>
      <c r="J101" s="13" t="s">
        <v>34</v>
      </c>
      <c r="K101" s="42" t="s">
        <v>35</v>
      </c>
      <c r="L101" s="43"/>
      <c r="M101" s="43"/>
      <c r="N101" s="39"/>
      <c r="O101" s="44"/>
      <c r="P101" s="44"/>
      <c r="Q101" s="40"/>
      <c r="R101" s="41">
        <f>R99/N67</f>
        <v>339.37466666666666</v>
      </c>
    </row>
    <row r="102" spans="1:18" x14ac:dyDescent="0.2">
      <c r="A102" s="12"/>
      <c r="B102" s="251" t="s">
        <v>36</v>
      </c>
      <c r="C102" s="252"/>
      <c r="D102" s="252"/>
      <c r="E102" s="253"/>
      <c r="F102" s="244" t="s">
        <v>37</v>
      </c>
      <c r="G102" s="244" t="s">
        <v>38</v>
      </c>
      <c r="H102" s="244" t="s">
        <v>39</v>
      </c>
      <c r="I102" s="246" t="s">
        <v>15</v>
      </c>
      <c r="J102" s="12"/>
      <c r="K102" s="251" t="s">
        <v>36</v>
      </c>
      <c r="L102" s="252"/>
      <c r="M102" s="252"/>
      <c r="N102" s="253"/>
      <c r="O102" s="244" t="s">
        <v>37</v>
      </c>
      <c r="P102" s="244" t="s">
        <v>38</v>
      </c>
      <c r="Q102" s="244" t="s">
        <v>39</v>
      </c>
      <c r="R102" s="246" t="s">
        <v>15</v>
      </c>
    </row>
    <row r="103" spans="1:18" x14ac:dyDescent="0.2">
      <c r="A103" s="13"/>
      <c r="B103" s="254"/>
      <c r="C103" s="255"/>
      <c r="D103" s="255"/>
      <c r="E103" s="256"/>
      <c r="F103" s="245"/>
      <c r="G103" s="245"/>
      <c r="H103" s="245"/>
      <c r="I103" s="247"/>
      <c r="J103" s="13"/>
      <c r="K103" s="254"/>
      <c r="L103" s="255"/>
      <c r="M103" s="255"/>
      <c r="N103" s="256"/>
      <c r="O103" s="245"/>
      <c r="P103" s="245"/>
      <c r="Q103" s="245"/>
      <c r="R103" s="247"/>
    </row>
    <row r="104" spans="1:18" x14ac:dyDescent="0.2">
      <c r="A104" s="13" t="s">
        <v>40</v>
      </c>
      <c r="B104" s="18" t="s">
        <v>41</v>
      </c>
      <c r="C104" s="19"/>
      <c r="D104" s="19"/>
      <c r="E104" s="20"/>
      <c r="F104" s="22"/>
      <c r="G104" s="22"/>
      <c r="H104" s="23"/>
      <c r="I104" s="23"/>
      <c r="J104" s="13" t="s">
        <v>40</v>
      </c>
      <c r="K104" s="18" t="s">
        <v>41</v>
      </c>
      <c r="L104" s="19"/>
      <c r="M104" s="19"/>
      <c r="N104" s="20"/>
      <c r="O104" s="22"/>
      <c r="P104" s="22"/>
      <c r="Q104" s="23"/>
      <c r="R104" s="23"/>
    </row>
    <row r="105" spans="1:18" x14ac:dyDescent="0.2">
      <c r="A105" s="13"/>
      <c r="B105" s="18"/>
      <c r="C105" s="19"/>
      <c r="D105" s="19"/>
      <c r="E105" s="20"/>
      <c r="F105" s="22"/>
      <c r="G105" s="22"/>
      <c r="H105" s="23"/>
      <c r="I105" s="23"/>
      <c r="J105" s="13"/>
      <c r="K105" s="18"/>
      <c r="L105" s="19"/>
      <c r="M105" s="19"/>
      <c r="N105" s="20"/>
      <c r="O105" s="22"/>
      <c r="P105" s="22"/>
      <c r="Q105" s="23"/>
      <c r="R105" s="23"/>
    </row>
    <row r="106" spans="1:18" x14ac:dyDescent="0.2">
      <c r="A106" s="13"/>
      <c r="B106" s="18" t="s">
        <v>225</v>
      </c>
      <c r="C106" s="66"/>
      <c r="D106" s="19"/>
      <c r="E106" s="20"/>
      <c r="F106" s="22" t="s">
        <v>9</v>
      </c>
      <c r="G106" s="22">
        <v>1.1499999999999999</v>
      </c>
      <c r="H106" s="107">
        <v>580</v>
      </c>
      <c r="I106" s="23">
        <f>H106*G106</f>
        <v>667</v>
      </c>
      <c r="J106" s="13"/>
      <c r="K106" s="18" t="s">
        <v>234</v>
      </c>
      <c r="L106" s="19"/>
      <c r="M106" s="19"/>
      <c r="N106" s="20"/>
      <c r="O106" s="22" t="s">
        <v>227</v>
      </c>
      <c r="P106" s="62">
        <v>3</v>
      </c>
      <c r="Q106" s="107">
        <v>220</v>
      </c>
      <c r="R106" s="23">
        <f>P106*Q106</f>
        <v>660</v>
      </c>
    </row>
    <row r="107" spans="1:18" x14ac:dyDescent="0.2">
      <c r="A107" s="13"/>
      <c r="B107" s="18" t="s">
        <v>228</v>
      </c>
      <c r="C107" s="66"/>
      <c r="D107" s="19"/>
      <c r="E107" s="20"/>
      <c r="F107" s="22"/>
      <c r="G107" s="22"/>
      <c r="H107" s="23"/>
      <c r="I107" s="23"/>
      <c r="J107" s="13"/>
      <c r="K107" s="18" t="s">
        <v>229</v>
      </c>
      <c r="L107" s="19"/>
      <c r="M107" s="19"/>
      <c r="N107" s="20"/>
      <c r="O107" s="22" t="s">
        <v>9</v>
      </c>
      <c r="P107" s="22">
        <v>1.1499999999999999</v>
      </c>
      <c r="Q107" s="107">
        <v>650</v>
      </c>
      <c r="R107" s="23">
        <f>P107*Q107</f>
        <v>747.49999999999989</v>
      </c>
    </row>
    <row r="108" spans="1:18" x14ac:dyDescent="0.2">
      <c r="A108" s="13"/>
      <c r="B108" s="18"/>
      <c r="C108" s="19"/>
      <c r="D108" s="19"/>
      <c r="E108" s="20"/>
      <c r="F108" s="22"/>
      <c r="G108" s="22"/>
      <c r="H108" s="38"/>
      <c r="I108" s="38"/>
      <c r="J108" s="13"/>
      <c r="K108" s="18"/>
      <c r="L108" s="19"/>
      <c r="M108" s="19"/>
      <c r="N108" s="20"/>
      <c r="O108" s="22"/>
      <c r="P108" s="22"/>
      <c r="Q108" s="38"/>
      <c r="R108" s="38"/>
    </row>
    <row r="109" spans="1:18" x14ac:dyDescent="0.2">
      <c r="A109" s="13"/>
      <c r="B109" s="18"/>
      <c r="C109" s="19"/>
      <c r="D109" s="19"/>
      <c r="E109" s="20"/>
      <c r="F109" s="22"/>
      <c r="G109" s="22"/>
      <c r="H109" s="38"/>
      <c r="I109" s="38"/>
      <c r="J109" s="13"/>
      <c r="K109" s="18"/>
      <c r="L109" s="19"/>
      <c r="M109" s="19"/>
      <c r="N109" s="20"/>
      <c r="O109" s="22"/>
      <c r="P109" s="22"/>
      <c r="Q109" s="38"/>
      <c r="R109" s="38"/>
    </row>
    <row r="110" spans="1:18" x14ac:dyDescent="0.2">
      <c r="A110" s="13"/>
      <c r="B110" s="18"/>
      <c r="C110" s="19"/>
      <c r="D110" s="19"/>
      <c r="E110" s="20"/>
      <c r="F110" s="22"/>
      <c r="G110" s="22"/>
      <c r="H110" s="45"/>
      <c r="I110" s="45"/>
      <c r="J110" s="13"/>
      <c r="K110" s="18"/>
      <c r="L110" s="19"/>
      <c r="M110" s="19"/>
      <c r="N110" s="20"/>
      <c r="O110" s="22"/>
      <c r="P110" s="22"/>
      <c r="Q110" s="45"/>
      <c r="R110" s="45"/>
    </row>
    <row r="111" spans="1:18" x14ac:dyDescent="0.2">
      <c r="A111" s="13"/>
      <c r="B111" s="18"/>
      <c r="C111" s="19"/>
      <c r="D111" s="19"/>
      <c r="E111" s="20"/>
      <c r="F111" s="22"/>
      <c r="G111" s="22"/>
      <c r="H111" s="45"/>
      <c r="I111" s="45"/>
      <c r="J111" s="13"/>
      <c r="K111" s="18"/>
      <c r="L111" s="19"/>
      <c r="M111" s="19"/>
      <c r="N111" s="20"/>
      <c r="O111" s="22"/>
      <c r="P111" s="22"/>
      <c r="Q111" s="45"/>
      <c r="R111" s="45"/>
    </row>
    <row r="112" spans="1:18" ht="15" customHeight="1" x14ac:dyDescent="0.2">
      <c r="A112" s="13"/>
      <c r="B112" s="18"/>
      <c r="C112" s="19"/>
      <c r="D112" s="19"/>
      <c r="E112" s="20"/>
      <c r="F112" s="22"/>
      <c r="G112" s="22"/>
      <c r="H112" s="23"/>
      <c r="I112" s="23"/>
      <c r="J112" s="13"/>
      <c r="K112" s="18"/>
      <c r="L112" s="19"/>
      <c r="M112" s="19"/>
      <c r="N112" s="20"/>
      <c r="O112" s="22"/>
      <c r="P112" s="22"/>
      <c r="Q112" s="23"/>
      <c r="R112" s="23"/>
    </row>
    <row r="113" spans="1:18" x14ac:dyDescent="0.2">
      <c r="A113" s="13"/>
      <c r="B113" s="18"/>
      <c r="C113" s="19"/>
      <c r="D113" s="19"/>
      <c r="E113" s="20"/>
      <c r="F113" s="22"/>
      <c r="G113" s="22"/>
      <c r="H113" s="23"/>
      <c r="I113" s="23"/>
      <c r="J113" s="13"/>
      <c r="K113" s="18"/>
      <c r="L113" s="19"/>
      <c r="M113" s="19"/>
      <c r="N113" s="20"/>
      <c r="O113" s="22"/>
      <c r="P113" s="22"/>
      <c r="Q113" s="23"/>
      <c r="R113" s="23"/>
    </row>
    <row r="114" spans="1:18" x14ac:dyDescent="0.2">
      <c r="A114" s="13"/>
      <c r="B114" s="18"/>
      <c r="C114" s="19"/>
      <c r="D114" s="19"/>
      <c r="E114" s="20"/>
      <c r="F114" s="22"/>
      <c r="G114" s="22"/>
      <c r="H114" s="23"/>
      <c r="I114" s="23"/>
      <c r="J114" s="13"/>
      <c r="K114" s="18"/>
      <c r="L114" s="19"/>
      <c r="M114" s="19"/>
      <c r="N114" s="20"/>
      <c r="O114" s="22"/>
      <c r="P114" s="22"/>
      <c r="Q114" s="23"/>
      <c r="R114" s="23"/>
    </row>
    <row r="115" spans="1:18" x14ac:dyDescent="0.2">
      <c r="A115" s="13"/>
      <c r="B115" s="18"/>
      <c r="C115" s="19"/>
      <c r="D115" s="19"/>
      <c r="E115" s="20"/>
      <c r="F115" s="22"/>
      <c r="G115" s="22"/>
      <c r="H115" s="23"/>
      <c r="I115" s="23"/>
      <c r="J115" s="13"/>
      <c r="K115" s="18"/>
      <c r="L115" s="19"/>
      <c r="M115" s="19"/>
      <c r="N115" s="20"/>
      <c r="O115" s="22"/>
      <c r="P115" s="22"/>
      <c r="Q115" s="23"/>
      <c r="R115" s="23"/>
    </row>
    <row r="116" spans="1:18" x14ac:dyDescent="0.2">
      <c r="A116" s="13"/>
      <c r="B116" s="18"/>
      <c r="C116" s="19"/>
      <c r="D116" s="19"/>
      <c r="E116" s="20"/>
      <c r="F116" s="22"/>
      <c r="G116" s="22"/>
      <c r="H116" s="23"/>
      <c r="I116" s="23"/>
      <c r="J116" s="13"/>
      <c r="K116" s="18"/>
      <c r="L116" s="19"/>
      <c r="M116" s="19"/>
      <c r="N116" s="20"/>
      <c r="O116" s="22"/>
      <c r="P116" s="22"/>
      <c r="Q116" s="23"/>
      <c r="R116" s="23"/>
    </row>
    <row r="117" spans="1:18" x14ac:dyDescent="0.2">
      <c r="A117" s="13"/>
      <c r="B117" s="18"/>
      <c r="C117" s="19"/>
      <c r="D117" s="19"/>
      <c r="E117" s="20"/>
      <c r="F117" s="22"/>
      <c r="G117" s="22"/>
      <c r="H117" s="23"/>
      <c r="I117" s="23"/>
      <c r="J117" s="13"/>
      <c r="K117" s="18"/>
      <c r="L117" s="19"/>
      <c r="M117" s="19"/>
      <c r="N117" s="20"/>
      <c r="O117" s="22"/>
      <c r="P117" s="22"/>
      <c r="Q117" s="23"/>
      <c r="R117" s="23"/>
    </row>
    <row r="118" spans="1:18" x14ac:dyDescent="0.2">
      <c r="A118" s="13"/>
      <c r="B118" s="18"/>
      <c r="C118" s="19"/>
      <c r="D118" s="19"/>
      <c r="E118" s="20"/>
      <c r="F118" s="22"/>
      <c r="G118" s="36"/>
      <c r="H118" s="37"/>
      <c r="I118" s="37"/>
      <c r="J118" s="13"/>
      <c r="K118" s="18"/>
      <c r="L118" s="19"/>
      <c r="M118" s="19"/>
      <c r="N118" s="20"/>
      <c r="O118" s="22"/>
      <c r="P118" s="36"/>
      <c r="Q118" s="37"/>
      <c r="R118" s="37"/>
    </row>
    <row r="119" spans="1:18" x14ac:dyDescent="0.2">
      <c r="A119" s="13"/>
      <c r="B119" s="248" t="s">
        <v>42</v>
      </c>
      <c r="C119" s="249"/>
      <c r="D119" s="249"/>
      <c r="E119" s="250"/>
      <c r="F119" s="46"/>
      <c r="G119" s="46"/>
      <c r="H119" s="47"/>
      <c r="I119" s="47">
        <f>SUM(I106:I118)</f>
        <v>667</v>
      </c>
      <c r="J119" s="13"/>
      <c r="K119" s="248" t="s">
        <v>42</v>
      </c>
      <c r="L119" s="249"/>
      <c r="M119" s="249"/>
      <c r="N119" s="250"/>
      <c r="O119" s="46"/>
      <c r="P119" s="46"/>
      <c r="Q119" s="47"/>
      <c r="R119" s="47">
        <f>SUM(R106:R118)</f>
        <v>1407.5</v>
      </c>
    </row>
    <row r="120" spans="1:18" x14ac:dyDescent="0.2">
      <c r="A120" s="12" t="s">
        <v>43</v>
      </c>
      <c r="B120" s="48" t="s">
        <v>44</v>
      </c>
      <c r="C120" s="43"/>
      <c r="D120" s="43"/>
      <c r="E120" s="39"/>
      <c r="F120" s="49"/>
      <c r="G120" s="49"/>
      <c r="H120" s="50"/>
      <c r="I120" s="51">
        <f>SUM(I101+I119)</f>
        <v>787.24024999999995</v>
      </c>
      <c r="J120" s="12" t="s">
        <v>43</v>
      </c>
      <c r="K120" s="48" t="s">
        <v>44</v>
      </c>
      <c r="L120" s="43"/>
      <c r="M120" s="43"/>
      <c r="N120" s="39"/>
      <c r="O120" s="49"/>
      <c r="P120" s="49"/>
      <c r="Q120" s="50"/>
      <c r="R120" s="51">
        <f>SUM(R101+R119)</f>
        <v>1746.8746666666666</v>
      </c>
    </row>
    <row r="121" spans="1:18" x14ac:dyDescent="0.2">
      <c r="A121" s="13" t="s">
        <v>45</v>
      </c>
      <c r="B121" s="48" t="s">
        <v>46</v>
      </c>
      <c r="C121" s="43"/>
      <c r="D121" s="43"/>
      <c r="E121" s="39"/>
      <c r="F121" s="49"/>
      <c r="G121" s="52">
        <v>0.09</v>
      </c>
      <c r="H121" s="53" t="s">
        <v>47</v>
      </c>
      <c r="I121" s="51">
        <f>G121*I120</f>
        <v>70.851622499999991</v>
      </c>
      <c r="J121" s="13" t="s">
        <v>45</v>
      </c>
      <c r="K121" s="48" t="s">
        <v>46</v>
      </c>
      <c r="L121" s="43"/>
      <c r="M121" s="43"/>
      <c r="N121" s="39"/>
      <c r="O121" s="49"/>
      <c r="P121" s="52">
        <v>0.09</v>
      </c>
      <c r="Q121" s="53" t="s">
        <v>47</v>
      </c>
      <c r="R121" s="51">
        <f>P121*R120</f>
        <v>157.21871999999999</v>
      </c>
    </row>
    <row r="122" spans="1:18" x14ac:dyDescent="0.2">
      <c r="A122" s="13" t="s">
        <v>48</v>
      </c>
      <c r="B122" s="48" t="s">
        <v>49</v>
      </c>
      <c r="C122" s="43"/>
      <c r="D122" s="43"/>
      <c r="E122" s="39"/>
      <c r="F122" s="49"/>
      <c r="G122" s="52">
        <v>0.08</v>
      </c>
      <c r="H122" s="53" t="s">
        <v>47</v>
      </c>
      <c r="I122" s="51">
        <f>G122*I120</f>
        <v>62.979219999999998</v>
      </c>
      <c r="J122" s="13" t="s">
        <v>48</v>
      </c>
      <c r="K122" s="48" t="s">
        <v>49</v>
      </c>
      <c r="L122" s="43"/>
      <c r="M122" s="43"/>
      <c r="N122" s="39"/>
      <c r="O122" s="49"/>
      <c r="P122" s="52">
        <v>0.08</v>
      </c>
      <c r="Q122" s="53" t="s">
        <v>47</v>
      </c>
      <c r="R122" s="51">
        <f>P122*R120</f>
        <v>139.74997333333334</v>
      </c>
    </row>
    <row r="123" spans="1:18" x14ac:dyDescent="0.2">
      <c r="A123" s="13" t="s">
        <v>50</v>
      </c>
      <c r="B123" s="48" t="s">
        <v>51</v>
      </c>
      <c r="C123" s="43"/>
      <c r="D123" s="43"/>
      <c r="E123" s="39"/>
      <c r="F123" s="49"/>
      <c r="G123" s="52">
        <f>5/100</f>
        <v>0.05</v>
      </c>
      <c r="H123" s="53" t="s">
        <v>52</v>
      </c>
      <c r="I123" s="51">
        <f>G123*(I120+I121+I122)</f>
        <v>46.053554624999997</v>
      </c>
      <c r="J123" s="13" t="s">
        <v>50</v>
      </c>
      <c r="K123" s="48" t="s">
        <v>51</v>
      </c>
      <c r="L123" s="43"/>
      <c r="M123" s="43"/>
      <c r="N123" s="39"/>
      <c r="O123" s="49"/>
      <c r="P123" s="52">
        <f>5/100</f>
        <v>0.05</v>
      </c>
      <c r="Q123" s="53" t="s">
        <v>52</v>
      </c>
      <c r="R123" s="51">
        <f>P123*(R120+R121+R122)</f>
        <v>102.19216800000001</v>
      </c>
    </row>
    <row r="124" spans="1:18" x14ac:dyDescent="0.2">
      <c r="A124" s="54" t="s">
        <v>53</v>
      </c>
      <c r="B124" s="48" t="s">
        <v>54</v>
      </c>
      <c r="C124" s="43"/>
      <c r="D124" s="43"/>
      <c r="E124" s="39"/>
      <c r="F124" s="49"/>
      <c r="G124" s="49"/>
      <c r="H124" s="55" t="s">
        <v>55</v>
      </c>
      <c r="I124" s="51">
        <f>SUM(I120+I121+I122+I123)</f>
        <v>967.1246471249998</v>
      </c>
      <c r="J124" s="54" t="s">
        <v>53</v>
      </c>
      <c r="K124" s="48" t="s">
        <v>54</v>
      </c>
      <c r="L124" s="43"/>
      <c r="M124" s="43"/>
      <c r="N124" s="39"/>
      <c r="O124" s="49"/>
      <c r="P124" s="49"/>
      <c r="Q124" s="55" t="s">
        <v>55</v>
      </c>
      <c r="R124" s="51">
        <f>SUM(R120+R121+R122+R123)</f>
        <v>2146.0355279999999</v>
      </c>
    </row>
    <row r="125" spans="1:18" s="1" customFormat="1" x14ac:dyDescent="0.2">
      <c r="A125" s="236" t="s">
        <v>0</v>
      </c>
      <c r="B125" s="236"/>
      <c r="C125" s="236"/>
      <c r="D125" s="236"/>
      <c r="E125" s="236"/>
      <c r="F125" s="236"/>
      <c r="G125" s="236"/>
      <c r="H125" s="236"/>
      <c r="I125" s="236"/>
      <c r="J125" s="236" t="s">
        <v>0</v>
      </c>
      <c r="K125" s="236"/>
      <c r="L125" s="236"/>
      <c r="M125" s="236"/>
      <c r="N125" s="236"/>
      <c r="O125" s="236"/>
      <c r="P125" s="236"/>
      <c r="Q125" s="236"/>
      <c r="R125" s="236"/>
    </row>
    <row r="127" spans="1:18" x14ac:dyDescent="0.2">
      <c r="A127" s="2" t="s">
        <v>1</v>
      </c>
      <c r="C127" s="4" t="s">
        <v>2</v>
      </c>
      <c r="D127" s="5">
        <v>201</v>
      </c>
      <c r="E127" s="237" t="s">
        <v>235</v>
      </c>
      <c r="F127" s="237"/>
      <c r="G127" s="237"/>
      <c r="H127" s="237"/>
      <c r="J127" s="2" t="s">
        <v>1</v>
      </c>
      <c r="L127" s="4" t="s">
        <v>2</v>
      </c>
      <c r="M127" s="5">
        <v>205</v>
      </c>
      <c r="N127" s="237" t="s">
        <v>236</v>
      </c>
      <c r="O127" s="237"/>
      <c r="P127" s="237"/>
      <c r="Q127" s="237"/>
    </row>
    <row r="128" spans="1:18" x14ac:dyDescent="0.2">
      <c r="A128" s="2" t="s">
        <v>7</v>
      </c>
      <c r="C128" s="4" t="s">
        <v>2</v>
      </c>
      <c r="E128" s="2" t="s">
        <v>224</v>
      </c>
      <c r="F128" s="8"/>
      <c r="G128" s="8"/>
      <c r="H128" s="8"/>
      <c r="J128" s="2" t="s">
        <v>7</v>
      </c>
      <c r="L128" s="4" t="s">
        <v>2</v>
      </c>
      <c r="N128" s="2" t="s">
        <v>9</v>
      </c>
      <c r="O128" s="8"/>
      <c r="P128" s="8"/>
      <c r="Q128" s="8"/>
    </row>
    <row r="129" spans="1:18" x14ac:dyDescent="0.2">
      <c r="A129" s="2" t="s">
        <v>10</v>
      </c>
      <c r="C129" s="4" t="s">
        <v>2</v>
      </c>
      <c r="E129" s="9">
        <f>50*1</f>
        <v>50</v>
      </c>
      <c r="F129" s="8"/>
      <c r="G129" s="8"/>
      <c r="H129" s="8"/>
      <c r="J129" s="2" t="s">
        <v>10</v>
      </c>
      <c r="L129" s="4" t="s">
        <v>2</v>
      </c>
      <c r="N129" s="9">
        <v>15</v>
      </c>
      <c r="O129" s="8"/>
      <c r="P129" s="8"/>
      <c r="Q129" s="8"/>
    </row>
    <row r="130" spans="1:18" x14ac:dyDescent="0.2">
      <c r="B130" s="8"/>
      <c r="F130" s="11"/>
      <c r="G130" s="8"/>
      <c r="H130" s="8"/>
      <c r="I130" s="8"/>
      <c r="K130" s="8"/>
      <c r="O130" s="11"/>
      <c r="P130" s="8"/>
      <c r="Q130" s="8"/>
      <c r="R130" s="8"/>
    </row>
    <row r="131" spans="1:18" x14ac:dyDescent="0.2">
      <c r="A131" s="12"/>
      <c r="B131" s="238" t="s">
        <v>11</v>
      </c>
      <c r="C131" s="239"/>
      <c r="D131" s="239"/>
      <c r="E131" s="240"/>
      <c r="F131" s="244" t="s">
        <v>12</v>
      </c>
      <c r="G131" s="244" t="s">
        <v>13</v>
      </c>
      <c r="H131" s="244" t="s">
        <v>14</v>
      </c>
      <c r="I131" s="246" t="s">
        <v>15</v>
      </c>
      <c r="J131" s="12"/>
      <c r="K131" s="238" t="s">
        <v>11</v>
      </c>
      <c r="L131" s="239"/>
      <c r="M131" s="239"/>
      <c r="N131" s="240"/>
      <c r="O131" s="244" t="s">
        <v>12</v>
      </c>
      <c r="P131" s="244" t="s">
        <v>13</v>
      </c>
      <c r="Q131" s="244" t="s">
        <v>14</v>
      </c>
      <c r="R131" s="246" t="s">
        <v>15</v>
      </c>
    </row>
    <row r="132" spans="1:18" x14ac:dyDescent="0.2">
      <c r="A132" s="13"/>
      <c r="B132" s="241"/>
      <c r="C132" s="242"/>
      <c r="D132" s="242"/>
      <c r="E132" s="243"/>
      <c r="F132" s="245"/>
      <c r="G132" s="245"/>
      <c r="H132" s="245"/>
      <c r="I132" s="247"/>
      <c r="J132" s="13"/>
      <c r="K132" s="241"/>
      <c r="L132" s="242"/>
      <c r="M132" s="242"/>
      <c r="N132" s="243"/>
      <c r="O132" s="245"/>
      <c r="P132" s="245"/>
      <c r="Q132" s="245"/>
      <c r="R132" s="247"/>
    </row>
    <row r="133" spans="1:18" x14ac:dyDescent="0.2">
      <c r="A133" s="13" t="s">
        <v>16</v>
      </c>
      <c r="B133" s="14" t="s">
        <v>17</v>
      </c>
      <c r="C133" s="15"/>
      <c r="D133" s="15"/>
      <c r="E133" s="16"/>
      <c r="F133" s="17"/>
      <c r="G133" s="17"/>
      <c r="H133" s="17"/>
      <c r="I133" s="17"/>
      <c r="J133" s="13" t="s">
        <v>16</v>
      </c>
      <c r="K133" s="14" t="s">
        <v>17</v>
      </c>
      <c r="L133" s="15"/>
      <c r="M133" s="15"/>
      <c r="N133" s="16"/>
      <c r="O133" s="17"/>
      <c r="P133" s="17"/>
      <c r="Q133" s="17"/>
      <c r="R133" s="17"/>
    </row>
    <row r="134" spans="1:18" x14ac:dyDescent="0.2">
      <c r="A134" s="13"/>
      <c r="B134" s="18"/>
      <c r="C134" s="19"/>
      <c r="D134" s="19"/>
      <c r="E134" s="20"/>
      <c r="F134" s="21"/>
      <c r="G134" s="62"/>
      <c r="H134" s="21"/>
      <c r="I134" s="21"/>
      <c r="J134" s="13"/>
      <c r="K134" s="18"/>
      <c r="L134" s="19"/>
      <c r="M134" s="19"/>
      <c r="N134" s="20"/>
      <c r="O134" s="21"/>
      <c r="P134" s="22"/>
      <c r="Q134" s="21"/>
      <c r="R134" s="21"/>
    </row>
    <row r="135" spans="1:18" x14ac:dyDescent="0.2">
      <c r="A135" s="13"/>
      <c r="B135" s="24" t="s">
        <v>18</v>
      </c>
      <c r="C135" s="25"/>
      <c r="D135" s="25"/>
      <c r="E135" s="26"/>
      <c r="F135" s="22">
        <v>1</v>
      </c>
      <c r="G135" s="62">
        <v>1</v>
      </c>
      <c r="H135" s="23">
        <v>69.42</v>
      </c>
      <c r="I135" s="23">
        <f>G135*H135*F135</f>
        <v>69.42</v>
      </c>
      <c r="J135" s="13"/>
      <c r="K135" s="24" t="s">
        <v>18</v>
      </c>
      <c r="L135" s="25"/>
      <c r="M135" s="25"/>
      <c r="N135" s="26"/>
      <c r="O135" s="22">
        <v>1</v>
      </c>
      <c r="P135" s="62">
        <v>1</v>
      </c>
      <c r="Q135" s="23">
        <v>69.42</v>
      </c>
      <c r="R135" s="23">
        <f>O135*P135*Q135</f>
        <v>69.42</v>
      </c>
    </row>
    <row r="136" spans="1:18" x14ac:dyDescent="0.2">
      <c r="A136" s="13"/>
      <c r="B136" s="24" t="s">
        <v>1179</v>
      </c>
      <c r="C136" s="25"/>
      <c r="D136" s="25"/>
      <c r="E136" s="26"/>
      <c r="F136" s="22">
        <v>2</v>
      </c>
      <c r="G136" s="62">
        <v>1</v>
      </c>
      <c r="H136" s="23">
        <v>38.97</v>
      </c>
      <c r="I136" s="23">
        <f>G136*H136*F136</f>
        <v>77.94</v>
      </c>
      <c r="J136" s="13"/>
      <c r="K136" s="24" t="s">
        <v>1179</v>
      </c>
      <c r="L136" s="25"/>
      <c r="M136" s="25"/>
      <c r="N136" s="26"/>
      <c r="O136" s="22">
        <v>10</v>
      </c>
      <c r="P136" s="62">
        <v>1</v>
      </c>
      <c r="Q136" s="23">
        <v>38.97</v>
      </c>
      <c r="R136" s="23">
        <f>O136*P136*Q136</f>
        <v>389.7</v>
      </c>
    </row>
    <row r="137" spans="1:18" x14ac:dyDescent="0.2">
      <c r="A137" s="13"/>
      <c r="B137" s="27"/>
      <c r="C137" s="19"/>
      <c r="D137" s="19"/>
      <c r="E137" s="20"/>
      <c r="F137" s="22"/>
      <c r="G137" s="22"/>
      <c r="H137" s="28"/>
      <c r="I137" s="23"/>
      <c r="J137" s="13"/>
      <c r="K137" s="27"/>
      <c r="L137" s="19"/>
      <c r="M137" s="19"/>
      <c r="N137" s="20"/>
      <c r="O137" s="22"/>
      <c r="P137" s="22"/>
      <c r="Q137" s="28"/>
      <c r="R137" s="23"/>
    </row>
    <row r="138" spans="1:18" ht="15" customHeight="1" x14ac:dyDescent="0.2">
      <c r="A138" s="13"/>
      <c r="B138" s="27"/>
      <c r="C138" s="19"/>
      <c r="D138" s="19"/>
      <c r="E138" s="20"/>
      <c r="F138" s="22"/>
      <c r="G138" s="22"/>
      <c r="H138" s="29"/>
      <c r="I138" s="30"/>
      <c r="J138" s="13"/>
      <c r="K138" s="27"/>
      <c r="L138" s="19"/>
      <c r="M138" s="19"/>
      <c r="N138" s="20"/>
      <c r="O138" s="22"/>
      <c r="P138" s="22"/>
      <c r="Q138" s="29"/>
      <c r="R138" s="30"/>
    </row>
    <row r="139" spans="1:18" x14ac:dyDescent="0.2">
      <c r="A139" s="13"/>
      <c r="B139" s="27"/>
      <c r="C139" s="19"/>
      <c r="D139" s="19"/>
      <c r="E139" s="20"/>
      <c r="F139" s="22"/>
      <c r="G139" s="22"/>
      <c r="H139" s="29"/>
      <c r="I139" s="30"/>
      <c r="J139" s="13"/>
      <c r="K139" s="27"/>
      <c r="L139" s="19"/>
      <c r="M139" s="19"/>
      <c r="N139" s="20"/>
      <c r="O139" s="22"/>
      <c r="P139" s="22"/>
      <c r="Q139" s="29"/>
      <c r="R139" s="30"/>
    </row>
    <row r="140" spans="1:18" x14ac:dyDescent="0.2">
      <c r="A140" s="13"/>
      <c r="B140" s="18"/>
      <c r="C140" s="19"/>
      <c r="D140" s="19"/>
      <c r="E140" s="20"/>
      <c r="F140" s="22"/>
      <c r="G140" s="22"/>
      <c r="H140" s="28"/>
      <c r="I140" s="23"/>
      <c r="J140" s="13"/>
      <c r="K140" s="18"/>
      <c r="L140" s="19"/>
      <c r="M140" s="19"/>
      <c r="N140" s="20"/>
      <c r="O140" s="22"/>
      <c r="P140" s="22"/>
      <c r="Q140" s="28"/>
      <c r="R140" s="23"/>
    </row>
    <row r="141" spans="1:18" x14ac:dyDescent="0.2">
      <c r="A141" s="13"/>
      <c r="B141" s="18"/>
      <c r="C141" s="19"/>
      <c r="D141" s="19"/>
      <c r="E141" s="20"/>
      <c r="F141" s="22"/>
      <c r="G141" s="22"/>
      <c r="H141" s="23"/>
      <c r="I141" s="23"/>
      <c r="J141" s="13"/>
      <c r="K141" s="18"/>
      <c r="L141" s="19"/>
      <c r="M141" s="19"/>
      <c r="N141" s="20"/>
      <c r="O141" s="22"/>
      <c r="P141" s="22"/>
      <c r="Q141" s="23"/>
      <c r="R141" s="23"/>
    </row>
    <row r="142" spans="1:18" x14ac:dyDescent="0.2">
      <c r="A142" s="13"/>
      <c r="B142" s="248" t="s">
        <v>20</v>
      </c>
      <c r="C142" s="249"/>
      <c r="D142" s="249"/>
      <c r="E142" s="250"/>
      <c r="F142" s="31"/>
      <c r="G142" s="31"/>
      <c r="H142" s="32"/>
      <c r="I142" s="32">
        <f>SUM(I135:I141)</f>
        <v>147.36000000000001</v>
      </c>
      <c r="J142" s="13"/>
      <c r="K142" s="248" t="s">
        <v>20</v>
      </c>
      <c r="L142" s="249"/>
      <c r="M142" s="249"/>
      <c r="N142" s="250"/>
      <c r="O142" s="31"/>
      <c r="P142" s="31"/>
      <c r="Q142" s="32"/>
      <c r="R142" s="32">
        <f>SUM(R135:R141)</f>
        <v>459.12</v>
      </c>
    </row>
    <row r="143" spans="1:18" x14ac:dyDescent="0.2">
      <c r="A143" s="12"/>
      <c r="B143" s="251" t="s">
        <v>21</v>
      </c>
      <c r="C143" s="252"/>
      <c r="D143" s="252"/>
      <c r="E143" s="253"/>
      <c r="F143" s="244" t="s">
        <v>22</v>
      </c>
      <c r="G143" s="244" t="s">
        <v>13</v>
      </c>
      <c r="H143" s="244" t="s">
        <v>14</v>
      </c>
      <c r="I143" s="246" t="s">
        <v>15</v>
      </c>
      <c r="J143" s="12"/>
      <c r="K143" s="251" t="s">
        <v>21</v>
      </c>
      <c r="L143" s="252"/>
      <c r="M143" s="252"/>
      <c r="N143" s="253"/>
      <c r="O143" s="244" t="s">
        <v>22</v>
      </c>
      <c r="P143" s="244" t="s">
        <v>13</v>
      </c>
      <c r="Q143" s="244" t="s">
        <v>14</v>
      </c>
      <c r="R143" s="246" t="s">
        <v>15</v>
      </c>
    </row>
    <row r="144" spans="1:18" x14ac:dyDescent="0.2">
      <c r="A144" s="13"/>
      <c r="B144" s="254"/>
      <c r="C144" s="255"/>
      <c r="D144" s="255"/>
      <c r="E144" s="256"/>
      <c r="F144" s="245"/>
      <c r="G144" s="245"/>
      <c r="H144" s="245"/>
      <c r="I144" s="247"/>
      <c r="J144" s="13"/>
      <c r="K144" s="254"/>
      <c r="L144" s="255"/>
      <c r="M144" s="255"/>
      <c r="N144" s="256"/>
      <c r="O144" s="245"/>
      <c r="P144" s="245"/>
      <c r="Q144" s="245"/>
      <c r="R144" s="247"/>
    </row>
    <row r="145" spans="1:18" x14ac:dyDescent="0.2">
      <c r="A145" s="13" t="s">
        <v>23</v>
      </c>
      <c r="B145" s="33" t="s">
        <v>24</v>
      </c>
      <c r="C145" s="15"/>
      <c r="D145" s="15"/>
      <c r="E145" s="16"/>
      <c r="F145" s="34"/>
      <c r="G145" s="34"/>
      <c r="H145" s="35"/>
      <c r="I145" s="35"/>
      <c r="J145" s="13" t="s">
        <v>23</v>
      </c>
      <c r="K145" s="33" t="s">
        <v>24</v>
      </c>
      <c r="L145" s="15"/>
      <c r="M145" s="15"/>
      <c r="N145" s="16"/>
      <c r="O145" s="34"/>
      <c r="P145" s="34"/>
      <c r="Q145" s="35"/>
      <c r="R145" s="35"/>
    </row>
    <row r="146" spans="1:18" x14ac:dyDescent="0.2">
      <c r="A146" s="13"/>
      <c r="B146" s="18"/>
      <c r="C146" s="19"/>
      <c r="D146" s="19"/>
      <c r="E146" s="20"/>
      <c r="F146" s="22"/>
      <c r="G146" s="22"/>
      <c r="H146" s="23"/>
      <c r="I146" s="23"/>
      <c r="J146" s="13"/>
      <c r="K146" s="18"/>
      <c r="L146" s="19"/>
      <c r="M146" s="19"/>
      <c r="N146" s="20"/>
      <c r="O146" s="22"/>
      <c r="P146" s="22"/>
      <c r="Q146" s="23"/>
      <c r="R146" s="23"/>
    </row>
    <row r="147" spans="1:18" ht="17.25" customHeight="1" x14ac:dyDescent="0.2">
      <c r="A147" s="13"/>
      <c r="B147" s="18" t="s">
        <v>1172</v>
      </c>
      <c r="C147" s="19"/>
      <c r="D147" s="19"/>
      <c r="E147" s="20"/>
      <c r="F147" s="22">
        <v>1</v>
      </c>
      <c r="G147" s="23">
        <v>1</v>
      </c>
      <c r="H147" s="37">
        <v>2173</v>
      </c>
      <c r="I147" s="37">
        <f>G147*H147*F147</f>
        <v>2173</v>
      </c>
      <c r="J147" s="13"/>
      <c r="K147" s="18" t="s">
        <v>1172</v>
      </c>
      <c r="L147" s="19"/>
      <c r="M147" s="19"/>
      <c r="N147" s="20"/>
      <c r="O147" s="22">
        <v>1</v>
      </c>
      <c r="P147" s="23">
        <v>1</v>
      </c>
      <c r="Q147" s="37">
        <v>2173</v>
      </c>
      <c r="R147" s="23">
        <f>O147*P147*Q147</f>
        <v>2173</v>
      </c>
    </row>
    <row r="148" spans="1:18" ht="17.25" customHeight="1" x14ac:dyDescent="0.2">
      <c r="A148" s="13"/>
      <c r="B148" s="18" t="s">
        <v>1173</v>
      </c>
      <c r="C148" s="19"/>
      <c r="D148" s="19"/>
      <c r="E148" s="20"/>
      <c r="F148" s="22">
        <v>1</v>
      </c>
      <c r="G148" s="23">
        <v>1</v>
      </c>
      <c r="H148" s="37">
        <v>1846</v>
      </c>
      <c r="I148" s="37">
        <f>G148*H148*F148</f>
        <v>1846</v>
      </c>
      <c r="J148" s="13"/>
      <c r="K148" s="18" t="s">
        <v>1173</v>
      </c>
      <c r="L148" s="19"/>
      <c r="M148" s="19"/>
      <c r="N148" s="20"/>
      <c r="O148" s="22">
        <v>1</v>
      </c>
      <c r="P148" s="23">
        <v>1</v>
      </c>
      <c r="Q148" s="37">
        <v>1846</v>
      </c>
      <c r="R148" s="23">
        <f>O148*P148*Q148</f>
        <v>1846</v>
      </c>
    </row>
    <row r="149" spans="1:18" x14ac:dyDescent="0.2">
      <c r="A149" s="13"/>
      <c r="B149" s="18" t="s">
        <v>1174</v>
      </c>
      <c r="C149" s="19"/>
      <c r="D149" s="19"/>
      <c r="E149" s="20"/>
      <c r="F149" s="22">
        <v>1</v>
      </c>
      <c r="G149" s="23">
        <v>0.25</v>
      </c>
      <c r="H149" s="37">
        <v>2450</v>
      </c>
      <c r="I149" s="37">
        <f>G149*H149*F149</f>
        <v>612.5</v>
      </c>
      <c r="J149" s="13"/>
      <c r="K149" s="18" t="s">
        <v>1174</v>
      </c>
      <c r="L149" s="19"/>
      <c r="M149" s="19"/>
      <c r="N149" s="20"/>
      <c r="O149" s="22">
        <v>1</v>
      </c>
      <c r="P149" s="23">
        <v>0.25</v>
      </c>
      <c r="Q149" s="37">
        <v>2450</v>
      </c>
      <c r="R149" s="23">
        <f>O149*P149*Q149</f>
        <v>612.5</v>
      </c>
    </row>
    <row r="150" spans="1:18" x14ac:dyDescent="0.2">
      <c r="A150" s="13"/>
      <c r="B150" s="18"/>
      <c r="F150" s="22"/>
      <c r="G150" s="36"/>
      <c r="H150" s="37"/>
      <c r="I150" s="37"/>
      <c r="J150" s="13"/>
      <c r="K150" s="18" t="s">
        <v>1202</v>
      </c>
      <c r="L150" s="19"/>
      <c r="M150" s="19"/>
      <c r="N150" s="20"/>
      <c r="O150" s="22">
        <v>1</v>
      </c>
      <c r="P150" s="23">
        <v>1</v>
      </c>
      <c r="Q150" s="37">
        <v>936</v>
      </c>
      <c r="R150" s="23">
        <f>O150*P150*Q150</f>
        <v>936</v>
      </c>
    </row>
    <row r="151" spans="1:18" x14ac:dyDescent="0.2">
      <c r="A151" s="13"/>
      <c r="B151" s="18"/>
      <c r="C151" s="19"/>
      <c r="D151" s="19"/>
      <c r="E151" s="20"/>
      <c r="F151" s="22"/>
      <c r="G151" s="36"/>
      <c r="H151" s="37"/>
      <c r="I151" s="37"/>
      <c r="J151" s="13"/>
      <c r="K151" s="18"/>
      <c r="L151" s="19"/>
      <c r="M151" s="19"/>
      <c r="N151" s="20"/>
      <c r="O151" s="22"/>
      <c r="P151" s="36"/>
      <c r="Q151" s="37"/>
      <c r="R151" s="23"/>
    </row>
    <row r="152" spans="1:18" x14ac:dyDescent="0.2">
      <c r="A152" s="13"/>
      <c r="B152" s="18"/>
      <c r="C152" s="19"/>
      <c r="D152" s="19"/>
      <c r="E152" s="20"/>
      <c r="F152" s="22"/>
      <c r="G152" s="36"/>
      <c r="H152" s="38"/>
      <c r="I152" s="38"/>
      <c r="J152" s="13"/>
      <c r="K152" s="18"/>
      <c r="L152" s="19"/>
      <c r="M152" s="19"/>
      <c r="N152" s="20"/>
      <c r="O152" s="22"/>
      <c r="P152" s="36"/>
      <c r="Q152" s="38"/>
      <c r="R152" s="38"/>
    </row>
    <row r="153" spans="1:18" x14ac:dyDescent="0.2">
      <c r="A153" s="13"/>
      <c r="B153" s="18"/>
      <c r="C153" s="19"/>
      <c r="D153" s="19"/>
      <c r="E153" s="20"/>
      <c r="F153" s="22"/>
      <c r="G153" s="36"/>
      <c r="H153" s="38"/>
      <c r="I153" s="38"/>
      <c r="J153" s="13"/>
      <c r="K153" s="18"/>
      <c r="L153" s="19"/>
      <c r="M153" s="19"/>
      <c r="N153" s="20"/>
      <c r="O153" s="22"/>
      <c r="P153" s="36"/>
      <c r="Q153" s="37"/>
      <c r="R153" s="37"/>
    </row>
    <row r="154" spans="1:18" x14ac:dyDescent="0.2">
      <c r="A154" s="13"/>
      <c r="B154" s="18"/>
      <c r="C154" s="19"/>
      <c r="D154" s="19"/>
      <c r="E154" s="20"/>
      <c r="F154" s="22"/>
      <c r="G154" s="36"/>
      <c r="H154" s="38"/>
      <c r="I154" s="38"/>
      <c r="J154" s="13"/>
      <c r="K154" s="18"/>
      <c r="L154" s="19"/>
      <c r="M154" s="19"/>
      <c r="N154" s="20"/>
      <c r="O154" s="22"/>
      <c r="P154" s="36"/>
      <c r="Q154" s="38"/>
      <c r="R154" s="38"/>
    </row>
    <row r="155" spans="1:18" x14ac:dyDescent="0.2">
      <c r="A155" s="13"/>
      <c r="B155" s="18"/>
      <c r="C155" s="19"/>
      <c r="D155" s="19"/>
      <c r="E155" s="20"/>
      <c r="F155" s="22"/>
      <c r="G155" s="36"/>
      <c r="H155" s="38"/>
      <c r="I155" s="38"/>
      <c r="J155" s="13"/>
      <c r="K155" s="18"/>
      <c r="L155" s="19"/>
      <c r="M155" s="19"/>
      <c r="N155" s="20"/>
      <c r="O155" s="22"/>
      <c r="P155" s="36"/>
      <c r="Q155" s="38"/>
      <c r="R155" s="38"/>
    </row>
    <row r="156" spans="1:18" x14ac:dyDescent="0.2">
      <c r="A156" s="13"/>
      <c r="B156" s="18"/>
      <c r="C156" s="19"/>
      <c r="D156" s="19"/>
      <c r="E156" s="20"/>
      <c r="F156" s="22"/>
      <c r="G156" s="36"/>
      <c r="H156" s="37"/>
      <c r="I156" s="37"/>
      <c r="J156" s="13"/>
      <c r="K156" s="18"/>
      <c r="L156" s="19"/>
      <c r="M156" s="19"/>
      <c r="N156" s="20"/>
      <c r="O156" s="22"/>
      <c r="P156" s="36"/>
      <c r="Q156" s="37"/>
      <c r="R156" s="37"/>
    </row>
    <row r="157" spans="1:18" x14ac:dyDescent="0.2">
      <c r="A157" s="13"/>
      <c r="B157" s="18"/>
      <c r="C157" s="19"/>
      <c r="D157" s="19"/>
      <c r="E157" s="20"/>
      <c r="F157" s="22"/>
      <c r="G157" s="36"/>
      <c r="H157" s="37"/>
      <c r="I157" s="37"/>
      <c r="J157" s="13"/>
      <c r="K157" s="18"/>
      <c r="L157" s="19"/>
      <c r="M157" s="19"/>
      <c r="N157" s="20"/>
      <c r="O157" s="22"/>
      <c r="P157" s="36"/>
      <c r="Q157" s="37"/>
      <c r="R157" s="37"/>
    </row>
    <row r="158" spans="1:18" ht="15" customHeight="1" x14ac:dyDescent="0.2">
      <c r="A158" s="13"/>
      <c r="B158" s="18"/>
      <c r="C158" s="19"/>
      <c r="D158" s="19"/>
      <c r="E158" s="20"/>
      <c r="F158" s="22"/>
      <c r="G158" s="36"/>
      <c r="H158" s="37"/>
      <c r="I158" s="37"/>
      <c r="J158" s="13"/>
      <c r="K158" s="18"/>
      <c r="L158" s="19"/>
      <c r="M158" s="19"/>
      <c r="N158" s="20"/>
      <c r="O158" s="22"/>
      <c r="P158" s="36"/>
      <c r="Q158" s="37"/>
      <c r="R158" s="37"/>
    </row>
    <row r="159" spans="1:18" x14ac:dyDescent="0.2">
      <c r="A159" s="13"/>
      <c r="B159" s="18"/>
      <c r="C159" s="19"/>
      <c r="D159" s="19"/>
      <c r="E159" s="20"/>
      <c r="F159" s="22"/>
      <c r="G159" s="22"/>
      <c r="H159" s="23"/>
      <c r="I159" s="23"/>
      <c r="J159" s="13"/>
      <c r="K159" s="18"/>
      <c r="L159" s="19"/>
      <c r="M159" s="19"/>
      <c r="N159" s="20"/>
      <c r="O159" s="22"/>
      <c r="P159" s="22"/>
      <c r="Q159" s="23"/>
      <c r="R159" s="23"/>
    </row>
    <row r="160" spans="1:18" x14ac:dyDescent="0.2">
      <c r="A160" s="13"/>
      <c r="B160" s="248" t="s">
        <v>30</v>
      </c>
      <c r="C160" s="249"/>
      <c r="D160" s="249"/>
      <c r="E160" s="250"/>
      <c r="F160" s="22"/>
      <c r="G160" s="22"/>
      <c r="H160" s="23"/>
      <c r="I160" s="23">
        <f>SUM(I147:I159)</f>
        <v>4631.5</v>
      </c>
      <c r="J160" s="13"/>
      <c r="K160" s="248" t="s">
        <v>30</v>
      </c>
      <c r="L160" s="249"/>
      <c r="M160" s="249"/>
      <c r="N160" s="250"/>
      <c r="O160" s="22"/>
      <c r="P160" s="22"/>
      <c r="Q160" s="23"/>
      <c r="R160" s="23">
        <f>SUM(R147:R159)</f>
        <v>5567.5</v>
      </c>
    </row>
    <row r="161" spans="1:18" x14ac:dyDescent="0.2">
      <c r="A161" s="12" t="s">
        <v>31</v>
      </c>
      <c r="B161" s="260" t="s">
        <v>32</v>
      </c>
      <c r="C161" s="261"/>
      <c r="D161" s="261"/>
      <c r="E161" s="261"/>
      <c r="F161" s="39"/>
      <c r="G161" s="39"/>
      <c r="H161" s="40"/>
      <c r="I161" s="41">
        <f>SUM(I160+I142)</f>
        <v>4778.8599999999997</v>
      </c>
      <c r="J161" s="12" t="s">
        <v>31</v>
      </c>
      <c r="K161" s="260" t="s">
        <v>32</v>
      </c>
      <c r="L161" s="261"/>
      <c r="M161" s="261"/>
      <c r="N161" s="261"/>
      <c r="O161" s="39"/>
      <c r="P161" s="39"/>
      <c r="Q161" s="40"/>
      <c r="R161" s="41">
        <f>SUM(R160+R142)</f>
        <v>6026.62</v>
      </c>
    </row>
    <row r="162" spans="1:18" x14ac:dyDescent="0.2">
      <c r="A162" s="13" t="s">
        <v>33</v>
      </c>
      <c r="B162" s="264">
        <f>E129</f>
        <v>50</v>
      </c>
      <c r="C162" s="265"/>
      <c r="D162" s="265"/>
      <c r="E162" s="265"/>
      <c r="F162" s="265"/>
      <c r="G162" s="265"/>
      <c r="H162" s="40"/>
      <c r="I162" s="41"/>
      <c r="J162" s="13" t="s">
        <v>33</v>
      </c>
      <c r="K162" s="264">
        <f>N129</f>
        <v>15</v>
      </c>
      <c r="L162" s="265"/>
      <c r="M162" s="265"/>
      <c r="N162" s="265"/>
      <c r="O162" s="265"/>
      <c r="P162" s="265"/>
      <c r="Q162" s="40"/>
      <c r="R162" s="41"/>
    </row>
    <row r="163" spans="1:18" x14ac:dyDescent="0.2">
      <c r="A163" s="13" t="s">
        <v>34</v>
      </c>
      <c r="B163" s="42" t="s">
        <v>35</v>
      </c>
      <c r="C163" s="43"/>
      <c r="D163" s="43"/>
      <c r="E163" s="39"/>
      <c r="F163" s="44"/>
      <c r="G163" s="44"/>
      <c r="H163" s="40"/>
      <c r="I163" s="41">
        <f>I161/E129</f>
        <v>95.577199999999991</v>
      </c>
      <c r="J163" s="13" t="s">
        <v>34</v>
      </c>
      <c r="K163" s="42" t="s">
        <v>35</v>
      </c>
      <c r="L163" s="43"/>
      <c r="M163" s="43"/>
      <c r="N163" s="39"/>
      <c r="O163" s="44"/>
      <c r="P163" s="44"/>
      <c r="Q163" s="40"/>
      <c r="R163" s="41">
        <f>R161/N129</f>
        <v>401.77466666666663</v>
      </c>
    </row>
    <row r="164" spans="1:18" x14ac:dyDescent="0.2">
      <c r="A164" s="12"/>
      <c r="B164" s="251" t="s">
        <v>36</v>
      </c>
      <c r="C164" s="252"/>
      <c r="D164" s="252"/>
      <c r="E164" s="253"/>
      <c r="F164" s="244" t="s">
        <v>37</v>
      </c>
      <c r="G164" s="244" t="s">
        <v>38</v>
      </c>
      <c r="H164" s="244" t="s">
        <v>39</v>
      </c>
      <c r="I164" s="246" t="s">
        <v>15</v>
      </c>
      <c r="J164" s="12"/>
      <c r="K164" s="251" t="s">
        <v>36</v>
      </c>
      <c r="L164" s="252"/>
      <c r="M164" s="252"/>
      <c r="N164" s="253"/>
      <c r="O164" s="244" t="s">
        <v>37</v>
      </c>
      <c r="P164" s="244" t="s">
        <v>38</v>
      </c>
      <c r="Q164" s="244" t="s">
        <v>39</v>
      </c>
      <c r="R164" s="246" t="s">
        <v>15</v>
      </c>
    </row>
    <row r="165" spans="1:18" x14ac:dyDescent="0.2">
      <c r="A165" s="13"/>
      <c r="B165" s="254"/>
      <c r="C165" s="255"/>
      <c r="D165" s="255"/>
      <c r="E165" s="256"/>
      <c r="F165" s="245"/>
      <c r="G165" s="245"/>
      <c r="H165" s="245"/>
      <c r="I165" s="247"/>
      <c r="J165" s="13"/>
      <c r="K165" s="254"/>
      <c r="L165" s="255"/>
      <c r="M165" s="255"/>
      <c r="N165" s="256"/>
      <c r="O165" s="245"/>
      <c r="P165" s="245"/>
      <c r="Q165" s="245"/>
      <c r="R165" s="247"/>
    </row>
    <row r="166" spans="1:18" x14ac:dyDescent="0.2">
      <c r="A166" s="13" t="s">
        <v>40</v>
      </c>
      <c r="B166" s="18" t="s">
        <v>41</v>
      </c>
      <c r="C166" s="19"/>
      <c r="D166" s="19"/>
      <c r="E166" s="20"/>
      <c r="F166" s="22"/>
      <c r="G166" s="22"/>
      <c r="H166" s="23"/>
      <c r="I166" s="23"/>
      <c r="J166" s="13" t="s">
        <v>40</v>
      </c>
      <c r="K166" s="18" t="s">
        <v>41</v>
      </c>
      <c r="L166" s="19"/>
      <c r="M166" s="19"/>
      <c r="N166" s="20"/>
      <c r="O166" s="22"/>
      <c r="P166" s="22"/>
      <c r="Q166" s="23"/>
      <c r="R166" s="23"/>
    </row>
    <row r="167" spans="1:18" x14ac:dyDescent="0.2">
      <c r="A167" s="13"/>
      <c r="B167" s="18"/>
      <c r="C167" s="19"/>
      <c r="D167" s="19"/>
      <c r="E167" s="20"/>
      <c r="F167" s="22"/>
      <c r="G167" s="22"/>
      <c r="H167" s="23"/>
      <c r="I167" s="23"/>
      <c r="J167" s="13"/>
      <c r="K167" s="18"/>
      <c r="L167" s="19"/>
      <c r="M167" s="19"/>
      <c r="N167" s="20"/>
      <c r="O167" s="22"/>
      <c r="P167" s="22"/>
      <c r="Q167" s="23"/>
      <c r="R167" s="23"/>
    </row>
    <row r="168" spans="1:18" x14ac:dyDescent="0.2">
      <c r="A168" s="13"/>
      <c r="B168" s="18" t="s">
        <v>237</v>
      </c>
      <c r="C168" s="66"/>
      <c r="D168" s="19"/>
      <c r="E168" s="20"/>
      <c r="F168" s="22" t="s">
        <v>9</v>
      </c>
      <c r="G168" s="22">
        <v>1.1499999999999999</v>
      </c>
      <c r="H168" s="107">
        <v>650</v>
      </c>
      <c r="I168" s="23">
        <f>H168*G168</f>
        <v>747.49999999999989</v>
      </c>
      <c r="J168" s="13"/>
      <c r="K168" s="18" t="s">
        <v>238</v>
      </c>
      <c r="L168" s="66"/>
      <c r="M168" s="19"/>
      <c r="N168" s="20"/>
      <c r="O168" s="62" t="s">
        <v>239</v>
      </c>
      <c r="P168" s="62">
        <v>7.0000000000000007E-2</v>
      </c>
      <c r="Q168" s="107">
        <v>44000</v>
      </c>
      <c r="R168" s="23">
        <f>P168*Q168</f>
        <v>3080.0000000000005</v>
      </c>
    </row>
    <row r="169" spans="1:18" x14ac:dyDescent="0.2">
      <c r="A169" s="13"/>
      <c r="B169" s="18" t="s">
        <v>228</v>
      </c>
      <c r="C169" s="66"/>
      <c r="D169" s="19"/>
      <c r="E169" s="20"/>
      <c r="F169" s="22"/>
      <c r="G169" s="22"/>
      <c r="H169" s="23"/>
      <c r="I169" s="23"/>
      <c r="J169" s="13"/>
      <c r="K169" s="18" t="s">
        <v>229</v>
      </c>
      <c r="L169" s="19"/>
      <c r="M169" s="19"/>
      <c r="N169" s="20"/>
      <c r="O169" s="22" t="s">
        <v>9</v>
      </c>
      <c r="P169" s="22">
        <v>1.1499999999999999</v>
      </c>
      <c r="Q169" s="107">
        <v>650</v>
      </c>
      <c r="R169" s="23">
        <f>P169*Q169</f>
        <v>747.49999999999989</v>
      </c>
    </row>
    <row r="170" spans="1:18" x14ac:dyDescent="0.2">
      <c r="A170" s="13"/>
      <c r="B170" s="18"/>
      <c r="C170" s="19"/>
      <c r="D170" s="19"/>
      <c r="E170" s="20"/>
      <c r="F170" s="22"/>
      <c r="G170" s="22"/>
      <c r="H170" s="38"/>
      <c r="I170" s="38"/>
      <c r="J170" s="13"/>
      <c r="K170" s="18"/>
      <c r="L170" s="19"/>
      <c r="M170" s="19"/>
      <c r="N170" s="20"/>
      <c r="O170" s="22"/>
      <c r="P170" s="22"/>
      <c r="Q170" s="38"/>
      <c r="R170" s="38"/>
    </row>
    <row r="171" spans="1:18" x14ac:dyDescent="0.2">
      <c r="A171" s="13"/>
      <c r="B171" s="18"/>
      <c r="C171" s="19"/>
      <c r="D171" s="19"/>
      <c r="E171" s="20"/>
      <c r="F171" s="22"/>
      <c r="G171" s="22"/>
      <c r="H171" s="38"/>
      <c r="I171" s="38"/>
      <c r="J171" s="13"/>
      <c r="K171" s="18"/>
      <c r="L171" s="19"/>
      <c r="M171" s="19"/>
      <c r="N171" s="20"/>
      <c r="O171" s="22"/>
      <c r="P171" s="22"/>
      <c r="Q171" s="38"/>
      <c r="R171" s="38"/>
    </row>
    <row r="172" spans="1:18" x14ac:dyDescent="0.2">
      <c r="A172" s="13"/>
      <c r="B172" s="18"/>
      <c r="C172" s="19"/>
      <c r="D172" s="19"/>
      <c r="E172" s="20"/>
      <c r="F172" s="22"/>
      <c r="G172" s="22"/>
      <c r="H172" s="45"/>
      <c r="I172" s="45"/>
      <c r="J172" s="13"/>
      <c r="K172" s="18"/>
      <c r="L172" s="19"/>
      <c r="M172" s="19"/>
      <c r="N172" s="20"/>
      <c r="O172" s="22"/>
      <c r="P172" s="22"/>
      <c r="Q172" s="45"/>
      <c r="R172" s="45"/>
    </row>
    <row r="173" spans="1:18" x14ac:dyDescent="0.2">
      <c r="A173" s="13"/>
      <c r="B173" s="18"/>
      <c r="C173" s="19"/>
      <c r="D173" s="19"/>
      <c r="E173" s="20"/>
      <c r="F173" s="22"/>
      <c r="G173" s="22"/>
      <c r="H173" s="45"/>
      <c r="I173" s="45"/>
      <c r="J173" s="13"/>
      <c r="K173" s="18"/>
      <c r="L173" s="19"/>
      <c r="M173" s="19"/>
      <c r="N173" s="20"/>
      <c r="O173" s="22"/>
      <c r="P173" s="22"/>
      <c r="Q173" s="45"/>
      <c r="R173" s="45"/>
    </row>
    <row r="174" spans="1:18" ht="15" customHeight="1" x14ac:dyDescent="0.2">
      <c r="A174" s="13"/>
      <c r="B174" s="18"/>
      <c r="C174" s="19"/>
      <c r="D174" s="19"/>
      <c r="E174" s="20"/>
      <c r="F174" s="22"/>
      <c r="G174" s="22"/>
      <c r="H174" s="23"/>
      <c r="I174" s="23"/>
      <c r="J174" s="13"/>
      <c r="K174" s="18"/>
      <c r="L174" s="19"/>
      <c r="M174" s="19"/>
      <c r="N174" s="20"/>
      <c r="O174" s="22"/>
      <c r="P174" s="22"/>
      <c r="Q174" s="23"/>
      <c r="R174" s="23"/>
    </row>
    <row r="175" spans="1:18" x14ac:dyDescent="0.2">
      <c r="A175" s="13"/>
      <c r="B175" s="18"/>
      <c r="C175" s="19"/>
      <c r="D175" s="19"/>
      <c r="E175" s="20"/>
      <c r="F175" s="22"/>
      <c r="G175" s="22"/>
      <c r="H175" s="23"/>
      <c r="I175" s="23"/>
      <c r="J175" s="13"/>
      <c r="K175" s="18"/>
      <c r="L175" s="19"/>
      <c r="M175" s="19"/>
      <c r="N175" s="20"/>
      <c r="O175" s="22"/>
      <c r="P175" s="22"/>
      <c r="Q175" s="23"/>
      <c r="R175" s="23"/>
    </row>
    <row r="176" spans="1:18" x14ac:dyDescent="0.2">
      <c r="A176" s="13"/>
      <c r="B176" s="18"/>
      <c r="C176" s="19"/>
      <c r="D176" s="19"/>
      <c r="E176" s="20"/>
      <c r="F176" s="22"/>
      <c r="G176" s="22"/>
      <c r="H176" s="23"/>
      <c r="I176" s="23"/>
      <c r="J176" s="13"/>
      <c r="K176" s="18"/>
      <c r="L176" s="19"/>
      <c r="M176" s="19"/>
      <c r="N176" s="20"/>
      <c r="O176" s="22"/>
      <c r="P176" s="22"/>
      <c r="Q176" s="23"/>
      <c r="R176" s="23"/>
    </row>
    <row r="177" spans="1:18" x14ac:dyDescent="0.2">
      <c r="A177" s="13"/>
      <c r="B177" s="18"/>
      <c r="C177" s="19"/>
      <c r="D177" s="19"/>
      <c r="E177" s="20"/>
      <c r="F177" s="22"/>
      <c r="G177" s="22"/>
      <c r="H177" s="23"/>
      <c r="I177" s="23"/>
      <c r="J177" s="13"/>
      <c r="K177" s="18"/>
      <c r="L177" s="19"/>
      <c r="M177" s="19"/>
      <c r="N177" s="20"/>
      <c r="O177" s="22"/>
      <c r="P177" s="22"/>
      <c r="Q177" s="23"/>
      <c r="R177" s="23"/>
    </row>
    <row r="178" spans="1:18" x14ac:dyDescent="0.2">
      <c r="A178" s="13"/>
      <c r="B178" s="18"/>
      <c r="C178" s="19"/>
      <c r="D178" s="19"/>
      <c r="E178" s="20"/>
      <c r="F178" s="22"/>
      <c r="G178" s="22"/>
      <c r="H178" s="23"/>
      <c r="I178" s="23"/>
      <c r="J178" s="13"/>
      <c r="K178" s="18"/>
      <c r="L178" s="19"/>
      <c r="M178" s="19"/>
      <c r="N178" s="20"/>
      <c r="O178" s="22"/>
      <c r="P178" s="22"/>
      <c r="Q178" s="23"/>
      <c r="R178" s="23"/>
    </row>
    <row r="179" spans="1:18" x14ac:dyDescent="0.2">
      <c r="A179" s="13"/>
      <c r="B179" s="18"/>
      <c r="C179" s="19"/>
      <c r="D179" s="19"/>
      <c r="E179" s="20"/>
      <c r="F179" s="22"/>
      <c r="G179" s="22"/>
      <c r="H179" s="23"/>
      <c r="I179" s="23"/>
      <c r="J179" s="13"/>
      <c r="K179" s="18"/>
      <c r="L179" s="19"/>
      <c r="M179" s="19"/>
      <c r="N179" s="20"/>
      <c r="O179" s="22"/>
      <c r="P179" s="22"/>
      <c r="Q179" s="23"/>
      <c r="R179" s="23"/>
    </row>
    <row r="180" spans="1:18" x14ac:dyDescent="0.2">
      <c r="A180" s="13"/>
      <c r="B180" s="18"/>
      <c r="C180" s="19"/>
      <c r="D180" s="19"/>
      <c r="E180" s="20"/>
      <c r="F180" s="22"/>
      <c r="G180" s="36"/>
      <c r="H180" s="37"/>
      <c r="I180" s="37"/>
      <c r="J180" s="13"/>
      <c r="K180" s="18"/>
      <c r="L180" s="19"/>
      <c r="M180" s="19"/>
      <c r="N180" s="20"/>
      <c r="O180" s="22"/>
      <c r="P180" s="36"/>
      <c r="Q180" s="37"/>
      <c r="R180" s="37"/>
    </row>
    <row r="181" spans="1:18" x14ac:dyDescent="0.2">
      <c r="A181" s="13"/>
      <c r="B181" s="248" t="s">
        <v>42</v>
      </c>
      <c r="C181" s="249"/>
      <c r="D181" s="249"/>
      <c r="E181" s="250"/>
      <c r="F181" s="46"/>
      <c r="G181" s="46"/>
      <c r="H181" s="47"/>
      <c r="I181" s="47">
        <f>SUM(I168:I180)</f>
        <v>747.49999999999989</v>
      </c>
      <c r="J181" s="13"/>
      <c r="K181" s="248" t="s">
        <v>42</v>
      </c>
      <c r="L181" s="249"/>
      <c r="M181" s="249"/>
      <c r="N181" s="250"/>
      <c r="O181" s="46"/>
      <c r="P181" s="46"/>
      <c r="Q181" s="47"/>
      <c r="R181" s="47">
        <f>SUM(R168:R180)</f>
        <v>3827.5000000000005</v>
      </c>
    </row>
    <row r="182" spans="1:18" x14ac:dyDescent="0.2">
      <c r="A182" s="12" t="s">
        <v>43</v>
      </c>
      <c r="B182" s="48" t="s">
        <v>44</v>
      </c>
      <c r="C182" s="43"/>
      <c r="D182" s="43"/>
      <c r="E182" s="39"/>
      <c r="F182" s="49"/>
      <c r="G182" s="49"/>
      <c r="H182" s="50"/>
      <c r="I182" s="51">
        <f>SUM(I163+I181)</f>
        <v>843.07719999999983</v>
      </c>
      <c r="J182" s="12" t="s">
        <v>43</v>
      </c>
      <c r="K182" s="48" t="s">
        <v>44</v>
      </c>
      <c r="L182" s="43"/>
      <c r="M182" s="43"/>
      <c r="N182" s="39"/>
      <c r="O182" s="49"/>
      <c r="P182" s="49"/>
      <c r="Q182" s="50"/>
      <c r="R182" s="51">
        <f>SUM(R163+R181)</f>
        <v>4229.2746666666671</v>
      </c>
    </row>
    <row r="183" spans="1:18" x14ac:dyDescent="0.2">
      <c r="A183" s="13" t="s">
        <v>45</v>
      </c>
      <c r="B183" s="48" t="s">
        <v>46</v>
      </c>
      <c r="C183" s="43"/>
      <c r="D183" s="43"/>
      <c r="E183" s="39"/>
      <c r="F183" s="49"/>
      <c r="G183" s="52">
        <v>0.09</v>
      </c>
      <c r="H183" s="53" t="s">
        <v>47</v>
      </c>
      <c r="I183" s="51">
        <f>G183*I182</f>
        <v>75.876947999999985</v>
      </c>
      <c r="J183" s="13" t="s">
        <v>45</v>
      </c>
      <c r="K183" s="48" t="s">
        <v>46</v>
      </c>
      <c r="L183" s="43"/>
      <c r="M183" s="43"/>
      <c r="N183" s="39"/>
      <c r="O183" s="49"/>
      <c r="P183" s="52">
        <v>0.09</v>
      </c>
      <c r="Q183" s="53" t="s">
        <v>47</v>
      </c>
      <c r="R183" s="51">
        <f>P183*R182</f>
        <v>380.63472000000002</v>
      </c>
    </row>
    <row r="184" spans="1:18" x14ac:dyDescent="0.2">
      <c r="A184" s="13" t="s">
        <v>48</v>
      </c>
      <c r="B184" s="48" t="s">
        <v>49</v>
      </c>
      <c r="C184" s="43"/>
      <c r="D184" s="43"/>
      <c r="E184" s="39"/>
      <c r="F184" s="49"/>
      <c r="G184" s="52">
        <v>0.08</v>
      </c>
      <c r="H184" s="53" t="s">
        <v>47</v>
      </c>
      <c r="I184" s="51">
        <f>G184*I182</f>
        <v>67.446175999999994</v>
      </c>
      <c r="J184" s="13" t="s">
        <v>48</v>
      </c>
      <c r="K184" s="48" t="s">
        <v>49</v>
      </c>
      <c r="L184" s="43"/>
      <c r="M184" s="43"/>
      <c r="N184" s="39"/>
      <c r="O184" s="49"/>
      <c r="P184" s="52">
        <v>0.08</v>
      </c>
      <c r="Q184" s="53" t="s">
        <v>47</v>
      </c>
      <c r="R184" s="51">
        <f>P184*R182</f>
        <v>338.34197333333339</v>
      </c>
    </row>
    <row r="185" spans="1:18" x14ac:dyDescent="0.2">
      <c r="A185" s="13" t="s">
        <v>50</v>
      </c>
      <c r="B185" s="48" t="s">
        <v>51</v>
      </c>
      <c r="C185" s="43"/>
      <c r="D185" s="43"/>
      <c r="E185" s="39"/>
      <c r="F185" s="49"/>
      <c r="G185" s="52">
        <f>5/100</f>
        <v>0.05</v>
      </c>
      <c r="H185" s="53" t="s">
        <v>52</v>
      </c>
      <c r="I185" s="51">
        <f>G185*(I182+I183+I184)</f>
        <v>49.320016199999998</v>
      </c>
      <c r="J185" s="13" t="s">
        <v>50</v>
      </c>
      <c r="K185" s="48" t="s">
        <v>51</v>
      </c>
      <c r="L185" s="43"/>
      <c r="M185" s="43"/>
      <c r="N185" s="39"/>
      <c r="O185" s="49"/>
      <c r="P185" s="52">
        <v>0.05</v>
      </c>
      <c r="Q185" s="53" t="s">
        <v>52</v>
      </c>
      <c r="R185" s="51">
        <f>P185*(R182+R183+R184)</f>
        <v>247.41256800000002</v>
      </c>
    </row>
    <row r="186" spans="1:18" x14ac:dyDescent="0.2">
      <c r="A186" s="54" t="s">
        <v>53</v>
      </c>
      <c r="B186" s="48" t="s">
        <v>54</v>
      </c>
      <c r="C186" s="43"/>
      <c r="D186" s="43"/>
      <c r="E186" s="39"/>
      <c r="F186" s="49"/>
      <c r="G186" s="49"/>
      <c r="H186" s="55" t="s">
        <v>55</v>
      </c>
      <c r="I186" s="51">
        <f>SUM(I182+I183+I184+I185)</f>
        <v>1035.7203401999998</v>
      </c>
      <c r="J186" s="54" t="s">
        <v>53</v>
      </c>
      <c r="K186" s="48" t="s">
        <v>54</v>
      </c>
      <c r="L186" s="43"/>
      <c r="M186" s="43"/>
      <c r="N186" s="39"/>
      <c r="O186" s="49"/>
      <c r="P186" s="49"/>
      <c r="Q186" s="55" t="s">
        <v>55</v>
      </c>
      <c r="R186" s="51">
        <f>SUM(R182+R183+R184+R185)</f>
        <v>5195.6639279999999</v>
      </c>
    </row>
    <row r="187" spans="1:18" s="1" customFormat="1" x14ac:dyDescent="0.2">
      <c r="A187" s="236" t="s">
        <v>0</v>
      </c>
      <c r="B187" s="236"/>
      <c r="C187" s="236"/>
      <c r="D187" s="236"/>
      <c r="E187" s="236"/>
      <c r="F187" s="236"/>
      <c r="G187" s="236"/>
      <c r="H187" s="236"/>
      <c r="I187" s="236"/>
      <c r="J187" s="236" t="s">
        <v>0</v>
      </c>
      <c r="K187" s="236"/>
      <c r="L187" s="236"/>
      <c r="M187" s="236"/>
      <c r="N187" s="236"/>
      <c r="O187" s="236"/>
      <c r="P187" s="236"/>
      <c r="Q187" s="236"/>
      <c r="R187" s="236"/>
    </row>
    <row r="189" spans="1:18" x14ac:dyDescent="0.2">
      <c r="A189" s="2" t="s">
        <v>1</v>
      </c>
      <c r="C189" s="4" t="s">
        <v>2</v>
      </c>
      <c r="D189" s="5" t="s">
        <v>240</v>
      </c>
      <c r="E189" s="237" t="s">
        <v>241</v>
      </c>
      <c r="F189" s="237"/>
      <c r="G189" s="237"/>
      <c r="H189" s="237"/>
      <c r="J189" s="2" t="s">
        <v>1</v>
      </c>
      <c r="L189" s="4" t="s">
        <v>2</v>
      </c>
      <c r="M189" s="5">
        <v>206</v>
      </c>
      <c r="N189" s="237" t="s">
        <v>242</v>
      </c>
      <c r="O189" s="237"/>
      <c r="P189" s="237"/>
      <c r="Q189" s="237"/>
    </row>
    <row r="190" spans="1:18" x14ac:dyDescent="0.2">
      <c r="A190" s="2" t="s">
        <v>7</v>
      </c>
      <c r="C190" s="4" t="s">
        <v>2</v>
      </c>
      <c r="E190" s="2" t="s">
        <v>224</v>
      </c>
      <c r="F190" s="8"/>
      <c r="G190" s="8"/>
      <c r="H190" s="8"/>
      <c r="J190" s="2" t="s">
        <v>7</v>
      </c>
      <c r="L190" s="4" t="s">
        <v>2</v>
      </c>
      <c r="N190" s="2" t="s">
        <v>9</v>
      </c>
      <c r="O190" s="8"/>
      <c r="P190" s="8"/>
      <c r="Q190" s="8"/>
    </row>
    <row r="191" spans="1:18" x14ac:dyDescent="0.2">
      <c r="A191" s="2" t="s">
        <v>10</v>
      </c>
      <c r="C191" s="4" t="s">
        <v>2</v>
      </c>
      <c r="E191" s="9">
        <v>40</v>
      </c>
      <c r="F191" s="8"/>
      <c r="G191" s="8"/>
      <c r="H191" s="8"/>
      <c r="J191" s="2" t="s">
        <v>10</v>
      </c>
      <c r="L191" s="4" t="s">
        <v>2</v>
      </c>
      <c r="N191" s="9">
        <v>15</v>
      </c>
      <c r="O191" s="8"/>
      <c r="P191" s="8"/>
      <c r="Q191" s="8"/>
    </row>
    <row r="192" spans="1:18" x14ac:dyDescent="0.2">
      <c r="B192" s="8"/>
      <c r="F192" s="11"/>
      <c r="G192" s="8"/>
      <c r="H192" s="8"/>
      <c r="I192" s="8"/>
      <c r="K192" s="8"/>
      <c r="O192" s="11"/>
      <c r="P192" s="8"/>
      <c r="Q192" s="8"/>
      <c r="R192" s="8"/>
    </row>
    <row r="193" spans="1:18" x14ac:dyDescent="0.2">
      <c r="A193" s="12"/>
      <c r="B193" s="238" t="s">
        <v>11</v>
      </c>
      <c r="C193" s="239"/>
      <c r="D193" s="239"/>
      <c r="E193" s="240"/>
      <c r="F193" s="244" t="s">
        <v>12</v>
      </c>
      <c r="G193" s="244" t="s">
        <v>13</v>
      </c>
      <c r="H193" s="244" t="s">
        <v>14</v>
      </c>
      <c r="I193" s="246" t="s">
        <v>15</v>
      </c>
      <c r="J193" s="12"/>
      <c r="K193" s="238" t="s">
        <v>11</v>
      </c>
      <c r="L193" s="239"/>
      <c r="M193" s="239"/>
      <c r="N193" s="240"/>
      <c r="O193" s="244" t="s">
        <v>12</v>
      </c>
      <c r="P193" s="244" t="s">
        <v>13</v>
      </c>
      <c r="Q193" s="244" t="s">
        <v>14</v>
      </c>
      <c r="R193" s="246" t="s">
        <v>15</v>
      </c>
    </row>
    <row r="194" spans="1:18" x14ac:dyDescent="0.2">
      <c r="A194" s="13"/>
      <c r="B194" s="241"/>
      <c r="C194" s="242"/>
      <c r="D194" s="242"/>
      <c r="E194" s="243"/>
      <c r="F194" s="245"/>
      <c r="G194" s="245"/>
      <c r="H194" s="245"/>
      <c r="I194" s="247"/>
      <c r="J194" s="13"/>
      <c r="K194" s="241"/>
      <c r="L194" s="242"/>
      <c r="M194" s="242"/>
      <c r="N194" s="243"/>
      <c r="O194" s="245"/>
      <c r="P194" s="245"/>
      <c r="Q194" s="245"/>
      <c r="R194" s="247"/>
    </row>
    <row r="195" spans="1:18" x14ac:dyDescent="0.2">
      <c r="A195" s="13" t="s">
        <v>16</v>
      </c>
      <c r="B195" s="14" t="s">
        <v>17</v>
      </c>
      <c r="C195" s="15"/>
      <c r="D195" s="15"/>
      <c r="E195" s="16"/>
      <c r="F195" s="17"/>
      <c r="G195" s="17"/>
      <c r="H195" s="17"/>
      <c r="I195" s="17"/>
      <c r="J195" s="13" t="s">
        <v>16</v>
      </c>
      <c r="K195" s="14" t="s">
        <v>17</v>
      </c>
      <c r="L195" s="15"/>
      <c r="M195" s="15"/>
      <c r="N195" s="16"/>
      <c r="O195" s="17"/>
      <c r="P195" s="17"/>
      <c r="Q195" s="17"/>
      <c r="R195" s="17"/>
    </row>
    <row r="196" spans="1:18" x14ac:dyDescent="0.2">
      <c r="A196" s="13"/>
      <c r="B196" s="18"/>
      <c r="C196" s="19"/>
      <c r="D196" s="19"/>
      <c r="E196" s="20"/>
      <c r="F196" s="21"/>
      <c r="G196" s="22"/>
      <c r="H196" s="21"/>
      <c r="I196" s="21"/>
      <c r="J196" s="13"/>
      <c r="K196" s="18"/>
      <c r="L196" s="19"/>
      <c r="M196" s="19"/>
      <c r="N196" s="20"/>
      <c r="O196" s="21"/>
      <c r="P196" s="22"/>
      <c r="Q196" s="21"/>
      <c r="R196" s="21"/>
    </row>
    <row r="197" spans="1:18" x14ac:dyDescent="0.2">
      <c r="A197" s="13"/>
      <c r="B197" s="24" t="s">
        <v>18</v>
      </c>
      <c r="C197" s="25"/>
      <c r="D197" s="25"/>
      <c r="E197" s="26"/>
      <c r="F197" s="22">
        <v>1</v>
      </c>
      <c r="G197" s="62">
        <v>1</v>
      </c>
      <c r="H197" s="23">
        <v>69.42</v>
      </c>
      <c r="I197" s="23">
        <f>G197*H197*F197</f>
        <v>69.42</v>
      </c>
      <c r="J197" s="13"/>
      <c r="K197" s="24" t="s">
        <v>18</v>
      </c>
      <c r="L197" s="25"/>
      <c r="M197" s="25"/>
      <c r="N197" s="26"/>
      <c r="O197" s="22">
        <v>1</v>
      </c>
      <c r="P197" s="62">
        <v>1</v>
      </c>
      <c r="Q197" s="23">
        <v>69.42</v>
      </c>
      <c r="R197" s="23">
        <f>P197*Q197*O197</f>
        <v>69.42</v>
      </c>
    </row>
    <row r="198" spans="1:18" x14ac:dyDescent="0.2">
      <c r="A198" s="13"/>
      <c r="B198" s="24" t="s">
        <v>1179</v>
      </c>
      <c r="C198" s="25"/>
      <c r="D198" s="25"/>
      <c r="E198" s="26"/>
      <c r="F198" s="22">
        <v>2</v>
      </c>
      <c r="G198" s="62">
        <v>1</v>
      </c>
      <c r="H198" s="23">
        <v>38.97</v>
      </c>
      <c r="I198" s="23">
        <f>G198*H198*F198</f>
        <v>77.94</v>
      </c>
      <c r="J198" s="13"/>
      <c r="K198" s="257" t="s">
        <v>1178</v>
      </c>
      <c r="L198" s="258"/>
      <c r="M198" s="25"/>
      <c r="N198" s="26"/>
      <c r="O198" s="22">
        <v>2</v>
      </c>
      <c r="P198" s="62">
        <v>1</v>
      </c>
      <c r="Q198" s="23">
        <v>50.18</v>
      </c>
      <c r="R198" s="23">
        <f>P198*Q198*O198</f>
        <v>100.36</v>
      </c>
    </row>
    <row r="199" spans="1:18" x14ac:dyDescent="0.2">
      <c r="A199" s="13"/>
      <c r="B199" s="27"/>
      <c r="C199" s="19"/>
      <c r="D199" s="19"/>
      <c r="E199" s="20"/>
      <c r="F199" s="22"/>
      <c r="G199" s="62"/>
      <c r="H199" s="28"/>
      <c r="I199" s="23"/>
      <c r="J199" s="13"/>
      <c r="K199" s="257" t="s">
        <v>1177</v>
      </c>
      <c r="L199" s="258"/>
      <c r="M199" s="19"/>
      <c r="N199" s="20"/>
      <c r="O199" s="22">
        <v>4</v>
      </c>
      <c r="P199" s="62">
        <v>1</v>
      </c>
      <c r="Q199" s="23">
        <v>38.97</v>
      </c>
      <c r="R199" s="23">
        <f>P199*Q199*O199</f>
        <v>155.88</v>
      </c>
    </row>
    <row r="200" spans="1:18" x14ac:dyDescent="0.2">
      <c r="A200" s="13"/>
      <c r="B200" s="27"/>
      <c r="C200" s="19"/>
      <c r="D200" s="19"/>
      <c r="E200" s="20"/>
      <c r="F200" s="22"/>
      <c r="G200" s="22"/>
      <c r="H200" s="29"/>
      <c r="I200" s="30"/>
      <c r="J200" s="13"/>
      <c r="K200" s="27"/>
      <c r="L200" s="19"/>
      <c r="M200" s="19"/>
      <c r="N200" s="20"/>
      <c r="O200" s="22"/>
      <c r="P200" s="22"/>
      <c r="Q200" s="29"/>
      <c r="R200" s="30"/>
    </row>
    <row r="201" spans="1:18" x14ac:dyDescent="0.2">
      <c r="A201" s="13"/>
      <c r="B201" s="27"/>
      <c r="C201" s="19"/>
      <c r="D201" s="19"/>
      <c r="E201" s="20"/>
      <c r="F201" s="22"/>
      <c r="G201" s="22"/>
      <c r="H201" s="29"/>
      <c r="I201" s="30"/>
      <c r="J201" s="13"/>
      <c r="K201" s="27"/>
      <c r="L201" s="19"/>
      <c r="M201" s="19"/>
      <c r="N201" s="20"/>
      <c r="O201" s="22"/>
      <c r="P201" s="22"/>
      <c r="Q201" s="29"/>
      <c r="R201" s="30"/>
    </row>
    <row r="202" spans="1:18" x14ac:dyDescent="0.2">
      <c r="A202" s="13"/>
      <c r="B202" s="18"/>
      <c r="C202" s="19"/>
      <c r="D202" s="19"/>
      <c r="E202" s="20"/>
      <c r="F202" s="22"/>
      <c r="G202" s="22"/>
      <c r="H202" s="28"/>
      <c r="I202" s="23"/>
      <c r="J202" s="13"/>
      <c r="K202" s="18"/>
      <c r="L202" s="19"/>
      <c r="M202" s="19"/>
      <c r="N202" s="20"/>
      <c r="O202" s="22"/>
      <c r="P202" s="22"/>
      <c r="Q202" s="28"/>
      <c r="R202" s="23"/>
    </row>
    <row r="203" spans="1:18" x14ac:dyDescent="0.2">
      <c r="A203" s="13"/>
      <c r="B203" s="18"/>
      <c r="C203" s="19"/>
      <c r="D203" s="19"/>
      <c r="E203" s="20"/>
      <c r="F203" s="22"/>
      <c r="G203" s="22"/>
      <c r="H203" s="23"/>
      <c r="I203" s="23"/>
      <c r="J203" s="13"/>
      <c r="K203" s="18"/>
      <c r="L203" s="19"/>
      <c r="M203" s="19"/>
      <c r="N203" s="20"/>
      <c r="O203" s="22"/>
      <c r="P203" s="22"/>
      <c r="Q203" s="23"/>
      <c r="R203" s="23"/>
    </row>
    <row r="204" spans="1:18" ht="15" customHeight="1" x14ac:dyDescent="0.2">
      <c r="A204" s="13"/>
      <c r="B204" s="248" t="s">
        <v>20</v>
      </c>
      <c r="C204" s="249"/>
      <c r="D204" s="249"/>
      <c r="E204" s="250"/>
      <c r="F204" s="31"/>
      <c r="G204" s="31"/>
      <c r="H204" s="32"/>
      <c r="I204" s="32">
        <f>SUM(I197:I203)</f>
        <v>147.36000000000001</v>
      </c>
      <c r="J204" s="13"/>
      <c r="K204" s="248" t="s">
        <v>20</v>
      </c>
      <c r="L204" s="249"/>
      <c r="M204" s="249"/>
      <c r="N204" s="250"/>
      <c r="O204" s="31"/>
      <c r="P204" s="31"/>
      <c r="Q204" s="32"/>
      <c r="R204" s="32">
        <f>SUM(R197:R203)</f>
        <v>325.65999999999997</v>
      </c>
    </row>
    <row r="205" spans="1:18" x14ac:dyDescent="0.2">
      <c r="A205" s="12"/>
      <c r="B205" s="251" t="s">
        <v>21</v>
      </c>
      <c r="C205" s="252"/>
      <c r="D205" s="252"/>
      <c r="E205" s="253"/>
      <c r="F205" s="244" t="s">
        <v>22</v>
      </c>
      <c r="G205" s="244" t="s">
        <v>13</v>
      </c>
      <c r="H205" s="244" t="s">
        <v>14</v>
      </c>
      <c r="I205" s="246" t="s">
        <v>15</v>
      </c>
      <c r="J205" s="12"/>
      <c r="K205" s="251" t="s">
        <v>21</v>
      </c>
      <c r="L205" s="252"/>
      <c r="M205" s="252"/>
      <c r="N205" s="253"/>
      <c r="O205" s="244" t="s">
        <v>22</v>
      </c>
      <c r="P205" s="244" t="s">
        <v>13</v>
      </c>
      <c r="Q205" s="244" t="s">
        <v>14</v>
      </c>
      <c r="R205" s="246" t="s">
        <v>15</v>
      </c>
    </row>
    <row r="206" spans="1:18" x14ac:dyDescent="0.2">
      <c r="A206" s="13"/>
      <c r="B206" s="254"/>
      <c r="C206" s="255"/>
      <c r="D206" s="255"/>
      <c r="E206" s="256"/>
      <c r="F206" s="245"/>
      <c r="G206" s="245"/>
      <c r="H206" s="245"/>
      <c r="I206" s="247"/>
      <c r="J206" s="13"/>
      <c r="K206" s="254"/>
      <c r="L206" s="255"/>
      <c r="M206" s="255"/>
      <c r="N206" s="256"/>
      <c r="O206" s="245"/>
      <c r="P206" s="245"/>
      <c r="Q206" s="245"/>
      <c r="R206" s="247"/>
    </row>
    <row r="207" spans="1:18" x14ac:dyDescent="0.2">
      <c r="A207" s="13" t="s">
        <v>23</v>
      </c>
      <c r="B207" s="33" t="s">
        <v>24</v>
      </c>
      <c r="C207" s="15"/>
      <c r="D207" s="15"/>
      <c r="E207" s="16"/>
      <c r="F207" s="34"/>
      <c r="G207" s="34"/>
      <c r="H207" s="35"/>
      <c r="I207" s="35"/>
      <c r="J207" s="13" t="s">
        <v>23</v>
      </c>
      <c r="K207" s="33" t="s">
        <v>24</v>
      </c>
      <c r="L207" s="15"/>
      <c r="M207" s="15"/>
      <c r="N207" s="16"/>
      <c r="O207" s="34"/>
      <c r="P207" s="34"/>
      <c r="Q207" s="35"/>
      <c r="R207" s="35"/>
    </row>
    <row r="208" spans="1:18" x14ac:dyDescent="0.2">
      <c r="A208" s="13"/>
      <c r="B208" s="18"/>
      <c r="C208" s="19"/>
      <c r="D208" s="19"/>
      <c r="E208" s="20"/>
      <c r="F208" s="22"/>
      <c r="G208" s="22"/>
      <c r="H208" s="23"/>
      <c r="I208" s="23"/>
      <c r="J208" s="13"/>
      <c r="K208" s="18"/>
      <c r="L208" s="19"/>
      <c r="M208" s="19"/>
      <c r="N208" s="20"/>
      <c r="O208" s="22"/>
      <c r="P208" s="22"/>
      <c r="Q208" s="23"/>
      <c r="R208" s="23"/>
    </row>
    <row r="209" spans="1:18" x14ac:dyDescent="0.2">
      <c r="A209" s="13"/>
      <c r="B209" s="18" t="s">
        <v>1172</v>
      </c>
      <c r="C209" s="19"/>
      <c r="D209" s="19"/>
      <c r="E209" s="20"/>
      <c r="F209" s="22">
        <v>1</v>
      </c>
      <c r="G209" s="23">
        <v>1</v>
      </c>
      <c r="H209" s="37">
        <v>2173</v>
      </c>
      <c r="I209" s="37">
        <f>G209*H209*F209</f>
        <v>2173</v>
      </c>
      <c r="J209" s="13"/>
      <c r="K209" s="18" t="s">
        <v>1208</v>
      </c>
      <c r="L209" s="19"/>
      <c r="M209" s="19"/>
      <c r="N209" s="20"/>
      <c r="O209" s="22">
        <v>1</v>
      </c>
      <c r="P209" s="23">
        <v>0.5</v>
      </c>
      <c r="Q209" s="37">
        <v>1759.5</v>
      </c>
      <c r="R209" s="37">
        <f t="shared" ref="R209:R215" si="0">P209*Q209*O209</f>
        <v>879.75</v>
      </c>
    </row>
    <row r="210" spans="1:18" x14ac:dyDescent="0.2">
      <c r="A210" s="13"/>
      <c r="B210" s="18" t="s">
        <v>1173</v>
      </c>
      <c r="C210" s="19"/>
      <c r="D210" s="19"/>
      <c r="E210" s="20"/>
      <c r="F210" s="22">
        <v>1</v>
      </c>
      <c r="G210" s="23">
        <v>1</v>
      </c>
      <c r="H210" s="37">
        <v>1846</v>
      </c>
      <c r="I210" s="37">
        <f>G210*H210*F210</f>
        <v>1846</v>
      </c>
      <c r="J210" s="13"/>
      <c r="K210" s="18" t="s">
        <v>1203</v>
      </c>
      <c r="L210" s="19"/>
      <c r="M210" s="19"/>
      <c r="N210" s="20"/>
      <c r="O210" s="22">
        <v>3</v>
      </c>
      <c r="P210" s="23">
        <v>0.5</v>
      </c>
      <c r="Q210" s="37">
        <v>1352</v>
      </c>
      <c r="R210" s="37">
        <f t="shared" si="0"/>
        <v>2028</v>
      </c>
    </row>
    <row r="211" spans="1:18" x14ac:dyDescent="0.2">
      <c r="A211" s="13"/>
      <c r="B211" s="18" t="s">
        <v>135</v>
      </c>
      <c r="C211" s="19"/>
      <c r="D211" s="19"/>
      <c r="E211" s="20"/>
      <c r="F211" s="22">
        <v>1</v>
      </c>
      <c r="G211" s="23">
        <v>0.25</v>
      </c>
      <c r="H211" s="37">
        <v>123</v>
      </c>
      <c r="I211" s="37">
        <f>G211*H211*F211</f>
        <v>30.75</v>
      </c>
      <c r="J211" s="13"/>
      <c r="K211" s="18" t="s">
        <v>1204</v>
      </c>
      <c r="L211" s="19"/>
      <c r="M211" s="19"/>
      <c r="N211" s="20"/>
      <c r="O211" s="22">
        <v>1</v>
      </c>
      <c r="P211" s="23">
        <v>0.5</v>
      </c>
      <c r="Q211" s="37">
        <v>2173</v>
      </c>
      <c r="R211" s="37">
        <f t="shared" si="0"/>
        <v>1086.5</v>
      </c>
    </row>
    <row r="212" spans="1:18" x14ac:dyDescent="0.2">
      <c r="A212" s="13"/>
      <c r="B212" s="18" t="s">
        <v>1201</v>
      </c>
      <c r="C212" s="19"/>
      <c r="D212" s="19"/>
      <c r="E212" s="20"/>
      <c r="F212" s="22">
        <v>1</v>
      </c>
      <c r="G212" s="23">
        <v>0.25</v>
      </c>
      <c r="H212" s="37">
        <v>2450</v>
      </c>
      <c r="I212" s="37">
        <f>G212*H212*F212</f>
        <v>612.5</v>
      </c>
      <c r="J212" s="13"/>
      <c r="K212" s="18" t="s">
        <v>1205</v>
      </c>
      <c r="L212" s="19"/>
      <c r="M212" s="19"/>
      <c r="N212" s="20"/>
      <c r="O212" s="22">
        <v>1</v>
      </c>
      <c r="P212" s="23">
        <v>0.5</v>
      </c>
      <c r="Q212" s="37">
        <v>1846</v>
      </c>
      <c r="R212" s="37">
        <f t="shared" si="0"/>
        <v>923</v>
      </c>
    </row>
    <row r="213" spans="1:18" x14ac:dyDescent="0.2">
      <c r="A213" s="13"/>
      <c r="B213" s="89"/>
      <c r="C213" s="90"/>
      <c r="D213" s="90"/>
      <c r="E213" s="91"/>
      <c r="F213" s="22"/>
      <c r="G213" s="23"/>
      <c r="H213" s="37"/>
      <c r="I213" s="37"/>
      <c r="J213" s="13"/>
      <c r="K213" s="18" t="s">
        <v>243</v>
      </c>
      <c r="L213" s="66"/>
      <c r="M213" s="19"/>
      <c r="N213" s="20"/>
      <c r="O213" s="22">
        <v>1</v>
      </c>
      <c r="P213" s="23">
        <v>0.5</v>
      </c>
      <c r="Q213" s="37">
        <v>1733</v>
      </c>
      <c r="R213" s="37">
        <f t="shared" si="0"/>
        <v>866.5</v>
      </c>
    </row>
    <row r="214" spans="1:18" x14ac:dyDescent="0.2">
      <c r="A214" s="13"/>
      <c r="B214" s="92"/>
      <c r="C214" s="90"/>
      <c r="D214" s="90"/>
      <c r="E214" s="91"/>
      <c r="F214" s="22"/>
      <c r="G214" s="36"/>
      <c r="H214" s="38"/>
      <c r="I214" s="38"/>
      <c r="J214" s="13"/>
      <c r="K214" s="18" t="s">
        <v>1206</v>
      </c>
      <c r="L214" s="19"/>
      <c r="M214" s="19"/>
      <c r="N214" s="20"/>
      <c r="O214" s="22">
        <v>1</v>
      </c>
      <c r="P214" s="23">
        <v>0.25</v>
      </c>
      <c r="Q214" s="37">
        <v>2450</v>
      </c>
      <c r="R214" s="37">
        <f t="shared" si="0"/>
        <v>612.5</v>
      </c>
    </row>
    <row r="215" spans="1:18" x14ac:dyDescent="0.2">
      <c r="A215" s="13"/>
      <c r="B215" s="18"/>
      <c r="C215" s="19"/>
      <c r="D215" s="19"/>
      <c r="E215" s="20"/>
      <c r="F215" s="22"/>
      <c r="G215" s="36"/>
      <c r="H215" s="38"/>
      <c r="I215" s="38"/>
      <c r="J215" s="13"/>
      <c r="K215" s="18" t="s">
        <v>1207</v>
      </c>
      <c r="L215" s="19"/>
      <c r="M215" s="19"/>
      <c r="N215" s="20"/>
      <c r="O215" s="22">
        <v>1</v>
      </c>
      <c r="P215" s="23">
        <v>0.1</v>
      </c>
      <c r="Q215" s="37">
        <v>936</v>
      </c>
      <c r="R215" s="23">
        <f t="shared" si="0"/>
        <v>93.600000000000009</v>
      </c>
    </row>
    <row r="216" spans="1:18" x14ac:dyDescent="0.2">
      <c r="A216" s="13"/>
      <c r="B216" s="18"/>
      <c r="C216" s="19"/>
      <c r="D216" s="19"/>
      <c r="E216" s="20"/>
      <c r="F216" s="22"/>
      <c r="G216" s="36"/>
      <c r="H216" s="38"/>
      <c r="I216" s="38"/>
      <c r="J216" s="13"/>
      <c r="K216" s="18"/>
      <c r="L216" s="19"/>
      <c r="M216" s="19"/>
      <c r="N216" s="20"/>
      <c r="O216" s="22"/>
      <c r="P216" s="36"/>
      <c r="Q216" s="38"/>
      <c r="R216" s="38"/>
    </row>
    <row r="217" spans="1:18" x14ac:dyDescent="0.2">
      <c r="A217" s="13"/>
      <c r="B217" s="18"/>
      <c r="C217" s="19"/>
      <c r="D217" s="19"/>
      <c r="E217" s="20"/>
      <c r="F217" s="22"/>
      <c r="G217" s="36"/>
      <c r="H217" s="38"/>
      <c r="I217" s="38"/>
      <c r="J217" s="13"/>
      <c r="K217" s="18"/>
      <c r="L217" s="19"/>
      <c r="M217" s="19"/>
      <c r="N217" s="20"/>
      <c r="O217" s="22"/>
      <c r="P217" s="36"/>
      <c r="Q217" s="38"/>
      <c r="R217" s="38"/>
    </row>
    <row r="218" spans="1:18" x14ac:dyDescent="0.2">
      <c r="A218" s="13"/>
      <c r="B218" s="18"/>
      <c r="C218" s="19"/>
      <c r="D218" s="19"/>
      <c r="E218" s="20"/>
      <c r="F218" s="22"/>
      <c r="G218" s="36"/>
      <c r="H218" s="37"/>
      <c r="I218" s="37"/>
      <c r="J218" s="13"/>
      <c r="K218" s="18"/>
      <c r="L218" s="19"/>
      <c r="M218" s="19"/>
      <c r="N218" s="20"/>
      <c r="O218" s="22"/>
      <c r="P218" s="36"/>
      <c r="Q218" s="37"/>
      <c r="R218" s="37"/>
    </row>
    <row r="219" spans="1:18" x14ac:dyDescent="0.2">
      <c r="A219" s="13"/>
      <c r="B219" s="18"/>
      <c r="C219" s="19"/>
      <c r="D219" s="19"/>
      <c r="E219" s="20"/>
      <c r="F219" s="22"/>
      <c r="G219" s="36"/>
      <c r="H219" s="37"/>
      <c r="I219" s="37"/>
      <c r="J219" s="13"/>
      <c r="K219" s="18"/>
      <c r="L219" s="19"/>
      <c r="M219" s="19"/>
      <c r="N219" s="20"/>
      <c r="O219" s="22"/>
      <c r="P219" s="36"/>
      <c r="Q219" s="37"/>
      <c r="R219" s="37"/>
    </row>
    <row r="220" spans="1:18" x14ac:dyDescent="0.2">
      <c r="A220" s="13"/>
      <c r="B220" s="18"/>
      <c r="C220" s="19"/>
      <c r="D220" s="19"/>
      <c r="E220" s="20"/>
      <c r="F220" s="22"/>
      <c r="G220" s="36"/>
      <c r="H220" s="37"/>
      <c r="I220" s="37"/>
      <c r="J220" s="13"/>
      <c r="K220" s="18"/>
      <c r="L220" s="19"/>
      <c r="M220" s="19"/>
      <c r="N220" s="20"/>
      <c r="O220" s="22"/>
      <c r="P220" s="36"/>
      <c r="Q220" s="37"/>
      <c r="R220" s="37"/>
    </row>
    <row r="221" spans="1:18" x14ac:dyDescent="0.2">
      <c r="A221" s="13"/>
      <c r="B221" s="18"/>
      <c r="C221" s="19"/>
      <c r="D221" s="19"/>
      <c r="E221" s="20"/>
      <c r="F221" s="22"/>
      <c r="G221" s="22"/>
      <c r="H221" s="23"/>
      <c r="I221" s="23"/>
      <c r="J221" s="13"/>
      <c r="K221" s="18"/>
      <c r="L221" s="19"/>
      <c r="M221" s="19"/>
      <c r="N221" s="20"/>
      <c r="O221" s="22"/>
      <c r="P221" s="22"/>
      <c r="Q221" s="23"/>
      <c r="R221" s="23"/>
    </row>
    <row r="222" spans="1:18" x14ac:dyDescent="0.2">
      <c r="A222" s="13"/>
      <c r="B222" s="248" t="s">
        <v>30</v>
      </c>
      <c r="C222" s="249"/>
      <c r="D222" s="249"/>
      <c r="E222" s="250"/>
      <c r="F222" s="22"/>
      <c r="G222" s="22"/>
      <c r="H222" s="23"/>
      <c r="I222" s="23">
        <f>SUM(I209:I221)</f>
        <v>4662.25</v>
      </c>
      <c r="J222" s="13"/>
      <c r="K222" s="248" t="s">
        <v>30</v>
      </c>
      <c r="L222" s="249"/>
      <c r="M222" s="249"/>
      <c r="N222" s="250"/>
      <c r="O222" s="22"/>
      <c r="P222" s="22"/>
      <c r="Q222" s="23"/>
      <c r="R222" s="23">
        <f>SUM(R209:R221)</f>
        <v>6489.85</v>
      </c>
    </row>
    <row r="223" spans="1:18" x14ac:dyDescent="0.2">
      <c r="A223" s="12" t="s">
        <v>31</v>
      </c>
      <c r="B223" s="260" t="s">
        <v>32</v>
      </c>
      <c r="C223" s="261"/>
      <c r="D223" s="261"/>
      <c r="E223" s="261"/>
      <c r="F223" s="39"/>
      <c r="G223" s="39"/>
      <c r="H223" s="40"/>
      <c r="I223" s="41">
        <f>SUM(I222+I204)</f>
        <v>4809.6099999999997</v>
      </c>
      <c r="J223" s="12" t="s">
        <v>31</v>
      </c>
      <c r="K223" s="260" t="s">
        <v>32</v>
      </c>
      <c r="L223" s="261"/>
      <c r="M223" s="261"/>
      <c r="N223" s="261"/>
      <c r="O223" s="39"/>
      <c r="P223" s="39"/>
      <c r="Q223" s="40"/>
      <c r="R223" s="41">
        <f>SUM(R222+R204)</f>
        <v>6815.51</v>
      </c>
    </row>
    <row r="224" spans="1:18" x14ac:dyDescent="0.2">
      <c r="A224" s="13" t="s">
        <v>33</v>
      </c>
      <c r="B224" s="264">
        <f>E191</f>
        <v>40</v>
      </c>
      <c r="C224" s="265"/>
      <c r="D224" s="265"/>
      <c r="E224" s="265"/>
      <c r="F224" s="265"/>
      <c r="G224" s="265"/>
      <c r="H224" s="40"/>
      <c r="I224" s="41"/>
      <c r="J224" s="13" t="s">
        <v>33</v>
      </c>
      <c r="K224" s="264">
        <f>N191</f>
        <v>15</v>
      </c>
      <c r="L224" s="265"/>
      <c r="M224" s="265"/>
      <c r="N224" s="265"/>
      <c r="O224" s="265"/>
      <c r="P224" s="265"/>
      <c r="Q224" s="40"/>
      <c r="R224" s="41"/>
    </row>
    <row r="225" spans="1:18" x14ac:dyDescent="0.2">
      <c r="A225" s="13" t="s">
        <v>34</v>
      </c>
      <c r="B225" s="42" t="s">
        <v>35</v>
      </c>
      <c r="C225" s="43"/>
      <c r="D225" s="43"/>
      <c r="E225" s="39"/>
      <c r="F225" s="44"/>
      <c r="G225" s="44"/>
      <c r="H225" s="40"/>
      <c r="I225" s="41">
        <f>I223/E191</f>
        <v>120.24024999999999</v>
      </c>
      <c r="J225" s="13" t="s">
        <v>34</v>
      </c>
      <c r="K225" s="42" t="s">
        <v>35</v>
      </c>
      <c r="L225" s="43"/>
      <c r="M225" s="43"/>
      <c r="N225" s="39"/>
      <c r="O225" s="44"/>
      <c r="P225" s="44"/>
      <c r="Q225" s="40"/>
      <c r="R225" s="41">
        <f>R223/N191</f>
        <v>454.36733333333336</v>
      </c>
    </row>
    <row r="226" spans="1:18" x14ac:dyDescent="0.2">
      <c r="A226" s="12"/>
      <c r="B226" s="251" t="s">
        <v>36</v>
      </c>
      <c r="C226" s="252"/>
      <c r="D226" s="252"/>
      <c r="E226" s="253"/>
      <c r="F226" s="244" t="s">
        <v>37</v>
      </c>
      <c r="G226" s="244" t="s">
        <v>38</v>
      </c>
      <c r="H226" s="244" t="s">
        <v>39</v>
      </c>
      <c r="I226" s="246" t="s">
        <v>15</v>
      </c>
      <c r="J226" s="12"/>
      <c r="K226" s="251" t="s">
        <v>36</v>
      </c>
      <c r="L226" s="252"/>
      <c r="M226" s="252"/>
      <c r="N226" s="253"/>
      <c r="O226" s="244" t="s">
        <v>37</v>
      </c>
      <c r="P226" s="244" t="s">
        <v>38</v>
      </c>
      <c r="Q226" s="244" t="s">
        <v>39</v>
      </c>
      <c r="R226" s="246" t="s">
        <v>15</v>
      </c>
    </row>
    <row r="227" spans="1:18" x14ac:dyDescent="0.2">
      <c r="A227" s="13"/>
      <c r="B227" s="254"/>
      <c r="C227" s="255"/>
      <c r="D227" s="255"/>
      <c r="E227" s="256"/>
      <c r="F227" s="245"/>
      <c r="G227" s="245"/>
      <c r="H227" s="245"/>
      <c r="I227" s="247"/>
      <c r="J227" s="13"/>
      <c r="K227" s="254"/>
      <c r="L227" s="255"/>
      <c r="M227" s="255"/>
      <c r="N227" s="256"/>
      <c r="O227" s="245"/>
      <c r="P227" s="245"/>
      <c r="Q227" s="245"/>
      <c r="R227" s="247"/>
    </row>
    <row r="228" spans="1:18" ht="15" customHeight="1" x14ac:dyDescent="0.2">
      <c r="A228" s="13" t="s">
        <v>40</v>
      </c>
      <c r="B228" s="18" t="s">
        <v>41</v>
      </c>
      <c r="C228" s="19"/>
      <c r="D228" s="19"/>
      <c r="E228" s="20"/>
      <c r="F228" s="22"/>
      <c r="G228" s="22"/>
      <c r="H228" s="23"/>
      <c r="I228" s="23"/>
      <c r="J228" s="13" t="s">
        <v>40</v>
      </c>
      <c r="K228" s="18" t="s">
        <v>41</v>
      </c>
      <c r="L228" s="19"/>
      <c r="M228" s="19"/>
      <c r="N228" s="20"/>
      <c r="O228" s="22"/>
      <c r="P228" s="22"/>
      <c r="Q228" s="23"/>
      <c r="R228" s="23"/>
    </row>
    <row r="229" spans="1:18" ht="15" customHeight="1" x14ac:dyDescent="0.2">
      <c r="A229" s="13"/>
      <c r="B229" s="18"/>
      <c r="C229" s="19"/>
      <c r="D229" s="19"/>
      <c r="E229" s="20"/>
      <c r="F229" s="22"/>
      <c r="G229" s="22"/>
      <c r="H229" s="23"/>
      <c r="I229" s="23"/>
      <c r="J229" s="13"/>
      <c r="K229" s="18"/>
      <c r="L229" s="19"/>
      <c r="M229" s="19"/>
      <c r="N229" s="20"/>
      <c r="O229" s="22"/>
      <c r="P229" s="22"/>
      <c r="Q229" s="23"/>
      <c r="R229" s="23"/>
    </row>
    <row r="230" spans="1:18" x14ac:dyDescent="0.2">
      <c r="A230" s="13"/>
      <c r="B230" s="18" t="s">
        <v>237</v>
      </c>
      <c r="C230" s="66"/>
      <c r="D230" s="19"/>
      <c r="E230" s="20"/>
      <c r="F230" s="22" t="s">
        <v>9</v>
      </c>
      <c r="G230" s="22">
        <v>1.1499999999999999</v>
      </c>
      <c r="H230" s="107">
        <v>650</v>
      </c>
      <c r="I230" s="23">
        <f>H230*G230</f>
        <v>747.49999999999989</v>
      </c>
      <c r="J230" s="13"/>
      <c r="K230" s="18" t="s">
        <v>234</v>
      </c>
      <c r="L230" s="19"/>
      <c r="M230" s="19"/>
      <c r="N230" s="20"/>
      <c r="O230" s="22" t="s">
        <v>227</v>
      </c>
      <c r="P230" s="62">
        <v>3</v>
      </c>
      <c r="Q230" s="107">
        <v>220</v>
      </c>
      <c r="R230" s="23">
        <f>P230*Q230</f>
        <v>660</v>
      </c>
    </row>
    <row r="231" spans="1:18" x14ac:dyDescent="0.2">
      <c r="A231" s="13"/>
      <c r="B231" s="18" t="s">
        <v>228</v>
      </c>
      <c r="C231" s="66"/>
      <c r="D231" s="19"/>
      <c r="E231" s="20"/>
      <c r="F231" s="22"/>
      <c r="G231" s="22"/>
      <c r="H231" s="23"/>
      <c r="I231" s="23"/>
      <c r="J231" s="13"/>
      <c r="K231" s="18" t="s">
        <v>229</v>
      </c>
      <c r="L231" s="19"/>
      <c r="M231" s="19"/>
      <c r="N231" s="20"/>
      <c r="O231" s="22" t="s">
        <v>9</v>
      </c>
      <c r="P231" s="22">
        <v>1.1499999999999999</v>
      </c>
      <c r="Q231" s="107">
        <v>650</v>
      </c>
      <c r="R231" s="23">
        <f>P231*Q231</f>
        <v>747.49999999999989</v>
      </c>
    </row>
    <row r="232" spans="1:18" x14ac:dyDescent="0.2">
      <c r="A232" s="13"/>
      <c r="B232" s="18"/>
      <c r="C232" s="19"/>
      <c r="D232" s="19"/>
      <c r="E232" s="20"/>
      <c r="F232" s="22"/>
      <c r="G232" s="22"/>
      <c r="H232" s="38"/>
      <c r="I232" s="38"/>
      <c r="J232" s="13"/>
      <c r="K232" s="18" t="s">
        <v>244</v>
      </c>
      <c r="L232" s="19"/>
      <c r="M232" s="19"/>
      <c r="N232" s="20"/>
      <c r="O232" s="22" t="s">
        <v>239</v>
      </c>
      <c r="P232" s="22">
        <v>7.4999999999999997E-3</v>
      </c>
      <c r="Q232" s="107">
        <v>40300</v>
      </c>
      <c r="R232" s="23">
        <f>P232*Q232</f>
        <v>302.25</v>
      </c>
    </row>
    <row r="233" spans="1:18" x14ac:dyDescent="0.2">
      <c r="A233" s="13"/>
      <c r="B233" s="18"/>
      <c r="C233" s="19"/>
      <c r="D233" s="19"/>
      <c r="E233" s="20"/>
      <c r="F233" s="22"/>
      <c r="G233" s="22"/>
      <c r="H233" s="38"/>
      <c r="I233" s="38"/>
      <c r="J233" s="13"/>
      <c r="K233" s="18"/>
      <c r="L233" s="19"/>
      <c r="M233" s="19"/>
      <c r="N233" s="20"/>
      <c r="O233" s="22"/>
      <c r="P233" s="22"/>
      <c r="Q233" s="38"/>
      <c r="R233" s="38"/>
    </row>
    <row r="234" spans="1:18" x14ac:dyDescent="0.2">
      <c r="A234" s="13"/>
      <c r="B234" s="18"/>
      <c r="C234" s="19"/>
      <c r="D234" s="19"/>
      <c r="E234" s="20"/>
      <c r="F234" s="22"/>
      <c r="G234" s="22"/>
      <c r="H234" s="45"/>
      <c r="I234" s="45"/>
      <c r="J234" s="13"/>
      <c r="K234" s="18"/>
      <c r="L234" s="19"/>
      <c r="M234" s="19"/>
      <c r="N234" s="20"/>
      <c r="O234" s="22"/>
      <c r="P234" s="22"/>
      <c r="Q234" s="45"/>
      <c r="R234" s="45"/>
    </row>
    <row r="235" spans="1:18" x14ac:dyDescent="0.2">
      <c r="A235" s="13"/>
      <c r="B235" s="18"/>
      <c r="C235" s="19"/>
      <c r="D235" s="19"/>
      <c r="E235" s="20"/>
      <c r="F235" s="22"/>
      <c r="G235" s="22"/>
      <c r="H235" s="45"/>
      <c r="I235" s="45"/>
      <c r="J235" s="13"/>
      <c r="K235" s="18"/>
      <c r="L235" s="19"/>
      <c r="M235" s="19"/>
      <c r="N235" s="20"/>
      <c r="O235" s="22"/>
      <c r="P235" s="22"/>
      <c r="Q235" s="45"/>
      <c r="R235" s="45"/>
    </row>
    <row r="236" spans="1:18" x14ac:dyDescent="0.2">
      <c r="A236" s="13"/>
      <c r="B236" s="18"/>
      <c r="C236" s="19"/>
      <c r="D236" s="19"/>
      <c r="E236" s="20"/>
      <c r="F236" s="22"/>
      <c r="G236" s="22"/>
      <c r="H236" s="23"/>
      <c r="I236" s="23"/>
      <c r="J236" s="13"/>
      <c r="K236" s="18"/>
      <c r="L236" s="19"/>
      <c r="M236" s="19"/>
      <c r="N236" s="20"/>
      <c r="O236" s="22"/>
      <c r="P236" s="22"/>
      <c r="Q236" s="23"/>
      <c r="R236" s="23"/>
    </row>
    <row r="237" spans="1:18" ht="17.25" customHeight="1" x14ac:dyDescent="0.2">
      <c r="A237" s="13"/>
      <c r="B237" s="18"/>
      <c r="C237" s="19"/>
      <c r="D237" s="19"/>
      <c r="E237" s="20"/>
      <c r="F237" s="22"/>
      <c r="G237" s="22"/>
      <c r="H237" s="23"/>
      <c r="I237" s="23"/>
      <c r="J237" s="13"/>
      <c r="K237" s="18"/>
      <c r="L237" s="19"/>
      <c r="M237" s="19"/>
      <c r="N237" s="20"/>
      <c r="O237" s="22"/>
      <c r="P237" s="22"/>
      <c r="Q237" s="23"/>
      <c r="R237" s="23"/>
    </row>
    <row r="238" spans="1:18" ht="17.25" customHeight="1" x14ac:dyDescent="0.2">
      <c r="A238" s="13"/>
      <c r="B238" s="18"/>
      <c r="C238" s="19"/>
      <c r="D238" s="19"/>
      <c r="E238" s="20"/>
      <c r="F238" s="22"/>
      <c r="G238" s="22"/>
      <c r="H238" s="23"/>
      <c r="I238" s="23"/>
      <c r="J238" s="13"/>
      <c r="K238" s="18"/>
      <c r="L238" s="19"/>
      <c r="M238" s="19"/>
      <c r="N238" s="20"/>
      <c r="O238" s="22"/>
      <c r="P238" s="22"/>
      <c r="Q238" s="23"/>
      <c r="R238" s="23"/>
    </row>
    <row r="239" spans="1:18" x14ac:dyDescent="0.2">
      <c r="A239" s="13"/>
      <c r="B239" s="18"/>
      <c r="C239" s="19"/>
      <c r="D239" s="19"/>
      <c r="E239" s="20"/>
      <c r="F239" s="22"/>
      <c r="G239" s="22"/>
      <c r="H239" s="23"/>
      <c r="I239" s="23"/>
      <c r="J239" s="13"/>
      <c r="K239" s="18"/>
      <c r="L239" s="19"/>
      <c r="M239" s="19"/>
      <c r="N239" s="20"/>
      <c r="O239" s="22"/>
      <c r="P239" s="22"/>
      <c r="Q239" s="23"/>
      <c r="R239" s="23"/>
    </row>
    <row r="240" spans="1:18" x14ac:dyDescent="0.2">
      <c r="A240" s="13"/>
      <c r="B240" s="18"/>
      <c r="C240" s="19"/>
      <c r="D240" s="19"/>
      <c r="E240" s="20"/>
      <c r="F240" s="22"/>
      <c r="G240" s="22"/>
      <c r="H240" s="23"/>
      <c r="I240" s="23"/>
      <c r="J240" s="13"/>
      <c r="K240" s="18"/>
      <c r="L240" s="19"/>
      <c r="M240" s="19"/>
      <c r="N240" s="20"/>
      <c r="O240" s="22"/>
      <c r="P240" s="22"/>
      <c r="Q240" s="23"/>
      <c r="R240" s="23"/>
    </row>
    <row r="241" spans="1:18" x14ac:dyDescent="0.2">
      <c r="A241" s="13"/>
      <c r="B241" s="18"/>
      <c r="C241" s="19"/>
      <c r="D241" s="19"/>
      <c r="E241" s="20"/>
      <c r="F241" s="22"/>
      <c r="G241" s="22"/>
      <c r="H241" s="23"/>
      <c r="I241" s="23"/>
      <c r="J241" s="13"/>
      <c r="K241" s="18"/>
      <c r="L241" s="19"/>
      <c r="M241" s="19"/>
      <c r="N241" s="20"/>
      <c r="O241" s="22"/>
      <c r="P241" s="22"/>
      <c r="Q241" s="23"/>
      <c r="R241" s="23"/>
    </row>
    <row r="242" spans="1:18" x14ac:dyDescent="0.2">
      <c r="A242" s="13"/>
      <c r="B242" s="18"/>
      <c r="C242" s="19"/>
      <c r="D242" s="19"/>
      <c r="E242" s="20"/>
      <c r="F242" s="22"/>
      <c r="G242" s="36"/>
      <c r="H242" s="37"/>
      <c r="I242" s="37"/>
      <c r="J242" s="13"/>
      <c r="K242" s="18"/>
      <c r="L242" s="19"/>
      <c r="M242" s="19"/>
      <c r="N242" s="20"/>
      <c r="O242" s="22"/>
      <c r="P242" s="36"/>
      <c r="Q242" s="37"/>
      <c r="R242" s="37"/>
    </row>
    <row r="243" spans="1:18" x14ac:dyDescent="0.2">
      <c r="A243" s="13"/>
      <c r="B243" s="248" t="s">
        <v>42</v>
      </c>
      <c r="C243" s="249"/>
      <c r="D243" s="249"/>
      <c r="E243" s="250"/>
      <c r="F243" s="46"/>
      <c r="G243" s="46"/>
      <c r="H243" s="47"/>
      <c r="I243" s="47">
        <f>SUM(I230:I242)</f>
        <v>747.49999999999989</v>
      </c>
      <c r="J243" s="13"/>
      <c r="K243" s="248" t="s">
        <v>42</v>
      </c>
      <c r="L243" s="249"/>
      <c r="M243" s="249"/>
      <c r="N243" s="250"/>
      <c r="O243" s="46"/>
      <c r="P243" s="46"/>
      <c r="Q243" s="47"/>
      <c r="R243" s="47">
        <f>SUM(R230:R242)</f>
        <v>1709.75</v>
      </c>
    </row>
    <row r="244" spans="1:18" x14ac:dyDescent="0.2">
      <c r="A244" s="12" t="s">
        <v>43</v>
      </c>
      <c r="B244" s="48" t="s">
        <v>44</v>
      </c>
      <c r="C244" s="43"/>
      <c r="D244" s="43"/>
      <c r="E244" s="39"/>
      <c r="F244" s="49"/>
      <c r="G244" s="49"/>
      <c r="H244" s="50"/>
      <c r="I244" s="51">
        <f>SUM(I225+I243)</f>
        <v>867.74024999999983</v>
      </c>
      <c r="J244" s="12" t="s">
        <v>43</v>
      </c>
      <c r="K244" s="48" t="s">
        <v>44</v>
      </c>
      <c r="L244" s="43"/>
      <c r="M244" s="43"/>
      <c r="N244" s="39"/>
      <c r="O244" s="49"/>
      <c r="P244" s="49"/>
      <c r="Q244" s="50"/>
      <c r="R244" s="51">
        <f>SUM(R225+R243)</f>
        <v>2164.1173333333336</v>
      </c>
    </row>
    <row r="245" spans="1:18" x14ac:dyDescent="0.2">
      <c r="A245" s="13" t="s">
        <v>45</v>
      </c>
      <c r="B245" s="48" t="s">
        <v>46</v>
      </c>
      <c r="C245" s="43"/>
      <c r="D245" s="43"/>
      <c r="E245" s="39"/>
      <c r="F245" s="49"/>
      <c r="G245" s="52">
        <v>0.09</v>
      </c>
      <c r="H245" s="53" t="s">
        <v>47</v>
      </c>
      <c r="I245" s="51">
        <f>G245*I244</f>
        <v>78.096622499999981</v>
      </c>
      <c r="J245" s="13" t="s">
        <v>45</v>
      </c>
      <c r="K245" s="48" t="s">
        <v>46</v>
      </c>
      <c r="L245" s="43"/>
      <c r="M245" s="43"/>
      <c r="N245" s="39"/>
      <c r="O245" s="49"/>
      <c r="P245" s="52">
        <v>0.09</v>
      </c>
      <c r="Q245" s="53" t="s">
        <v>47</v>
      </c>
      <c r="R245" s="51">
        <f>P245*R244</f>
        <v>194.77056000000002</v>
      </c>
    </row>
    <row r="246" spans="1:18" x14ac:dyDescent="0.2">
      <c r="A246" s="13" t="s">
        <v>48</v>
      </c>
      <c r="B246" s="48" t="s">
        <v>49</v>
      </c>
      <c r="C246" s="43"/>
      <c r="D246" s="43"/>
      <c r="E246" s="39"/>
      <c r="F246" s="49"/>
      <c r="G246" s="52">
        <v>0.08</v>
      </c>
      <c r="H246" s="53" t="s">
        <v>47</v>
      </c>
      <c r="I246" s="51">
        <f>G246*I244</f>
        <v>69.419219999999981</v>
      </c>
      <c r="J246" s="13" t="s">
        <v>48</v>
      </c>
      <c r="K246" s="48" t="s">
        <v>49</v>
      </c>
      <c r="L246" s="43"/>
      <c r="M246" s="43"/>
      <c r="N246" s="39"/>
      <c r="O246" s="49"/>
      <c r="P246" s="52">
        <v>0.08</v>
      </c>
      <c r="Q246" s="53" t="s">
        <v>47</v>
      </c>
      <c r="R246" s="51">
        <f>P246*R244</f>
        <v>173.1293866666667</v>
      </c>
    </row>
    <row r="247" spans="1:18" x14ac:dyDescent="0.2">
      <c r="A247" s="13" t="s">
        <v>50</v>
      </c>
      <c r="B247" s="48" t="s">
        <v>51</v>
      </c>
      <c r="C247" s="43"/>
      <c r="D247" s="43"/>
      <c r="E247" s="39"/>
      <c r="F247" s="49"/>
      <c r="G247" s="52">
        <f>5/100</f>
        <v>0.05</v>
      </c>
      <c r="H247" s="53" t="s">
        <v>52</v>
      </c>
      <c r="I247" s="51">
        <f>G247*(I244+I245+I246)</f>
        <v>50.762804624999994</v>
      </c>
      <c r="J247" s="13" t="s">
        <v>50</v>
      </c>
      <c r="K247" s="48" t="s">
        <v>51</v>
      </c>
      <c r="L247" s="43"/>
      <c r="M247" s="43"/>
      <c r="N247" s="39"/>
      <c r="O247" s="49"/>
      <c r="P247" s="52">
        <f>5/100</f>
        <v>0.05</v>
      </c>
      <c r="Q247" s="53" t="s">
        <v>52</v>
      </c>
      <c r="R247" s="51">
        <f>P247*(R244+R245+R246)</f>
        <v>126.600864</v>
      </c>
    </row>
    <row r="248" spans="1:18" x14ac:dyDescent="0.2">
      <c r="A248" s="54" t="s">
        <v>53</v>
      </c>
      <c r="B248" s="48" t="s">
        <v>54</v>
      </c>
      <c r="C248" s="43"/>
      <c r="D248" s="43"/>
      <c r="E248" s="39"/>
      <c r="F248" s="49"/>
      <c r="G248" s="49"/>
      <c r="H248" s="55" t="s">
        <v>55</v>
      </c>
      <c r="I248" s="51">
        <f>SUM(I244+I245+I246+I247)</f>
        <v>1066.0188971249997</v>
      </c>
      <c r="J248" s="54" t="s">
        <v>53</v>
      </c>
      <c r="K248" s="48" t="s">
        <v>54</v>
      </c>
      <c r="L248" s="43"/>
      <c r="M248" s="43"/>
      <c r="N248" s="39"/>
      <c r="O248" s="49"/>
      <c r="P248" s="49"/>
      <c r="Q248" s="55" t="s">
        <v>55</v>
      </c>
      <c r="R248" s="51">
        <f>SUM(R244+R245+R246+R247)</f>
        <v>2658.618144</v>
      </c>
    </row>
    <row r="249" spans="1:18" s="1" customFormat="1" ht="15" customHeight="1" x14ac:dyDescent="0.2">
      <c r="A249" s="236" t="s">
        <v>0</v>
      </c>
      <c r="B249" s="236"/>
      <c r="C249" s="236"/>
      <c r="D249" s="236"/>
      <c r="E249" s="236"/>
      <c r="F249" s="236"/>
      <c r="G249" s="236"/>
      <c r="H249" s="236"/>
      <c r="I249" s="236"/>
      <c r="J249" s="73"/>
      <c r="K249" s="74"/>
      <c r="L249" s="75"/>
      <c r="M249" s="75"/>
      <c r="N249" s="76"/>
      <c r="O249" s="74"/>
      <c r="P249" s="74"/>
      <c r="Q249" s="74"/>
      <c r="R249" s="74"/>
    </row>
    <row r="251" spans="1:18" x14ac:dyDescent="0.2">
      <c r="A251" s="2" t="s">
        <v>1</v>
      </c>
      <c r="C251" s="4" t="s">
        <v>2</v>
      </c>
      <c r="D251" s="5">
        <v>202</v>
      </c>
      <c r="E251" s="237" t="s">
        <v>245</v>
      </c>
      <c r="F251" s="237"/>
      <c r="G251" s="237"/>
      <c r="H251" s="237"/>
    </row>
    <row r="252" spans="1:18" x14ac:dyDescent="0.2">
      <c r="A252" s="2" t="s">
        <v>7</v>
      </c>
      <c r="C252" s="4" t="s">
        <v>2</v>
      </c>
      <c r="E252" s="2" t="s">
        <v>224</v>
      </c>
      <c r="F252" s="8"/>
      <c r="G252" s="8"/>
      <c r="H252" s="8"/>
    </row>
    <row r="253" spans="1:18" x14ac:dyDescent="0.2">
      <c r="A253" s="2" t="s">
        <v>10</v>
      </c>
      <c r="C253" s="4" t="s">
        <v>2</v>
      </c>
      <c r="E253" s="9">
        <f>50*1</f>
        <v>50</v>
      </c>
      <c r="F253" s="8"/>
      <c r="G253" s="8"/>
      <c r="H253" s="8"/>
    </row>
    <row r="254" spans="1:18" x14ac:dyDescent="0.2">
      <c r="B254" s="8"/>
      <c r="F254" s="11"/>
      <c r="G254" s="8"/>
      <c r="H254" s="8"/>
      <c r="I254" s="8"/>
    </row>
    <row r="255" spans="1:18" x14ac:dyDescent="0.2">
      <c r="A255" s="12"/>
      <c r="B255" s="238" t="s">
        <v>11</v>
      </c>
      <c r="C255" s="239"/>
      <c r="D255" s="239"/>
      <c r="E255" s="240"/>
      <c r="F255" s="244" t="s">
        <v>12</v>
      </c>
      <c r="G255" s="244" t="s">
        <v>13</v>
      </c>
      <c r="H255" s="244" t="s">
        <v>14</v>
      </c>
      <c r="I255" s="246" t="s">
        <v>15</v>
      </c>
    </row>
    <row r="256" spans="1:18" x14ac:dyDescent="0.2">
      <c r="A256" s="13"/>
      <c r="B256" s="241"/>
      <c r="C256" s="242"/>
      <c r="D256" s="242"/>
      <c r="E256" s="243"/>
      <c r="F256" s="245"/>
      <c r="G256" s="245"/>
      <c r="H256" s="245"/>
      <c r="I256" s="247"/>
    </row>
    <row r="257" spans="1:9" x14ac:dyDescent="0.2">
      <c r="A257" s="13" t="s">
        <v>16</v>
      </c>
      <c r="B257" s="14" t="s">
        <v>17</v>
      </c>
      <c r="C257" s="15"/>
      <c r="D257" s="15"/>
      <c r="E257" s="16"/>
      <c r="F257" s="17"/>
      <c r="G257" s="17"/>
      <c r="H257" s="17"/>
      <c r="I257" s="17"/>
    </row>
    <row r="258" spans="1:9" x14ac:dyDescent="0.2">
      <c r="A258" s="13"/>
      <c r="B258" s="18"/>
      <c r="C258" s="19"/>
      <c r="D258" s="19"/>
      <c r="E258" s="20"/>
      <c r="F258" s="21"/>
      <c r="G258" s="22"/>
      <c r="H258" s="21"/>
      <c r="I258" s="21"/>
    </row>
    <row r="259" spans="1:9" x14ac:dyDescent="0.2">
      <c r="A259" s="13"/>
      <c r="B259" s="24" t="s">
        <v>18</v>
      </c>
      <c r="C259" s="25"/>
      <c r="D259" s="25"/>
      <c r="E259" s="26"/>
      <c r="F259" s="22">
        <v>1</v>
      </c>
      <c r="G259" s="62">
        <v>1</v>
      </c>
      <c r="H259" s="23">
        <v>69.42</v>
      </c>
      <c r="I259" s="23">
        <f>G259*H259*F259</f>
        <v>69.42</v>
      </c>
    </row>
    <row r="260" spans="1:9" x14ac:dyDescent="0.2">
      <c r="A260" s="13"/>
      <c r="B260" s="24" t="s">
        <v>1179</v>
      </c>
      <c r="C260" s="25"/>
      <c r="D260" s="25"/>
      <c r="E260" s="26"/>
      <c r="F260" s="22">
        <v>2</v>
      </c>
      <c r="G260" s="62">
        <v>1</v>
      </c>
      <c r="H260" s="23">
        <v>38.97</v>
      </c>
      <c r="I260" s="23">
        <f>G260*H260*F260</f>
        <v>77.94</v>
      </c>
    </row>
    <row r="261" spans="1:9" x14ac:dyDescent="0.2">
      <c r="A261" s="13"/>
      <c r="B261" s="27"/>
      <c r="C261" s="19"/>
      <c r="D261" s="19"/>
      <c r="E261" s="20"/>
      <c r="F261" s="22"/>
      <c r="G261" s="22"/>
      <c r="H261" s="28"/>
      <c r="I261" s="23"/>
    </row>
    <row r="262" spans="1:9" x14ac:dyDescent="0.2">
      <c r="A262" s="13"/>
      <c r="B262" s="27"/>
      <c r="C262" s="19"/>
      <c r="D262" s="19"/>
      <c r="E262" s="20"/>
      <c r="F262" s="22"/>
      <c r="G262" s="22"/>
      <c r="H262" s="29"/>
      <c r="I262" s="30"/>
    </row>
    <row r="263" spans="1:9" x14ac:dyDescent="0.2">
      <c r="A263" s="13"/>
      <c r="B263" s="27"/>
      <c r="C263" s="19"/>
      <c r="D263" s="19"/>
      <c r="E263" s="20"/>
      <c r="F263" s="22"/>
      <c r="G263" s="22"/>
      <c r="H263" s="29"/>
      <c r="I263" s="30"/>
    </row>
    <row r="264" spans="1:9" x14ac:dyDescent="0.2">
      <c r="A264" s="13"/>
      <c r="B264" s="18"/>
      <c r="C264" s="19"/>
      <c r="D264" s="19"/>
      <c r="E264" s="20"/>
      <c r="F264" s="22"/>
      <c r="G264" s="22"/>
      <c r="H264" s="28"/>
      <c r="I264" s="23"/>
    </row>
    <row r="265" spans="1:9" ht="15" customHeight="1" x14ac:dyDescent="0.2">
      <c r="A265" s="13"/>
      <c r="B265" s="18"/>
      <c r="C265" s="19"/>
      <c r="D265" s="19"/>
      <c r="E265" s="20"/>
      <c r="F265" s="22"/>
      <c r="G265" s="22"/>
      <c r="H265" s="23"/>
      <c r="I265" s="23"/>
    </row>
    <row r="266" spans="1:9" ht="15" customHeight="1" x14ac:dyDescent="0.2">
      <c r="A266" s="13"/>
      <c r="B266" s="248" t="s">
        <v>20</v>
      </c>
      <c r="C266" s="249"/>
      <c r="D266" s="249"/>
      <c r="E266" s="250"/>
      <c r="F266" s="31"/>
      <c r="G266" s="31"/>
      <c r="H266" s="32"/>
      <c r="I266" s="32">
        <f>SUM(I259:I265)</f>
        <v>147.36000000000001</v>
      </c>
    </row>
    <row r="267" spans="1:9" x14ac:dyDescent="0.2">
      <c r="A267" s="12"/>
      <c r="B267" s="251" t="s">
        <v>21</v>
      </c>
      <c r="C267" s="252"/>
      <c r="D267" s="252"/>
      <c r="E267" s="253"/>
      <c r="F267" s="244" t="s">
        <v>22</v>
      </c>
      <c r="G267" s="244" t="s">
        <v>13</v>
      </c>
      <c r="H267" s="244" t="s">
        <v>14</v>
      </c>
      <c r="I267" s="246" t="s">
        <v>15</v>
      </c>
    </row>
    <row r="268" spans="1:9" x14ac:dyDescent="0.2">
      <c r="A268" s="13"/>
      <c r="B268" s="254"/>
      <c r="C268" s="255"/>
      <c r="D268" s="255"/>
      <c r="E268" s="256"/>
      <c r="F268" s="245"/>
      <c r="G268" s="245"/>
      <c r="H268" s="245"/>
      <c r="I268" s="247"/>
    </row>
    <row r="269" spans="1:9" x14ac:dyDescent="0.2">
      <c r="A269" s="13" t="s">
        <v>23</v>
      </c>
      <c r="B269" s="33" t="s">
        <v>24</v>
      </c>
      <c r="C269" s="15"/>
      <c r="D269" s="15"/>
      <c r="E269" s="16"/>
      <c r="F269" s="34"/>
      <c r="G269" s="34"/>
      <c r="H269" s="35"/>
      <c r="I269" s="35"/>
    </row>
    <row r="270" spans="1:9" x14ac:dyDescent="0.2">
      <c r="A270" s="13"/>
      <c r="B270" s="18"/>
      <c r="C270" s="19"/>
      <c r="D270" s="19"/>
      <c r="E270" s="20"/>
      <c r="F270" s="22"/>
      <c r="G270" s="22"/>
      <c r="H270" s="23"/>
      <c r="I270" s="23"/>
    </row>
    <row r="271" spans="1:9" x14ac:dyDescent="0.2">
      <c r="A271" s="13"/>
      <c r="B271" s="18" t="s">
        <v>1172</v>
      </c>
      <c r="C271" s="19"/>
      <c r="D271" s="19"/>
      <c r="E271" s="20"/>
      <c r="F271" s="22">
        <v>1</v>
      </c>
      <c r="G271" s="23">
        <v>1</v>
      </c>
      <c r="H271" s="37">
        <v>2173</v>
      </c>
      <c r="I271" s="37">
        <f>G271*H271*F271</f>
        <v>2173</v>
      </c>
    </row>
    <row r="272" spans="1:9" x14ac:dyDescent="0.2">
      <c r="A272" s="13"/>
      <c r="B272" s="18" t="s">
        <v>1173</v>
      </c>
      <c r="C272" s="19"/>
      <c r="D272" s="19"/>
      <c r="E272" s="20"/>
      <c r="F272" s="22">
        <v>1</v>
      </c>
      <c r="G272" s="23">
        <v>1</v>
      </c>
      <c r="H272" s="37">
        <v>1846</v>
      </c>
      <c r="I272" s="37">
        <f>G272*H272*F272</f>
        <v>1846</v>
      </c>
    </row>
    <row r="273" spans="1:9" x14ac:dyDescent="0.2">
      <c r="A273" s="13"/>
      <c r="B273" s="18" t="s">
        <v>1174</v>
      </c>
      <c r="C273" s="19"/>
      <c r="D273" s="19"/>
      <c r="E273" s="20"/>
      <c r="F273" s="22">
        <v>1</v>
      </c>
      <c r="G273" s="23">
        <v>0.25</v>
      </c>
      <c r="H273" s="37">
        <v>2450</v>
      </c>
      <c r="I273" s="37">
        <f>G273*H273*F273</f>
        <v>612.5</v>
      </c>
    </row>
    <row r="274" spans="1:9" x14ac:dyDescent="0.2">
      <c r="A274" s="13"/>
      <c r="B274" s="18"/>
      <c r="F274" s="22"/>
      <c r="G274" s="36"/>
      <c r="H274" s="37"/>
      <c r="I274" s="37"/>
    </row>
    <row r="275" spans="1:9" x14ac:dyDescent="0.2">
      <c r="A275" s="13"/>
      <c r="B275" s="18"/>
      <c r="C275" s="19"/>
      <c r="D275" s="19"/>
      <c r="E275" s="20"/>
      <c r="F275" s="22"/>
      <c r="G275" s="36"/>
      <c r="H275" s="37"/>
      <c r="I275" s="37"/>
    </row>
    <row r="276" spans="1:9" x14ac:dyDescent="0.2">
      <c r="A276" s="13"/>
      <c r="B276" s="18"/>
      <c r="C276" s="19"/>
      <c r="D276" s="19"/>
      <c r="E276" s="20"/>
      <c r="F276" s="22"/>
      <c r="G276" s="36"/>
      <c r="H276" s="38"/>
      <c r="I276" s="38"/>
    </row>
    <row r="277" spans="1:9" x14ac:dyDescent="0.2">
      <c r="A277" s="13"/>
      <c r="B277" s="18"/>
      <c r="C277" s="19"/>
      <c r="D277" s="19"/>
      <c r="E277" s="20"/>
      <c r="F277" s="22"/>
      <c r="G277" s="36"/>
      <c r="H277" s="38"/>
      <c r="I277" s="38"/>
    </row>
    <row r="278" spans="1:9" x14ac:dyDescent="0.2">
      <c r="A278" s="13"/>
      <c r="B278" s="18"/>
      <c r="C278" s="19"/>
      <c r="D278" s="19"/>
      <c r="E278" s="20"/>
      <c r="F278" s="22"/>
      <c r="G278" s="36"/>
      <c r="H278" s="38"/>
      <c r="I278" s="38"/>
    </row>
    <row r="279" spans="1:9" x14ac:dyDescent="0.2">
      <c r="A279" s="13"/>
      <c r="B279" s="18"/>
      <c r="C279" s="19"/>
      <c r="D279" s="19"/>
      <c r="E279" s="20"/>
      <c r="F279" s="22"/>
      <c r="G279" s="36"/>
      <c r="H279" s="38"/>
      <c r="I279" s="38"/>
    </row>
    <row r="280" spans="1:9" x14ac:dyDescent="0.2">
      <c r="A280" s="13"/>
      <c r="B280" s="18"/>
      <c r="C280" s="19"/>
      <c r="D280" s="19"/>
      <c r="E280" s="20"/>
      <c r="F280" s="22"/>
      <c r="G280" s="36"/>
      <c r="H280" s="37"/>
      <c r="I280" s="37"/>
    </row>
    <row r="281" spans="1:9" x14ac:dyDescent="0.2">
      <c r="A281" s="13"/>
      <c r="B281" s="18"/>
      <c r="C281" s="19"/>
      <c r="D281" s="19"/>
      <c r="E281" s="20"/>
      <c r="F281" s="22"/>
      <c r="G281" s="36"/>
      <c r="H281" s="37"/>
      <c r="I281" s="37"/>
    </row>
    <row r="282" spans="1:9" x14ac:dyDescent="0.2">
      <c r="A282" s="13"/>
      <c r="B282" s="18"/>
      <c r="C282" s="19"/>
      <c r="D282" s="19"/>
      <c r="E282" s="20"/>
      <c r="F282" s="22"/>
      <c r="G282" s="36"/>
      <c r="H282" s="37"/>
      <c r="I282" s="37"/>
    </row>
    <row r="283" spans="1:9" x14ac:dyDescent="0.2">
      <c r="A283" s="13"/>
      <c r="B283" s="18"/>
      <c r="C283" s="19"/>
      <c r="D283" s="19"/>
      <c r="E283" s="20"/>
      <c r="F283" s="22"/>
      <c r="G283" s="22"/>
      <c r="H283" s="23"/>
      <c r="I283" s="23"/>
    </row>
    <row r="284" spans="1:9" x14ac:dyDescent="0.2">
      <c r="A284" s="13"/>
      <c r="B284" s="248" t="s">
        <v>30</v>
      </c>
      <c r="C284" s="249"/>
      <c r="D284" s="249"/>
      <c r="E284" s="250"/>
      <c r="F284" s="22"/>
      <c r="G284" s="22"/>
      <c r="H284" s="23"/>
      <c r="I284" s="23">
        <f>SUM(I271:I283)</f>
        <v>4631.5</v>
      </c>
    </row>
    <row r="285" spans="1:9" x14ac:dyDescent="0.2">
      <c r="A285" s="12" t="s">
        <v>31</v>
      </c>
      <c r="B285" s="260" t="s">
        <v>32</v>
      </c>
      <c r="C285" s="261"/>
      <c r="D285" s="261"/>
      <c r="E285" s="261"/>
      <c r="F285" s="39"/>
      <c r="G285" s="39"/>
      <c r="H285" s="40"/>
      <c r="I285" s="41">
        <f>SUM(I284+I266)</f>
        <v>4778.8599999999997</v>
      </c>
    </row>
    <row r="286" spans="1:9" x14ac:dyDescent="0.2">
      <c r="A286" s="13" t="s">
        <v>33</v>
      </c>
      <c r="B286" s="264">
        <f>E253</f>
        <v>50</v>
      </c>
      <c r="C286" s="265"/>
      <c r="D286" s="265"/>
      <c r="E286" s="265"/>
      <c r="F286" s="265"/>
      <c r="G286" s="265"/>
      <c r="H286" s="40"/>
      <c r="I286" s="41"/>
    </row>
    <row r="287" spans="1:9" x14ac:dyDescent="0.2">
      <c r="A287" s="13" t="s">
        <v>34</v>
      </c>
      <c r="B287" s="42" t="s">
        <v>35</v>
      </c>
      <c r="C287" s="43"/>
      <c r="D287" s="43"/>
      <c r="E287" s="39"/>
      <c r="F287" s="44"/>
      <c r="G287" s="44"/>
      <c r="H287" s="40"/>
      <c r="I287" s="41">
        <f>I285/E253</f>
        <v>95.577199999999991</v>
      </c>
    </row>
    <row r="288" spans="1:9" x14ac:dyDescent="0.2">
      <c r="A288" s="12"/>
      <c r="B288" s="251" t="s">
        <v>36</v>
      </c>
      <c r="C288" s="252"/>
      <c r="D288" s="252"/>
      <c r="E288" s="253"/>
      <c r="F288" s="244" t="s">
        <v>37</v>
      </c>
      <c r="G288" s="244" t="s">
        <v>38</v>
      </c>
      <c r="H288" s="244" t="s">
        <v>39</v>
      </c>
      <c r="I288" s="246" t="s">
        <v>15</v>
      </c>
    </row>
    <row r="289" spans="1:9" x14ac:dyDescent="0.2">
      <c r="A289" s="13"/>
      <c r="B289" s="254"/>
      <c r="C289" s="255"/>
      <c r="D289" s="255"/>
      <c r="E289" s="256"/>
      <c r="F289" s="245"/>
      <c r="G289" s="245"/>
      <c r="H289" s="245"/>
      <c r="I289" s="247"/>
    </row>
    <row r="290" spans="1:9" ht="15" customHeight="1" x14ac:dyDescent="0.2">
      <c r="A290" s="13" t="s">
        <v>40</v>
      </c>
      <c r="B290" s="18" t="s">
        <v>41</v>
      </c>
      <c r="C290" s="19"/>
      <c r="D290" s="19"/>
      <c r="E290" s="20"/>
      <c r="F290" s="22"/>
      <c r="G290" s="22"/>
      <c r="H290" s="23"/>
      <c r="I290" s="23"/>
    </row>
    <row r="291" spans="1:9" ht="15" customHeight="1" x14ac:dyDescent="0.2">
      <c r="A291" s="13"/>
      <c r="B291" s="18"/>
      <c r="C291" s="19"/>
      <c r="D291" s="19"/>
      <c r="E291" s="20"/>
      <c r="F291" s="22"/>
      <c r="G291" s="22"/>
      <c r="H291" s="23"/>
      <c r="I291" s="23"/>
    </row>
    <row r="292" spans="1:9" x14ac:dyDescent="0.2">
      <c r="A292" s="13"/>
      <c r="B292" s="18" t="s">
        <v>246</v>
      </c>
      <c r="C292" s="66"/>
      <c r="D292" s="19"/>
      <c r="E292" s="20"/>
      <c r="F292" s="22" t="s">
        <v>9</v>
      </c>
      <c r="G292" s="22">
        <v>1.1499999999999999</v>
      </c>
      <c r="H292" s="107">
        <v>700</v>
      </c>
      <c r="I292" s="23">
        <f>H292*G292</f>
        <v>804.99999999999989</v>
      </c>
    </row>
    <row r="293" spans="1:9" x14ac:dyDescent="0.2">
      <c r="A293" s="13"/>
      <c r="B293" s="18" t="s">
        <v>247</v>
      </c>
      <c r="C293" s="66"/>
      <c r="D293" s="19"/>
      <c r="E293" s="20"/>
      <c r="F293" s="22"/>
      <c r="G293" s="22"/>
      <c r="H293" s="23"/>
      <c r="I293" s="23"/>
    </row>
    <row r="294" spans="1:9" x14ac:dyDescent="0.2">
      <c r="A294" s="13"/>
      <c r="B294" s="18"/>
      <c r="C294" s="19"/>
      <c r="D294" s="19"/>
      <c r="E294" s="20"/>
      <c r="F294" s="22"/>
      <c r="G294" s="22"/>
      <c r="H294" s="38"/>
      <c r="I294" s="38"/>
    </row>
    <row r="295" spans="1:9" x14ac:dyDescent="0.2">
      <c r="A295" s="13"/>
      <c r="B295" s="18"/>
      <c r="C295" s="19"/>
      <c r="D295" s="19"/>
      <c r="E295" s="20"/>
      <c r="F295" s="22"/>
      <c r="G295" s="22"/>
      <c r="H295" s="38"/>
      <c r="I295" s="38"/>
    </row>
    <row r="296" spans="1:9" x14ac:dyDescent="0.2">
      <c r="A296" s="13"/>
      <c r="B296" s="18"/>
      <c r="C296" s="19"/>
      <c r="D296" s="19"/>
      <c r="E296" s="20"/>
      <c r="F296" s="22"/>
      <c r="G296" s="22"/>
      <c r="H296" s="45"/>
      <c r="I296" s="45"/>
    </row>
    <row r="297" spans="1:9" x14ac:dyDescent="0.2">
      <c r="A297" s="13"/>
      <c r="B297" s="18"/>
      <c r="C297" s="19"/>
      <c r="D297" s="19"/>
      <c r="E297" s="20"/>
      <c r="F297" s="22"/>
      <c r="G297" s="22"/>
      <c r="H297" s="45"/>
      <c r="I297" s="45"/>
    </row>
    <row r="298" spans="1:9" x14ac:dyDescent="0.2">
      <c r="A298" s="13"/>
      <c r="B298" s="18"/>
      <c r="C298" s="19"/>
      <c r="D298" s="19"/>
      <c r="E298" s="20"/>
      <c r="F298" s="22"/>
      <c r="G298" s="22"/>
      <c r="H298" s="23"/>
      <c r="I298" s="23"/>
    </row>
    <row r="299" spans="1:9" x14ac:dyDescent="0.2">
      <c r="A299" s="13"/>
      <c r="B299" s="18"/>
      <c r="C299" s="19"/>
      <c r="D299" s="19"/>
      <c r="E299" s="20"/>
      <c r="F299" s="22"/>
      <c r="G299" s="22"/>
      <c r="H299" s="23"/>
      <c r="I299" s="23"/>
    </row>
    <row r="300" spans="1:9" ht="17.25" customHeight="1" x14ac:dyDescent="0.2">
      <c r="A300" s="13"/>
      <c r="B300" s="18"/>
      <c r="C300" s="19"/>
      <c r="D300" s="19"/>
      <c r="E300" s="20"/>
      <c r="F300" s="22"/>
      <c r="G300" s="22"/>
      <c r="H300" s="23"/>
      <c r="I300" s="23"/>
    </row>
    <row r="301" spans="1:9" ht="17.25" customHeight="1" x14ac:dyDescent="0.2">
      <c r="A301" s="13"/>
      <c r="B301" s="18"/>
      <c r="C301" s="19"/>
      <c r="D301" s="19"/>
      <c r="E301" s="20"/>
      <c r="F301" s="22"/>
      <c r="G301" s="22"/>
      <c r="H301" s="23"/>
      <c r="I301" s="23"/>
    </row>
    <row r="302" spans="1:9" ht="17.25" customHeight="1" x14ac:dyDescent="0.2">
      <c r="A302" s="13"/>
      <c r="B302" s="18"/>
      <c r="C302" s="19"/>
      <c r="D302" s="19"/>
      <c r="E302" s="20"/>
      <c r="F302" s="22"/>
      <c r="G302" s="22"/>
      <c r="H302" s="23"/>
      <c r="I302" s="23"/>
    </row>
    <row r="303" spans="1:9" x14ac:dyDescent="0.2">
      <c r="A303" s="13"/>
      <c r="B303" s="18"/>
      <c r="C303" s="19"/>
      <c r="D303" s="19"/>
      <c r="E303" s="20"/>
      <c r="F303" s="22"/>
      <c r="G303" s="22"/>
      <c r="H303" s="23"/>
      <c r="I303" s="23"/>
    </row>
    <row r="304" spans="1:9" x14ac:dyDescent="0.2">
      <c r="A304" s="13"/>
      <c r="B304" s="18"/>
      <c r="C304" s="19"/>
      <c r="D304" s="19"/>
      <c r="E304" s="20"/>
      <c r="F304" s="22"/>
      <c r="G304" s="36"/>
      <c r="H304" s="37"/>
      <c r="I304" s="37"/>
    </row>
    <row r="305" spans="1:9" x14ac:dyDescent="0.2">
      <c r="A305" s="13"/>
      <c r="B305" s="248" t="s">
        <v>42</v>
      </c>
      <c r="C305" s="249"/>
      <c r="D305" s="249"/>
      <c r="E305" s="250"/>
      <c r="F305" s="46"/>
      <c r="G305" s="46"/>
      <c r="H305" s="47"/>
      <c r="I305" s="47">
        <f>SUM(I292:I304)</f>
        <v>804.99999999999989</v>
      </c>
    </row>
    <row r="306" spans="1:9" x14ac:dyDescent="0.2">
      <c r="A306" s="12" t="s">
        <v>43</v>
      </c>
      <c r="B306" s="48" t="s">
        <v>44</v>
      </c>
      <c r="C306" s="43"/>
      <c r="D306" s="43"/>
      <c r="E306" s="39"/>
      <c r="F306" s="49"/>
      <c r="G306" s="49"/>
      <c r="H306" s="50"/>
      <c r="I306" s="51">
        <f>SUM(I287+I305)</f>
        <v>900.57719999999983</v>
      </c>
    </row>
    <row r="307" spans="1:9" x14ac:dyDescent="0.2">
      <c r="A307" s="13" t="s">
        <v>45</v>
      </c>
      <c r="B307" s="48" t="s">
        <v>46</v>
      </c>
      <c r="C307" s="43"/>
      <c r="D307" s="43"/>
      <c r="E307" s="39"/>
      <c r="F307" s="49"/>
      <c r="G307" s="52">
        <v>0.09</v>
      </c>
      <c r="H307" s="53" t="s">
        <v>47</v>
      </c>
      <c r="I307" s="51">
        <f>G307*I306</f>
        <v>81.051947999999982</v>
      </c>
    </row>
    <row r="308" spans="1:9" x14ac:dyDescent="0.2">
      <c r="A308" s="13" t="s">
        <v>48</v>
      </c>
      <c r="B308" s="48" t="s">
        <v>49</v>
      </c>
      <c r="C308" s="43"/>
      <c r="D308" s="43"/>
      <c r="E308" s="39"/>
      <c r="F308" s="49"/>
      <c r="G308" s="52">
        <v>0.08</v>
      </c>
      <c r="H308" s="53" t="s">
        <v>47</v>
      </c>
      <c r="I308" s="51">
        <f>G308*I306</f>
        <v>72.046175999999988</v>
      </c>
    </row>
    <row r="309" spans="1:9" x14ac:dyDescent="0.2">
      <c r="A309" s="13" t="s">
        <v>50</v>
      </c>
      <c r="B309" s="48" t="s">
        <v>51</v>
      </c>
      <c r="C309" s="43"/>
      <c r="D309" s="43"/>
      <c r="E309" s="39"/>
      <c r="F309" s="49"/>
      <c r="G309" s="52">
        <f>5/100</f>
        <v>0.05</v>
      </c>
      <c r="H309" s="53" t="s">
        <v>52</v>
      </c>
      <c r="I309" s="51">
        <f>G309*(I306+I307+I308)</f>
        <v>52.683766199999994</v>
      </c>
    </row>
    <row r="310" spans="1:9" x14ac:dyDescent="0.2">
      <c r="A310" s="54" t="s">
        <v>53</v>
      </c>
      <c r="B310" s="48" t="s">
        <v>54</v>
      </c>
      <c r="C310" s="43"/>
      <c r="D310" s="43"/>
      <c r="E310" s="39"/>
      <c r="F310" s="49"/>
      <c r="G310" s="49"/>
      <c r="H310" s="55" t="s">
        <v>55</v>
      </c>
      <c r="I310" s="51">
        <f>SUM(I306+I307+I308+I309)</f>
        <v>1106.3590901999999</v>
      </c>
    </row>
    <row r="311" spans="1:9" ht="15" customHeight="1" x14ac:dyDescent="0.2"/>
    <row r="327" ht="15" customHeight="1" x14ac:dyDescent="0.2"/>
    <row r="352" ht="15" customHeight="1" x14ac:dyDescent="0.2"/>
    <row r="362" ht="17.25" customHeight="1" x14ac:dyDescent="0.2"/>
    <row r="363" ht="17.25" customHeight="1" x14ac:dyDescent="0.2"/>
    <row r="372" ht="15" customHeight="1" x14ac:dyDescent="0.2"/>
    <row r="388" ht="15" customHeight="1" x14ac:dyDescent="0.2"/>
    <row r="413" ht="15" customHeight="1" x14ac:dyDescent="0.2"/>
    <row r="423" ht="17.25" customHeight="1" x14ac:dyDescent="0.2"/>
    <row r="424" ht="17.25" customHeight="1" x14ac:dyDescent="0.2"/>
    <row r="433" ht="15" customHeight="1" x14ac:dyDescent="0.2"/>
    <row r="449" ht="15" customHeight="1" x14ac:dyDescent="0.2"/>
    <row r="474" ht="15" customHeight="1" x14ac:dyDescent="0.2"/>
    <row r="484" ht="17.25" customHeight="1" x14ac:dyDescent="0.2"/>
    <row r="485" ht="17.25" customHeight="1" x14ac:dyDescent="0.2"/>
    <row r="494" ht="15" customHeight="1" x14ac:dyDescent="0.2"/>
    <row r="510" ht="15" customHeight="1" x14ac:dyDescent="0.2"/>
    <row r="535" ht="15" customHeight="1" x14ac:dyDescent="0.2"/>
    <row r="545" ht="17.25" customHeight="1" x14ac:dyDescent="0.2"/>
    <row r="546" ht="17.25" customHeight="1" x14ac:dyDescent="0.2"/>
    <row r="555" ht="15" customHeight="1" x14ac:dyDescent="0.2"/>
    <row r="571" ht="15" customHeight="1" x14ac:dyDescent="0.2"/>
    <row r="596" ht="15" customHeight="1" x14ac:dyDescent="0.2"/>
    <row r="606" ht="17.25" customHeight="1" x14ac:dyDescent="0.2"/>
    <row r="607" ht="17.25" customHeight="1" x14ac:dyDescent="0.2"/>
    <row r="616" ht="15" customHeight="1" x14ac:dyDescent="0.2"/>
    <row r="632" ht="15" customHeight="1" x14ac:dyDescent="0.2"/>
    <row r="657" ht="15" customHeight="1" x14ac:dyDescent="0.2"/>
    <row r="667" ht="17.25" customHeight="1" x14ac:dyDescent="0.2"/>
    <row r="668" ht="17.25" customHeight="1" x14ac:dyDescent="0.2"/>
    <row r="677" ht="15" customHeight="1" x14ac:dyDescent="0.2"/>
    <row r="693" ht="15" customHeight="1" x14ac:dyDescent="0.2"/>
    <row r="718" ht="15" customHeight="1" x14ac:dyDescent="0.2"/>
    <row r="728" ht="17.25" customHeight="1" x14ac:dyDescent="0.2"/>
    <row r="729" ht="17.25" customHeight="1" x14ac:dyDescent="0.2"/>
    <row r="738" ht="15" customHeight="1" x14ac:dyDescent="0.2"/>
    <row r="754" ht="15" customHeight="1" x14ac:dyDescent="0.2"/>
    <row r="779" ht="15" customHeight="1" x14ac:dyDescent="0.2"/>
    <row r="789" ht="17.25" customHeight="1" x14ac:dyDescent="0.2"/>
    <row r="790" ht="17.25" customHeight="1" x14ac:dyDescent="0.2"/>
    <row r="799" ht="15" customHeight="1" x14ac:dyDescent="0.2"/>
    <row r="815" ht="15" customHeight="1" x14ac:dyDescent="0.2"/>
    <row r="840" ht="15" customHeight="1" x14ac:dyDescent="0.2"/>
    <row r="850" ht="17.25" customHeight="1" x14ac:dyDescent="0.2"/>
    <row r="851" ht="17.25" customHeight="1" x14ac:dyDescent="0.2"/>
    <row r="860" ht="15" customHeight="1" x14ac:dyDescent="0.2"/>
    <row r="876" ht="15" customHeight="1" x14ac:dyDescent="0.2"/>
  </sheetData>
  <sheetProtection selectLockedCells="1" selectUnlockedCells="1"/>
  <mergeCells count="200">
    <mergeCell ref="H288:H289"/>
    <mergeCell ref="I288:I289"/>
    <mergeCell ref="B305:E305"/>
    <mergeCell ref="B284:E284"/>
    <mergeCell ref="B285:E285"/>
    <mergeCell ref="B286:G286"/>
    <mergeCell ref="B288:E289"/>
    <mergeCell ref="F288:F289"/>
    <mergeCell ref="G288:G289"/>
    <mergeCell ref="B266:E266"/>
    <mergeCell ref="B267:E268"/>
    <mergeCell ref="F267:F268"/>
    <mergeCell ref="G267:G268"/>
    <mergeCell ref="H267:H268"/>
    <mergeCell ref="I267:I268"/>
    <mergeCell ref="A249:I249"/>
    <mergeCell ref="E251:H251"/>
    <mergeCell ref="B255:E256"/>
    <mergeCell ref="F255:F256"/>
    <mergeCell ref="G255:G256"/>
    <mergeCell ref="H255:H256"/>
    <mergeCell ref="I255:I256"/>
    <mergeCell ref="O226:O227"/>
    <mergeCell ref="P226:P227"/>
    <mergeCell ref="Q226:Q227"/>
    <mergeCell ref="R226:R227"/>
    <mergeCell ref="B243:E243"/>
    <mergeCell ref="K243:N243"/>
    <mergeCell ref="B223:E223"/>
    <mergeCell ref="K223:N223"/>
    <mergeCell ref="B224:G224"/>
    <mergeCell ref="K224:P224"/>
    <mergeCell ref="B226:E227"/>
    <mergeCell ref="F226:F227"/>
    <mergeCell ref="G226:G227"/>
    <mergeCell ref="H226:H227"/>
    <mergeCell ref="I226:I227"/>
    <mergeCell ref="K226:N227"/>
    <mergeCell ref="O205:O206"/>
    <mergeCell ref="P205:P206"/>
    <mergeCell ref="Q205:Q206"/>
    <mergeCell ref="R205:R206"/>
    <mergeCell ref="B222:E222"/>
    <mergeCell ref="K222:N222"/>
    <mergeCell ref="B204:E204"/>
    <mergeCell ref="K204:N204"/>
    <mergeCell ref="B205:E206"/>
    <mergeCell ref="F205:F206"/>
    <mergeCell ref="G205:G206"/>
    <mergeCell ref="H205:H206"/>
    <mergeCell ref="I205:I206"/>
    <mergeCell ref="K205:N206"/>
    <mergeCell ref="O193:O194"/>
    <mergeCell ref="P193:P194"/>
    <mergeCell ref="Q193:Q194"/>
    <mergeCell ref="R193:R194"/>
    <mergeCell ref="K198:L198"/>
    <mergeCell ref="K199:L199"/>
    <mergeCell ref="A187:I187"/>
    <mergeCell ref="J187:R187"/>
    <mergeCell ref="E189:H189"/>
    <mergeCell ref="N189:Q189"/>
    <mergeCell ref="B193:E194"/>
    <mergeCell ref="F193:F194"/>
    <mergeCell ref="G193:G194"/>
    <mergeCell ref="H193:H194"/>
    <mergeCell ref="I193:I194"/>
    <mergeCell ref="K193:N194"/>
    <mergeCell ref="O164:O165"/>
    <mergeCell ref="P164:P165"/>
    <mergeCell ref="Q164:Q165"/>
    <mergeCell ref="R164:R165"/>
    <mergeCell ref="B181:E181"/>
    <mergeCell ref="K181:N181"/>
    <mergeCell ref="B161:E161"/>
    <mergeCell ref="K161:N161"/>
    <mergeCell ref="B162:G162"/>
    <mergeCell ref="K162:P162"/>
    <mergeCell ref="B164:E165"/>
    <mergeCell ref="F164:F165"/>
    <mergeCell ref="G164:G165"/>
    <mergeCell ref="H164:H165"/>
    <mergeCell ref="I164:I165"/>
    <mergeCell ref="K164:N165"/>
    <mergeCell ref="O143:O144"/>
    <mergeCell ref="P143:P144"/>
    <mergeCell ref="Q143:Q144"/>
    <mergeCell ref="R143:R144"/>
    <mergeCell ref="B160:E160"/>
    <mergeCell ref="K160:N160"/>
    <mergeCell ref="B143:E144"/>
    <mergeCell ref="F143:F144"/>
    <mergeCell ref="G143:G144"/>
    <mergeCell ref="H143:H144"/>
    <mergeCell ref="I143:I144"/>
    <mergeCell ref="K143:N144"/>
    <mergeCell ref="O131:O132"/>
    <mergeCell ref="P131:P132"/>
    <mergeCell ref="Q131:Q132"/>
    <mergeCell ref="R131:R132"/>
    <mergeCell ref="B142:E142"/>
    <mergeCell ref="K142:N142"/>
    <mergeCell ref="A125:I125"/>
    <mergeCell ref="J125:R125"/>
    <mergeCell ref="E127:H127"/>
    <mergeCell ref="N127:Q127"/>
    <mergeCell ref="B131:E132"/>
    <mergeCell ref="F131:F132"/>
    <mergeCell ref="G131:G132"/>
    <mergeCell ref="H131:H132"/>
    <mergeCell ref="I131:I132"/>
    <mergeCell ref="K131:N132"/>
    <mergeCell ref="O102:O103"/>
    <mergeCell ref="P102:P103"/>
    <mergeCell ref="Q102:Q103"/>
    <mergeCell ref="R102:R103"/>
    <mergeCell ref="B119:E119"/>
    <mergeCell ref="K119:N119"/>
    <mergeCell ref="B99:E99"/>
    <mergeCell ref="K99:N99"/>
    <mergeCell ref="B100:G100"/>
    <mergeCell ref="K100:P100"/>
    <mergeCell ref="B102:E103"/>
    <mergeCell ref="F102:F103"/>
    <mergeCell ref="G102:G103"/>
    <mergeCell ref="H102:H103"/>
    <mergeCell ref="I102:I103"/>
    <mergeCell ref="K102:N103"/>
    <mergeCell ref="K81:N82"/>
    <mergeCell ref="O81:O82"/>
    <mergeCell ref="P81:P82"/>
    <mergeCell ref="Q81:Q82"/>
    <mergeCell ref="R81:R82"/>
    <mergeCell ref="B98:E98"/>
    <mergeCell ref="K98:N98"/>
    <mergeCell ref="P69:P70"/>
    <mergeCell ref="Q69:Q70"/>
    <mergeCell ref="R69:R70"/>
    <mergeCell ref="B80:E80"/>
    <mergeCell ref="K80:N80"/>
    <mergeCell ref="B81:E82"/>
    <mergeCell ref="F81:F82"/>
    <mergeCell ref="G81:G82"/>
    <mergeCell ref="H81:H82"/>
    <mergeCell ref="I81:I82"/>
    <mergeCell ref="A63:I63"/>
    <mergeCell ref="J63:R63"/>
    <mergeCell ref="N65:Q65"/>
    <mergeCell ref="B69:E70"/>
    <mergeCell ref="F69:F70"/>
    <mergeCell ref="G69:G70"/>
    <mergeCell ref="H69:H70"/>
    <mergeCell ref="I69:I70"/>
    <mergeCell ref="K69:N70"/>
    <mergeCell ref="O69:O70"/>
    <mergeCell ref="O40:O41"/>
    <mergeCell ref="P40:P41"/>
    <mergeCell ref="Q40:Q41"/>
    <mergeCell ref="R40:R41"/>
    <mergeCell ref="B57:E57"/>
    <mergeCell ref="K57:N57"/>
    <mergeCell ref="B37:E37"/>
    <mergeCell ref="K37:N37"/>
    <mergeCell ref="B38:G38"/>
    <mergeCell ref="K38:P38"/>
    <mergeCell ref="B40:E41"/>
    <mergeCell ref="F40:F41"/>
    <mergeCell ref="G40:G41"/>
    <mergeCell ref="H40:H41"/>
    <mergeCell ref="I40:I41"/>
    <mergeCell ref="K40:N41"/>
    <mergeCell ref="O19:O20"/>
    <mergeCell ref="P19:P20"/>
    <mergeCell ref="Q19:Q20"/>
    <mergeCell ref="R19:R20"/>
    <mergeCell ref="B27:E28"/>
    <mergeCell ref="B36:E36"/>
    <mergeCell ref="K36:N36"/>
    <mergeCell ref="B19:E20"/>
    <mergeCell ref="F19:F20"/>
    <mergeCell ref="G19:G20"/>
    <mergeCell ref="H19:H20"/>
    <mergeCell ref="I19:I20"/>
    <mergeCell ref="K19:N20"/>
    <mergeCell ref="O7:O8"/>
    <mergeCell ref="P7:P8"/>
    <mergeCell ref="Q7:Q8"/>
    <mergeCell ref="R7:R8"/>
    <mergeCell ref="B18:E18"/>
    <mergeCell ref="K18:N18"/>
    <mergeCell ref="A1:I1"/>
    <mergeCell ref="J1:R1"/>
    <mergeCell ref="E3:H3"/>
    <mergeCell ref="N3:Q3"/>
    <mergeCell ref="B7:E8"/>
    <mergeCell ref="F7:F8"/>
    <mergeCell ref="G7:G8"/>
    <mergeCell ref="H7:H8"/>
    <mergeCell ref="I7:I8"/>
    <mergeCell ref="K7:N8"/>
  </mergeCells>
  <printOptions horizontalCentered="1"/>
  <pageMargins left="0.5" right="0" top="1" bottom="0.75" header="0" footer="0"/>
  <pageSetup paperSize="9" scale="79" orientation="portrait" horizontalDpi="4294967294" verticalDpi="200" r:id="rId1"/>
  <headerFooter>
    <oddFooter xml:space="preserve">&amp;C
</oddFooter>
    <evenFooter>&amp;C&amp;P+41</evenFooter>
    <firstFooter>&amp;C&amp;P+41</firstFooter>
  </headerFooter>
  <rowBreaks count="4" manualBreakCount="4">
    <brk id="62" max="17" man="1"/>
    <brk id="124" max="17" man="1"/>
    <brk id="186" max="17" man="1"/>
    <brk id="248" max="17" man="1"/>
  </rowBreaks>
  <colBreaks count="1" manualBreakCount="1">
    <brk id="9" min="62" max="549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A2047"/>
  <sheetViews>
    <sheetView view="pageBreakPreview" topLeftCell="A1019" zoomScale="80" zoomScaleSheetLayoutView="80" workbookViewId="0">
      <selection activeCell="E1044" sqref="E1044"/>
    </sheetView>
  </sheetViews>
  <sheetFormatPr defaultColWidth="9.14453125" defaultRowHeight="15" x14ac:dyDescent="0.2"/>
  <cols>
    <col min="1" max="1" width="3.2265625" style="10" customWidth="1"/>
    <col min="2" max="2" width="17.75390625" style="3" customWidth="1"/>
    <col min="3" max="3" width="2.6875" style="4" customWidth="1"/>
    <col min="4" max="4" width="11.56640625" style="4" customWidth="1"/>
    <col min="5" max="5" width="13.44921875" style="5" customWidth="1"/>
    <col min="6" max="8" width="17.08203125" style="3" customWidth="1"/>
    <col min="9" max="9" width="23.9453125" style="3" customWidth="1"/>
    <col min="10" max="10" width="3.2265625" style="10" customWidth="1"/>
    <col min="11" max="11" width="17.75390625" style="3" customWidth="1"/>
    <col min="12" max="12" width="2.6875" style="4" customWidth="1"/>
    <col min="13" max="13" width="11.56640625" style="4" customWidth="1"/>
    <col min="14" max="14" width="13.44921875" style="5" customWidth="1"/>
    <col min="15" max="17" width="17.08203125" style="3" customWidth="1"/>
    <col min="18" max="18" width="23.9453125" style="3" customWidth="1"/>
    <col min="19" max="19" width="3.2265625" style="7" customWidth="1"/>
    <col min="20" max="20" width="17.75390625" style="7" customWidth="1"/>
    <col min="21" max="21" width="2.6875" style="7" customWidth="1"/>
    <col min="22" max="22" width="11.56640625" style="7" customWidth="1"/>
    <col min="23" max="23" width="13.44921875" style="7" customWidth="1"/>
    <col min="24" max="26" width="17.08203125" style="7" customWidth="1"/>
    <col min="27" max="27" width="23.9453125" style="7" customWidth="1"/>
    <col min="28" max="16384" width="9.14453125" style="7"/>
  </cols>
  <sheetData>
    <row r="1" spans="1:27" s="1" customFormat="1" x14ac:dyDescent="0.2">
      <c r="A1" s="236" t="s">
        <v>0</v>
      </c>
      <c r="B1" s="236"/>
      <c r="C1" s="236"/>
      <c r="D1" s="236"/>
      <c r="E1" s="236"/>
      <c r="F1" s="236"/>
      <c r="G1" s="236"/>
      <c r="H1" s="236"/>
      <c r="I1" s="236"/>
      <c r="J1" s="236" t="s">
        <v>0</v>
      </c>
      <c r="K1" s="236"/>
      <c r="L1" s="236"/>
      <c r="M1" s="236"/>
      <c r="N1" s="236"/>
      <c r="O1" s="236"/>
      <c r="P1" s="236"/>
      <c r="Q1" s="236"/>
      <c r="R1" s="236"/>
      <c r="S1" s="236" t="s">
        <v>0</v>
      </c>
      <c r="T1" s="236"/>
      <c r="U1" s="236"/>
      <c r="V1" s="236"/>
      <c r="W1" s="236"/>
      <c r="X1" s="236"/>
      <c r="Y1" s="236"/>
      <c r="Z1" s="236"/>
      <c r="AA1" s="236"/>
    </row>
    <row r="2" spans="1:27" x14ac:dyDescent="0.2">
      <c r="S2" s="10"/>
      <c r="T2" s="3"/>
      <c r="U2" s="4"/>
      <c r="V2" s="4"/>
      <c r="W2" s="5"/>
      <c r="X2" s="3"/>
      <c r="Y2" s="3"/>
      <c r="Z2" s="3"/>
      <c r="AA2" s="3"/>
    </row>
    <row r="3" spans="1:27" x14ac:dyDescent="0.2">
      <c r="A3" s="2" t="s">
        <v>1</v>
      </c>
      <c r="C3" s="4" t="s">
        <v>2</v>
      </c>
      <c r="D3" s="5" t="s">
        <v>248</v>
      </c>
      <c r="E3" s="237" t="s">
        <v>249</v>
      </c>
      <c r="F3" s="237"/>
      <c r="G3" s="237"/>
      <c r="H3" s="237"/>
      <c r="J3" s="2" t="s">
        <v>1</v>
      </c>
      <c r="L3" s="4" t="s">
        <v>2</v>
      </c>
      <c r="M3" s="5" t="s">
        <v>250</v>
      </c>
      <c r="N3" s="237" t="s">
        <v>251</v>
      </c>
      <c r="O3" s="237"/>
      <c r="P3" s="237"/>
      <c r="Q3" s="237"/>
      <c r="S3" s="152" t="s">
        <v>1</v>
      </c>
      <c r="T3" s="3"/>
      <c r="U3" s="4" t="s">
        <v>2</v>
      </c>
      <c r="V3" s="5" t="s">
        <v>1255</v>
      </c>
      <c r="W3" s="237" t="s">
        <v>368</v>
      </c>
      <c r="X3" s="237"/>
      <c r="Y3" s="237"/>
      <c r="Z3" s="237"/>
      <c r="AA3" s="3"/>
    </row>
    <row r="4" spans="1:27" x14ac:dyDescent="0.2">
      <c r="A4" s="2" t="s">
        <v>7</v>
      </c>
      <c r="C4" s="4" t="s">
        <v>2</v>
      </c>
      <c r="E4" s="2" t="s">
        <v>224</v>
      </c>
      <c r="F4" s="8"/>
      <c r="G4" s="8"/>
      <c r="H4" s="8"/>
      <c r="J4" s="2" t="s">
        <v>7</v>
      </c>
      <c r="L4" s="4" t="s">
        <v>2</v>
      </c>
      <c r="N4" s="2" t="s">
        <v>239</v>
      </c>
      <c r="O4" s="8"/>
      <c r="P4" s="8"/>
      <c r="Q4" s="8"/>
      <c r="S4" s="152" t="s">
        <v>7</v>
      </c>
      <c r="T4" s="3"/>
      <c r="U4" s="4" t="s">
        <v>2</v>
      </c>
      <c r="V4" s="4"/>
      <c r="W4" s="152" t="s">
        <v>8</v>
      </c>
      <c r="X4" s="8"/>
      <c r="Y4" s="8"/>
      <c r="Z4" s="8"/>
      <c r="AA4" s="3"/>
    </row>
    <row r="5" spans="1:27" x14ac:dyDescent="0.2">
      <c r="A5" s="2" t="s">
        <v>10</v>
      </c>
      <c r="C5" s="4" t="s">
        <v>2</v>
      </c>
      <c r="E5" s="9">
        <f>50*1</f>
        <v>50</v>
      </c>
      <c r="F5" s="8"/>
      <c r="G5" s="8"/>
      <c r="H5" s="8"/>
      <c r="J5" s="2" t="s">
        <v>10</v>
      </c>
      <c r="L5" s="4" t="s">
        <v>2</v>
      </c>
      <c r="N5" s="9">
        <v>1</v>
      </c>
      <c r="O5" s="8"/>
      <c r="P5" s="8"/>
      <c r="Q5" s="8"/>
      <c r="S5" s="152" t="s">
        <v>10</v>
      </c>
      <c r="T5" s="3"/>
      <c r="U5" s="4" t="s">
        <v>2</v>
      </c>
      <c r="V5" s="4"/>
      <c r="W5" s="9">
        <v>53.67</v>
      </c>
      <c r="X5" s="8"/>
      <c r="Y5" s="8"/>
      <c r="Z5" s="8"/>
      <c r="AA5" s="3"/>
    </row>
    <row r="6" spans="1:27" x14ac:dyDescent="0.2">
      <c r="B6" s="8"/>
      <c r="F6" s="11"/>
      <c r="G6" s="8"/>
      <c r="H6" s="8"/>
      <c r="I6" s="8"/>
      <c r="K6" s="8"/>
      <c r="O6" s="11"/>
      <c r="P6" s="8"/>
      <c r="Q6" s="8"/>
      <c r="R6" s="8"/>
      <c r="S6" s="10"/>
      <c r="T6" s="8"/>
      <c r="U6" s="4"/>
      <c r="V6" s="4"/>
      <c r="W6" s="5"/>
      <c r="X6" s="11"/>
      <c r="Y6" s="8"/>
      <c r="Z6" s="8"/>
      <c r="AA6" s="8"/>
    </row>
    <row r="7" spans="1:27" x14ac:dyDescent="0.2">
      <c r="A7" s="12"/>
      <c r="B7" s="238" t="s">
        <v>11</v>
      </c>
      <c r="C7" s="239"/>
      <c r="D7" s="239"/>
      <c r="E7" s="240"/>
      <c r="F7" s="244" t="s">
        <v>12</v>
      </c>
      <c r="G7" s="244" t="s">
        <v>13</v>
      </c>
      <c r="H7" s="244" t="s">
        <v>14</v>
      </c>
      <c r="I7" s="246" t="s">
        <v>15</v>
      </c>
      <c r="J7" s="12"/>
      <c r="K7" s="238" t="s">
        <v>11</v>
      </c>
      <c r="L7" s="239"/>
      <c r="M7" s="239"/>
      <c r="N7" s="240"/>
      <c r="O7" s="244" t="s">
        <v>12</v>
      </c>
      <c r="P7" s="244" t="s">
        <v>13</v>
      </c>
      <c r="Q7" s="244" t="s">
        <v>14</v>
      </c>
      <c r="R7" s="246" t="s">
        <v>15</v>
      </c>
      <c r="S7" s="12"/>
      <c r="T7" s="238" t="s">
        <v>11</v>
      </c>
      <c r="U7" s="239"/>
      <c r="V7" s="239"/>
      <c r="W7" s="240"/>
      <c r="X7" s="244" t="s">
        <v>12</v>
      </c>
      <c r="Y7" s="244" t="s">
        <v>13</v>
      </c>
      <c r="Z7" s="244" t="s">
        <v>14</v>
      </c>
      <c r="AA7" s="246" t="s">
        <v>15</v>
      </c>
    </row>
    <row r="8" spans="1:27" x14ac:dyDescent="0.2">
      <c r="A8" s="13"/>
      <c r="B8" s="241"/>
      <c r="C8" s="242"/>
      <c r="D8" s="242"/>
      <c r="E8" s="243"/>
      <c r="F8" s="245"/>
      <c r="G8" s="245"/>
      <c r="H8" s="245"/>
      <c r="I8" s="247"/>
      <c r="J8" s="13"/>
      <c r="K8" s="241"/>
      <c r="L8" s="242"/>
      <c r="M8" s="242"/>
      <c r="N8" s="243"/>
      <c r="O8" s="245"/>
      <c r="P8" s="245"/>
      <c r="Q8" s="245"/>
      <c r="R8" s="247"/>
      <c r="S8" s="13"/>
      <c r="T8" s="241"/>
      <c r="U8" s="242"/>
      <c r="V8" s="242"/>
      <c r="W8" s="243"/>
      <c r="X8" s="245"/>
      <c r="Y8" s="245"/>
      <c r="Z8" s="245"/>
      <c r="AA8" s="247"/>
    </row>
    <row r="9" spans="1:27" x14ac:dyDescent="0.2">
      <c r="A9" s="13" t="s">
        <v>16</v>
      </c>
      <c r="B9" s="14" t="s">
        <v>17</v>
      </c>
      <c r="C9" s="15"/>
      <c r="D9" s="15"/>
      <c r="E9" s="16"/>
      <c r="F9" s="17"/>
      <c r="G9" s="17"/>
      <c r="H9" s="17"/>
      <c r="I9" s="17"/>
      <c r="J9" s="13" t="s">
        <v>16</v>
      </c>
      <c r="K9" s="14" t="s">
        <v>17</v>
      </c>
      <c r="L9" s="15"/>
      <c r="M9" s="15"/>
      <c r="N9" s="16"/>
      <c r="O9" s="17"/>
      <c r="P9" s="17"/>
      <c r="Q9" s="17"/>
      <c r="R9" s="17"/>
      <c r="S9" s="13" t="s">
        <v>16</v>
      </c>
      <c r="T9" s="14" t="s">
        <v>17</v>
      </c>
      <c r="U9" s="15"/>
      <c r="V9" s="15"/>
      <c r="W9" s="16"/>
      <c r="X9" s="17"/>
      <c r="Y9" s="17"/>
      <c r="Z9" s="17"/>
      <c r="AA9" s="17"/>
    </row>
    <row r="10" spans="1:27" x14ac:dyDescent="0.2">
      <c r="A10" s="13"/>
      <c r="B10" s="18"/>
      <c r="C10" s="19"/>
      <c r="D10" s="19"/>
      <c r="E10" s="20"/>
      <c r="F10" s="21"/>
      <c r="G10" s="22"/>
      <c r="H10" s="21"/>
      <c r="I10" s="21"/>
      <c r="J10" s="13"/>
      <c r="K10" s="18"/>
      <c r="L10" s="19"/>
      <c r="M10" s="19"/>
      <c r="N10" s="20"/>
      <c r="O10" s="21"/>
      <c r="P10" s="22"/>
      <c r="Q10" s="21"/>
      <c r="R10" s="21"/>
      <c r="S10" s="13"/>
      <c r="T10" s="18"/>
      <c r="U10" s="19"/>
      <c r="V10" s="19"/>
      <c r="W10" s="20"/>
      <c r="X10" s="21"/>
      <c r="Y10" s="22"/>
      <c r="Z10" s="21"/>
      <c r="AA10" s="21"/>
    </row>
    <row r="11" spans="1:27" x14ac:dyDescent="0.2">
      <c r="A11" s="13"/>
      <c r="B11" s="24" t="s">
        <v>18</v>
      </c>
      <c r="C11" s="25"/>
      <c r="D11" s="25"/>
      <c r="E11" s="26"/>
      <c r="F11" s="22">
        <v>1</v>
      </c>
      <c r="G11" s="62">
        <v>1</v>
      </c>
      <c r="H11" s="23">
        <v>69.42</v>
      </c>
      <c r="I11" s="23">
        <f>G11*H11*F11</f>
        <v>69.42</v>
      </c>
      <c r="J11" s="13"/>
      <c r="K11" s="24" t="s">
        <v>18</v>
      </c>
      <c r="L11" s="25"/>
      <c r="M11" s="25"/>
      <c r="N11" s="26"/>
      <c r="O11" s="22">
        <v>1</v>
      </c>
      <c r="P11" s="23">
        <v>1</v>
      </c>
      <c r="Q11" s="23">
        <v>69.42</v>
      </c>
      <c r="R11" s="23">
        <f>O11*P11*Q11</f>
        <v>69.42</v>
      </c>
      <c r="S11" s="13"/>
      <c r="T11" s="24" t="s">
        <v>18</v>
      </c>
      <c r="U11" s="25"/>
      <c r="V11" s="25"/>
      <c r="W11" s="26"/>
      <c r="X11" s="22">
        <v>1</v>
      </c>
      <c r="Y11" s="23">
        <v>1</v>
      </c>
      <c r="Z11" s="23">
        <v>69.42</v>
      </c>
      <c r="AA11" s="23">
        <f>Y11*Z11*X11</f>
        <v>69.42</v>
      </c>
    </row>
    <row r="12" spans="1:27" x14ac:dyDescent="0.2">
      <c r="A12" s="13"/>
      <c r="B12" s="24" t="s">
        <v>1179</v>
      </c>
      <c r="C12" s="25"/>
      <c r="D12" s="25"/>
      <c r="E12" s="26"/>
      <c r="F12" s="22">
        <v>2</v>
      </c>
      <c r="G12" s="62">
        <v>1</v>
      </c>
      <c r="H12" s="23">
        <v>38.97</v>
      </c>
      <c r="I12" s="23">
        <f>G12*H12*F12</f>
        <v>77.94</v>
      </c>
      <c r="J12" s="13"/>
      <c r="K12" s="257" t="s">
        <v>1178</v>
      </c>
      <c r="L12" s="258"/>
      <c r="M12" s="25"/>
      <c r="N12" s="26"/>
      <c r="O12" s="22">
        <v>1</v>
      </c>
      <c r="P12" s="23">
        <v>1</v>
      </c>
      <c r="Q12" s="23">
        <v>50.18</v>
      </c>
      <c r="R12" s="23">
        <f>O12*P12*Q12</f>
        <v>50.18</v>
      </c>
      <c r="S12" s="13"/>
      <c r="T12" s="257" t="s">
        <v>1178</v>
      </c>
      <c r="U12" s="258"/>
      <c r="V12" s="25"/>
      <c r="W12" s="26"/>
      <c r="X12" s="22">
        <v>4</v>
      </c>
      <c r="Y12" s="23">
        <v>1</v>
      </c>
      <c r="Z12" s="23">
        <v>50.18</v>
      </c>
      <c r="AA12" s="23">
        <f>Y12*Z12*X12</f>
        <v>200.72</v>
      </c>
    </row>
    <row r="13" spans="1:27" x14ac:dyDescent="0.2">
      <c r="A13" s="13"/>
      <c r="B13" s="27"/>
      <c r="C13" s="19"/>
      <c r="D13" s="19"/>
      <c r="E13" s="20"/>
      <c r="F13" s="22"/>
      <c r="G13" s="22"/>
      <c r="H13" s="28"/>
      <c r="I13" s="23"/>
      <c r="J13" s="13"/>
      <c r="K13" s="257" t="s">
        <v>1177</v>
      </c>
      <c r="L13" s="258"/>
      <c r="M13" s="19"/>
      <c r="N13" s="20"/>
      <c r="O13" s="22">
        <v>3</v>
      </c>
      <c r="P13" s="23">
        <v>1</v>
      </c>
      <c r="Q13" s="23">
        <v>38.97</v>
      </c>
      <c r="R13" s="23">
        <f>O13*P13*Q13</f>
        <v>116.91</v>
      </c>
      <c r="S13" s="13"/>
      <c r="T13" s="257" t="s">
        <v>1177</v>
      </c>
      <c r="U13" s="258"/>
      <c r="V13" s="19"/>
      <c r="W13" s="20"/>
      <c r="X13" s="22">
        <v>12</v>
      </c>
      <c r="Y13" s="23">
        <v>1</v>
      </c>
      <c r="Z13" s="23">
        <v>38.97</v>
      </c>
      <c r="AA13" s="23">
        <f>Y13*Z13*X13</f>
        <v>467.64</v>
      </c>
    </row>
    <row r="14" spans="1:27" ht="15" customHeight="1" x14ac:dyDescent="0.2">
      <c r="A14" s="13"/>
      <c r="B14" s="27"/>
      <c r="C14" s="19"/>
      <c r="D14" s="19"/>
      <c r="E14" s="20"/>
      <c r="F14" s="22"/>
      <c r="G14" s="22"/>
      <c r="H14" s="29"/>
      <c r="I14" s="30"/>
      <c r="J14" s="13"/>
      <c r="K14" s="27"/>
      <c r="L14" s="19"/>
      <c r="M14" s="19"/>
      <c r="N14" s="20"/>
      <c r="O14" s="22"/>
      <c r="P14" s="22"/>
      <c r="Q14" s="29"/>
      <c r="R14" s="30"/>
      <c r="S14" s="13"/>
      <c r="T14" s="153"/>
      <c r="U14" s="19"/>
      <c r="V14" s="19"/>
      <c r="W14" s="20"/>
      <c r="X14" s="22"/>
      <c r="Y14" s="22"/>
      <c r="Z14" s="29"/>
      <c r="AA14" s="30"/>
    </row>
    <row r="15" spans="1:27" x14ac:dyDescent="0.2">
      <c r="A15" s="13"/>
      <c r="B15" s="27"/>
      <c r="C15" s="19"/>
      <c r="D15" s="19"/>
      <c r="E15" s="20"/>
      <c r="F15" s="22"/>
      <c r="G15" s="22"/>
      <c r="H15" s="29"/>
      <c r="I15" s="30"/>
      <c r="J15" s="13"/>
      <c r="K15" s="27"/>
      <c r="L15" s="19"/>
      <c r="M15" s="19"/>
      <c r="N15" s="20"/>
      <c r="O15" s="22"/>
      <c r="P15" s="22"/>
      <c r="Q15" s="29"/>
      <c r="R15" s="30"/>
      <c r="S15" s="13"/>
      <c r="T15" s="153"/>
      <c r="U15" s="19"/>
      <c r="V15" s="19"/>
      <c r="W15" s="20"/>
      <c r="X15" s="22"/>
      <c r="Y15" s="22"/>
      <c r="Z15" s="29"/>
      <c r="AA15" s="30"/>
    </row>
    <row r="16" spans="1:27" x14ac:dyDescent="0.2">
      <c r="A16" s="13"/>
      <c r="B16" s="18"/>
      <c r="C16" s="19"/>
      <c r="D16" s="19"/>
      <c r="E16" s="20"/>
      <c r="F16" s="22"/>
      <c r="G16" s="22"/>
      <c r="H16" s="28"/>
      <c r="I16" s="23"/>
      <c r="J16" s="13"/>
      <c r="K16" s="18"/>
      <c r="L16" s="19"/>
      <c r="M16" s="19"/>
      <c r="N16" s="20"/>
      <c r="O16" s="22"/>
      <c r="P16" s="22"/>
      <c r="Q16" s="28"/>
      <c r="R16" s="23"/>
      <c r="S16" s="13"/>
      <c r="T16" s="18"/>
      <c r="U16" s="19"/>
      <c r="V16" s="19"/>
      <c r="W16" s="20"/>
      <c r="X16" s="22"/>
      <c r="Y16" s="22"/>
      <c r="Z16" s="28"/>
      <c r="AA16" s="23"/>
    </row>
    <row r="17" spans="1:27" x14ac:dyDescent="0.2">
      <c r="A17" s="13"/>
      <c r="B17" s="18"/>
      <c r="C17" s="19"/>
      <c r="D17" s="19"/>
      <c r="E17" s="20"/>
      <c r="F17" s="22"/>
      <c r="G17" s="22"/>
      <c r="H17" s="23"/>
      <c r="I17" s="23"/>
      <c r="J17" s="13"/>
      <c r="K17" s="18"/>
      <c r="L17" s="19"/>
      <c r="M17" s="19"/>
      <c r="N17" s="20"/>
      <c r="O17" s="22"/>
      <c r="P17" s="22"/>
      <c r="Q17" s="23"/>
      <c r="R17" s="23"/>
      <c r="S17" s="13"/>
      <c r="T17" s="18"/>
      <c r="U17" s="19"/>
      <c r="V17" s="19"/>
      <c r="W17" s="20"/>
      <c r="X17" s="22"/>
      <c r="Y17" s="22"/>
      <c r="Z17" s="23"/>
      <c r="AA17" s="23"/>
    </row>
    <row r="18" spans="1:27" x14ac:dyDescent="0.2">
      <c r="A18" s="13"/>
      <c r="B18" s="248" t="s">
        <v>20</v>
      </c>
      <c r="C18" s="249"/>
      <c r="D18" s="249"/>
      <c r="E18" s="250"/>
      <c r="F18" s="31"/>
      <c r="G18" s="31"/>
      <c r="H18" s="32"/>
      <c r="I18" s="32">
        <f>SUM(I11:I17)</f>
        <v>147.36000000000001</v>
      </c>
      <c r="J18" s="13"/>
      <c r="K18" s="248" t="s">
        <v>20</v>
      </c>
      <c r="L18" s="249"/>
      <c r="M18" s="249"/>
      <c r="N18" s="250"/>
      <c r="O18" s="31"/>
      <c r="P18" s="31"/>
      <c r="Q18" s="32"/>
      <c r="R18" s="32">
        <f>SUM(R11:R17)</f>
        <v>236.51</v>
      </c>
      <c r="S18" s="13"/>
      <c r="T18" s="248" t="s">
        <v>20</v>
      </c>
      <c r="U18" s="249"/>
      <c r="V18" s="249"/>
      <c r="W18" s="250"/>
      <c r="X18" s="31"/>
      <c r="Y18" s="31"/>
      <c r="Z18" s="32"/>
      <c r="AA18" s="32">
        <f>SUM(AA11:AA17)</f>
        <v>737.78</v>
      </c>
    </row>
    <row r="19" spans="1:27" x14ac:dyDescent="0.2">
      <c r="A19" s="12"/>
      <c r="B19" s="251" t="s">
        <v>21</v>
      </c>
      <c r="C19" s="252"/>
      <c r="D19" s="252"/>
      <c r="E19" s="253"/>
      <c r="F19" s="244" t="s">
        <v>22</v>
      </c>
      <c r="G19" s="244" t="s">
        <v>13</v>
      </c>
      <c r="H19" s="244" t="s">
        <v>14</v>
      </c>
      <c r="I19" s="246" t="s">
        <v>15</v>
      </c>
      <c r="J19" s="12"/>
      <c r="K19" s="251" t="s">
        <v>21</v>
      </c>
      <c r="L19" s="252"/>
      <c r="M19" s="252"/>
      <c r="N19" s="253"/>
      <c r="O19" s="244" t="s">
        <v>22</v>
      </c>
      <c r="P19" s="244" t="s">
        <v>13</v>
      </c>
      <c r="Q19" s="244" t="s">
        <v>14</v>
      </c>
      <c r="R19" s="246" t="s">
        <v>15</v>
      </c>
      <c r="S19" s="12"/>
      <c r="T19" s="251" t="s">
        <v>21</v>
      </c>
      <c r="U19" s="252"/>
      <c r="V19" s="252"/>
      <c r="W19" s="253"/>
      <c r="X19" s="244" t="s">
        <v>22</v>
      </c>
      <c r="Y19" s="244" t="s">
        <v>13</v>
      </c>
      <c r="Z19" s="244" t="s">
        <v>14</v>
      </c>
      <c r="AA19" s="246" t="s">
        <v>15</v>
      </c>
    </row>
    <row r="20" spans="1:27" x14ac:dyDescent="0.2">
      <c r="A20" s="13"/>
      <c r="B20" s="254"/>
      <c r="C20" s="255"/>
      <c r="D20" s="255"/>
      <c r="E20" s="256"/>
      <c r="F20" s="245"/>
      <c r="G20" s="245"/>
      <c r="H20" s="245"/>
      <c r="I20" s="247"/>
      <c r="J20" s="13"/>
      <c r="K20" s="254"/>
      <c r="L20" s="255"/>
      <c r="M20" s="255"/>
      <c r="N20" s="256"/>
      <c r="O20" s="245"/>
      <c r="P20" s="245"/>
      <c r="Q20" s="245"/>
      <c r="R20" s="247"/>
      <c r="S20" s="13"/>
      <c r="T20" s="254"/>
      <c r="U20" s="255"/>
      <c r="V20" s="255"/>
      <c r="W20" s="256"/>
      <c r="X20" s="245"/>
      <c r="Y20" s="245"/>
      <c r="Z20" s="245"/>
      <c r="AA20" s="247"/>
    </row>
    <row r="21" spans="1:27" x14ac:dyDescent="0.2">
      <c r="A21" s="13" t="s">
        <v>23</v>
      </c>
      <c r="B21" s="33" t="s">
        <v>24</v>
      </c>
      <c r="C21" s="15"/>
      <c r="D21" s="15"/>
      <c r="E21" s="16"/>
      <c r="F21" s="34"/>
      <c r="G21" s="34"/>
      <c r="H21" s="35"/>
      <c r="I21" s="35"/>
      <c r="J21" s="13" t="s">
        <v>23</v>
      </c>
      <c r="K21" s="33" t="s">
        <v>24</v>
      </c>
      <c r="L21" s="15"/>
      <c r="M21" s="15"/>
      <c r="N21" s="16"/>
      <c r="O21" s="34"/>
      <c r="P21" s="34"/>
      <c r="Q21" s="35"/>
      <c r="R21" s="35"/>
      <c r="S21" s="13" t="s">
        <v>23</v>
      </c>
      <c r="T21" s="33" t="s">
        <v>24</v>
      </c>
      <c r="U21" s="15"/>
      <c r="V21" s="15"/>
      <c r="W21" s="16"/>
      <c r="X21" s="34"/>
      <c r="Y21" s="34"/>
      <c r="Z21" s="35"/>
      <c r="AA21" s="35"/>
    </row>
    <row r="22" spans="1:27" x14ac:dyDescent="0.2">
      <c r="A22" s="13"/>
      <c r="B22" s="18"/>
      <c r="C22" s="19"/>
      <c r="D22" s="19"/>
      <c r="E22" s="20"/>
      <c r="F22" s="22"/>
      <c r="G22" s="22"/>
      <c r="H22" s="23"/>
      <c r="I22" s="23"/>
      <c r="J22" s="13"/>
      <c r="K22" s="18"/>
      <c r="L22" s="19"/>
      <c r="M22" s="19"/>
      <c r="N22" s="20"/>
      <c r="O22" s="22"/>
      <c r="P22" s="22"/>
      <c r="Q22" s="23"/>
      <c r="R22" s="23"/>
      <c r="S22" s="13"/>
      <c r="T22" s="18"/>
      <c r="U22" s="19"/>
      <c r="V22" s="19"/>
      <c r="W22" s="20"/>
      <c r="X22" s="22"/>
      <c r="Y22" s="22"/>
      <c r="Z22" s="23"/>
      <c r="AA22" s="23"/>
    </row>
    <row r="23" spans="1:27" ht="17.25" customHeight="1" x14ac:dyDescent="0.2">
      <c r="A23" s="13"/>
      <c r="B23" s="18" t="s">
        <v>1172</v>
      </c>
      <c r="C23" s="19"/>
      <c r="D23" s="19"/>
      <c r="E23" s="20"/>
      <c r="F23" s="22">
        <v>1</v>
      </c>
      <c r="G23" s="23">
        <v>1</v>
      </c>
      <c r="H23" s="37">
        <v>2173</v>
      </c>
      <c r="I23" s="37">
        <f>G23*H23*F23</f>
        <v>2173</v>
      </c>
      <c r="J23" s="13"/>
      <c r="K23" s="18" t="s">
        <v>254</v>
      </c>
      <c r="L23" s="19"/>
      <c r="M23" s="19"/>
      <c r="N23" s="20"/>
      <c r="O23" s="22">
        <v>1</v>
      </c>
      <c r="P23" s="23">
        <v>1</v>
      </c>
      <c r="Q23" s="37">
        <v>936</v>
      </c>
      <c r="R23" s="23">
        <f>O23*P23*Q23</f>
        <v>936</v>
      </c>
      <c r="S23" s="13"/>
      <c r="T23" s="18" t="s">
        <v>621</v>
      </c>
      <c r="U23" s="19"/>
      <c r="V23" s="19"/>
      <c r="W23" s="20"/>
      <c r="X23" s="22">
        <v>2</v>
      </c>
      <c r="Y23" s="23">
        <v>1</v>
      </c>
      <c r="Z23" s="37">
        <v>91.25</v>
      </c>
      <c r="AA23" s="37">
        <f t="shared" ref="AA23:AA26" si="0">Y23*Z23*X23</f>
        <v>182.5</v>
      </c>
    </row>
    <row r="24" spans="1:27" ht="17.25" customHeight="1" x14ac:dyDescent="0.2">
      <c r="A24" s="13"/>
      <c r="B24" s="18" t="s">
        <v>1173</v>
      </c>
      <c r="C24" s="19"/>
      <c r="D24" s="19"/>
      <c r="E24" s="20"/>
      <c r="F24" s="22">
        <v>1</v>
      </c>
      <c r="G24" s="23">
        <v>1</v>
      </c>
      <c r="H24" s="37">
        <v>1846</v>
      </c>
      <c r="I24" s="37">
        <f>G24*H24*F24</f>
        <v>1846</v>
      </c>
      <c r="J24" s="13"/>
      <c r="K24" s="18"/>
      <c r="L24" s="19"/>
      <c r="M24" s="19"/>
      <c r="N24" s="20"/>
      <c r="O24" s="22"/>
      <c r="P24" s="23"/>
      <c r="Q24" s="37"/>
      <c r="R24" s="23"/>
      <c r="S24" s="13"/>
      <c r="T24" s="18" t="s">
        <v>255</v>
      </c>
      <c r="U24" s="19"/>
      <c r="V24" s="19"/>
      <c r="W24" s="20"/>
      <c r="X24" s="22">
        <v>1</v>
      </c>
      <c r="Y24" s="23">
        <v>1</v>
      </c>
      <c r="Z24" s="37">
        <v>545</v>
      </c>
      <c r="AA24" s="37">
        <f t="shared" si="0"/>
        <v>545</v>
      </c>
    </row>
    <row r="25" spans="1:27" x14ac:dyDescent="0.2">
      <c r="A25" s="13"/>
      <c r="B25" s="18" t="s">
        <v>1174</v>
      </c>
      <c r="C25" s="19"/>
      <c r="D25" s="19"/>
      <c r="E25" s="20"/>
      <c r="F25" s="22">
        <v>1</v>
      </c>
      <c r="G25" s="23">
        <v>0.25</v>
      </c>
      <c r="H25" s="37">
        <v>2450</v>
      </c>
      <c r="I25" s="37">
        <f>G25*H25*F25</f>
        <v>612.5</v>
      </c>
      <c r="J25" s="13"/>
      <c r="K25" s="18"/>
      <c r="L25" s="19"/>
      <c r="M25" s="19"/>
      <c r="N25" s="20"/>
      <c r="O25" s="22"/>
      <c r="P25" s="23"/>
      <c r="Q25" s="37"/>
      <c r="R25" s="23"/>
      <c r="S25" s="13"/>
      <c r="T25" s="18" t="s">
        <v>1246</v>
      </c>
      <c r="U25" s="19"/>
      <c r="V25" s="19"/>
      <c r="W25" s="20"/>
      <c r="X25" s="22">
        <v>1</v>
      </c>
      <c r="Y25" s="23">
        <v>1</v>
      </c>
      <c r="Z25" s="37">
        <v>32.630000000000003</v>
      </c>
      <c r="AA25" s="37">
        <f t="shared" si="0"/>
        <v>32.630000000000003</v>
      </c>
    </row>
    <row r="26" spans="1:27" x14ac:dyDescent="0.2">
      <c r="A26" s="13"/>
      <c r="B26" s="18"/>
      <c r="F26" s="22"/>
      <c r="G26" s="36"/>
      <c r="H26" s="37"/>
      <c r="I26" s="37"/>
      <c r="J26" s="13"/>
      <c r="K26" s="18"/>
      <c r="L26" s="19"/>
      <c r="M26" s="19"/>
      <c r="N26" s="20"/>
      <c r="O26" s="22"/>
      <c r="P26" s="36"/>
      <c r="Q26" s="37"/>
      <c r="R26" s="23"/>
      <c r="S26" s="13"/>
      <c r="T26" s="18" t="s">
        <v>404</v>
      </c>
      <c r="U26" s="19"/>
      <c r="V26" s="19"/>
      <c r="W26" s="20"/>
      <c r="X26" s="22">
        <v>1</v>
      </c>
      <c r="Y26" s="23">
        <v>0.1</v>
      </c>
      <c r="Z26" s="37">
        <v>219.75</v>
      </c>
      <c r="AA26" s="37">
        <f t="shared" si="0"/>
        <v>21.975000000000001</v>
      </c>
    </row>
    <row r="27" spans="1:27" x14ac:dyDescent="0.2">
      <c r="A27" s="13"/>
      <c r="B27" s="18"/>
      <c r="C27" s="19"/>
      <c r="D27" s="19"/>
      <c r="E27" s="20"/>
      <c r="F27" s="22"/>
      <c r="G27" s="36"/>
      <c r="H27" s="37"/>
      <c r="I27" s="37"/>
      <c r="J27" s="13"/>
      <c r="K27" s="18"/>
      <c r="L27" s="19"/>
      <c r="M27" s="19"/>
      <c r="N27" s="20"/>
      <c r="O27" s="22"/>
      <c r="P27" s="36"/>
      <c r="Q27" s="37"/>
      <c r="R27" s="23"/>
      <c r="S27" s="13"/>
      <c r="T27" s="18" t="s">
        <v>1195</v>
      </c>
      <c r="U27" s="19"/>
      <c r="V27" s="19"/>
      <c r="W27" s="20"/>
      <c r="X27" s="22"/>
      <c r="Y27" s="36"/>
      <c r="Z27" s="3"/>
      <c r="AA27" s="37">
        <f>AA18*0.05</f>
        <v>36.889000000000003</v>
      </c>
    </row>
    <row r="28" spans="1:27" x14ac:dyDescent="0.2">
      <c r="A28" s="13"/>
      <c r="B28" s="18"/>
      <c r="C28" s="19"/>
      <c r="D28" s="19"/>
      <c r="E28" s="20"/>
      <c r="F28" s="22"/>
      <c r="G28" s="36"/>
      <c r="H28" s="38"/>
      <c r="I28" s="38"/>
      <c r="J28" s="13"/>
      <c r="K28" s="18"/>
      <c r="L28" s="19"/>
      <c r="M28" s="19"/>
      <c r="N28" s="20"/>
      <c r="O28" s="22"/>
      <c r="P28" s="23"/>
      <c r="Q28" s="37"/>
      <c r="R28" s="23"/>
      <c r="S28" s="13"/>
      <c r="T28" s="18"/>
      <c r="U28" s="19"/>
      <c r="V28" s="19"/>
      <c r="W28" s="20"/>
      <c r="X28" s="22"/>
      <c r="Y28" s="23"/>
      <c r="Z28" s="37"/>
      <c r="AA28" s="37"/>
    </row>
    <row r="29" spans="1:27" x14ac:dyDescent="0.2">
      <c r="A29" s="13"/>
      <c r="B29" s="18"/>
      <c r="C29" s="19"/>
      <c r="D29" s="19"/>
      <c r="E29" s="20"/>
      <c r="F29" s="22"/>
      <c r="G29" s="36"/>
      <c r="H29" s="38"/>
      <c r="I29" s="38"/>
      <c r="J29" s="13"/>
      <c r="K29" s="18"/>
      <c r="L29" s="19"/>
      <c r="M29" s="19"/>
      <c r="N29" s="20"/>
      <c r="O29" s="22"/>
      <c r="P29" s="36"/>
      <c r="Q29" s="37"/>
      <c r="R29" s="37"/>
      <c r="S29" s="13"/>
      <c r="T29" s="18"/>
      <c r="U29" s="19"/>
      <c r="V29" s="19"/>
      <c r="W29" s="20"/>
      <c r="X29" s="22"/>
      <c r="Y29" s="23"/>
      <c r="Z29" s="37"/>
      <c r="AA29" s="37"/>
    </row>
    <row r="30" spans="1:27" x14ac:dyDescent="0.2">
      <c r="A30" s="13"/>
      <c r="B30" s="18"/>
      <c r="C30" s="19"/>
      <c r="D30" s="19"/>
      <c r="E30" s="20"/>
      <c r="F30" s="22"/>
      <c r="G30" s="36"/>
      <c r="H30" s="38"/>
      <c r="I30" s="38"/>
      <c r="J30" s="13"/>
      <c r="K30" s="18"/>
      <c r="L30" s="19"/>
      <c r="M30" s="19"/>
      <c r="N30" s="20"/>
      <c r="O30" s="22"/>
      <c r="P30" s="36"/>
      <c r="Q30" s="38"/>
      <c r="R30" s="38"/>
      <c r="S30" s="13"/>
      <c r="T30" s="18"/>
      <c r="U30" s="19"/>
      <c r="V30" s="19"/>
      <c r="W30" s="20"/>
      <c r="X30" s="22"/>
      <c r="Y30" s="23"/>
      <c r="Z30" s="37"/>
      <c r="AA30" s="37"/>
    </row>
    <row r="31" spans="1:27" x14ac:dyDescent="0.2">
      <c r="A31" s="13"/>
      <c r="B31" s="18"/>
      <c r="C31" s="19"/>
      <c r="D31" s="19"/>
      <c r="E31" s="20"/>
      <c r="F31" s="22"/>
      <c r="G31" s="36"/>
      <c r="H31" s="38"/>
      <c r="I31" s="38"/>
      <c r="J31" s="13"/>
      <c r="K31" s="18"/>
      <c r="L31" s="19"/>
      <c r="M31" s="19"/>
      <c r="N31" s="20"/>
      <c r="O31" s="22"/>
      <c r="P31" s="36"/>
      <c r="Q31" s="38"/>
      <c r="R31" s="38"/>
      <c r="S31" s="13"/>
      <c r="T31" s="18"/>
      <c r="U31" s="19"/>
      <c r="V31" s="19"/>
      <c r="W31" s="20"/>
      <c r="X31" s="22"/>
      <c r="Y31" s="36"/>
      <c r="Z31" s="3"/>
      <c r="AA31" s="3"/>
    </row>
    <row r="32" spans="1:27" x14ac:dyDescent="0.2">
      <c r="A32" s="13"/>
      <c r="B32" s="18"/>
      <c r="C32" s="19"/>
      <c r="D32" s="19"/>
      <c r="E32" s="20"/>
      <c r="F32" s="22"/>
      <c r="G32" s="36"/>
      <c r="H32" s="38"/>
      <c r="I32" s="38"/>
      <c r="J32" s="13"/>
      <c r="K32" s="18"/>
      <c r="L32" s="19"/>
      <c r="M32" s="19"/>
      <c r="N32" s="20"/>
      <c r="O32" s="22"/>
      <c r="P32" s="36"/>
      <c r="Q32" s="37"/>
      <c r="R32" s="37"/>
      <c r="S32" s="13"/>
      <c r="T32" s="18"/>
      <c r="U32" s="19"/>
      <c r="V32" s="19"/>
      <c r="W32" s="20"/>
      <c r="X32" s="22"/>
      <c r="Y32" s="36"/>
      <c r="Z32" s="37"/>
      <c r="AA32" s="37"/>
    </row>
    <row r="33" spans="1:27" x14ac:dyDescent="0.2">
      <c r="A33" s="13"/>
      <c r="B33" s="18"/>
      <c r="C33" s="19"/>
      <c r="D33" s="19"/>
      <c r="E33" s="20"/>
      <c r="F33" s="22"/>
      <c r="G33" s="36"/>
      <c r="H33" s="37"/>
      <c r="I33" s="37"/>
      <c r="J33" s="13"/>
      <c r="K33" s="18"/>
      <c r="L33" s="19"/>
      <c r="M33" s="19"/>
      <c r="N33" s="20"/>
      <c r="O33" s="22"/>
      <c r="P33" s="36"/>
      <c r="Q33" s="37"/>
      <c r="R33" s="37"/>
      <c r="S33" s="13"/>
      <c r="T33" s="18"/>
      <c r="U33" s="19"/>
      <c r="V33" s="19"/>
      <c r="W33" s="20"/>
      <c r="X33" s="22"/>
      <c r="Y33" s="36"/>
      <c r="Z33" s="37"/>
      <c r="AA33" s="37"/>
    </row>
    <row r="34" spans="1:27" x14ac:dyDescent="0.2">
      <c r="A34" s="13"/>
      <c r="B34" s="18"/>
      <c r="C34" s="19"/>
      <c r="D34" s="19"/>
      <c r="E34" s="20"/>
      <c r="F34" s="22"/>
      <c r="G34" s="36"/>
      <c r="H34" s="37"/>
      <c r="I34" s="37"/>
      <c r="J34" s="13"/>
      <c r="K34" s="18"/>
      <c r="L34" s="19"/>
      <c r="M34" s="19"/>
      <c r="N34" s="20"/>
      <c r="O34" s="22"/>
      <c r="P34" s="36"/>
      <c r="Q34" s="37"/>
      <c r="R34" s="37"/>
      <c r="S34" s="13"/>
      <c r="T34" s="18"/>
      <c r="U34" s="19"/>
      <c r="V34" s="19"/>
      <c r="W34" s="20"/>
      <c r="X34" s="22"/>
      <c r="Y34" s="36"/>
      <c r="Z34" s="37"/>
      <c r="AA34" s="37"/>
    </row>
    <row r="35" spans="1:27" ht="15" customHeight="1" x14ac:dyDescent="0.2">
      <c r="A35" s="13"/>
      <c r="B35" s="18"/>
      <c r="C35" s="19"/>
      <c r="D35" s="19"/>
      <c r="E35" s="20"/>
      <c r="F35" s="22"/>
      <c r="G35" s="36"/>
      <c r="H35" s="37"/>
      <c r="I35" s="37"/>
      <c r="J35" s="13"/>
      <c r="K35" s="18"/>
      <c r="L35" s="19"/>
      <c r="M35" s="19"/>
      <c r="N35" s="20"/>
      <c r="O35" s="22"/>
      <c r="P35" s="22"/>
      <c r="Q35" s="23"/>
      <c r="R35" s="23"/>
      <c r="S35" s="13"/>
      <c r="T35" s="18"/>
      <c r="U35" s="19"/>
      <c r="V35" s="19"/>
      <c r="W35" s="20"/>
      <c r="X35" s="22"/>
      <c r="Y35" s="22"/>
      <c r="Z35" s="23"/>
      <c r="AA35" s="23"/>
    </row>
    <row r="36" spans="1:27" x14ac:dyDescent="0.2">
      <c r="A36" s="13"/>
      <c r="B36" s="248" t="s">
        <v>30</v>
      </c>
      <c r="C36" s="249"/>
      <c r="D36" s="249"/>
      <c r="E36" s="250"/>
      <c r="F36" s="22"/>
      <c r="G36" s="22"/>
      <c r="H36" s="23"/>
      <c r="I36" s="23">
        <f>SUM(I23:I35)</f>
        <v>4631.5</v>
      </c>
      <c r="J36" s="13"/>
      <c r="K36" s="248" t="s">
        <v>30</v>
      </c>
      <c r="L36" s="249"/>
      <c r="M36" s="249"/>
      <c r="N36" s="250"/>
      <c r="O36" s="22"/>
      <c r="P36" s="22"/>
      <c r="Q36" s="23"/>
      <c r="R36" s="23">
        <f>SUM(R23:R35)</f>
        <v>936</v>
      </c>
      <c r="S36" s="13"/>
      <c r="T36" s="248" t="s">
        <v>30</v>
      </c>
      <c r="U36" s="249"/>
      <c r="V36" s="249"/>
      <c r="W36" s="250"/>
      <c r="X36" s="22"/>
      <c r="Y36" s="22"/>
      <c r="Z36" s="23"/>
      <c r="AA36" s="23">
        <f>SUM(AA23:AA35)</f>
        <v>818.99400000000003</v>
      </c>
    </row>
    <row r="37" spans="1:27" x14ac:dyDescent="0.2">
      <c r="A37" s="12" t="s">
        <v>31</v>
      </c>
      <c r="B37" s="260" t="s">
        <v>32</v>
      </c>
      <c r="C37" s="261"/>
      <c r="D37" s="261"/>
      <c r="E37" s="261"/>
      <c r="F37" s="39"/>
      <c r="G37" s="39"/>
      <c r="H37" s="40"/>
      <c r="I37" s="41">
        <f>SUM(I36+I18)</f>
        <v>4778.8599999999997</v>
      </c>
      <c r="J37" s="12" t="s">
        <v>31</v>
      </c>
      <c r="K37" s="260" t="s">
        <v>32</v>
      </c>
      <c r="L37" s="261"/>
      <c r="M37" s="261"/>
      <c r="N37" s="261"/>
      <c r="O37" s="39"/>
      <c r="P37" s="39"/>
      <c r="Q37" s="40"/>
      <c r="R37" s="41">
        <f>SUM(R36+R18)</f>
        <v>1172.51</v>
      </c>
      <c r="S37" s="12" t="s">
        <v>31</v>
      </c>
      <c r="T37" s="260" t="s">
        <v>32</v>
      </c>
      <c r="U37" s="261"/>
      <c r="V37" s="261"/>
      <c r="W37" s="261"/>
      <c r="X37" s="151"/>
      <c r="Y37" s="151"/>
      <c r="Z37" s="40"/>
      <c r="AA37" s="41">
        <f>SUM(AA36+AA18)</f>
        <v>1556.7739999999999</v>
      </c>
    </row>
    <row r="38" spans="1:27" x14ac:dyDescent="0.2">
      <c r="A38" s="13" t="s">
        <v>33</v>
      </c>
      <c r="B38" s="264">
        <f>E5</f>
        <v>50</v>
      </c>
      <c r="C38" s="265"/>
      <c r="D38" s="265"/>
      <c r="E38" s="265"/>
      <c r="F38" s="265"/>
      <c r="G38" s="265"/>
      <c r="H38" s="40"/>
      <c r="I38" s="41"/>
      <c r="J38" s="13" t="s">
        <v>33</v>
      </c>
      <c r="K38" s="307">
        <f>N5</f>
        <v>1</v>
      </c>
      <c r="L38" s="308"/>
      <c r="M38" s="308"/>
      <c r="N38" s="308"/>
      <c r="O38" s="308"/>
      <c r="P38" s="308"/>
      <c r="Q38" s="40"/>
      <c r="R38" s="41"/>
      <c r="S38" s="13" t="s">
        <v>33</v>
      </c>
      <c r="T38" s="313">
        <f>W5</f>
        <v>53.67</v>
      </c>
      <c r="U38" s="314"/>
      <c r="V38" s="314"/>
      <c r="W38" s="314"/>
      <c r="X38" s="314"/>
      <c r="Y38" s="314"/>
      <c r="Z38" s="40"/>
      <c r="AA38" s="41"/>
    </row>
    <row r="39" spans="1:27" x14ac:dyDescent="0.2">
      <c r="A39" s="13" t="s">
        <v>34</v>
      </c>
      <c r="B39" s="42" t="s">
        <v>35</v>
      </c>
      <c r="C39" s="43"/>
      <c r="D39" s="43"/>
      <c r="E39" s="39"/>
      <c r="F39" s="44"/>
      <c r="G39" s="44"/>
      <c r="H39" s="40"/>
      <c r="I39" s="41">
        <f>I37/E5</f>
        <v>95.577199999999991</v>
      </c>
      <c r="J39" s="13" t="s">
        <v>34</v>
      </c>
      <c r="K39" s="42" t="s">
        <v>35</v>
      </c>
      <c r="L39" s="43"/>
      <c r="M39" s="43"/>
      <c r="N39" s="39"/>
      <c r="O39" s="44"/>
      <c r="P39" s="44"/>
      <c r="Q39" s="40"/>
      <c r="R39" s="41">
        <f>R37/N5</f>
        <v>1172.51</v>
      </c>
      <c r="S39" s="13" t="s">
        <v>34</v>
      </c>
      <c r="T39" s="155" t="s">
        <v>35</v>
      </c>
      <c r="U39" s="43"/>
      <c r="V39" s="43"/>
      <c r="W39" s="151"/>
      <c r="X39" s="156"/>
      <c r="Y39" s="156"/>
      <c r="Z39" s="40"/>
      <c r="AA39" s="41">
        <f>AA37/W5</f>
        <v>29.006409539780133</v>
      </c>
    </row>
    <row r="40" spans="1:27" x14ac:dyDescent="0.2">
      <c r="A40" s="12"/>
      <c r="B40" s="251" t="s">
        <v>36</v>
      </c>
      <c r="C40" s="252"/>
      <c r="D40" s="252"/>
      <c r="E40" s="253"/>
      <c r="F40" s="244" t="s">
        <v>37</v>
      </c>
      <c r="G40" s="244" t="s">
        <v>38</v>
      </c>
      <c r="H40" s="244" t="s">
        <v>39</v>
      </c>
      <c r="I40" s="246" t="s">
        <v>15</v>
      </c>
      <c r="J40" s="12"/>
      <c r="K40" s="251" t="s">
        <v>36</v>
      </c>
      <c r="L40" s="252"/>
      <c r="M40" s="252"/>
      <c r="N40" s="253"/>
      <c r="O40" s="244" t="s">
        <v>37</v>
      </c>
      <c r="P40" s="244" t="s">
        <v>38</v>
      </c>
      <c r="Q40" s="244" t="s">
        <v>39</v>
      </c>
      <c r="R40" s="246" t="s">
        <v>15</v>
      </c>
      <c r="S40" s="12"/>
      <c r="T40" s="251" t="s">
        <v>36</v>
      </c>
      <c r="U40" s="252"/>
      <c r="V40" s="252"/>
      <c r="W40" s="253"/>
      <c r="X40" s="244" t="s">
        <v>37</v>
      </c>
      <c r="Y40" s="244" t="s">
        <v>38</v>
      </c>
      <c r="Z40" s="244" t="s">
        <v>39</v>
      </c>
      <c r="AA40" s="246" t="s">
        <v>15</v>
      </c>
    </row>
    <row r="41" spans="1:27" x14ac:dyDescent="0.2">
      <c r="A41" s="13"/>
      <c r="B41" s="254"/>
      <c r="C41" s="255"/>
      <c r="D41" s="255"/>
      <c r="E41" s="256"/>
      <c r="F41" s="245"/>
      <c r="G41" s="245"/>
      <c r="H41" s="245"/>
      <c r="I41" s="247"/>
      <c r="J41" s="13"/>
      <c r="K41" s="254"/>
      <c r="L41" s="255"/>
      <c r="M41" s="255"/>
      <c r="N41" s="256"/>
      <c r="O41" s="245"/>
      <c r="P41" s="245"/>
      <c r="Q41" s="245"/>
      <c r="R41" s="247"/>
      <c r="S41" s="13"/>
      <c r="T41" s="254"/>
      <c r="U41" s="255"/>
      <c r="V41" s="255"/>
      <c r="W41" s="256"/>
      <c r="X41" s="245"/>
      <c r="Y41" s="245"/>
      <c r="Z41" s="245"/>
      <c r="AA41" s="247"/>
    </row>
    <row r="42" spans="1:27" x14ac:dyDescent="0.2">
      <c r="A42" s="13" t="s">
        <v>40</v>
      </c>
      <c r="B42" s="18" t="s">
        <v>41</v>
      </c>
      <c r="C42" s="19"/>
      <c r="D42" s="19"/>
      <c r="E42" s="20"/>
      <c r="F42" s="22"/>
      <c r="G42" s="22"/>
      <c r="H42" s="23"/>
      <c r="I42" s="23"/>
      <c r="J42" s="13" t="s">
        <v>40</v>
      </c>
      <c r="K42" s="18" t="s">
        <v>41</v>
      </c>
      <c r="L42" s="19"/>
      <c r="M42" s="19"/>
      <c r="N42" s="20"/>
      <c r="O42" s="22"/>
      <c r="P42" s="22"/>
      <c r="Q42" s="23"/>
      <c r="R42" s="23"/>
      <c r="S42" s="13" t="s">
        <v>40</v>
      </c>
      <c r="T42" s="18" t="s">
        <v>41</v>
      </c>
      <c r="U42" s="19"/>
      <c r="V42" s="19"/>
      <c r="W42" s="20"/>
      <c r="X42" s="22"/>
      <c r="Y42" s="22"/>
      <c r="Z42" s="23"/>
      <c r="AA42" s="23"/>
    </row>
    <row r="43" spans="1:27" x14ac:dyDescent="0.2">
      <c r="A43" s="13"/>
      <c r="B43" s="18"/>
      <c r="C43" s="19"/>
      <c r="D43" s="19"/>
      <c r="E43" s="20"/>
      <c r="F43" s="22"/>
      <c r="G43" s="22"/>
      <c r="H43" s="23"/>
      <c r="I43" s="23"/>
      <c r="J43" s="13"/>
      <c r="K43" s="18"/>
      <c r="L43" s="19"/>
      <c r="M43" s="19"/>
      <c r="N43" s="20"/>
      <c r="O43" s="22"/>
      <c r="P43" s="22"/>
      <c r="Q43" s="23"/>
      <c r="R43" s="23"/>
      <c r="S43" s="13"/>
      <c r="T43" s="18"/>
      <c r="U43" s="19"/>
      <c r="V43" s="19"/>
      <c r="W43" s="20"/>
      <c r="X43" s="22"/>
      <c r="Y43" s="22"/>
      <c r="Z43" s="23"/>
      <c r="AA43" s="23"/>
    </row>
    <row r="44" spans="1:27" x14ac:dyDescent="0.2">
      <c r="A44" s="13"/>
      <c r="B44" s="18" t="s">
        <v>261</v>
      </c>
      <c r="C44" s="66"/>
      <c r="D44" s="19"/>
      <c r="E44" s="20"/>
      <c r="F44" s="22" t="s">
        <v>9</v>
      </c>
      <c r="G44" s="22">
        <v>1.1499999999999999</v>
      </c>
      <c r="H44" s="107">
        <v>700</v>
      </c>
      <c r="I44" s="23">
        <f>G44*H44</f>
        <v>804.99999999999989</v>
      </c>
      <c r="J44" s="13"/>
      <c r="K44" s="18" t="s">
        <v>262</v>
      </c>
      <c r="L44" s="66"/>
      <c r="M44" s="19"/>
      <c r="N44" s="20"/>
      <c r="O44" s="62" t="s">
        <v>239</v>
      </c>
      <c r="P44" s="62">
        <v>1.05</v>
      </c>
      <c r="Q44" s="107">
        <v>40300</v>
      </c>
      <c r="R44" s="23">
        <f>P44*Q44</f>
        <v>42315</v>
      </c>
      <c r="S44" s="13"/>
      <c r="T44" s="18" t="s">
        <v>263</v>
      </c>
      <c r="U44" s="66"/>
      <c r="V44" s="19"/>
      <c r="W44" s="20"/>
      <c r="X44" s="22" t="s">
        <v>77</v>
      </c>
      <c r="Y44" s="22">
        <v>0.55000000000000004</v>
      </c>
      <c r="Z44" s="107">
        <v>40</v>
      </c>
      <c r="AA44" s="23">
        <f>Y44*Z44</f>
        <v>22</v>
      </c>
    </row>
    <row r="45" spans="1:27" x14ac:dyDescent="0.2">
      <c r="A45" s="13"/>
      <c r="B45" s="18" t="s">
        <v>228</v>
      </c>
      <c r="C45" s="66"/>
      <c r="D45" s="19"/>
      <c r="E45" s="20"/>
      <c r="F45" s="22"/>
      <c r="G45" s="22"/>
      <c r="H45" s="23"/>
      <c r="I45" s="23"/>
      <c r="J45" s="13"/>
      <c r="K45" s="18"/>
      <c r="L45" s="19"/>
      <c r="M45" s="19"/>
      <c r="N45" s="20"/>
      <c r="O45" s="22"/>
      <c r="P45" s="62"/>
      <c r="Q45" s="23"/>
      <c r="R45" s="23"/>
      <c r="S45" s="13"/>
      <c r="T45" s="18" t="s">
        <v>264</v>
      </c>
      <c r="U45" s="66"/>
      <c r="V45" s="19"/>
      <c r="W45" s="20"/>
      <c r="X45" s="22" t="s">
        <v>1216</v>
      </c>
      <c r="Y45" s="22">
        <v>0.28999999999999998</v>
      </c>
      <c r="Z45" s="107">
        <v>28</v>
      </c>
      <c r="AA45" s="23">
        <f t="shared" ref="AA45:AA51" si="1">Y45*Z45</f>
        <v>8.1199999999999992</v>
      </c>
    </row>
    <row r="46" spans="1:27" x14ac:dyDescent="0.2">
      <c r="A46" s="13"/>
      <c r="B46" s="18"/>
      <c r="C46" s="19"/>
      <c r="D46" s="19"/>
      <c r="E46" s="20"/>
      <c r="F46" s="22"/>
      <c r="G46" s="22"/>
      <c r="H46" s="38"/>
      <c r="I46" s="38"/>
      <c r="J46" s="13"/>
      <c r="K46" s="18"/>
      <c r="L46" s="19"/>
      <c r="M46" s="19"/>
      <c r="N46" s="20"/>
      <c r="O46" s="22"/>
      <c r="P46" s="22"/>
      <c r="Q46" s="38"/>
      <c r="R46" s="38"/>
      <c r="S46" s="13"/>
      <c r="T46" s="18" t="s">
        <v>266</v>
      </c>
      <c r="U46" s="19"/>
      <c r="V46" s="19"/>
      <c r="W46" s="20"/>
      <c r="X46" s="22" t="s">
        <v>1216</v>
      </c>
      <c r="Y46" s="22">
        <v>0.18</v>
      </c>
      <c r="Z46" s="107">
        <f>44000/1000</f>
        <v>44</v>
      </c>
      <c r="AA46" s="23">
        <f t="shared" si="1"/>
        <v>7.92</v>
      </c>
    </row>
    <row r="47" spans="1:27" x14ac:dyDescent="0.2">
      <c r="A47" s="13"/>
      <c r="B47" s="18"/>
      <c r="C47" s="19"/>
      <c r="D47" s="19"/>
      <c r="E47" s="20"/>
      <c r="F47" s="22"/>
      <c r="G47" s="22"/>
      <c r="H47" s="38"/>
      <c r="I47" s="38"/>
      <c r="J47" s="13"/>
      <c r="K47" s="18"/>
      <c r="L47" s="19"/>
      <c r="M47" s="19"/>
      <c r="N47" s="20"/>
      <c r="O47" s="22"/>
      <c r="P47" s="22"/>
      <c r="Q47" s="38"/>
      <c r="R47" s="38"/>
      <c r="S47" s="13"/>
      <c r="T47" s="18" t="s">
        <v>267</v>
      </c>
      <c r="U47" s="19"/>
      <c r="V47" s="19"/>
      <c r="W47" s="20"/>
      <c r="X47" s="22" t="s">
        <v>1153</v>
      </c>
      <c r="Y47" s="22">
        <v>0.46</v>
      </c>
      <c r="Z47" s="107">
        <v>50</v>
      </c>
      <c r="AA47" s="23">
        <f t="shared" si="1"/>
        <v>23</v>
      </c>
    </row>
    <row r="48" spans="1:27" x14ac:dyDescent="0.2">
      <c r="A48" s="13"/>
      <c r="B48" s="18"/>
      <c r="C48" s="19"/>
      <c r="D48" s="19"/>
      <c r="E48" s="20"/>
      <c r="F48" s="22"/>
      <c r="G48" s="22"/>
      <c r="H48" s="45"/>
      <c r="I48" s="45"/>
      <c r="J48" s="13"/>
      <c r="K48" s="18"/>
      <c r="L48" s="19"/>
      <c r="M48" s="19"/>
      <c r="N48" s="20"/>
      <c r="O48" s="22"/>
      <c r="P48" s="22"/>
      <c r="Q48" s="45"/>
      <c r="R48" s="45"/>
      <c r="S48" s="13"/>
      <c r="T48" s="18" t="s">
        <v>1247</v>
      </c>
      <c r="U48" s="19"/>
      <c r="V48" s="19"/>
      <c r="W48" s="20"/>
      <c r="X48" s="22" t="s">
        <v>9</v>
      </c>
      <c r="Y48" s="22">
        <v>0.3</v>
      </c>
      <c r="Z48" s="107">
        <v>850</v>
      </c>
      <c r="AA48" s="23">
        <f t="shared" si="1"/>
        <v>255</v>
      </c>
    </row>
    <row r="49" spans="1:27" x14ac:dyDescent="0.2">
      <c r="A49" s="13"/>
      <c r="B49" s="18"/>
      <c r="C49" s="19"/>
      <c r="D49" s="19"/>
      <c r="E49" s="20"/>
      <c r="F49" s="22"/>
      <c r="G49" s="22"/>
      <c r="H49" s="45"/>
      <c r="I49" s="45"/>
      <c r="J49" s="13"/>
      <c r="K49" s="18"/>
      <c r="L49" s="19"/>
      <c r="M49" s="19"/>
      <c r="N49" s="20"/>
      <c r="O49" s="22"/>
      <c r="P49" s="22"/>
      <c r="Q49" s="45"/>
      <c r="R49" s="45"/>
      <c r="S49" s="13"/>
      <c r="T49" s="18" t="s">
        <v>1248</v>
      </c>
      <c r="U49" s="19"/>
      <c r="V49" s="19"/>
      <c r="W49" s="20"/>
      <c r="X49" s="22" t="s">
        <v>80</v>
      </c>
      <c r="Y49" s="22">
        <v>1.4999999999999999E-4</v>
      </c>
      <c r="Z49" s="107">
        <v>8000</v>
      </c>
      <c r="AA49" s="23">
        <f t="shared" si="1"/>
        <v>1.2</v>
      </c>
    </row>
    <row r="50" spans="1:27" ht="15" customHeight="1" x14ac:dyDescent="0.2">
      <c r="A50" s="13"/>
      <c r="B50" s="18"/>
      <c r="C50" s="19"/>
      <c r="D50" s="19"/>
      <c r="E50" s="20"/>
      <c r="F50" s="22"/>
      <c r="G50" s="22"/>
      <c r="H50" s="23"/>
      <c r="I50" s="23"/>
      <c r="J50" s="13"/>
      <c r="K50" s="18"/>
      <c r="L50" s="19"/>
      <c r="M50" s="19"/>
      <c r="N50" s="20"/>
      <c r="O50" s="22"/>
      <c r="P50" s="22"/>
      <c r="Q50" s="23"/>
      <c r="R50" s="23"/>
      <c r="S50" s="13"/>
      <c r="T50" s="18" t="s">
        <v>1249</v>
      </c>
      <c r="U50" s="19"/>
      <c r="V50" s="19"/>
      <c r="W50" s="20"/>
      <c r="X50" s="22" t="s">
        <v>1153</v>
      </c>
      <c r="Y50" s="22">
        <v>9.4000000000000004E-3</v>
      </c>
      <c r="Z50" s="107">
        <v>34.33</v>
      </c>
      <c r="AA50" s="23">
        <f t="shared" si="1"/>
        <v>0.32270199999999999</v>
      </c>
    </row>
    <row r="51" spans="1:27" x14ac:dyDescent="0.2">
      <c r="A51" s="13"/>
      <c r="B51" s="18"/>
      <c r="C51" s="19"/>
      <c r="D51" s="19"/>
      <c r="E51" s="20"/>
      <c r="F51" s="22"/>
      <c r="G51" s="22"/>
      <c r="H51" s="23"/>
      <c r="I51" s="23"/>
      <c r="J51" s="13"/>
      <c r="K51" s="18"/>
      <c r="L51" s="19"/>
      <c r="M51" s="19"/>
      <c r="N51" s="20"/>
      <c r="O51" s="22"/>
      <c r="P51" s="22"/>
      <c r="Q51" s="23"/>
      <c r="R51" s="23"/>
      <c r="S51" s="13"/>
      <c r="T51" s="18" t="s">
        <v>1250</v>
      </c>
      <c r="U51" s="19"/>
      <c r="V51" s="19"/>
      <c r="W51" s="20"/>
      <c r="X51" s="22" t="s">
        <v>1216</v>
      </c>
      <c r="Y51" s="22">
        <v>9.4000000000000004E-3</v>
      </c>
      <c r="Z51" s="107">
        <v>300</v>
      </c>
      <c r="AA51" s="23">
        <f t="shared" si="1"/>
        <v>2.8200000000000003</v>
      </c>
    </row>
    <row r="52" spans="1:27" x14ac:dyDescent="0.2">
      <c r="A52" s="13"/>
      <c r="B52" s="18"/>
      <c r="C52" s="19"/>
      <c r="D52" s="19"/>
      <c r="E52" s="20"/>
      <c r="F52" s="22"/>
      <c r="G52" s="22"/>
      <c r="H52" s="23"/>
      <c r="I52" s="23"/>
      <c r="J52" s="13"/>
      <c r="K52" s="18"/>
      <c r="L52" s="19"/>
      <c r="M52" s="19"/>
      <c r="N52" s="20"/>
      <c r="O52" s="22"/>
      <c r="P52" s="22"/>
      <c r="Q52" s="23"/>
      <c r="R52" s="23"/>
      <c r="S52" s="13"/>
      <c r="T52" s="18"/>
      <c r="U52" s="19"/>
      <c r="V52" s="19"/>
      <c r="W52" s="20"/>
      <c r="X52" s="22"/>
      <c r="Y52" s="22"/>
      <c r="Z52" s="107"/>
      <c r="AA52" s="23"/>
    </row>
    <row r="53" spans="1:27" x14ac:dyDescent="0.2">
      <c r="A53" s="13"/>
      <c r="B53" s="18"/>
      <c r="C53" s="19"/>
      <c r="D53" s="19"/>
      <c r="E53" s="20"/>
      <c r="F53" s="22"/>
      <c r="G53" s="22"/>
      <c r="H53" s="23"/>
      <c r="I53" s="23"/>
      <c r="J53" s="13"/>
      <c r="K53" s="18"/>
      <c r="L53" s="19"/>
      <c r="M53" s="19"/>
      <c r="N53" s="20"/>
      <c r="O53" s="22"/>
      <c r="P53" s="22"/>
      <c r="Q53" s="23"/>
      <c r="R53" s="23"/>
      <c r="S53" s="13"/>
      <c r="T53" s="18"/>
      <c r="U53" s="19"/>
      <c r="V53" s="19"/>
      <c r="W53" s="20"/>
      <c r="X53" s="22"/>
      <c r="Y53" s="22"/>
      <c r="Z53" s="107"/>
      <c r="AA53" s="23"/>
    </row>
    <row r="54" spans="1:27" x14ac:dyDescent="0.2">
      <c r="A54" s="13"/>
      <c r="B54" s="18"/>
      <c r="C54" s="19"/>
      <c r="D54" s="19"/>
      <c r="E54" s="20"/>
      <c r="F54" s="22"/>
      <c r="G54" s="22"/>
      <c r="H54" s="23"/>
      <c r="I54" s="23"/>
      <c r="J54" s="13"/>
      <c r="K54" s="18"/>
      <c r="L54" s="19"/>
      <c r="M54" s="19"/>
      <c r="N54" s="20"/>
      <c r="O54" s="22"/>
      <c r="P54" s="22"/>
      <c r="Q54" s="23"/>
      <c r="R54" s="23"/>
      <c r="S54" s="13"/>
      <c r="T54" s="18"/>
      <c r="U54" s="19"/>
      <c r="V54" s="19"/>
      <c r="W54" s="20"/>
      <c r="X54" s="22"/>
      <c r="Y54" s="22"/>
      <c r="Z54" s="23"/>
      <c r="AA54" s="23"/>
    </row>
    <row r="55" spans="1:27" x14ac:dyDescent="0.2">
      <c r="A55" s="13"/>
      <c r="B55" s="18"/>
      <c r="C55" s="19"/>
      <c r="D55" s="19"/>
      <c r="E55" s="20"/>
      <c r="F55" s="22"/>
      <c r="G55" s="22"/>
      <c r="H55" s="23"/>
      <c r="I55" s="23"/>
      <c r="J55" s="13"/>
      <c r="K55" s="18"/>
      <c r="L55" s="19"/>
      <c r="M55" s="19"/>
      <c r="N55" s="20"/>
      <c r="O55" s="22"/>
      <c r="P55" s="22"/>
      <c r="Q55" s="23"/>
      <c r="R55" s="23"/>
      <c r="S55" s="13"/>
      <c r="T55" s="18"/>
      <c r="U55" s="19"/>
      <c r="V55" s="19"/>
      <c r="W55" s="20"/>
      <c r="X55" s="22"/>
      <c r="Y55" s="22"/>
      <c r="Z55" s="23"/>
      <c r="AA55" s="23"/>
    </row>
    <row r="56" spans="1:27" x14ac:dyDescent="0.2">
      <c r="A56" s="13"/>
      <c r="B56" s="18"/>
      <c r="C56" s="19"/>
      <c r="D56" s="19"/>
      <c r="E56" s="20"/>
      <c r="F56" s="22"/>
      <c r="G56" s="36"/>
      <c r="H56" s="37"/>
      <c r="I56" s="37"/>
      <c r="J56" s="13"/>
      <c r="K56" s="18"/>
      <c r="L56" s="19"/>
      <c r="M56" s="19"/>
      <c r="N56" s="20"/>
      <c r="O56" s="22"/>
      <c r="P56" s="36"/>
      <c r="Q56" s="37"/>
      <c r="R56" s="37"/>
      <c r="S56" s="13"/>
      <c r="T56" s="18"/>
      <c r="U56" s="19"/>
      <c r="V56" s="19"/>
      <c r="W56" s="20"/>
      <c r="X56" s="22"/>
      <c r="Y56" s="36"/>
      <c r="Z56" s="37"/>
      <c r="AA56" s="37"/>
    </row>
    <row r="57" spans="1:27" x14ac:dyDescent="0.2">
      <c r="A57" s="13"/>
      <c r="B57" s="248" t="s">
        <v>42</v>
      </c>
      <c r="C57" s="249"/>
      <c r="D57" s="249"/>
      <c r="E57" s="250"/>
      <c r="F57" s="46"/>
      <c r="G57" s="46"/>
      <c r="H57" s="47"/>
      <c r="I57" s="47">
        <f>SUM(I44:I56)</f>
        <v>804.99999999999989</v>
      </c>
      <c r="J57" s="13"/>
      <c r="K57" s="248" t="s">
        <v>42</v>
      </c>
      <c r="L57" s="249"/>
      <c r="M57" s="249"/>
      <c r="N57" s="250"/>
      <c r="O57" s="46"/>
      <c r="P57" s="46"/>
      <c r="Q57" s="47"/>
      <c r="R57" s="47">
        <f>SUM(R44:R56)</f>
        <v>42315</v>
      </c>
      <c r="S57" s="13"/>
      <c r="T57" s="248" t="s">
        <v>42</v>
      </c>
      <c r="U57" s="249"/>
      <c r="V57" s="249"/>
      <c r="W57" s="250"/>
      <c r="X57" s="46"/>
      <c r="Y57" s="46"/>
      <c r="Z57" s="47"/>
      <c r="AA57" s="47">
        <f>SUM(AA44:AA56)</f>
        <v>320.38270199999999</v>
      </c>
    </row>
    <row r="58" spans="1:27" x14ac:dyDescent="0.2">
      <c r="A58" s="12" t="s">
        <v>43</v>
      </c>
      <c r="B58" s="48" t="s">
        <v>44</v>
      </c>
      <c r="C58" s="43"/>
      <c r="D58" s="43"/>
      <c r="E58" s="39"/>
      <c r="F58" s="49"/>
      <c r="G58" s="49"/>
      <c r="H58" s="50"/>
      <c r="I58" s="51">
        <f>SUM(I39+I57)</f>
        <v>900.57719999999983</v>
      </c>
      <c r="J58" s="12" t="s">
        <v>43</v>
      </c>
      <c r="K58" s="48" t="s">
        <v>44</v>
      </c>
      <c r="L58" s="43"/>
      <c r="M58" s="43"/>
      <c r="N58" s="39"/>
      <c r="O58" s="49"/>
      <c r="P58" s="49"/>
      <c r="Q58" s="50"/>
      <c r="R58" s="51">
        <f>SUM(R39+R57)</f>
        <v>43487.51</v>
      </c>
      <c r="S58" s="12" t="s">
        <v>43</v>
      </c>
      <c r="T58" s="48" t="s">
        <v>44</v>
      </c>
      <c r="U58" s="43"/>
      <c r="V58" s="43"/>
      <c r="W58" s="151"/>
      <c r="X58" s="49"/>
      <c r="Y58" s="49"/>
      <c r="Z58" s="50"/>
      <c r="AA58" s="51">
        <f>SUM(AA39+AA57)</f>
        <v>349.38911153978012</v>
      </c>
    </row>
    <row r="59" spans="1:27" x14ac:dyDescent="0.2">
      <c r="A59" s="13" t="s">
        <v>45</v>
      </c>
      <c r="B59" s="48" t="s">
        <v>46</v>
      </c>
      <c r="C59" s="43"/>
      <c r="D59" s="43"/>
      <c r="E59" s="39"/>
      <c r="F59" s="49"/>
      <c r="G59" s="52">
        <v>0.09</v>
      </c>
      <c r="H59" s="53" t="s">
        <v>47</v>
      </c>
      <c r="I59" s="51">
        <f>G59*I58</f>
        <v>81.051947999999982</v>
      </c>
      <c r="J59" s="13" t="s">
        <v>45</v>
      </c>
      <c r="K59" s="48" t="s">
        <v>46</v>
      </c>
      <c r="L59" s="43"/>
      <c r="M59" s="43"/>
      <c r="N59" s="39"/>
      <c r="O59" s="49"/>
      <c r="P59" s="52">
        <v>0.09</v>
      </c>
      <c r="Q59" s="53" t="s">
        <v>47</v>
      </c>
      <c r="R59" s="51">
        <f>P59*R58</f>
        <v>3913.8759</v>
      </c>
      <c r="S59" s="13" t="s">
        <v>45</v>
      </c>
      <c r="T59" s="48" t="s">
        <v>46</v>
      </c>
      <c r="U59" s="43"/>
      <c r="V59" s="43"/>
      <c r="W59" s="151"/>
      <c r="X59" s="49"/>
      <c r="Y59" s="52">
        <v>0.09</v>
      </c>
      <c r="Z59" s="53" t="s">
        <v>47</v>
      </c>
      <c r="AA59" s="51">
        <f>Y59*AA58</f>
        <v>31.445020038580211</v>
      </c>
    </row>
    <row r="60" spans="1:27" x14ac:dyDescent="0.2">
      <c r="A60" s="13" t="s">
        <v>48</v>
      </c>
      <c r="B60" s="48" t="s">
        <v>49</v>
      </c>
      <c r="C60" s="43"/>
      <c r="D60" s="43"/>
      <c r="E60" s="39"/>
      <c r="F60" s="49"/>
      <c r="G60" s="52">
        <v>0.08</v>
      </c>
      <c r="H60" s="53" t="s">
        <v>47</v>
      </c>
      <c r="I60" s="51">
        <f>G60*I58</f>
        <v>72.046175999999988</v>
      </c>
      <c r="J60" s="13" t="s">
        <v>48</v>
      </c>
      <c r="K60" s="48" t="s">
        <v>49</v>
      </c>
      <c r="L60" s="43"/>
      <c r="M60" s="43"/>
      <c r="N60" s="39"/>
      <c r="O60" s="49"/>
      <c r="P60" s="52">
        <v>0.08</v>
      </c>
      <c r="Q60" s="53" t="s">
        <v>47</v>
      </c>
      <c r="R60" s="51">
        <f>P60*R58</f>
        <v>3479.0008000000003</v>
      </c>
      <c r="S60" s="13" t="s">
        <v>48</v>
      </c>
      <c r="T60" s="48" t="s">
        <v>49</v>
      </c>
      <c r="U60" s="43"/>
      <c r="V60" s="43"/>
      <c r="W60" s="151"/>
      <c r="X60" s="49"/>
      <c r="Y60" s="52">
        <v>0.08</v>
      </c>
      <c r="Z60" s="53" t="s">
        <v>47</v>
      </c>
      <c r="AA60" s="51">
        <f>Y60*AA58</f>
        <v>27.951128923182409</v>
      </c>
    </row>
    <row r="61" spans="1:27" x14ac:dyDescent="0.2">
      <c r="A61" s="13" t="s">
        <v>50</v>
      </c>
      <c r="B61" s="48" t="s">
        <v>51</v>
      </c>
      <c r="C61" s="43"/>
      <c r="D61" s="43"/>
      <c r="E61" s="39"/>
      <c r="F61" s="49"/>
      <c r="G61" s="52">
        <f>5/100</f>
        <v>0.05</v>
      </c>
      <c r="H61" s="53" t="s">
        <v>52</v>
      </c>
      <c r="I61" s="51">
        <f>G61*(I58+I59+I60)</f>
        <v>52.683766199999994</v>
      </c>
      <c r="J61" s="13" t="s">
        <v>50</v>
      </c>
      <c r="K61" s="48" t="s">
        <v>51</v>
      </c>
      <c r="L61" s="43"/>
      <c r="M61" s="43"/>
      <c r="N61" s="39"/>
      <c r="O61" s="49"/>
      <c r="P61" s="52">
        <v>0.05</v>
      </c>
      <c r="Q61" s="53" t="s">
        <v>52</v>
      </c>
      <c r="R61" s="51">
        <f>P61*(R58+R59+R60)</f>
        <v>2544.0193350000004</v>
      </c>
      <c r="S61" s="13" t="s">
        <v>50</v>
      </c>
      <c r="T61" s="48" t="s">
        <v>51</v>
      </c>
      <c r="U61" s="43"/>
      <c r="V61" s="43"/>
      <c r="W61" s="151"/>
      <c r="X61" s="49"/>
      <c r="Y61" s="52">
        <f>5/100</f>
        <v>0.05</v>
      </c>
      <c r="Z61" s="53" t="s">
        <v>52</v>
      </c>
      <c r="AA61" s="51">
        <f>Y61*(AA58+AA59+AA60)</f>
        <v>20.439263025077139</v>
      </c>
    </row>
    <row r="62" spans="1:27" x14ac:dyDescent="0.2">
      <c r="A62" s="54" t="s">
        <v>53</v>
      </c>
      <c r="B62" s="48" t="s">
        <v>54</v>
      </c>
      <c r="C62" s="43"/>
      <c r="D62" s="43"/>
      <c r="E62" s="39"/>
      <c r="F62" s="49"/>
      <c r="G62" s="49"/>
      <c r="H62" s="55" t="s">
        <v>55</v>
      </c>
      <c r="I62" s="51">
        <f>SUM(I58+I59+I60+I61)</f>
        <v>1106.3590901999999</v>
      </c>
      <c r="J62" s="54" t="s">
        <v>53</v>
      </c>
      <c r="K62" s="48" t="s">
        <v>54</v>
      </c>
      <c r="L62" s="43"/>
      <c r="M62" s="43"/>
      <c r="N62" s="39"/>
      <c r="O62" s="49"/>
      <c r="P62" s="49"/>
      <c r="Q62" s="55" t="s">
        <v>55</v>
      </c>
      <c r="R62" s="51">
        <f>SUM(R58+R59+R60+R61)</f>
        <v>53424.406035</v>
      </c>
      <c r="S62" s="54" t="s">
        <v>53</v>
      </c>
      <c r="T62" s="48" t="s">
        <v>54</v>
      </c>
      <c r="U62" s="43"/>
      <c r="V62" s="43"/>
      <c r="W62" s="151"/>
      <c r="X62" s="49"/>
      <c r="Y62" s="49"/>
      <c r="Z62" s="55" t="s">
        <v>55</v>
      </c>
      <c r="AA62" s="51">
        <f>SUM(AA58+AA59+AA60+AA61)</f>
        <v>429.22452352661986</v>
      </c>
    </row>
    <row r="63" spans="1:27" s="1" customFormat="1" x14ac:dyDescent="0.2">
      <c r="A63" s="236" t="s">
        <v>0</v>
      </c>
      <c r="B63" s="236"/>
      <c r="C63" s="236"/>
      <c r="D63" s="236"/>
      <c r="E63" s="236"/>
      <c r="F63" s="236"/>
      <c r="G63" s="236"/>
      <c r="H63" s="236"/>
      <c r="I63" s="236"/>
      <c r="J63" s="236" t="s">
        <v>0</v>
      </c>
      <c r="K63" s="236"/>
      <c r="L63" s="236"/>
      <c r="M63" s="236"/>
      <c r="N63" s="236"/>
      <c r="O63" s="236"/>
      <c r="P63" s="236"/>
      <c r="Q63" s="236"/>
      <c r="R63" s="236"/>
      <c r="S63" s="236" t="s">
        <v>0</v>
      </c>
      <c r="T63" s="236"/>
      <c r="U63" s="236"/>
      <c r="V63" s="236"/>
      <c r="W63" s="236"/>
      <c r="X63" s="236"/>
      <c r="Y63" s="236"/>
      <c r="Z63" s="236"/>
      <c r="AA63" s="236"/>
    </row>
    <row r="64" spans="1:27" x14ac:dyDescent="0.2">
      <c r="S64" s="10"/>
      <c r="T64" s="3"/>
      <c r="U64" s="4"/>
      <c r="V64" s="4"/>
      <c r="W64" s="5"/>
      <c r="X64" s="3"/>
      <c r="Y64" s="3"/>
      <c r="Z64" s="3"/>
      <c r="AA64" s="3"/>
    </row>
    <row r="65" spans="1:27" x14ac:dyDescent="0.2">
      <c r="A65" s="2" t="s">
        <v>1</v>
      </c>
      <c r="C65" s="4" t="s">
        <v>2</v>
      </c>
      <c r="D65" s="5" t="s">
        <v>272</v>
      </c>
      <c r="E65" s="237" t="s">
        <v>273</v>
      </c>
      <c r="F65" s="237"/>
      <c r="G65" s="237"/>
      <c r="H65" s="237"/>
      <c r="J65" s="2" t="s">
        <v>1</v>
      </c>
      <c r="L65" s="4" t="s">
        <v>2</v>
      </c>
      <c r="M65" s="5">
        <v>307</v>
      </c>
      <c r="N65" s="237" t="s">
        <v>274</v>
      </c>
      <c r="O65" s="237"/>
      <c r="P65" s="237"/>
      <c r="Q65" s="237"/>
      <c r="S65" s="152" t="s">
        <v>1</v>
      </c>
      <c r="T65" s="3"/>
      <c r="U65" s="4" t="s">
        <v>2</v>
      </c>
      <c r="V65" s="5" t="s">
        <v>372</v>
      </c>
      <c r="W65" s="237" t="s">
        <v>373</v>
      </c>
      <c r="X65" s="237"/>
      <c r="Y65" s="237"/>
      <c r="Z65" s="237"/>
      <c r="AA65" s="3"/>
    </row>
    <row r="66" spans="1:27" x14ac:dyDescent="0.2">
      <c r="A66" s="2" t="s">
        <v>7</v>
      </c>
      <c r="C66" s="4" t="s">
        <v>2</v>
      </c>
      <c r="E66" s="2" t="s">
        <v>224</v>
      </c>
      <c r="F66" s="8"/>
      <c r="G66" s="8"/>
      <c r="H66" s="8"/>
      <c r="J66" s="2" t="s">
        <v>7</v>
      </c>
      <c r="L66" s="4" t="s">
        <v>2</v>
      </c>
      <c r="N66" s="2" t="s">
        <v>8</v>
      </c>
      <c r="O66" s="8"/>
      <c r="P66" s="8"/>
      <c r="Q66" s="8"/>
      <c r="S66" s="152" t="s">
        <v>7</v>
      </c>
      <c r="T66" s="3"/>
      <c r="U66" s="4" t="s">
        <v>2</v>
      </c>
      <c r="V66" s="4"/>
      <c r="W66" s="152" t="s">
        <v>8</v>
      </c>
      <c r="X66" s="8"/>
      <c r="Y66" s="8"/>
      <c r="Z66" s="8"/>
      <c r="AA66" s="3"/>
    </row>
    <row r="67" spans="1:27" x14ac:dyDescent="0.2">
      <c r="A67" s="2" t="s">
        <v>10</v>
      </c>
      <c r="C67" s="4" t="s">
        <v>2</v>
      </c>
      <c r="E67" s="9">
        <f>50*1</f>
        <v>50</v>
      </c>
      <c r="F67" s="8"/>
      <c r="G67" s="8"/>
      <c r="H67" s="8"/>
      <c r="J67" s="2" t="s">
        <v>10</v>
      </c>
      <c r="L67" s="4" t="s">
        <v>2</v>
      </c>
      <c r="N67" s="9">
        <v>171.3</v>
      </c>
      <c r="O67" s="8"/>
      <c r="P67" s="8"/>
      <c r="Q67" s="8"/>
      <c r="S67" s="152" t="s">
        <v>10</v>
      </c>
      <c r="T67" s="3"/>
      <c r="U67" s="4" t="s">
        <v>2</v>
      </c>
      <c r="V67" s="4"/>
      <c r="W67" s="9">
        <v>90</v>
      </c>
      <c r="X67" s="8"/>
      <c r="Y67" s="8"/>
      <c r="Z67" s="8"/>
      <c r="AA67" s="3"/>
    </row>
    <row r="68" spans="1:27" x14ac:dyDescent="0.2">
      <c r="B68" s="8"/>
      <c r="F68" s="11"/>
      <c r="G68" s="8"/>
      <c r="H68" s="8"/>
      <c r="I68" s="8"/>
      <c r="K68" s="8"/>
      <c r="O68" s="11"/>
      <c r="P68" s="8"/>
      <c r="Q68" s="8"/>
      <c r="R68" s="8"/>
      <c r="S68" s="10"/>
      <c r="T68" s="8"/>
      <c r="U68" s="4"/>
      <c r="V68" s="4"/>
      <c r="W68" s="5"/>
      <c r="X68" s="11"/>
      <c r="Y68" s="8"/>
      <c r="Z68" s="8"/>
      <c r="AA68" s="8"/>
    </row>
    <row r="69" spans="1:27" x14ac:dyDescent="0.2">
      <c r="A69" s="12"/>
      <c r="B69" s="238" t="s">
        <v>11</v>
      </c>
      <c r="C69" s="239"/>
      <c r="D69" s="239"/>
      <c r="E69" s="240"/>
      <c r="F69" s="244" t="s">
        <v>12</v>
      </c>
      <c r="G69" s="244" t="s">
        <v>13</v>
      </c>
      <c r="H69" s="244" t="s">
        <v>14</v>
      </c>
      <c r="I69" s="246" t="s">
        <v>15</v>
      </c>
      <c r="J69" s="12"/>
      <c r="K69" s="238" t="s">
        <v>11</v>
      </c>
      <c r="L69" s="239"/>
      <c r="M69" s="239"/>
      <c r="N69" s="240"/>
      <c r="O69" s="244" t="s">
        <v>12</v>
      </c>
      <c r="P69" s="244" t="s">
        <v>13</v>
      </c>
      <c r="Q69" s="244" t="s">
        <v>14</v>
      </c>
      <c r="R69" s="246" t="s">
        <v>15</v>
      </c>
      <c r="S69" s="12"/>
      <c r="T69" s="238" t="s">
        <v>11</v>
      </c>
      <c r="U69" s="239"/>
      <c r="V69" s="239"/>
      <c r="W69" s="240"/>
      <c r="X69" s="244" t="s">
        <v>12</v>
      </c>
      <c r="Y69" s="244" t="s">
        <v>13</v>
      </c>
      <c r="Z69" s="244" t="s">
        <v>14</v>
      </c>
      <c r="AA69" s="246" t="s">
        <v>15</v>
      </c>
    </row>
    <row r="70" spans="1:27" x14ac:dyDescent="0.2">
      <c r="A70" s="13"/>
      <c r="B70" s="241"/>
      <c r="C70" s="242"/>
      <c r="D70" s="242"/>
      <c r="E70" s="243"/>
      <c r="F70" s="245"/>
      <c r="G70" s="245"/>
      <c r="H70" s="245"/>
      <c r="I70" s="247"/>
      <c r="J70" s="13"/>
      <c r="K70" s="241"/>
      <c r="L70" s="242"/>
      <c r="M70" s="242"/>
      <c r="N70" s="243"/>
      <c r="O70" s="245"/>
      <c r="P70" s="245"/>
      <c r="Q70" s="245"/>
      <c r="R70" s="247"/>
      <c r="S70" s="13"/>
      <c r="T70" s="241"/>
      <c r="U70" s="242"/>
      <c r="V70" s="242"/>
      <c r="W70" s="243"/>
      <c r="X70" s="245"/>
      <c r="Y70" s="245"/>
      <c r="Z70" s="245"/>
      <c r="AA70" s="247"/>
    </row>
    <row r="71" spans="1:27" x14ac:dyDescent="0.2">
      <c r="A71" s="13" t="s">
        <v>16</v>
      </c>
      <c r="B71" s="14" t="s">
        <v>17</v>
      </c>
      <c r="C71" s="15"/>
      <c r="D71" s="15"/>
      <c r="E71" s="16"/>
      <c r="F71" s="17"/>
      <c r="G71" s="17"/>
      <c r="H71" s="17"/>
      <c r="I71" s="17"/>
      <c r="J71" s="13" t="s">
        <v>16</v>
      </c>
      <c r="K71" s="14" t="s">
        <v>17</v>
      </c>
      <c r="L71" s="15"/>
      <c r="M71" s="15"/>
      <c r="N71" s="16"/>
      <c r="O71" s="17"/>
      <c r="P71" s="17"/>
      <c r="Q71" s="17"/>
      <c r="R71" s="17"/>
      <c r="S71" s="13" t="s">
        <v>16</v>
      </c>
      <c r="T71" s="14" t="s">
        <v>17</v>
      </c>
      <c r="U71" s="15"/>
      <c r="V71" s="15"/>
      <c r="W71" s="16"/>
      <c r="X71" s="17"/>
      <c r="Y71" s="17"/>
      <c r="Z71" s="17"/>
      <c r="AA71" s="17"/>
    </row>
    <row r="72" spans="1:27" x14ac:dyDescent="0.2">
      <c r="A72" s="13"/>
      <c r="B72" s="18"/>
      <c r="C72" s="19"/>
      <c r="D72" s="19"/>
      <c r="E72" s="20"/>
      <c r="F72" s="21"/>
      <c r="G72" s="22"/>
      <c r="H72" s="21"/>
      <c r="I72" s="21"/>
      <c r="J72" s="13"/>
      <c r="K72" s="24" t="s">
        <v>18</v>
      </c>
      <c r="L72" s="25"/>
      <c r="M72" s="25"/>
      <c r="N72" s="171" t="s">
        <v>1217</v>
      </c>
      <c r="O72" s="22">
        <v>1</v>
      </c>
      <c r="P72" s="23">
        <v>1</v>
      </c>
      <c r="Q72" s="23">
        <v>69.42</v>
      </c>
      <c r="R72" s="23">
        <f>P72*Q72*O72</f>
        <v>69.42</v>
      </c>
      <c r="S72" s="13"/>
      <c r="T72" s="18"/>
      <c r="U72" s="19"/>
      <c r="V72" s="19"/>
      <c r="W72" s="20"/>
      <c r="X72" s="21"/>
      <c r="Y72" s="22"/>
      <c r="Z72" s="21"/>
      <c r="AA72" s="21"/>
    </row>
    <row r="73" spans="1:27" x14ac:dyDescent="0.2">
      <c r="A73" s="13"/>
      <c r="B73" s="24" t="s">
        <v>18</v>
      </c>
      <c r="C73" s="25"/>
      <c r="D73" s="25"/>
      <c r="E73" s="26"/>
      <c r="F73" s="22">
        <v>1</v>
      </c>
      <c r="G73" s="62">
        <v>1</v>
      </c>
      <c r="H73" s="23">
        <v>69.42</v>
      </c>
      <c r="I73" s="23">
        <f>G73*H73*F73</f>
        <v>69.42</v>
      </c>
      <c r="J73" s="13"/>
      <c r="K73" s="153" t="s">
        <v>1178</v>
      </c>
      <c r="L73" s="154"/>
      <c r="M73" s="25"/>
      <c r="N73" s="171" t="s">
        <v>1218</v>
      </c>
      <c r="O73" s="22">
        <v>4</v>
      </c>
      <c r="P73" s="23">
        <v>1</v>
      </c>
      <c r="Q73" s="23">
        <v>50.18</v>
      </c>
      <c r="R73" s="23">
        <f>P73*Q73*O73</f>
        <v>200.72</v>
      </c>
      <c r="S73" s="13"/>
      <c r="T73" s="24" t="s">
        <v>18</v>
      </c>
      <c r="U73" s="25"/>
      <c r="V73" s="25"/>
      <c r="W73" s="26"/>
      <c r="X73" s="22">
        <v>1</v>
      </c>
      <c r="Y73" s="23">
        <v>1</v>
      </c>
      <c r="Z73" s="23">
        <v>69.42</v>
      </c>
      <c r="AA73" s="23">
        <f>Y73*Z73*X73</f>
        <v>69.42</v>
      </c>
    </row>
    <row r="74" spans="1:27" x14ac:dyDescent="0.2">
      <c r="A74" s="13"/>
      <c r="B74" s="24" t="s">
        <v>1179</v>
      </c>
      <c r="C74" s="25"/>
      <c r="D74" s="25"/>
      <c r="E74" s="26"/>
      <c r="F74" s="22">
        <v>2</v>
      </c>
      <c r="G74" s="62">
        <v>1</v>
      </c>
      <c r="H74" s="23">
        <v>38.97</v>
      </c>
      <c r="I74" s="23">
        <f>G74*H74*F74</f>
        <v>77.94</v>
      </c>
      <c r="J74" s="13"/>
      <c r="K74" s="153" t="s">
        <v>1177</v>
      </c>
      <c r="L74" s="154"/>
      <c r="M74" s="19"/>
      <c r="N74" s="20"/>
      <c r="O74" s="22">
        <v>8</v>
      </c>
      <c r="P74" s="23">
        <v>1</v>
      </c>
      <c r="Q74" s="23">
        <v>38.97</v>
      </c>
      <c r="R74" s="23">
        <f>P74*Q74*O74</f>
        <v>311.76</v>
      </c>
      <c r="S74" s="13"/>
      <c r="T74" s="257" t="s">
        <v>1178</v>
      </c>
      <c r="U74" s="258"/>
      <c r="V74" s="25"/>
      <c r="W74" s="26"/>
      <c r="X74" s="22">
        <v>4</v>
      </c>
      <c r="Y74" s="23">
        <v>1</v>
      </c>
      <c r="Z74" s="23">
        <v>50.18</v>
      </c>
      <c r="AA74" s="23">
        <f>Y74*Z74*X74</f>
        <v>200.72</v>
      </c>
    </row>
    <row r="75" spans="1:27" x14ac:dyDescent="0.2">
      <c r="A75" s="13"/>
      <c r="B75" s="27"/>
      <c r="C75" s="19"/>
      <c r="D75" s="19"/>
      <c r="E75" s="20"/>
      <c r="F75" s="22"/>
      <c r="G75" s="22"/>
      <c r="H75" s="28"/>
      <c r="I75" s="23"/>
      <c r="J75" s="13"/>
      <c r="K75" s="153" t="s">
        <v>1219</v>
      </c>
      <c r="L75" s="19"/>
      <c r="M75" s="19"/>
      <c r="N75" s="157" t="s">
        <v>1240</v>
      </c>
      <c r="O75" s="22">
        <v>1</v>
      </c>
      <c r="P75" s="23">
        <v>1</v>
      </c>
      <c r="Q75" s="29"/>
      <c r="R75" s="23">
        <f t="shared" ref="R75:R79" si="2">P75*Q75*O75</f>
        <v>0</v>
      </c>
      <c r="S75" s="13"/>
      <c r="T75" s="257" t="s">
        <v>1177</v>
      </c>
      <c r="U75" s="258"/>
      <c r="V75" s="19"/>
      <c r="W75" s="20"/>
      <c r="X75" s="22">
        <v>10</v>
      </c>
      <c r="Y75" s="23">
        <v>1</v>
      </c>
      <c r="Z75" s="23">
        <v>38.97</v>
      </c>
      <c r="AA75" s="23">
        <f>Y75*Z75*X75</f>
        <v>389.7</v>
      </c>
    </row>
    <row r="76" spans="1:27" ht="15" customHeight="1" x14ac:dyDescent="0.2">
      <c r="A76" s="13"/>
      <c r="B76" s="27"/>
      <c r="C76" s="19"/>
      <c r="D76" s="19"/>
      <c r="E76" s="20"/>
      <c r="F76" s="22"/>
      <c r="G76" s="22"/>
      <c r="H76" s="29"/>
      <c r="I76" s="30"/>
      <c r="J76" s="13"/>
      <c r="K76" s="153" t="s">
        <v>1220</v>
      </c>
      <c r="L76" s="19"/>
      <c r="M76" s="19"/>
      <c r="N76" s="157" t="s">
        <v>1241</v>
      </c>
      <c r="O76" s="22">
        <v>1</v>
      </c>
      <c r="P76" s="23">
        <v>1</v>
      </c>
      <c r="Q76" s="29"/>
      <c r="R76" s="23">
        <f t="shared" si="2"/>
        <v>0</v>
      </c>
      <c r="S76" s="13"/>
      <c r="T76" s="153"/>
      <c r="U76" s="19"/>
      <c r="V76" s="19"/>
      <c r="W76" s="20"/>
      <c r="X76" s="22"/>
      <c r="Y76" s="22"/>
      <c r="Z76" s="29"/>
      <c r="AA76" s="30"/>
    </row>
    <row r="77" spans="1:27" x14ac:dyDescent="0.2">
      <c r="A77" s="13"/>
      <c r="B77" s="27"/>
      <c r="C77" s="19"/>
      <c r="D77" s="19"/>
      <c r="E77" s="20"/>
      <c r="F77" s="22"/>
      <c r="G77" s="22"/>
      <c r="H77" s="29"/>
      <c r="I77" s="30"/>
      <c r="J77" s="13"/>
      <c r="K77" s="153" t="s">
        <v>1221</v>
      </c>
      <c r="L77" s="19"/>
      <c r="M77" s="19"/>
      <c r="N77" s="157" t="s">
        <v>1242</v>
      </c>
      <c r="O77" s="22">
        <v>1</v>
      </c>
      <c r="P77" s="23">
        <v>1</v>
      </c>
      <c r="Q77" s="29"/>
      <c r="R77" s="23">
        <f t="shared" si="2"/>
        <v>0</v>
      </c>
      <c r="S77" s="13"/>
      <c r="T77" s="153"/>
      <c r="U77" s="19"/>
      <c r="V77" s="19"/>
      <c r="W77" s="20"/>
      <c r="X77" s="22"/>
      <c r="Y77" s="22"/>
      <c r="Z77" s="30"/>
      <c r="AA77" s="30"/>
    </row>
    <row r="78" spans="1:27" x14ac:dyDescent="0.2">
      <c r="A78" s="13"/>
      <c r="B78" s="18"/>
      <c r="C78" s="19"/>
      <c r="D78" s="19"/>
      <c r="E78" s="20"/>
      <c r="F78" s="22"/>
      <c r="G78" s="22"/>
      <c r="H78" s="28"/>
      <c r="I78" s="23"/>
      <c r="J78" s="13"/>
      <c r="K78" s="18" t="s">
        <v>1222</v>
      </c>
      <c r="L78" s="19"/>
      <c r="M78" s="19"/>
      <c r="N78" s="20"/>
      <c r="O78" s="22">
        <v>1</v>
      </c>
      <c r="P78" s="23">
        <v>1</v>
      </c>
      <c r="Q78" s="28"/>
      <c r="R78" s="23">
        <f t="shared" si="2"/>
        <v>0</v>
      </c>
      <c r="S78" s="13"/>
      <c r="T78" s="18"/>
      <c r="U78" s="19"/>
      <c r="V78" s="19"/>
      <c r="W78" s="20"/>
      <c r="X78" s="22"/>
      <c r="Y78" s="22"/>
      <c r="Z78" s="28"/>
      <c r="AA78" s="23"/>
    </row>
    <row r="79" spans="1:27" x14ac:dyDescent="0.2">
      <c r="A79" s="13"/>
      <c r="B79" s="18"/>
      <c r="C79" s="19"/>
      <c r="D79" s="19"/>
      <c r="E79" s="20"/>
      <c r="F79" s="22"/>
      <c r="G79" s="22"/>
      <c r="H79" s="23"/>
      <c r="I79" s="23"/>
      <c r="J79" s="13"/>
      <c r="K79" s="18" t="s">
        <v>1223</v>
      </c>
      <c r="L79" s="19"/>
      <c r="M79" s="19"/>
      <c r="N79" s="20"/>
      <c r="O79" s="22">
        <v>4</v>
      </c>
      <c r="P79" s="23">
        <v>1</v>
      </c>
      <c r="Q79" s="23"/>
      <c r="R79" s="23">
        <f t="shared" si="2"/>
        <v>0</v>
      </c>
      <c r="S79" s="13"/>
      <c r="T79" s="18"/>
      <c r="U79" s="19"/>
      <c r="V79" s="19"/>
      <c r="W79" s="20"/>
      <c r="X79" s="22"/>
      <c r="Y79" s="22"/>
      <c r="Z79" s="23"/>
      <c r="AA79" s="23"/>
    </row>
    <row r="80" spans="1:27" x14ac:dyDescent="0.2">
      <c r="A80" s="13"/>
      <c r="B80" s="248" t="s">
        <v>20</v>
      </c>
      <c r="C80" s="249"/>
      <c r="D80" s="249"/>
      <c r="E80" s="250"/>
      <c r="F80" s="31"/>
      <c r="G80" s="31"/>
      <c r="H80" s="32"/>
      <c r="I80" s="32">
        <f>SUM(I73:I79)</f>
        <v>147.36000000000001</v>
      </c>
      <c r="J80" s="13"/>
      <c r="K80" s="248" t="s">
        <v>20</v>
      </c>
      <c r="L80" s="249"/>
      <c r="M80" s="249"/>
      <c r="N80" s="250"/>
      <c r="O80" s="31"/>
      <c r="P80" s="31"/>
      <c r="Q80" s="32"/>
      <c r="R80" s="32">
        <f>SUM(R72:R79)</f>
        <v>581.9</v>
      </c>
      <c r="S80" s="13"/>
      <c r="T80" s="248" t="s">
        <v>20</v>
      </c>
      <c r="U80" s="249"/>
      <c r="V80" s="249"/>
      <c r="W80" s="250"/>
      <c r="X80" s="31"/>
      <c r="Y80" s="31"/>
      <c r="Z80" s="32"/>
      <c r="AA80" s="32">
        <f>SUM(AA73:AA79)</f>
        <v>659.83999999999992</v>
      </c>
    </row>
    <row r="81" spans="1:27" x14ac:dyDescent="0.2">
      <c r="A81" s="12"/>
      <c r="B81" s="251" t="s">
        <v>21</v>
      </c>
      <c r="C81" s="252"/>
      <c r="D81" s="252"/>
      <c r="E81" s="253"/>
      <c r="F81" s="244" t="s">
        <v>22</v>
      </c>
      <c r="G81" s="244" t="s">
        <v>13</v>
      </c>
      <c r="H81" s="244" t="s">
        <v>14</v>
      </c>
      <c r="I81" s="246" t="s">
        <v>15</v>
      </c>
      <c r="J81" s="12"/>
      <c r="K81" s="251" t="s">
        <v>21</v>
      </c>
      <c r="L81" s="252"/>
      <c r="M81" s="252"/>
      <c r="N81" s="253"/>
      <c r="O81" s="244" t="s">
        <v>22</v>
      </c>
      <c r="P81" s="244" t="s">
        <v>13</v>
      </c>
      <c r="Q81" s="244" t="s">
        <v>14</v>
      </c>
      <c r="R81" s="246" t="s">
        <v>15</v>
      </c>
      <c r="S81" s="12"/>
      <c r="T81" s="251" t="s">
        <v>21</v>
      </c>
      <c r="U81" s="252"/>
      <c r="V81" s="252"/>
      <c r="W81" s="253"/>
      <c r="X81" s="244" t="s">
        <v>22</v>
      </c>
      <c r="Y81" s="244" t="s">
        <v>13</v>
      </c>
      <c r="Z81" s="244" t="s">
        <v>14</v>
      </c>
      <c r="AA81" s="246" t="s">
        <v>15</v>
      </c>
    </row>
    <row r="82" spans="1:27" x14ac:dyDescent="0.2">
      <c r="A82" s="13"/>
      <c r="B82" s="254"/>
      <c r="C82" s="255"/>
      <c r="D82" s="255"/>
      <c r="E82" s="256"/>
      <c r="F82" s="245"/>
      <c r="G82" s="245"/>
      <c r="H82" s="245"/>
      <c r="I82" s="247"/>
      <c r="J82" s="13"/>
      <c r="K82" s="254"/>
      <c r="L82" s="255"/>
      <c r="M82" s="255"/>
      <c r="N82" s="256"/>
      <c r="O82" s="245"/>
      <c r="P82" s="245"/>
      <c r="Q82" s="245"/>
      <c r="R82" s="247"/>
      <c r="S82" s="13"/>
      <c r="T82" s="254"/>
      <c r="U82" s="255"/>
      <c r="V82" s="255"/>
      <c r="W82" s="256"/>
      <c r="X82" s="245"/>
      <c r="Y82" s="245"/>
      <c r="Z82" s="245"/>
      <c r="AA82" s="247"/>
    </row>
    <row r="83" spans="1:27" x14ac:dyDescent="0.2">
      <c r="A83" s="13" t="s">
        <v>23</v>
      </c>
      <c r="B83" s="33" t="s">
        <v>24</v>
      </c>
      <c r="C83" s="15"/>
      <c r="D83" s="15"/>
      <c r="E83" s="16"/>
      <c r="F83" s="34"/>
      <c r="G83" s="34"/>
      <c r="H83" s="35"/>
      <c r="I83" s="35"/>
      <c r="J83" s="13" t="s">
        <v>23</v>
      </c>
      <c r="K83" s="33" t="s">
        <v>24</v>
      </c>
      <c r="L83" s="15"/>
      <c r="M83" s="15"/>
      <c r="N83" s="16"/>
      <c r="O83" s="34"/>
      <c r="P83" s="34"/>
      <c r="Q83" s="35"/>
      <c r="R83" s="35"/>
      <c r="S83" s="13" t="s">
        <v>23</v>
      </c>
      <c r="T83" s="33" t="s">
        <v>24</v>
      </c>
      <c r="U83" s="15"/>
      <c r="V83" s="15"/>
      <c r="W83" s="16"/>
      <c r="X83" s="34"/>
      <c r="Y83" s="34"/>
      <c r="Z83" s="35"/>
      <c r="AA83" s="35"/>
    </row>
    <row r="84" spans="1:27" x14ac:dyDescent="0.2">
      <c r="A84" s="13"/>
      <c r="B84" s="18"/>
      <c r="C84" s="19"/>
      <c r="D84" s="19"/>
      <c r="E84" s="20"/>
      <c r="F84" s="22"/>
      <c r="G84" s="22"/>
      <c r="H84" s="23"/>
      <c r="I84" s="23"/>
      <c r="J84" s="13"/>
      <c r="K84" s="18"/>
      <c r="L84" s="19"/>
      <c r="M84" s="19"/>
      <c r="N84" s="20"/>
      <c r="O84" s="22"/>
      <c r="P84" s="22"/>
      <c r="Q84" s="23"/>
      <c r="R84" s="23"/>
      <c r="S84" s="13"/>
      <c r="T84" s="18"/>
      <c r="U84" s="19"/>
      <c r="V84" s="19"/>
      <c r="W84" s="20"/>
      <c r="X84" s="22"/>
      <c r="Y84" s="22"/>
      <c r="Z84" s="23"/>
      <c r="AA84" s="23"/>
    </row>
    <row r="85" spans="1:27" ht="17.25" customHeight="1" x14ac:dyDescent="0.2">
      <c r="A85" s="13"/>
      <c r="B85" s="18" t="s">
        <v>1172</v>
      </c>
      <c r="C85" s="19"/>
      <c r="D85" s="19"/>
      <c r="E85" s="20"/>
      <c r="F85" s="22">
        <v>1</v>
      </c>
      <c r="G85" s="23">
        <v>1</v>
      </c>
      <c r="H85" s="37">
        <v>2173</v>
      </c>
      <c r="I85" s="37">
        <f>G85*H85*F85</f>
        <v>2173</v>
      </c>
      <c r="J85" s="13"/>
      <c r="K85" s="18" t="s">
        <v>275</v>
      </c>
      <c r="L85" s="19"/>
      <c r="M85" s="19"/>
      <c r="N85" s="20"/>
      <c r="O85" s="22">
        <v>1</v>
      </c>
      <c r="P85" s="23">
        <v>1</v>
      </c>
      <c r="Q85" s="37">
        <v>1833</v>
      </c>
      <c r="R85" s="37">
        <f t="shared" ref="R85:R91" si="3">P85*Q85*O85</f>
        <v>1833</v>
      </c>
      <c r="S85" s="13"/>
      <c r="T85" s="18" t="s">
        <v>1208</v>
      </c>
      <c r="U85" s="19"/>
      <c r="V85" s="19"/>
      <c r="W85" s="20"/>
      <c r="X85" s="22">
        <v>1</v>
      </c>
      <c r="Y85" s="23">
        <v>1</v>
      </c>
      <c r="Z85" s="37">
        <v>1759.5</v>
      </c>
      <c r="AA85" s="37">
        <f t="shared" ref="AA85:AA92" si="4">Y85*Z85*X85</f>
        <v>1759.5</v>
      </c>
    </row>
    <row r="86" spans="1:27" ht="17.25" customHeight="1" x14ac:dyDescent="0.2">
      <c r="A86" s="13"/>
      <c r="B86" s="18" t="s">
        <v>1173</v>
      </c>
      <c r="C86" s="19"/>
      <c r="D86" s="19"/>
      <c r="E86" s="20"/>
      <c r="F86" s="22">
        <v>1</v>
      </c>
      <c r="G86" s="23">
        <v>1</v>
      </c>
      <c r="H86" s="37">
        <v>1846</v>
      </c>
      <c r="I86" s="37">
        <f>G86*H86*F86</f>
        <v>1846</v>
      </c>
      <c r="J86" s="13"/>
      <c r="K86" s="18" t="s">
        <v>276</v>
      </c>
      <c r="L86" s="19"/>
      <c r="M86" s="19"/>
      <c r="N86" s="20"/>
      <c r="O86" s="22">
        <v>1</v>
      </c>
      <c r="P86" s="23">
        <v>1</v>
      </c>
      <c r="Q86" s="37">
        <v>561</v>
      </c>
      <c r="R86" s="37">
        <f t="shared" si="3"/>
        <v>561</v>
      </c>
      <c r="S86" s="13"/>
      <c r="T86" s="18" t="s">
        <v>1256</v>
      </c>
      <c r="U86" s="19"/>
      <c r="V86" s="19"/>
      <c r="W86" s="20"/>
      <c r="X86" s="22">
        <v>1</v>
      </c>
      <c r="Y86" s="23">
        <v>1</v>
      </c>
      <c r="Z86" s="37">
        <v>6765</v>
      </c>
      <c r="AA86" s="37">
        <f t="shared" si="4"/>
        <v>6765</v>
      </c>
    </row>
    <row r="87" spans="1:27" x14ac:dyDescent="0.2">
      <c r="A87" s="13"/>
      <c r="B87" s="18" t="s">
        <v>1174</v>
      </c>
      <c r="C87" s="19"/>
      <c r="D87" s="19"/>
      <c r="E87" s="20"/>
      <c r="F87" s="22">
        <v>1</v>
      </c>
      <c r="G87" s="23">
        <v>0.25</v>
      </c>
      <c r="H87" s="37">
        <v>2450</v>
      </c>
      <c r="I87" s="37">
        <f>G87*H87*F87</f>
        <v>612.5</v>
      </c>
      <c r="J87" s="13"/>
      <c r="K87" s="18" t="s">
        <v>277</v>
      </c>
      <c r="L87" s="19"/>
      <c r="M87" s="19"/>
      <c r="N87" s="20"/>
      <c r="O87" s="22">
        <v>1</v>
      </c>
      <c r="P87" s="23">
        <v>1</v>
      </c>
      <c r="Q87" s="37">
        <v>1652</v>
      </c>
      <c r="R87" s="37">
        <f t="shared" si="3"/>
        <v>1652</v>
      </c>
      <c r="S87" s="13"/>
      <c r="T87" s="18" t="s">
        <v>256</v>
      </c>
      <c r="U87" s="19"/>
      <c r="V87" s="19"/>
      <c r="W87" s="20"/>
      <c r="X87" s="22">
        <v>4</v>
      </c>
      <c r="Y87" s="23">
        <v>1</v>
      </c>
      <c r="Z87" s="37">
        <v>1318</v>
      </c>
      <c r="AA87" s="37">
        <f t="shared" si="4"/>
        <v>5272</v>
      </c>
    </row>
    <row r="88" spans="1:27" x14ac:dyDescent="0.2">
      <c r="A88" s="13"/>
      <c r="B88" s="18"/>
      <c r="F88" s="22"/>
      <c r="G88" s="36"/>
      <c r="H88" s="37"/>
      <c r="I88" s="37"/>
      <c r="J88" s="13"/>
      <c r="K88" s="18" t="s">
        <v>1140</v>
      </c>
      <c r="O88" s="22">
        <v>2</v>
      </c>
      <c r="P88" s="23">
        <v>1</v>
      </c>
      <c r="Q88" s="37">
        <v>1420</v>
      </c>
      <c r="R88" s="37">
        <f t="shared" si="3"/>
        <v>2840</v>
      </c>
      <c r="S88" s="13"/>
      <c r="T88" s="18" t="s">
        <v>257</v>
      </c>
      <c r="U88" s="4"/>
      <c r="V88" s="4"/>
      <c r="W88" s="5"/>
      <c r="X88" s="22">
        <v>1</v>
      </c>
      <c r="Y88" s="23">
        <v>1</v>
      </c>
      <c r="Z88" s="37">
        <v>1733</v>
      </c>
      <c r="AA88" s="37">
        <f t="shared" si="4"/>
        <v>1733</v>
      </c>
    </row>
    <row r="89" spans="1:27" x14ac:dyDescent="0.2">
      <c r="A89" s="13"/>
      <c r="B89" s="18"/>
      <c r="C89" s="19"/>
      <c r="D89" s="19"/>
      <c r="E89" s="20"/>
      <c r="F89" s="22"/>
      <c r="G89" s="36"/>
      <c r="H89" s="37"/>
      <c r="I89" s="37"/>
      <c r="J89" s="13"/>
      <c r="K89" s="18" t="s">
        <v>278</v>
      </c>
      <c r="L89" s="19"/>
      <c r="M89" s="19"/>
      <c r="N89" s="20"/>
      <c r="O89" s="22">
        <v>1</v>
      </c>
      <c r="P89" s="23">
        <v>1</v>
      </c>
      <c r="Q89" s="37">
        <v>4286.63</v>
      </c>
      <c r="R89" s="37">
        <f t="shared" si="3"/>
        <v>4286.63</v>
      </c>
      <c r="S89" s="13"/>
      <c r="T89" s="18" t="s">
        <v>1211</v>
      </c>
      <c r="U89" s="19"/>
      <c r="V89" s="19"/>
      <c r="W89" s="20"/>
      <c r="X89" s="22">
        <v>1</v>
      </c>
      <c r="Y89" s="23">
        <v>1</v>
      </c>
      <c r="Z89" s="37">
        <v>2450</v>
      </c>
      <c r="AA89" s="37">
        <f t="shared" si="4"/>
        <v>2450</v>
      </c>
    </row>
    <row r="90" spans="1:27" x14ac:dyDescent="0.2">
      <c r="A90" s="13"/>
      <c r="B90" s="18"/>
      <c r="C90" s="19"/>
      <c r="D90" s="19"/>
      <c r="E90" s="20"/>
      <c r="F90" s="22"/>
      <c r="G90" s="36"/>
      <c r="H90" s="38"/>
      <c r="I90" s="38"/>
      <c r="J90" s="13"/>
      <c r="K90" s="18" t="s">
        <v>1206</v>
      </c>
      <c r="L90" s="19"/>
      <c r="M90" s="19"/>
      <c r="N90" s="20"/>
      <c r="O90" s="22">
        <v>1</v>
      </c>
      <c r="P90" s="23">
        <v>1</v>
      </c>
      <c r="Q90" s="37">
        <v>2450</v>
      </c>
      <c r="R90" s="37">
        <f t="shared" si="3"/>
        <v>2450</v>
      </c>
      <c r="S90" s="13"/>
      <c r="T90" s="18" t="s">
        <v>1257</v>
      </c>
      <c r="U90" s="19"/>
      <c r="V90" s="19"/>
      <c r="W90" s="20"/>
      <c r="X90" s="22">
        <v>1</v>
      </c>
      <c r="Y90" s="23">
        <v>1</v>
      </c>
      <c r="Z90" s="37">
        <v>32.630000000000003</v>
      </c>
      <c r="AA90" s="37">
        <f t="shared" si="4"/>
        <v>32.630000000000003</v>
      </c>
    </row>
    <row r="91" spans="1:27" x14ac:dyDescent="0.2">
      <c r="A91" s="13"/>
      <c r="B91" s="18"/>
      <c r="C91" s="19"/>
      <c r="D91" s="19"/>
      <c r="E91" s="20"/>
      <c r="F91" s="22"/>
      <c r="G91" s="36"/>
      <c r="H91" s="38"/>
      <c r="I91" s="38"/>
      <c r="J91" s="13"/>
      <c r="K91" s="18" t="s">
        <v>279</v>
      </c>
      <c r="L91" s="19"/>
      <c r="M91" s="19"/>
      <c r="N91" s="20"/>
      <c r="O91" s="22">
        <v>1</v>
      </c>
      <c r="P91" s="23">
        <v>1</v>
      </c>
      <c r="Q91" s="37">
        <v>1733</v>
      </c>
      <c r="R91" s="37">
        <f t="shared" si="3"/>
        <v>1733</v>
      </c>
      <c r="S91" s="13"/>
      <c r="T91" s="18" t="s">
        <v>1258</v>
      </c>
      <c r="U91" s="19"/>
      <c r="V91" s="19"/>
      <c r="W91" s="20"/>
      <c r="X91" s="22">
        <v>1</v>
      </c>
      <c r="Y91" s="23">
        <v>0.1</v>
      </c>
      <c r="Z91" s="37">
        <v>91.25</v>
      </c>
      <c r="AA91" s="37">
        <f t="shared" si="4"/>
        <v>9.125</v>
      </c>
    </row>
    <row r="92" spans="1:27" x14ac:dyDescent="0.2">
      <c r="A92" s="13"/>
      <c r="B92" s="18"/>
      <c r="C92" s="19"/>
      <c r="D92" s="19"/>
      <c r="E92" s="20"/>
      <c r="F92" s="22"/>
      <c r="G92" s="36"/>
      <c r="H92" s="38"/>
      <c r="I92" s="38"/>
      <c r="J92" s="13"/>
      <c r="K92" s="18" t="s">
        <v>1192</v>
      </c>
      <c r="L92" s="19"/>
      <c r="M92" s="19"/>
      <c r="N92" s="20"/>
      <c r="O92" s="22"/>
      <c r="P92" s="36"/>
      <c r="R92" s="37">
        <f>0.1*R80</f>
        <v>58.19</v>
      </c>
      <c r="S92" s="13"/>
      <c r="T92" s="18" t="s">
        <v>343</v>
      </c>
      <c r="U92" s="19"/>
      <c r="V92" s="19"/>
      <c r="W92" s="20"/>
      <c r="X92" s="22">
        <v>1</v>
      </c>
      <c r="Y92" s="23">
        <v>0.1</v>
      </c>
      <c r="Z92" s="37">
        <v>219.75</v>
      </c>
      <c r="AA92" s="37">
        <f t="shared" si="4"/>
        <v>21.975000000000001</v>
      </c>
    </row>
    <row r="93" spans="1:27" x14ac:dyDescent="0.2">
      <c r="A93" s="13"/>
      <c r="B93" s="18"/>
      <c r="C93" s="19"/>
      <c r="D93" s="19"/>
      <c r="E93" s="20"/>
      <c r="F93" s="22"/>
      <c r="G93" s="36"/>
      <c r="H93" s="38"/>
      <c r="I93" s="38"/>
      <c r="J93" s="13"/>
      <c r="K93" s="18"/>
      <c r="L93" s="19"/>
      <c r="M93" s="19"/>
      <c r="N93" s="20"/>
      <c r="O93" s="22"/>
      <c r="P93" s="36"/>
      <c r="Q93" s="38"/>
      <c r="R93" s="38"/>
      <c r="S93" s="13"/>
      <c r="X93" s="72"/>
      <c r="Y93" s="72"/>
      <c r="Z93" s="72"/>
      <c r="AA93" s="72"/>
    </row>
    <row r="94" spans="1:27" x14ac:dyDescent="0.2">
      <c r="A94" s="13"/>
      <c r="B94" s="18"/>
      <c r="C94" s="19"/>
      <c r="D94" s="19"/>
      <c r="E94" s="20"/>
      <c r="F94" s="22"/>
      <c r="G94" s="36"/>
      <c r="H94" s="37"/>
      <c r="I94" s="37"/>
      <c r="J94" s="13"/>
      <c r="K94" s="18"/>
      <c r="L94" s="19"/>
      <c r="M94" s="19"/>
      <c r="N94" s="20"/>
      <c r="O94" s="22"/>
      <c r="P94" s="36"/>
      <c r="Q94" s="37"/>
      <c r="R94" s="37"/>
      <c r="S94" s="13"/>
      <c r="X94" s="72"/>
      <c r="Y94" s="72"/>
      <c r="Z94" s="30"/>
      <c r="AA94" s="30"/>
    </row>
    <row r="95" spans="1:27" x14ac:dyDescent="0.2">
      <c r="A95" s="13"/>
      <c r="B95" s="18"/>
      <c r="C95" s="19"/>
      <c r="D95" s="19"/>
      <c r="E95" s="20"/>
      <c r="F95" s="22"/>
      <c r="G95" s="36"/>
      <c r="H95" s="37"/>
      <c r="I95" s="37"/>
      <c r="J95" s="13"/>
      <c r="K95" s="18"/>
      <c r="L95" s="19"/>
      <c r="M95" s="19"/>
      <c r="N95" s="20"/>
      <c r="O95" s="22"/>
      <c r="P95" s="36"/>
      <c r="Q95" s="37"/>
      <c r="R95" s="37"/>
      <c r="S95" s="13"/>
      <c r="T95" s="18"/>
      <c r="U95" s="19"/>
      <c r="V95" s="19"/>
      <c r="W95" s="20"/>
      <c r="X95" s="22"/>
      <c r="Y95" s="36"/>
      <c r="Z95" s="37"/>
      <c r="AA95" s="37"/>
    </row>
    <row r="96" spans="1:27" ht="15" customHeight="1" x14ac:dyDescent="0.2">
      <c r="A96" s="13"/>
      <c r="B96" s="18"/>
      <c r="C96" s="19"/>
      <c r="D96" s="19"/>
      <c r="E96" s="20"/>
      <c r="F96" s="22"/>
      <c r="G96" s="36"/>
      <c r="H96" s="37"/>
      <c r="I96" s="37"/>
      <c r="J96" s="13"/>
      <c r="K96" s="18"/>
      <c r="L96" s="19"/>
      <c r="M96" s="19"/>
      <c r="N96" s="20"/>
      <c r="O96" s="22"/>
      <c r="P96" s="36"/>
      <c r="Q96" s="37"/>
      <c r="R96" s="37"/>
      <c r="S96" s="13"/>
      <c r="T96" s="18"/>
      <c r="U96" s="19"/>
      <c r="V96" s="19"/>
      <c r="W96" s="20"/>
      <c r="X96" s="22"/>
      <c r="Y96" s="36"/>
      <c r="Z96" s="37"/>
      <c r="AA96" s="37"/>
    </row>
    <row r="97" spans="1:27" x14ac:dyDescent="0.2">
      <c r="A97" s="13"/>
      <c r="B97" s="18"/>
      <c r="C97" s="19"/>
      <c r="D97" s="19"/>
      <c r="E97" s="20"/>
      <c r="F97" s="22"/>
      <c r="G97" s="22"/>
      <c r="H97" s="23"/>
      <c r="I97" s="23"/>
      <c r="J97" s="13"/>
      <c r="K97" s="18"/>
      <c r="L97" s="19"/>
      <c r="M97" s="19"/>
      <c r="N97" s="20"/>
      <c r="O97" s="22"/>
      <c r="P97" s="22"/>
      <c r="Q97" s="23"/>
      <c r="R97" s="23"/>
      <c r="S97" s="13"/>
      <c r="T97" s="18"/>
      <c r="U97" s="19"/>
      <c r="V97" s="19"/>
      <c r="W97" s="20"/>
      <c r="X97" s="22"/>
      <c r="Y97" s="22"/>
      <c r="Z97" s="23"/>
      <c r="AA97" s="23"/>
    </row>
    <row r="98" spans="1:27" x14ac:dyDescent="0.2">
      <c r="A98" s="13"/>
      <c r="B98" s="248" t="s">
        <v>30</v>
      </c>
      <c r="C98" s="249"/>
      <c r="D98" s="249"/>
      <c r="E98" s="250"/>
      <c r="F98" s="22"/>
      <c r="G98" s="22"/>
      <c r="H98" s="23"/>
      <c r="I98" s="23">
        <f>SUM(I85:I97)</f>
        <v>4631.5</v>
      </c>
      <c r="J98" s="13"/>
      <c r="K98" s="248" t="s">
        <v>30</v>
      </c>
      <c r="L98" s="249"/>
      <c r="M98" s="249"/>
      <c r="N98" s="250"/>
      <c r="O98" s="22"/>
      <c r="P98" s="22"/>
      <c r="Q98" s="23"/>
      <c r="R98" s="23">
        <f>SUM(R85:R97)</f>
        <v>15413.820000000002</v>
      </c>
      <c r="S98" s="13"/>
      <c r="T98" s="248" t="s">
        <v>30</v>
      </c>
      <c r="U98" s="249"/>
      <c r="V98" s="249"/>
      <c r="W98" s="250"/>
      <c r="X98" s="22"/>
      <c r="Y98" s="22"/>
      <c r="Z98" s="23"/>
      <c r="AA98" s="23">
        <f>SUM(AA85:AA97)</f>
        <v>18043.23</v>
      </c>
    </row>
    <row r="99" spans="1:27" x14ac:dyDescent="0.2">
      <c r="A99" s="12" t="s">
        <v>31</v>
      </c>
      <c r="B99" s="260" t="s">
        <v>32</v>
      </c>
      <c r="C99" s="261"/>
      <c r="D99" s="261"/>
      <c r="E99" s="261"/>
      <c r="F99" s="39"/>
      <c r="G99" s="39"/>
      <c r="H99" s="40"/>
      <c r="I99" s="41">
        <f>SUM(I98+I80)</f>
        <v>4778.8599999999997</v>
      </c>
      <c r="J99" s="12" t="s">
        <v>31</v>
      </c>
      <c r="K99" s="260" t="s">
        <v>32</v>
      </c>
      <c r="L99" s="261"/>
      <c r="M99" s="261"/>
      <c r="N99" s="261"/>
      <c r="O99" s="39"/>
      <c r="P99" s="39"/>
      <c r="Q99" s="40"/>
      <c r="R99" s="41">
        <f>SUM(R98+R80)</f>
        <v>15995.720000000001</v>
      </c>
      <c r="S99" s="12" t="s">
        <v>31</v>
      </c>
      <c r="T99" s="260" t="s">
        <v>32</v>
      </c>
      <c r="U99" s="261"/>
      <c r="V99" s="261"/>
      <c r="W99" s="261"/>
      <c r="X99" s="151"/>
      <c r="Y99" s="151"/>
      <c r="Z99" s="40"/>
      <c r="AA99" s="41">
        <f>SUM(AA98+AA80)</f>
        <v>18703.07</v>
      </c>
    </row>
    <row r="100" spans="1:27" x14ac:dyDescent="0.2">
      <c r="A100" s="13" t="s">
        <v>33</v>
      </c>
      <c r="B100" s="264">
        <f>E67</f>
        <v>50</v>
      </c>
      <c r="C100" s="265"/>
      <c r="D100" s="265"/>
      <c r="E100" s="265"/>
      <c r="F100" s="265"/>
      <c r="G100" s="265"/>
      <c r="H100" s="40"/>
      <c r="I100" s="41"/>
      <c r="J100" s="13" t="s">
        <v>33</v>
      </c>
      <c r="K100" s="311">
        <f>N67</f>
        <v>171.3</v>
      </c>
      <c r="L100" s="312"/>
      <c r="M100" s="312"/>
      <c r="N100" s="312"/>
      <c r="O100" s="312"/>
      <c r="P100" s="312"/>
      <c r="Q100" s="40"/>
      <c r="R100" s="41"/>
      <c r="S100" s="13" t="s">
        <v>33</v>
      </c>
      <c r="T100" s="305">
        <f>W67</f>
        <v>90</v>
      </c>
      <c r="U100" s="306"/>
      <c r="V100" s="306"/>
      <c r="W100" s="306"/>
      <c r="X100" s="306"/>
      <c r="Y100" s="306"/>
      <c r="Z100" s="40"/>
      <c r="AA100" s="41"/>
    </row>
    <row r="101" spans="1:27" x14ac:dyDescent="0.2">
      <c r="A101" s="13" t="s">
        <v>34</v>
      </c>
      <c r="B101" s="42" t="s">
        <v>35</v>
      </c>
      <c r="C101" s="43"/>
      <c r="D101" s="43"/>
      <c r="E101" s="39"/>
      <c r="F101" s="44"/>
      <c r="G101" s="44"/>
      <c r="H101" s="40"/>
      <c r="I101" s="41">
        <f>I99/E67</f>
        <v>95.577199999999991</v>
      </c>
      <c r="J101" s="13" t="s">
        <v>34</v>
      </c>
      <c r="K101" s="42" t="s">
        <v>35</v>
      </c>
      <c r="L101" s="43"/>
      <c r="M101" s="43"/>
      <c r="N101" s="39"/>
      <c r="O101" s="44"/>
      <c r="P101" s="44"/>
      <c r="Q101" s="40"/>
      <c r="R101" s="41">
        <f>R99/N67</f>
        <v>93.378400467016931</v>
      </c>
      <c r="S101" s="13" t="s">
        <v>34</v>
      </c>
      <c r="T101" s="155" t="s">
        <v>35</v>
      </c>
      <c r="U101" s="43"/>
      <c r="V101" s="43"/>
      <c r="W101" s="151"/>
      <c r="X101" s="156"/>
      <c r="Y101" s="156"/>
      <c r="Z101" s="40"/>
      <c r="AA101" s="41">
        <f>AA99/W67</f>
        <v>207.81188888888889</v>
      </c>
    </row>
    <row r="102" spans="1:27" x14ac:dyDescent="0.2">
      <c r="A102" s="12"/>
      <c r="B102" s="251" t="s">
        <v>36</v>
      </c>
      <c r="C102" s="252"/>
      <c r="D102" s="252"/>
      <c r="E102" s="253"/>
      <c r="F102" s="244" t="s">
        <v>37</v>
      </c>
      <c r="G102" s="244" t="s">
        <v>38</v>
      </c>
      <c r="H102" s="244" t="s">
        <v>39</v>
      </c>
      <c r="I102" s="246" t="s">
        <v>15</v>
      </c>
      <c r="J102" s="12"/>
      <c r="K102" s="251" t="s">
        <v>36</v>
      </c>
      <c r="L102" s="252"/>
      <c r="M102" s="252"/>
      <c r="N102" s="253"/>
      <c r="O102" s="244" t="s">
        <v>37</v>
      </c>
      <c r="P102" s="244" t="s">
        <v>38</v>
      </c>
      <c r="Q102" s="244" t="s">
        <v>39</v>
      </c>
      <c r="R102" s="246" t="s">
        <v>15</v>
      </c>
      <c r="S102" s="12"/>
      <c r="T102" s="251" t="s">
        <v>36</v>
      </c>
      <c r="U102" s="252"/>
      <c r="V102" s="252"/>
      <c r="W102" s="253"/>
      <c r="X102" s="244" t="s">
        <v>37</v>
      </c>
      <c r="Y102" s="244" t="s">
        <v>38</v>
      </c>
      <c r="Z102" s="244" t="s">
        <v>39</v>
      </c>
      <c r="AA102" s="246" t="s">
        <v>15</v>
      </c>
    </row>
    <row r="103" spans="1:27" x14ac:dyDescent="0.2">
      <c r="A103" s="13"/>
      <c r="B103" s="254"/>
      <c r="C103" s="255"/>
      <c r="D103" s="255"/>
      <c r="E103" s="256"/>
      <c r="F103" s="245"/>
      <c r="G103" s="245"/>
      <c r="H103" s="245"/>
      <c r="I103" s="247"/>
      <c r="J103" s="13"/>
      <c r="K103" s="254"/>
      <c r="L103" s="255"/>
      <c r="M103" s="255"/>
      <c r="N103" s="256"/>
      <c r="O103" s="245"/>
      <c r="P103" s="245"/>
      <c r="Q103" s="245"/>
      <c r="R103" s="247"/>
      <c r="S103" s="13"/>
      <c r="T103" s="254"/>
      <c r="U103" s="255"/>
      <c r="V103" s="255"/>
      <c r="W103" s="256"/>
      <c r="X103" s="245"/>
      <c r="Y103" s="245"/>
      <c r="Z103" s="245"/>
      <c r="AA103" s="247"/>
    </row>
    <row r="104" spans="1:27" x14ac:dyDescent="0.2">
      <c r="A104" s="13" t="s">
        <v>40</v>
      </c>
      <c r="B104" s="18" t="s">
        <v>41</v>
      </c>
      <c r="C104" s="19"/>
      <c r="D104" s="19"/>
      <c r="E104" s="20"/>
      <c r="F104" s="22"/>
      <c r="G104" s="22"/>
      <c r="H104" s="23"/>
      <c r="I104" s="23"/>
      <c r="J104" s="13" t="s">
        <v>40</v>
      </c>
      <c r="K104" s="18" t="s">
        <v>41</v>
      </c>
      <c r="L104" s="19"/>
      <c r="M104" s="19"/>
      <c r="N104" s="20"/>
      <c r="O104" s="22"/>
      <c r="P104" s="22"/>
      <c r="Q104" s="23"/>
      <c r="R104" s="23"/>
      <c r="S104" s="13" t="s">
        <v>40</v>
      </c>
      <c r="T104" s="18" t="s">
        <v>41</v>
      </c>
      <c r="U104" s="19"/>
      <c r="V104" s="19"/>
      <c r="W104" s="20"/>
      <c r="X104" s="22"/>
      <c r="Y104" s="22"/>
      <c r="Z104" s="23"/>
      <c r="AA104" s="23"/>
    </row>
    <row r="105" spans="1:27" x14ac:dyDescent="0.2">
      <c r="A105" s="13"/>
      <c r="B105" s="18"/>
      <c r="C105" s="19"/>
      <c r="D105" s="19"/>
      <c r="E105" s="20"/>
      <c r="F105" s="22"/>
      <c r="G105" s="22"/>
      <c r="H105" s="23"/>
      <c r="I105" s="23"/>
      <c r="J105" s="13"/>
      <c r="K105" s="18"/>
      <c r="L105" s="19"/>
      <c r="M105" s="19"/>
      <c r="N105" s="20"/>
      <c r="O105" s="22"/>
      <c r="P105" s="22"/>
      <c r="Q105" s="23"/>
      <c r="R105" s="23"/>
      <c r="S105" s="13"/>
      <c r="T105" s="18"/>
      <c r="U105" s="19"/>
      <c r="V105" s="19"/>
      <c r="W105" s="20"/>
      <c r="X105" s="22"/>
      <c r="Y105" s="22"/>
      <c r="Z105" s="23"/>
      <c r="AA105" s="23"/>
    </row>
    <row r="106" spans="1:27" x14ac:dyDescent="0.2">
      <c r="A106" s="13"/>
      <c r="B106" s="18" t="s">
        <v>280</v>
      </c>
      <c r="C106" s="66"/>
      <c r="D106" s="19"/>
      <c r="E106" s="20"/>
      <c r="F106" s="22" t="s">
        <v>9</v>
      </c>
      <c r="G106" s="22">
        <v>1.1499999999999999</v>
      </c>
      <c r="H106" s="107">
        <v>750</v>
      </c>
      <c r="I106" s="23">
        <f>G106*H106</f>
        <v>862.49999999999989</v>
      </c>
      <c r="J106" s="13"/>
      <c r="K106" s="18" t="s">
        <v>281</v>
      </c>
      <c r="L106" s="66"/>
      <c r="M106" s="19"/>
      <c r="N106" s="20"/>
      <c r="O106" s="22" t="s">
        <v>282</v>
      </c>
      <c r="P106" s="69">
        <v>9.8099999999999993E-3</v>
      </c>
      <c r="Q106" s="107">
        <v>44000</v>
      </c>
      <c r="R106" s="23">
        <f>P106*Q106</f>
        <v>431.64</v>
      </c>
      <c r="S106" s="13"/>
      <c r="T106" s="18" t="s">
        <v>263</v>
      </c>
      <c r="U106" s="66"/>
      <c r="V106" s="19"/>
      <c r="W106" s="20"/>
      <c r="X106" s="22" t="s">
        <v>77</v>
      </c>
      <c r="Y106" s="62">
        <v>0.43</v>
      </c>
      <c r="Z106" s="107">
        <v>40</v>
      </c>
      <c r="AA106" s="23">
        <f t="shared" ref="AA106:AA114" si="5">Y106*Z106</f>
        <v>17.2</v>
      </c>
    </row>
    <row r="107" spans="1:27" x14ac:dyDescent="0.2">
      <c r="A107" s="13"/>
      <c r="B107" s="18" t="s">
        <v>228</v>
      </c>
      <c r="C107" s="66"/>
      <c r="D107" s="19"/>
      <c r="E107" s="20"/>
      <c r="F107" s="22"/>
      <c r="G107" s="22"/>
      <c r="H107" s="23"/>
      <c r="I107" s="23"/>
      <c r="J107" s="13"/>
      <c r="K107" s="18" t="s">
        <v>1212</v>
      </c>
      <c r="L107" s="66"/>
      <c r="M107" s="19"/>
      <c r="N107" s="20"/>
      <c r="O107" s="22" t="s">
        <v>9</v>
      </c>
      <c r="P107" s="22">
        <v>4.1000000000000002E-2</v>
      </c>
      <c r="Q107" s="107">
        <v>650</v>
      </c>
      <c r="R107" s="23">
        <f>P107*Q107</f>
        <v>26.650000000000002</v>
      </c>
      <c r="S107" s="13"/>
      <c r="T107" s="18" t="s">
        <v>264</v>
      </c>
      <c r="U107" s="66"/>
      <c r="V107" s="19"/>
      <c r="W107" s="20"/>
      <c r="X107" s="22" t="s">
        <v>1216</v>
      </c>
      <c r="Y107" s="22">
        <v>0.28999999999999998</v>
      </c>
      <c r="Z107" s="107">
        <v>28</v>
      </c>
      <c r="AA107" s="23">
        <f t="shared" si="5"/>
        <v>8.1199999999999992</v>
      </c>
    </row>
    <row r="108" spans="1:27" x14ac:dyDescent="0.2">
      <c r="A108" s="13"/>
      <c r="B108" s="18"/>
      <c r="C108" s="19"/>
      <c r="D108" s="19"/>
      <c r="E108" s="20"/>
      <c r="F108" s="22"/>
      <c r="G108" s="22"/>
      <c r="H108" s="38"/>
      <c r="I108" s="38"/>
      <c r="J108" s="13"/>
      <c r="K108" s="18" t="s">
        <v>1214</v>
      </c>
      <c r="L108" s="66"/>
      <c r="M108" s="19"/>
      <c r="N108" s="20"/>
      <c r="O108" s="22" t="s">
        <v>9</v>
      </c>
      <c r="P108" s="70">
        <v>0.01</v>
      </c>
      <c r="Q108" s="107">
        <v>650</v>
      </c>
      <c r="R108" s="23">
        <f>P108*Q108</f>
        <v>6.5</v>
      </c>
      <c r="S108" s="13"/>
      <c r="T108" s="18" t="s">
        <v>266</v>
      </c>
      <c r="U108" s="19"/>
      <c r="V108" s="19"/>
      <c r="W108" s="20"/>
      <c r="X108" s="22" t="s">
        <v>1216</v>
      </c>
      <c r="Y108" s="22">
        <v>0.12</v>
      </c>
      <c r="Z108" s="107">
        <v>44</v>
      </c>
      <c r="AA108" s="23">
        <f t="shared" si="5"/>
        <v>5.2799999999999994</v>
      </c>
    </row>
    <row r="109" spans="1:27" x14ac:dyDescent="0.2">
      <c r="A109" s="13"/>
      <c r="B109" s="18"/>
      <c r="C109" s="19"/>
      <c r="D109" s="19"/>
      <c r="E109" s="20"/>
      <c r="F109" s="22"/>
      <c r="G109" s="22"/>
      <c r="H109" s="38"/>
      <c r="I109" s="38"/>
      <c r="J109" s="13"/>
      <c r="K109" s="18" t="s">
        <v>1213</v>
      </c>
      <c r="L109" s="19"/>
      <c r="M109" s="19"/>
      <c r="N109" s="20"/>
      <c r="O109" s="22" t="s">
        <v>227</v>
      </c>
      <c r="P109" s="70">
        <v>0.13</v>
      </c>
      <c r="Q109" s="107">
        <v>240.56</v>
      </c>
      <c r="R109" s="23">
        <f>P109*Q109</f>
        <v>31.2728</v>
      </c>
      <c r="S109" s="13"/>
      <c r="T109" s="18" t="s">
        <v>374</v>
      </c>
      <c r="U109" s="19"/>
      <c r="V109" s="19"/>
      <c r="W109" s="20"/>
      <c r="X109" s="22" t="s">
        <v>9</v>
      </c>
      <c r="Y109" s="22">
        <v>0.1265</v>
      </c>
      <c r="Z109" s="107">
        <v>850</v>
      </c>
      <c r="AA109" s="23">
        <f t="shared" si="5"/>
        <v>107.52500000000001</v>
      </c>
    </row>
    <row r="110" spans="1:27" x14ac:dyDescent="0.2">
      <c r="A110" s="13"/>
      <c r="B110" s="18"/>
      <c r="C110" s="19"/>
      <c r="D110" s="19"/>
      <c r="E110" s="20"/>
      <c r="F110" s="22"/>
      <c r="G110" s="22"/>
      <c r="H110" s="45"/>
      <c r="I110" s="45"/>
      <c r="J110" s="13"/>
      <c r="K110" s="18" t="s">
        <v>1215</v>
      </c>
      <c r="L110" s="19"/>
      <c r="M110" s="19"/>
      <c r="N110" s="20"/>
      <c r="O110" s="22" t="s">
        <v>1216</v>
      </c>
      <c r="P110" s="22">
        <v>1.165</v>
      </c>
      <c r="Q110" s="107">
        <v>240.56</v>
      </c>
      <c r="R110" s="23">
        <f>P110*Q110</f>
        <v>280.25240000000002</v>
      </c>
      <c r="S110" s="13"/>
      <c r="T110" s="18" t="s">
        <v>375</v>
      </c>
      <c r="U110" s="19"/>
      <c r="V110" s="19"/>
      <c r="W110" s="20"/>
      <c r="X110" s="22" t="s">
        <v>9</v>
      </c>
      <c r="Y110" s="22">
        <v>0.23</v>
      </c>
      <c r="Z110" s="107">
        <v>650</v>
      </c>
      <c r="AA110" s="23">
        <f t="shared" si="5"/>
        <v>149.5</v>
      </c>
    </row>
    <row r="111" spans="1:27" x14ac:dyDescent="0.2">
      <c r="A111" s="13"/>
      <c r="B111" s="18"/>
      <c r="C111" s="19"/>
      <c r="D111" s="19"/>
      <c r="E111" s="20"/>
      <c r="F111" s="22"/>
      <c r="G111" s="22"/>
      <c r="H111" s="45"/>
      <c r="I111" s="45"/>
      <c r="J111" s="13"/>
      <c r="K111" s="18"/>
      <c r="L111" s="19"/>
      <c r="M111" s="19"/>
      <c r="N111" s="20"/>
      <c r="O111" s="22"/>
      <c r="P111" s="22"/>
      <c r="Q111" s="45"/>
      <c r="R111" s="45"/>
      <c r="S111" s="13"/>
      <c r="T111" s="18" t="s">
        <v>376</v>
      </c>
      <c r="U111" s="19"/>
      <c r="V111" s="19"/>
      <c r="W111" s="20"/>
      <c r="X111" s="22" t="s">
        <v>227</v>
      </c>
      <c r="Y111" s="22">
        <v>2.19</v>
      </c>
      <c r="Z111" s="107">
        <v>220</v>
      </c>
      <c r="AA111" s="23">
        <f t="shared" si="5"/>
        <v>481.8</v>
      </c>
    </row>
    <row r="112" spans="1:27" ht="15" customHeight="1" x14ac:dyDescent="0.2">
      <c r="A112" s="13"/>
      <c r="B112" s="18"/>
      <c r="C112" s="19"/>
      <c r="D112" s="19"/>
      <c r="E112" s="20"/>
      <c r="F112" s="22"/>
      <c r="G112" s="22"/>
      <c r="H112" s="23"/>
      <c r="I112" s="23"/>
      <c r="J112" s="13"/>
      <c r="K112" s="18"/>
      <c r="L112" s="19"/>
      <c r="M112" s="19"/>
      <c r="N112" s="20"/>
      <c r="O112" s="22"/>
      <c r="P112" s="22"/>
      <c r="Q112" s="23"/>
      <c r="R112" s="23"/>
      <c r="S112" s="13"/>
      <c r="T112" s="18" t="s">
        <v>377</v>
      </c>
      <c r="U112" s="19"/>
      <c r="V112" s="19"/>
      <c r="W112" s="20"/>
      <c r="X112" s="22" t="s">
        <v>80</v>
      </c>
      <c r="Y112" s="22">
        <v>1.4999999999999999E-4</v>
      </c>
      <c r="Z112" s="107">
        <v>8000</v>
      </c>
      <c r="AA112" s="23">
        <f t="shared" si="5"/>
        <v>1.2</v>
      </c>
    </row>
    <row r="113" spans="1:27" x14ac:dyDescent="0.2">
      <c r="A113" s="13"/>
      <c r="B113" s="18"/>
      <c r="C113" s="19"/>
      <c r="D113" s="19"/>
      <c r="E113" s="20"/>
      <c r="F113" s="22"/>
      <c r="G113" s="22"/>
      <c r="H113" s="23"/>
      <c r="I113" s="23"/>
      <c r="J113" s="13"/>
      <c r="K113" s="18"/>
      <c r="L113" s="19"/>
      <c r="M113" s="19"/>
      <c r="N113" s="20"/>
      <c r="O113" s="22"/>
      <c r="P113" s="22"/>
      <c r="Q113" s="23"/>
      <c r="R113" s="23"/>
      <c r="S113" s="13"/>
      <c r="T113" s="18" t="s">
        <v>378</v>
      </c>
      <c r="U113" s="19"/>
      <c r="V113" s="19"/>
      <c r="W113" s="20"/>
      <c r="X113" s="22" t="s">
        <v>1153</v>
      </c>
      <c r="Y113" s="22">
        <v>7.1000000000000004E-3</v>
      </c>
      <c r="Z113" s="107">
        <v>97</v>
      </c>
      <c r="AA113" s="23">
        <f t="shared" si="5"/>
        <v>0.68870000000000009</v>
      </c>
    </row>
    <row r="114" spans="1:27" x14ac:dyDescent="0.2">
      <c r="A114" s="13"/>
      <c r="B114" s="18"/>
      <c r="C114" s="19"/>
      <c r="D114" s="19"/>
      <c r="E114" s="20"/>
      <c r="F114" s="22"/>
      <c r="G114" s="22"/>
      <c r="H114" s="23"/>
      <c r="I114" s="23"/>
      <c r="J114" s="13"/>
      <c r="K114" s="18"/>
      <c r="L114" s="19"/>
      <c r="M114" s="19"/>
      <c r="N114" s="20"/>
      <c r="O114" s="22"/>
      <c r="P114" s="22"/>
      <c r="Q114" s="23"/>
      <c r="R114" s="23"/>
      <c r="S114" s="13"/>
      <c r="T114" s="18" t="s">
        <v>379</v>
      </c>
      <c r="U114" s="19"/>
      <c r="V114" s="19"/>
      <c r="W114" s="20"/>
      <c r="X114" s="22" t="s">
        <v>1216</v>
      </c>
      <c r="Y114" s="22">
        <v>8.6999999999999994E-3</v>
      </c>
      <c r="Z114" s="107">
        <v>300</v>
      </c>
      <c r="AA114" s="23">
        <f t="shared" si="5"/>
        <v>2.61</v>
      </c>
    </row>
    <row r="115" spans="1:27" x14ac:dyDescent="0.2">
      <c r="A115" s="13"/>
      <c r="B115" s="18"/>
      <c r="C115" s="19"/>
      <c r="D115" s="19"/>
      <c r="E115" s="20"/>
      <c r="F115" s="22"/>
      <c r="G115" s="22"/>
      <c r="H115" s="23"/>
      <c r="I115" s="23"/>
      <c r="J115" s="13"/>
      <c r="K115" s="18"/>
      <c r="L115" s="19"/>
      <c r="M115" s="19"/>
      <c r="N115" s="20"/>
      <c r="O115" s="22"/>
      <c r="P115" s="22"/>
      <c r="Q115" s="23"/>
      <c r="R115" s="23"/>
      <c r="S115" s="13"/>
      <c r="T115" s="18"/>
      <c r="U115" s="19"/>
      <c r="V115" s="19"/>
      <c r="W115" s="20"/>
      <c r="X115" s="22"/>
      <c r="Y115" s="22"/>
      <c r="Z115" s="23"/>
      <c r="AA115" s="23"/>
    </row>
    <row r="116" spans="1:27" x14ac:dyDescent="0.2">
      <c r="A116" s="13"/>
      <c r="B116" s="18"/>
      <c r="C116" s="19"/>
      <c r="D116" s="19"/>
      <c r="E116" s="20"/>
      <c r="F116" s="22"/>
      <c r="G116" s="22"/>
      <c r="H116" s="23"/>
      <c r="I116" s="23"/>
      <c r="J116" s="13"/>
      <c r="K116" s="18"/>
      <c r="L116" s="19"/>
      <c r="M116" s="19"/>
      <c r="N116" s="20"/>
      <c r="O116" s="22"/>
      <c r="P116" s="22"/>
      <c r="Q116" s="23"/>
      <c r="R116" s="23"/>
      <c r="S116" s="13"/>
      <c r="T116" s="18"/>
      <c r="U116" s="19"/>
      <c r="V116" s="19"/>
      <c r="W116" s="20"/>
      <c r="X116" s="22"/>
      <c r="Y116" s="22"/>
      <c r="Z116" s="23"/>
      <c r="AA116" s="23"/>
    </row>
    <row r="117" spans="1:27" x14ac:dyDescent="0.2">
      <c r="A117" s="13"/>
      <c r="B117" s="18"/>
      <c r="C117" s="19"/>
      <c r="D117" s="19"/>
      <c r="E117" s="20"/>
      <c r="F117" s="22"/>
      <c r="G117" s="22"/>
      <c r="H117" s="23"/>
      <c r="I117" s="23"/>
      <c r="J117" s="13"/>
      <c r="K117" s="18"/>
      <c r="L117" s="19"/>
      <c r="M117" s="19"/>
      <c r="N117" s="20"/>
      <c r="O117" s="22"/>
      <c r="P117" s="22"/>
      <c r="Q117" s="23"/>
      <c r="R117" s="23"/>
      <c r="S117" s="13"/>
      <c r="T117" s="18"/>
      <c r="U117" s="19"/>
      <c r="V117" s="19"/>
      <c r="W117" s="20"/>
      <c r="X117" s="22"/>
      <c r="Y117" s="22"/>
      <c r="Z117" s="23"/>
      <c r="AA117" s="23"/>
    </row>
    <row r="118" spans="1:27" x14ac:dyDescent="0.2">
      <c r="A118" s="13"/>
      <c r="B118" s="18"/>
      <c r="C118" s="19"/>
      <c r="D118" s="19"/>
      <c r="E118" s="20"/>
      <c r="F118" s="22"/>
      <c r="G118" s="36"/>
      <c r="H118" s="37"/>
      <c r="I118" s="37"/>
      <c r="J118" s="13"/>
      <c r="K118" s="18"/>
      <c r="L118" s="19"/>
      <c r="M118" s="19"/>
      <c r="N118" s="20"/>
      <c r="O118" s="22"/>
      <c r="P118" s="36"/>
      <c r="Q118" s="37"/>
      <c r="R118" s="37"/>
      <c r="S118" s="13"/>
      <c r="T118" s="18"/>
      <c r="U118" s="19"/>
      <c r="V118" s="19"/>
      <c r="W118" s="20"/>
      <c r="X118" s="22"/>
      <c r="Y118" s="36"/>
      <c r="Z118" s="37"/>
      <c r="AA118" s="37"/>
    </row>
    <row r="119" spans="1:27" x14ac:dyDescent="0.2">
      <c r="A119" s="13"/>
      <c r="B119" s="248" t="s">
        <v>42</v>
      </c>
      <c r="C119" s="249"/>
      <c r="D119" s="249"/>
      <c r="E119" s="250"/>
      <c r="F119" s="46"/>
      <c r="G119" s="46"/>
      <c r="H119" s="47"/>
      <c r="I119" s="47">
        <f>SUM(I106:I118)</f>
        <v>862.49999999999989</v>
      </c>
      <c r="J119" s="13"/>
      <c r="K119" s="248" t="s">
        <v>42</v>
      </c>
      <c r="L119" s="249"/>
      <c r="M119" s="249"/>
      <c r="N119" s="250"/>
      <c r="O119" s="46"/>
      <c r="P119" s="46"/>
      <c r="Q119" s="47"/>
      <c r="R119" s="47">
        <f>SUM(R106:R118)</f>
        <v>776.3152</v>
      </c>
      <c r="S119" s="13"/>
      <c r="T119" s="248" t="s">
        <v>42</v>
      </c>
      <c r="U119" s="249"/>
      <c r="V119" s="249"/>
      <c r="W119" s="250"/>
      <c r="X119" s="46"/>
      <c r="Y119" s="46"/>
      <c r="Z119" s="47"/>
      <c r="AA119" s="47">
        <f>SUM(AA106:AA118)</f>
        <v>773.92370000000005</v>
      </c>
    </row>
    <row r="120" spans="1:27" x14ac:dyDescent="0.2">
      <c r="A120" s="12" t="s">
        <v>43</v>
      </c>
      <c r="B120" s="48" t="s">
        <v>44</v>
      </c>
      <c r="C120" s="43"/>
      <c r="D120" s="43"/>
      <c r="E120" s="39"/>
      <c r="F120" s="49"/>
      <c r="G120" s="49"/>
      <c r="H120" s="50"/>
      <c r="I120" s="51">
        <f>SUM(I101+I119)</f>
        <v>958.07719999999983</v>
      </c>
      <c r="J120" s="12" t="s">
        <v>43</v>
      </c>
      <c r="K120" s="48" t="s">
        <v>44</v>
      </c>
      <c r="L120" s="43"/>
      <c r="M120" s="43"/>
      <c r="N120" s="39"/>
      <c r="O120" s="49"/>
      <c r="P120" s="49"/>
      <c r="Q120" s="50"/>
      <c r="R120" s="51">
        <f>SUM(R101+R119)</f>
        <v>869.69360046701695</v>
      </c>
      <c r="S120" s="12" t="s">
        <v>43</v>
      </c>
      <c r="T120" s="48" t="s">
        <v>44</v>
      </c>
      <c r="U120" s="43"/>
      <c r="V120" s="43"/>
      <c r="W120" s="151"/>
      <c r="X120" s="49"/>
      <c r="Y120" s="49"/>
      <c r="Z120" s="50"/>
      <c r="AA120" s="51">
        <f>SUM(AA101+AA119)</f>
        <v>981.73558888888897</v>
      </c>
    </row>
    <row r="121" spans="1:27" x14ac:dyDescent="0.2">
      <c r="A121" s="13" t="s">
        <v>45</v>
      </c>
      <c r="B121" s="48" t="s">
        <v>46</v>
      </c>
      <c r="C121" s="43"/>
      <c r="D121" s="43"/>
      <c r="E121" s="39"/>
      <c r="F121" s="49"/>
      <c r="G121" s="52">
        <v>0.09</v>
      </c>
      <c r="H121" s="53" t="s">
        <v>47</v>
      </c>
      <c r="I121" s="51">
        <f>G121*I120</f>
        <v>86.226947999999979</v>
      </c>
      <c r="J121" s="13" t="s">
        <v>45</v>
      </c>
      <c r="K121" s="48" t="s">
        <v>46</v>
      </c>
      <c r="L121" s="43"/>
      <c r="M121" s="43"/>
      <c r="N121" s="39"/>
      <c r="O121" s="49"/>
      <c r="P121" s="52">
        <v>0.09</v>
      </c>
      <c r="Q121" s="53" t="s">
        <v>47</v>
      </c>
      <c r="R121" s="51">
        <f>P121*R120</f>
        <v>78.272424042031517</v>
      </c>
      <c r="S121" s="13" t="s">
        <v>45</v>
      </c>
      <c r="T121" s="48" t="s">
        <v>46</v>
      </c>
      <c r="U121" s="43"/>
      <c r="V121" s="43"/>
      <c r="W121" s="151"/>
      <c r="X121" s="49"/>
      <c r="Y121" s="52">
        <v>0.09</v>
      </c>
      <c r="Z121" s="53" t="s">
        <v>47</v>
      </c>
      <c r="AA121" s="51">
        <f>Y121*AA120</f>
        <v>88.356203000000008</v>
      </c>
    </row>
    <row r="122" spans="1:27" x14ac:dyDescent="0.2">
      <c r="A122" s="13" t="s">
        <v>48</v>
      </c>
      <c r="B122" s="48" t="s">
        <v>49</v>
      </c>
      <c r="C122" s="43"/>
      <c r="D122" s="43"/>
      <c r="E122" s="39"/>
      <c r="F122" s="49"/>
      <c r="G122" s="52">
        <v>0.08</v>
      </c>
      <c r="H122" s="53" t="s">
        <v>47</v>
      </c>
      <c r="I122" s="51">
        <f>G122*I120</f>
        <v>76.646175999999983</v>
      </c>
      <c r="J122" s="13" t="s">
        <v>48</v>
      </c>
      <c r="K122" s="48" t="s">
        <v>49</v>
      </c>
      <c r="L122" s="43"/>
      <c r="M122" s="43"/>
      <c r="N122" s="39"/>
      <c r="O122" s="49"/>
      <c r="P122" s="52">
        <v>0.08</v>
      </c>
      <c r="Q122" s="53" t="s">
        <v>47</v>
      </c>
      <c r="R122" s="51">
        <f>P122*R120</f>
        <v>69.575488037361353</v>
      </c>
      <c r="S122" s="13" t="s">
        <v>48</v>
      </c>
      <c r="T122" s="48" t="s">
        <v>49</v>
      </c>
      <c r="U122" s="43"/>
      <c r="V122" s="43"/>
      <c r="W122" s="151"/>
      <c r="X122" s="49"/>
      <c r="Y122" s="52">
        <v>0.08</v>
      </c>
      <c r="Z122" s="53" t="s">
        <v>47</v>
      </c>
      <c r="AA122" s="51">
        <f>Y122*AA120</f>
        <v>78.538847111111124</v>
      </c>
    </row>
    <row r="123" spans="1:27" x14ac:dyDescent="0.2">
      <c r="A123" s="13" t="s">
        <v>50</v>
      </c>
      <c r="B123" s="48" t="s">
        <v>51</v>
      </c>
      <c r="C123" s="43"/>
      <c r="D123" s="43"/>
      <c r="E123" s="39"/>
      <c r="F123" s="49"/>
      <c r="G123" s="52">
        <f>5/100</f>
        <v>0.05</v>
      </c>
      <c r="H123" s="53" t="s">
        <v>52</v>
      </c>
      <c r="I123" s="51">
        <f>G123*(I120+I121+I122)</f>
        <v>56.04751619999999</v>
      </c>
      <c r="J123" s="13" t="s">
        <v>50</v>
      </c>
      <c r="K123" s="48" t="s">
        <v>51</v>
      </c>
      <c r="L123" s="43"/>
      <c r="M123" s="43"/>
      <c r="N123" s="39"/>
      <c r="O123" s="49"/>
      <c r="P123" s="52">
        <f>5/100</f>
        <v>0.05</v>
      </c>
      <c r="Q123" s="53" t="s">
        <v>52</v>
      </c>
      <c r="R123" s="51">
        <f>P123*(R120+R121+R122)</f>
        <v>50.877075627320494</v>
      </c>
      <c r="S123" s="13" t="s">
        <v>50</v>
      </c>
      <c r="T123" s="48" t="s">
        <v>51</v>
      </c>
      <c r="U123" s="43"/>
      <c r="V123" s="43"/>
      <c r="W123" s="151"/>
      <c r="X123" s="49"/>
      <c r="Y123" s="52">
        <v>0.05</v>
      </c>
      <c r="Z123" s="53" t="s">
        <v>52</v>
      </c>
      <c r="AA123" s="51">
        <f>Y123*(AA120+AA121+AA122)</f>
        <v>57.431531950000014</v>
      </c>
    </row>
    <row r="124" spans="1:27" x14ac:dyDescent="0.2">
      <c r="A124" s="54" t="s">
        <v>53</v>
      </c>
      <c r="B124" s="48" t="s">
        <v>54</v>
      </c>
      <c r="C124" s="43"/>
      <c r="D124" s="43"/>
      <c r="E124" s="39"/>
      <c r="F124" s="49"/>
      <c r="G124" s="49"/>
      <c r="H124" s="55" t="s">
        <v>55</v>
      </c>
      <c r="I124" s="51">
        <f>SUM(I120+I121+I122+I123)</f>
        <v>1176.9978401999997</v>
      </c>
      <c r="J124" s="54" t="s">
        <v>53</v>
      </c>
      <c r="K124" s="48" t="s">
        <v>54</v>
      </c>
      <c r="L124" s="43"/>
      <c r="M124" s="43"/>
      <c r="N124" s="39"/>
      <c r="O124" s="49"/>
      <c r="P124" s="49"/>
      <c r="Q124" s="55" t="s">
        <v>55</v>
      </c>
      <c r="R124" s="51">
        <f>SUM(R120+R121+R122+R123)</f>
        <v>1068.4185881737303</v>
      </c>
      <c r="S124" s="54" t="s">
        <v>53</v>
      </c>
      <c r="T124" s="48" t="s">
        <v>54</v>
      </c>
      <c r="U124" s="43"/>
      <c r="V124" s="43"/>
      <c r="W124" s="151"/>
      <c r="X124" s="49"/>
      <c r="Y124" s="49"/>
      <c r="Z124" s="55" t="s">
        <v>55</v>
      </c>
      <c r="AA124" s="51">
        <f>SUM(AA120+AA121+AA122+AA123)</f>
        <v>1206.0621709500001</v>
      </c>
    </row>
    <row r="125" spans="1:27" s="1" customFormat="1" x14ac:dyDescent="0.2">
      <c r="A125" s="236" t="s">
        <v>0</v>
      </c>
      <c r="B125" s="236"/>
      <c r="C125" s="236"/>
      <c r="D125" s="236"/>
      <c r="E125" s="236"/>
      <c r="F125" s="236"/>
      <c r="G125" s="236"/>
      <c r="H125" s="236"/>
      <c r="I125" s="236"/>
      <c r="J125" s="236" t="s">
        <v>0</v>
      </c>
      <c r="K125" s="236"/>
      <c r="L125" s="236"/>
      <c r="M125" s="236"/>
      <c r="N125" s="236"/>
      <c r="O125" s="236"/>
      <c r="P125" s="236"/>
      <c r="Q125" s="236"/>
      <c r="R125" s="236"/>
      <c r="S125" s="236" t="s">
        <v>0</v>
      </c>
      <c r="T125" s="236"/>
      <c r="U125" s="236"/>
      <c r="V125" s="236"/>
      <c r="W125" s="236"/>
      <c r="X125" s="236"/>
      <c r="Y125" s="236"/>
      <c r="Z125" s="236"/>
      <c r="AA125" s="236"/>
    </row>
    <row r="126" spans="1:27" x14ac:dyDescent="0.2">
      <c r="S126" s="10"/>
      <c r="T126" s="3"/>
      <c r="U126" s="4"/>
      <c r="V126" s="4"/>
      <c r="W126" s="5"/>
      <c r="X126" s="3"/>
      <c r="Y126" s="3"/>
      <c r="Z126" s="3"/>
      <c r="AA126" s="3"/>
    </row>
    <row r="127" spans="1:27" x14ac:dyDescent="0.2">
      <c r="A127" s="2" t="s">
        <v>1</v>
      </c>
      <c r="C127" s="4" t="s">
        <v>2</v>
      </c>
      <c r="D127" s="5" t="s">
        <v>284</v>
      </c>
      <c r="E127" s="237" t="s">
        <v>285</v>
      </c>
      <c r="F127" s="237"/>
      <c r="G127" s="237"/>
      <c r="H127" s="237"/>
      <c r="J127" s="152" t="s">
        <v>1</v>
      </c>
      <c r="L127" s="4" t="s">
        <v>2</v>
      </c>
      <c r="M127" s="5" t="s">
        <v>286</v>
      </c>
      <c r="N127" s="237" t="s">
        <v>287</v>
      </c>
      <c r="O127" s="237"/>
      <c r="P127" s="237"/>
      <c r="Q127" s="237"/>
      <c r="S127" s="152" t="s">
        <v>1</v>
      </c>
      <c r="T127" s="3"/>
      <c r="U127" s="4" t="s">
        <v>2</v>
      </c>
      <c r="V127" s="5" t="s">
        <v>1264</v>
      </c>
      <c r="W127" s="237" t="s">
        <v>373</v>
      </c>
      <c r="X127" s="237"/>
      <c r="Y127" s="237"/>
      <c r="Z127" s="237"/>
      <c r="AA127" s="3"/>
    </row>
    <row r="128" spans="1:27" x14ac:dyDescent="0.2">
      <c r="A128" s="2" t="s">
        <v>7</v>
      </c>
      <c r="C128" s="4" t="s">
        <v>2</v>
      </c>
      <c r="E128" s="2" t="s">
        <v>239</v>
      </c>
      <c r="F128" s="8"/>
      <c r="G128" s="8"/>
      <c r="H128" s="8"/>
      <c r="J128" s="152" t="s">
        <v>7</v>
      </c>
      <c r="L128" s="4" t="s">
        <v>2</v>
      </c>
      <c r="N128" s="152" t="s">
        <v>8</v>
      </c>
      <c r="O128" s="8"/>
      <c r="P128" s="8"/>
      <c r="Q128" s="8"/>
      <c r="S128" s="152" t="s">
        <v>7</v>
      </c>
      <c r="T128" s="3"/>
      <c r="U128" s="4" t="s">
        <v>2</v>
      </c>
      <c r="V128" s="4"/>
      <c r="W128" s="152" t="s">
        <v>8</v>
      </c>
      <c r="X128" s="8"/>
      <c r="Y128" s="8"/>
      <c r="Z128" s="8"/>
      <c r="AA128" s="3"/>
    </row>
    <row r="129" spans="1:27" x14ac:dyDescent="0.2">
      <c r="A129" s="2" t="s">
        <v>10</v>
      </c>
      <c r="C129" s="4" t="s">
        <v>2</v>
      </c>
      <c r="E129" s="9">
        <v>0.3</v>
      </c>
      <c r="F129" s="8"/>
      <c r="G129" s="8"/>
      <c r="H129" s="8"/>
      <c r="J129" s="152" t="s">
        <v>10</v>
      </c>
      <c r="L129" s="4" t="s">
        <v>2</v>
      </c>
      <c r="N129" s="9">
        <v>171.3</v>
      </c>
      <c r="O129" s="8"/>
      <c r="P129" s="8"/>
      <c r="Q129" s="8"/>
      <c r="S129" s="152" t="s">
        <v>10</v>
      </c>
      <c r="T129" s="3"/>
      <c r="U129" s="4" t="s">
        <v>2</v>
      </c>
      <c r="V129" s="4"/>
      <c r="W129" s="9">
        <v>100</v>
      </c>
      <c r="X129" s="8"/>
      <c r="Y129" s="8"/>
      <c r="Z129" s="8"/>
      <c r="AA129" s="3"/>
    </row>
    <row r="130" spans="1:27" x14ac:dyDescent="0.2">
      <c r="B130" s="8"/>
      <c r="F130" s="11"/>
      <c r="G130" s="8"/>
      <c r="H130" s="8"/>
      <c r="I130" s="8"/>
      <c r="K130" s="8"/>
      <c r="O130" s="11"/>
      <c r="P130" s="8"/>
      <c r="Q130" s="8"/>
      <c r="R130" s="8"/>
      <c r="S130" s="10"/>
      <c r="T130" s="8"/>
      <c r="U130" s="4"/>
      <c r="V130" s="4"/>
      <c r="W130" s="5"/>
      <c r="X130" s="11"/>
      <c r="Y130" s="8"/>
      <c r="Z130" s="8"/>
      <c r="AA130" s="8"/>
    </row>
    <row r="131" spans="1:27" x14ac:dyDescent="0.2">
      <c r="A131" s="12"/>
      <c r="B131" s="238" t="s">
        <v>11</v>
      </c>
      <c r="C131" s="239"/>
      <c r="D131" s="239"/>
      <c r="E131" s="240"/>
      <c r="F131" s="244" t="s">
        <v>12</v>
      </c>
      <c r="G131" s="244" t="s">
        <v>13</v>
      </c>
      <c r="H131" s="244" t="s">
        <v>14</v>
      </c>
      <c r="I131" s="246" t="s">
        <v>15</v>
      </c>
      <c r="J131" s="12"/>
      <c r="K131" s="238" t="s">
        <v>11</v>
      </c>
      <c r="L131" s="239"/>
      <c r="M131" s="239"/>
      <c r="N131" s="240"/>
      <c r="O131" s="244" t="s">
        <v>12</v>
      </c>
      <c r="P131" s="244" t="s">
        <v>13</v>
      </c>
      <c r="Q131" s="244" t="s">
        <v>14</v>
      </c>
      <c r="R131" s="246" t="s">
        <v>15</v>
      </c>
      <c r="S131" s="12"/>
      <c r="T131" s="238" t="s">
        <v>11</v>
      </c>
      <c r="U131" s="239"/>
      <c r="V131" s="239"/>
      <c r="W131" s="240"/>
      <c r="X131" s="244" t="s">
        <v>12</v>
      </c>
      <c r="Y131" s="244" t="s">
        <v>13</v>
      </c>
      <c r="Z131" s="244" t="s">
        <v>14</v>
      </c>
      <c r="AA131" s="246" t="s">
        <v>15</v>
      </c>
    </row>
    <row r="132" spans="1:27" x14ac:dyDescent="0.2">
      <c r="A132" s="13"/>
      <c r="B132" s="241"/>
      <c r="C132" s="242"/>
      <c r="D132" s="242"/>
      <c r="E132" s="243"/>
      <c r="F132" s="245"/>
      <c r="G132" s="245"/>
      <c r="H132" s="245"/>
      <c r="I132" s="247"/>
      <c r="J132" s="13"/>
      <c r="K132" s="241"/>
      <c r="L132" s="242"/>
      <c r="M132" s="242"/>
      <c r="N132" s="243"/>
      <c r="O132" s="245"/>
      <c r="P132" s="245"/>
      <c r="Q132" s="245"/>
      <c r="R132" s="247"/>
      <c r="S132" s="13"/>
      <c r="T132" s="241"/>
      <c r="U132" s="242"/>
      <c r="V132" s="242"/>
      <c r="W132" s="243"/>
      <c r="X132" s="245"/>
      <c r="Y132" s="245"/>
      <c r="Z132" s="245"/>
      <c r="AA132" s="247"/>
    </row>
    <row r="133" spans="1:27" x14ac:dyDescent="0.2">
      <c r="A133" s="13" t="s">
        <v>16</v>
      </c>
      <c r="B133" s="14" t="s">
        <v>17</v>
      </c>
      <c r="C133" s="15"/>
      <c r="D133" s="15"/>
      <c r="E133" s="16"/>
      <c r="F133" s="17"/>
      <c r="G133" s="17"/>
      <c r="H133" s="17"/>
      <c r="I133" s="17"/>
      <c r="J133" s="13" t="s">
        <v>16</v>
      </c>
      <c r="K133" s="14" t="s">
        <v>17</v>
      </c>
      <c r="L133" s="15"/>
      <c r="M133" s="15"/>
      <c r="N133" s="16"/>
      <c r="O133" s="17"/>
      <c r="P133" s="17"/>
      <c r="Q133" s="17"/>
      <c r="R133" s="17"/>
      <c r="S133" s="13" t="s">
        <v>16</v>
      </c>
      <c r="T133" s="14" t="s">
        <v>17</v>
      </c>
      <c r="U133" s="15"/>
      <c r="V133" s="15"/>
      <c r="W133" s="16"/>
      <c r="X133" s="17"/>
      <c r="Y133" s="17"/>
      <c r="Z133" s="17"/>
      <c r="AA133" s="17"/>
    </row>
    <row r="134" spans="1:27" x14ac:dyDescent="0.2">
      <c r="A134" s="13"/>
      <c r="B134" s="18"/>
      <c r="C134" s="19"/>
      <c r="D134" s="19"/>
      <c r="E134" s="20"/>
      <c r="F134" s="21"/>
      <c r="G134" s="22"/>
      <c r="H134" s="21"/>
      <c r="I134" s="21"/>
      <c r="J134" s="13"/>
      <c r="K134" s="24" t="s">
        <v>18</v>
      </c>
      <c r="L134" s="25"/>
      <c r="M134" s="25"/>
      <c r="N134" s="171" t="s">
        <v>1217</v>
      </c>
      <c r="O134" s="22">
        <v>1</v>
      </c>
      <c r="P134" s="23">
        <v>1</v>
      </c>
      <c r="Q134" s="23">
        <v>69.42</v>
      </c>
      <c r="R134" s="23">
        <f t="shared" ref="R134" si="6">P134*Q134*O134</f>
        <v>69.42</v>
      </c>
      <c r="S134" s="13"/>
      <c r="T134" s="18"/>
      <c r="U134" s="19"/>
      <c r="V134" s="19"/>
      <c r="W134" s="20"/>
      <c r="X134" s="21"/>
      <c r="Y134" s="22"/>
      <c r="Z134" s="21"/>
      <c r="AA134" s="21"/>
    </row>
    <row r="135" spans="1:27" x14ac:dyDescent="0.2">
      <c r="A135" s="13"/>
      <c r="B135" s="24" t="s">
        <v>18</v>
      </c>
      <c r="C135" s="25"/>
      <c r="D135" s="25"/>
      <c r="E135" s="26"/>
      <c r="F135" s="22">
        <v>1</v>
      </c>
      <c r="G135" s="62">
        <v>1</v>
      </c>
      <c r="H135" s="23">
        <v>69.42</v>
      </c>
      <c r="I135" s="23">
        <f>G135*H135*F135</f>
        <v>69.42</v>
      </c>
      <c r="J135" s="13"/>
      <c r="K135" s="153" t="s">
        <v>1178</v>
      </c>
      <c r="L135" s="154"/>
      <c r="M135" s="25"/>
      <c r="N135" s="171" t="s">
        <v>1218</v>
      </c>
      <c r="O135" s="22">
        <v>4</v>
      </c>
      <c r="P135" s="23">
        <v>1</v>
      </c>
      <c r="Q135" s="23">
        <v>50.18</v>
      </c>
      <c r="R135" s="23">
        <f>P135*Q135*O135</f>
        <v>200.72</v>
      </c>
      <c r="S135" s="13"/>
      <c r="T135" s="24" t="s">
        <v>18</v>
      </c>
      <c r="U135" s="25"/>
      <c r="V135" s="25"/>
      <c r="W135" s="26"/>
      <c r="X135" s="22">
        <v>1</v>
      </c>
      <c r="Y135" s="23">
        <v>1</v>
      </c>
      <c r="Z135" s="23">
        <v>69.42</v>
      </c>
      <c r="AA135" s="23">
        <f>Y135*Z135*X135</f>
        <v>69.42</v>
      </c>
    </row>
    <row r="136" spans="1:27" x14ac:dyDescent="0.2">
      <c r="A136" s="13"/>
      <c r="B136" s="24" t="s">
        <v>1179</v>
      </c>
      <c r="C136" s="25"/>
      <c r="D136" s="25"/>
      <c r="E136" s="26"/>
      <c r="F136" s="22">
        <v>3</v>
      </c>
      <c r="G136" s="62">
        <v>1</v>
      </c>
      <c r="H136" s="23">
        <v>38.97</v>
      </c>
      <c r="I136" s="23">
        <f>G136*H136*F136</f>
        <v>116.91</v>
      </c>
      <c r="J136" s="13"/>
      <c r="K136" s="153" t="s">
        <v>1177</v>
      </c>
      <c r="L136" s="154"/>
      <c r="M136" s="19"/>
      <c r="N136" s="20"/>
      <c r="O136" s="22">
        <v>8</v>
      </c>
      <c r="P136" s="23">
        <v>1</v>
      </c>
      <c r="Q136" s="23">
        <v>38.97</v>
      </c>
      <c r="R136" s="23">
        <f t="shared" ref="R136:R141" si="7">P136*Q136*O136</f>
        <v>311.76</v>
      </c>
      <c r="S136" s="13"/>
      <c r="T136" s="257" t="s">
        <v>1178</v>
      </c>
      <c r="U136" s="258"/>
      <c r="V136" s="25"/>
      <c r="W136" s="26"/>
      <c r="X136" s="22">
        <v>4</v>
      </c>
      <c r="Y136" s="23">
        <v>1</v>
      </c>
      <c r="Z136" s="23">
        <v>50.18</v>
      </c>
      <c r="AA136" s="23">
        <f>Y136*Z136*X136</f>
        <v>200.72</v>
      </c>
    </row>
    <row r="137" spans="1:27" x14ac:dyDescent="0.2">
      <c r="A137" s="13"/>
      <c r="B137" s="27"/>
      <c r="C137" s="19"/>
      <c r="D137" s="19"/>
      <c r="E137" s="20"/>
      <c r="F137" s="22"/>
      <c r="G137" s="22"/>
      <c r="H137" s="28"/>
      <c r="I137" s="23"/>
      <c r="J137" s="13"/>
      <c r="K137" s="153" t="s">
        <v>1219</v>
      </c>
      <c r="L137" s="19"/>
      <c r="M137" s="19"/>
      <c r="N137" s="157" t="s">
        <v>1240</v>
      </c>
      <c r="O137" s="22">
        <v>1</v>
      </c>
      <c r="P137" s="23">
        <v>1</v>
      </c>
      <c r="Q137" s="29"/>
      <c r="R137" s="23">
        <f t="shared" si="7"/>
        <v>0</v>
      </c>
      <c r="S137" s="13"/>
      <c r="T137" s="257" t="s">
        <v>1177</v>
      </c>
      <c r="U137" s="258"/>
      <c r="V137" s="19"/>
      <c r="W137" s="20"/>
      <c r="X137" s="22">
        <v>10</v>
      </c>
      <c r="Y137" s="23">
        <v>1</v>
      </c>
      <c r="Z137" s="23">
        <v>38.97</v>
      </c>
      <c r="AA137" s="23">
        <f>Y137*Z137*X137</f>
        <v>389.7</v>
      </c>
    </row>
    <row r="138" spans="1:27" ht="15" customHeight="1" x14ac:dyDescent="0.2">
      <c r="A138" s="13"/>
      <c r="B138" s="27"/>
      <c r="C138" s="19"/>
      <c r="D138" s="19"/>
      <c r="E138" s="20"/>
      <c r="F138" s="22"/>
      <c r="G138" s="22"/>
      <c r="H138" s="29"/>
      <c r="I138" s="30"/>
      <c r="J138" s="13"/>
      <c r="K138" s="153" t="s">
        <v>1220</v>
      </c>
      <c r="L138" s="19"/>
      <c r="M138" s="19"/>
      <c r="N138" s="157" t="s">
        <v>1241</v>
      </c>
      <c r="O138" s="22">
        <v>1</v>
      </c>
      <c r="P138" s="23">
        <v>1</v>
      </c>
      <c r="Q138" s="29"/>
      <c r="R138" s="23">
        <f t="shared" si="7"/>
        <v>0</v>
      </c>
      <c r="S138" s="13"/>
      <c r="T138" s="153"/>
      <c r="U138" s="19"/>
      <c r="V138" s="19"/>
      <c r="W138" s="20"/>
      <c r="X138" s="22"/>
      <c r="Y138" s="22"/>
      <c r="Z138" s="29"/>
      <c r="AA138" s="30"/>
    </row>
    <row r="139" spans="1:27" x14ac:dyDescent="0.2">
      <c r="A139" s="13"/>
      <c r="B139" s="27"/>
      <c r="C139" s="19"/>
      <c r="D139" s="19"/>
      <c r="E139" s="20"/>
      <c r="F139" s="22"/>
      <c r="G139" s="22"/>
      <c r="H139" s="29"/>
      <c r="I139" s="30"/>
      <c r="J139" s="13"/>
      <c r="K139" s="153" t="s">
        <v>1221</v>
      </c>
      <c r="L139" s="19"/>
      <c r="M139" s="19"/>
      <c r="N139" s="157" t="s">
        <v>1242</v>
      </c>
      <c r="O139" s="22">
        <v>1</v>
      </c>
      <c r="P139" s="23">
        <v>1</v>
      </c>
      <c r="Q139" s="29"/>
      <c r="R139" s="23">
        <f t="shared" si="7"/>
        <v>0</v>
      </c>
      <c r="S139" s="13"/>
      <c r="T139" s="153"/>
      <c r="U139" s="19"/>
      <c r="V139" s="19"/>
      <c r="W139" s="20"/>
      <c r="X139" s="22"/>
      <c r="Y139" s="22"/>
      <c r="Z139" s="29"/>
      <c r="AA139" s="30"/>
    </row>
    <row r="140" spans="1:27" x14ac:dyDescent="0.2">
      <c r="A140" s="13"/>
      <c r="B140" s="18"/>
      <c r="C140" s="19"/>
      <c r="D140" s="19"/>
      <c r="E140" s="20"/>
      <c r="F140" s="22"/>
      <c r="G140" s="22"/>
      <c r="H140" s="28"/>
      <c r="I140" s="23"/>
      <c r="J140" s="13"/>
      <c r="K140" s="18" t="s">
        <v>1222</v>
      </c>
      <c r="L140" s="19"/>
      <c r="M140" s="19"/>
      <c r="N140" s="20"/>
      <c r="O140" s="22">
        <v>1</v>
      </c>
      <c r="P140" s="23">
        <v>1</v>
      </c>
      <c r="Q140" s="28"/>
      <c r="R140" s="23">
        <f t="shared" si="7"/>
        <v>0</v>
      </c>
      <c r="S140" s="13"/>
      <c r="T140" s="18"/>
      <c r="U140" s="19"/>
      <c r="V140" s="19"/>
      <c r="W140" s="20"/>
      <c r="X140" s="22"/>
      <c r="Y140" s="22"/>
      <c r="Z140" s="28"/>
      <c r="AA140" s="23"/>
    </row>
    <row r="141" spans="1:27" x14ac:dyDescent="0.2">
      <c r="A141" s="13"/>
      <c r="B141" s="18"/>
      <c r="C141" s="19"/>
      <c r="D141" s="19"/>
      <c r="E141" s="20"/>
      <c r="F141" s="22"/>
      <c r="G141" s="22"/>
      <c r="H141" s="23"/>
      <c r="I141" s="23"/>
      <c r="J141" s="13"/>
      <c r="K141" s="18" t="s">
        <v>1223</v>
      </c>
      <c r="L141" s="19"/>
      <c r="M141" s="19"/>
      <c r="N141" s="20"/>
      <c r="O141" s="22">
        <v>4</v>
      </c>
      <c r="P141" s="23">
        <v>1</v>
      </c>
      <c r="Q141" s="23"/>
      <c r="R141" s="23">
        <f t="shared" si="7"/>
        <v>0</v>
      </c>
      <c r="S141" s="13"/>
      <c r="T141" s="18"/>
      <c r="U141" s="19"/>
      <c r="V141" s="19"/>
      <c r="W141" s="20"/>
      <c r="X141" s="22"/>
      <c r="Y141" s="22"/>
      <c r="Z141" s="23"/>
      <c r="AA141" s="23"/>
    </row>
    <row r="142" spans="1:27" x14ac:dyDescent="0.2">
      <c r="A142" s="13"/>
      <c r="B142" s="248" t="s">
        <v>20</v>
      </c>
      <c r="C142" s="249"/>
      <c r="D142" s="249"/>
      <c r="E142" s="250"/>
      <c r="F142" s="31"/>
      <c r="G142" s="31"/>
      <c r="H142" s="32"/>
      <c r="I142" s="32">
        <f>SUM(I135:I141)</f>
        <v>186.32999999999998</v>
      </c>
      <c r="J142" s="13"/>
      <c r="K142" s="248" t="s">
        <v>20</v>
      </c>
      <c r="L142" s="249"/>
      <c r="M142" s="249"/>
      <c r="N142" s="250"/>
      <c r="O142" s="31"/>
      <c r="P142" s="31"/>
      <c r="Q142" s="32"/>
      <c r="R142" s="32">
        <f>SUM(R134:R141)</f>
        <v>581.9</v>
      </c>
      <c r="S142" s="13"/>
      <c r="T142" s="248" t="s">
        <v>20</v>
      </c>
      <c r="U142" s="249"/>
      <c r="V142" s="249"/>
      <c r="W142" s="250"/>
      <c r="X142" s="31"/>
      <c r="Y142" s="31"/>
      <c r="Z142" s="32"/>
      <c r="AA142" s="32">
        <f>SUM(AA135:AA141)</f>
        <v>659.83999999999992</v>
      </c>
    </row>
    <row r="143" spans="1:27" x14ac:dyDescent="0.2">
      <c r="A143" s="12"/>
      <c r="B143" s="251" t="s">
        <v>21</v>
      </c>
      <c r="C143" s="252"/>
      <c r="D143" s="252"/>
      <c r="E143" s="253"/>
      <c r="F143" s="244" t="s">
        <v>22</v>
      </c>
      <c r="G143" s="244" t="s">
        <v>13</v>
      </c>
      <c r="H143" s="244" t="s">
        <v>14</v>
      </c>
      <c r="I143" s="246" t="s">
        <v>15</v>
      </c>
      <c r="J143" s="12"/>
      <c r="K143" s="251" t="s">
        <v>21</v>
      </c>
      <c r="L143" s="252"/>
      <c r="M143" s="252"/>
      <c r="N143" s="253"/>
      <c r="O143" s="244" t="s">
        <v>22</v>
      </c>
      <c r="P143" s="244" t="s">
        <v>13</v>
      </c>
      <c r="Q143" s="244" t="s">
        <v>14</v>
      </c>
      <c r="R143" s="246" t="s">
        <v>15</v>
      </c>
      <c r="S143" s="12"/>
      <c r="T143" s="251" t="s">
        <v>21</v>
      </c>
      <c r="U143" s="252"/>
      <c r="V143" s="252"/>
      <c r="W143" s="253"/>
      <c r="X143" s="244" t="s">
        <v>22</v>
      </c>
      <c r="Y143" s="244" t="s">
        <v>13</v>
      </c>
      <c r="Z143" s="244" t="s">
        <v>14</v>
      </c>
      <c r="AA143" s="246" t="s">
        <v>15</v>
      </c>
    </row>
    <row r="144" spans="1:27" x14ac:dyDescent="0.2">
      <c r="A144" s="13"/>
      <c r="B144" s="254"/>
      <c r="C144" s="255"/>
      <c r="D144" s="255"/>
      <c r="E144" s="256"/>
      <c r="F144" s="245"/>
      <c r="G144" s="245"/>
      <c r="H144" s="245"/>
      <c r="I144" s="247"/>
      <c r="J144" s="13"/>
      <c r="K144" s="254"/>
      <c r="L144" s="255"/>
      <c r="M144" s="255"/>
      <c r="N144" s="256"/>
      <c r="O144" s="245"/>
      <c r="P144" s="245"/>
      <c r="Q144" s="245"/>
      <c r="R144" s="247"/>
      <c r="S144" s="13"/>
      <c r="T144" s="254"/>
      <c r="U144" s="255"/>
      <c r="V144" s="255"/>
      <c r="W144" s="256"/>
      <c r="X144" s="245"/>
      <c r="Y144" s="245"/>
      <c r="Z144" s="245"/>
      <c r="AA144" s="247"/>
    </row>
    <row r="145" spans="1:27" x14ac:dyDescent="0.2">
      <c r="A145" s="13" t="s">
        <v>23</v>
      </c>
      <c r="B145" s="33" t="s">
        <v>24</v>
      </c>
      <c r="C145" s="15"/>
      <c r="D145" s="15"/>
      <c r="E145" s="16"/>
      <c r="F145" s="34"/>
      <c r="G145" s="34"/>
      <c r="H145" s="35"/>
      <c r="I145" s="35"/>
      <c r="J145" s="13" t="s">
        <v>23</v>
      </c>
      <c r="K145" s="33" t="s">
        <v>24</v>
      </c>
      <c r="L145" s="15"/>
      <c r="M145" s="15"/>
      <c r="N145" s="16"/>
      <c r="O145" s="34"/>
      <c r="P145" s="34"/>
      <c r="Q145" s="35"/>
      <c r="R145" s="35"/>
      <c r="S145" s="13" t="s">
        <v>23</v>
      </c>
      <c r="T145" s="33" t="s">
        <v>24</v>
      </c>
      <c r="U145" s="15"/>
      <c r="V145" s="15"/>
      <c r="W145" s="16"/>
      <c r="X145" s="34"/>
      <c r="Y145" s="34"/>
      <c r="Z145" s="35"/>
      <c r="AA145" s="35"/>
    </row>
    <row r="146" spans="1:27" x14ac:dyDescent="0.2">
      <c r="A146" s="13"/>
      <c r="B146" s="18"/>
      <c r="C146" s="19"/>
      <c r="D146" s="19"/>
      <c r="E146" s="20"/>
      <c r="F146" s="22"/>
      <c r="G146" s="23"/>
      <c r="H146" s="23"/>
      <c r="I146" s="23"/>
      <c r="J146" s="13"/>
      <c r="K146" s="18"/>
      <c r="L146" s="19"/>
      <c r="M146" s="19"/>
      <c r="N146" s="20"/>
      <c r="O146" s="22"/>
      <c r="P146" s="22"/>
      <c r="Q146" s="23"/>
      <c r="R146" s="23"/>
      <c r="S146" s="13"/>
      <c r="T146" s="18"/>
      <c r="U146" s="19"/>
      <c r="V146" s="19"/>
      <c r="W146" s="20"/>
      <c r="X146" s="22"/>
      <c r="Y146" s="22"/>
      <c r="Z146" s="23"/>
      <c r="AA146" s="23"/>
    </row>
    <row r="147" spans="1:27" ht="17.25" customHeight="1" x14ac:dyDescent="0.2">
      <c r="A147" s="13"/>
      <c r="B147" s="18" t="s">
        <v>254</v>
      </c>
      <c r="C147" s="19"/>
      <c r="D147" s="19"/>
      <c r="E147" s="20"/>
      <c r="F147" s="22">
        <v>1</v>
      </c>
      <c r="G147" s="23">
        <v>1</v>
      </c>
      <c r="H147" s="37">
        <v>936</v>
      </c>
      <c r="I147" s="37">
        <f>G147*H147*F147</f>
        <v>936</v>
      </c>
      <c r="J147" s="13"/>
      <c r="K147" s="18" t="s">
        <v>275</v>
      </c>
      <c r="L147" s="19"/>
      <c r="M147" s="19"/>
      <c r="N147" s="20"/>
      <c r="O147" s="22">
        <v>1</v>
      </c>
      <c r="P147" s="23">
        <v>1</v>
      </c>
      <c r="Q147" s="37">
        <v>1833</v>
      </c>
      <c r="R147" s="37">
        <f t="shared" ref="R147:R153" si="8">P147*Q147*O147</f>
        <v>1833</v>
      </c>
      <c r="S147" s="13"/>
      <c r="T147" s="18" t="s">
        <v>1267</v>
      </c>
      <c r="U147" s="19"/>
      <c r="V147" s="19"/>
      <c r="W147" s="20"/>
      <c r="X147" s="22">
        <v>1</v>
      </c>
      <c r="Y147" s="23">
        <v>1</v>
      </c>
      <c r="Z147" s="37">
        <v>6765</v>
      </c>
      <c r="AA147" s="37">
        <f t="shared" ref="AA147:AA150" si="9">Y147*Z147*X147</f>
        <v>6765</v>
      </c>
    </row>
    <row r="148" spans="1:27" ht="17.25" customHeight="1" x14ac:dyDescent="0.2">
      <c r="A148" s="13"/>
      <c r="B148" s="18" t="s">
        <v>288</v>
      </c>
      <c r="C148" s="19"/>
      <c r="D148" s="19"/>
      <c r="E148" s="20"/>
      <c r="F148" s="22">
        <v>1</v>
      </c>
      <c r="G148" s="23">
        <v>1</v>
      </c>
      <c r="H148" s="37">
        <v>130.54</v>
      </c>
      <c r="I148" s="37">
        <f>G148*H148*F148</f>
        <v>130.54</v>
      </c>
      <c r="J148" s="13"/>
      <c r="K148" s="18" t="s">
        <v>276</v>
      </c>
      <c r="L148" s="19"/>
      <c r="M148" s="19"/>
      <c r="N148" s="20"/>
      <c r="O148" s="22">
        <v>1</v>
      </c>
      <c r="P148" s="23">
        <v>1</v>
      </c>
      <c r="Q148" s="37">
        <v>561</v>
      </c>
      <c r="R148" s="37">
        <f t="shared" si="8"/>
        <v>561</v>
      </c>
      <c r="S148" s="13"/>
      <c r="T148" s="18" t="s">
        <v>255</v>
      </c>
      <c r="U148" s="19"/>
      <c r="V148" s="19"/>
      <c r="W148" s="20"/>
      <c r="X148" s="22">
        <v>1</v>
      </c>
      <c r="Y148" s="23">
        <v>1</v>
      </c>
      <c r="Z148" s="37">
        <v>545</v>
      </c>
      <c r="AA148" s="37">
        <f t="shared" si="9"/>
        <v>545</v>
      </c>
    </row>
    <row r="149" spans="1:27" x14ac:dyDescent="0.2">
      <c r="A149" s="13"/>
      <c r="B149" s="18"/>
      <c r="C149" s="19"/>
      <c r="D149" s="19"/>
      <c r="E149" s="20"/>
      <c r="F149" s="22"/>
      <c r="G149" s="23"/>
      <c r="H149" s="37"/>
      <c r="I149" s="37"/>
      <c r="J149" s="13"/>
      <c r="K149" s="18" t="s">
        <v>277</v>
      </c>
      <c r="L149" s="19"/>
      <c r="M149" s="19"/>
      <c r="N149" s="20"/>
      <c r="O149" s="22">
        <v>1</v>
      </c>
      <c r="P149" s="23">
        <v>1</v>
      </c>
      <c r="Q149" s="37">
        <v>1652</v>
      </c>
      <c r="R149" s="37">
        <f t="shared" si="8"/>
        <v>1652</v>
      </c>
      <c r="S149" s="13"/>
      <c r="T149" s="18" t="s">
        <v>1266</v>
      </c>
      <c r="U149" s="19"/>
      <c r="V149" s="19"/>
      <c r="W149" s="20"/>
      <c r="X149" s="22">
        <v>1</v>
      </c>
      <c r="Y149" s="23">
        <v>0.1</v>
      </c>
      <c r="Z149" s="37">
        <v>91.25</v>
      </c>
      <c r="AA149" s="37">
        <f t="shared" si="9"/>
        <v>9.125</v>
      </c>
    </row>
    <row r="150" spans="1:27" x14ac:dyDescent="0.2">
      <c r="A150" s="13"/>
      <c r="B150" s="18"/>
      <c r="F150" s="22"/>
      <c r="G150" s="36"/>
      <c r="H150" s="37"/>
      <c r="I150" s="37"/>
      <c r="J150" s="13"/>
      <c r="K150" s="18" t="s">
        <v>1140</v>
      </c>
      <c r="O150" s="22">
        <v>2</v>
      </c>
      <c r="P150" s="23">
        <v>1</v>
      </c>
      <c r="Q150" s="37">
        <v>1420</v>
      </c>
      <c r="R150" s="37">
        <f t="shared" si="8"/>
        <v>2840</v>
      </c>
      <c r="S150" s="13"/>
      <c r="T150" s="18" t="s">
        <v>404</v>
      </c>
      <c r="U150" s="19"/>
      <c r="V150" s="19"/>
      <c r="W150" s="20"/>
      <c r="X150" s="22">
        <v>1</v>
      </c>
      <c r="Y150" s="23">
        <v>0.1</v>
      </c>
      <c r="Z150" s="37">
        <v>219.75</v>
      </c>
      <c r="AA150" s="37">
        <f t="shared" si="9"/>
        <v>21.975000000000001</v>
      </c>
    </row>
    <row r="151" spans="1:27" x14ac:dyDescent="0.2">
      <c r="A151" s="13"/>
      <c r="B151" s="18"/>
      <c r="C151" s="19"/>
      <c r="D151" s="19"/>
      <c r="E151" s="20"/>
      <c r="F151" s="22"/>
      <c r="G151" s="36"/>
      <c r="H151" s="37"/>
      <c r="I151" s="37"/>
      <c r="J151" s="13"/>
      <c r="K151" s="18" t="s">
        <v>278</v>
      </c>
      <c r="L151" s="19"/>
      <c r="M151" s="19"/>
      <c r="N151" s="20"/>
      <c r="O151" s="22">
        <v>1</v>
      </c>
      <c r="P151" s="23">
        <v>1</v>
      </c>
      <c r="Q151" s="37">
        <v>4286.63</v>
      </c>
      <c r="R151" s="37">
        <f t="shared" si="8"/>
        <v>4286.63</v>
      </c>
      <c r="S151" s="13"/>
      <c r="T151" s="18"/>
      <c r="U151" s="19"/>
      <c r="V151" s="19"/>
      <c r="W151" s="20"/>
      <c r="X151" s="22"/>
      <c r="Y151" s="36"/>
      <c r="Z151" s="3"/>
      <c r="AA151" s="37"/>
    </row>
    <row r="152" spans="1:27" x14ac:dyDescent="0.2">
      <c r="A152" s="13"/>
      <c r="B152" s="18"/>
      <c r="C152" s="19"/>
      <c r="D152" s="19"/>
      <c r="E152" s="20"/>
      <c r="F152" s="22"/>
      <c r="G152" s="36"/>
      <c r="H152" s="38"/>
      <c r="I152" s="38"/>
      <c r="J152" s="13"/>
      <c r="K152" s="18" t="s">
        <v>1206</v>
      </c>
      <c r="L152" s="19"/>
      <c r="M152" s="19"/>
      <c r="N152" s="20"/>
      <c r="O152" s="22">
        <v>1</v>
      </c>
      <c r="P152" s="23">
        <v>1</v>
      </c>
      <c r="Q152" s="37">
        <v>2450</v>
      </c>
      <c r="R152" s="37">
        <f t="shared" si="8"/>
        <v>2450</v>
      </c>
      <c r="S152" s="13"/>
      <c r="T152" s="18"/>
      <c r="U152" s="19"/>
      <c r="V152" s="19"/>
      <c r="W152" s="20"/>
      <c r="X152" s="22"/>
      <c r="Y152" s="23"/>
      <c r="Z152" s="37"/>
      <c r="AA152" s="37"/>
    </row>
    <row r="153" spans="1:27" x14ac:dyDescent="0.2">
      <c r="A153" s="13"/>
      <c r="B153" s="18"/>
      <c r="C153" s="19"/>
      <c r="D153" s="19"/>
      <c r="E153" s="20"/>
      <c r="F153" s="22"/>
      <c r="G153" s="36"/>
      <c r="H153" s="38"/>
      <c r="I153" s="38"/>
      <c r="J153" s="13"/>
      <c r="K153" s="18" t="s">
        <v>279</v>
      </c>
      <c r="L153" s="19"/>
      <c r="M153" s="19"/>
      <c r="N153" s="20"/>
      <c r="O153" s="22">
        <v>1</v>
      </c>
      <c r="P153" s="23">
        <v>1</v>
      </c>
      <c r="Q153" s="37">
        <v>1733</v>
      </c>
      <c r="R153" s="37">
        <f t="shared" si="8"/>
        <v>1733</v>
      </c>
      <c r="S153" s="13"/>
      <c r="T153" s="18"/>
      <c r="U153" s="19"/>
      <c r="V153" s="19"/>
      <c r="W153" s="20"/>
      <c r="X153" s="22"/>
      <c r="Y153" s="23"/>
      <c r="Z153" s="37"/>
      <c r="AA153" s="37"/>
    </row>
    <row r="154" spans="1:27" x14ac:dyDescent="0.2">
      <c r="A154" s="13"/>
      <c r="B154" s="18"/>
      <c r="C154" s="19"/>
      <c r="D154" s="19"/>
      <c r="E154" s="20"/>
      <c r="F154" s="22"/>
      <c r="G154" s="36"/>
      <c r="H154" s="38"/>
      <c r="I154" s="38"/>
      <c r="J154" s="13"/>
      <c r="K154" s="18" t="s">
        <v>1192</v>
      </c>
      <c r="L154" s="19"/>
      <c r="M154" s="19"/>
      <c r="N154" s="20"/>
      <c r="O154" s="22"/>
      <c r="P154" s="36"/>
      <c r="R154" s="37">
        <f>0.1*R142</f>
        <v>58.19</v>
      </c>
      <c r="S154" s="13"/>
      <c r="T154" s="18"/>
      <c r="U154" s="19"/>
      <c r="V154" s="19"/>
      <c r="W154" s="20"/>
      <c r="X154" s="22"/>
      <c r="Y154" s="23"/>
      <c r="Z154" s="37"/>
      <c r="AA154" s="37"/>
    </row>
    <row r="155" spans="1:27" x14ac:dyDescent="0.2">
      <c r="A155" s="13"/>
      <c r="B155" s="18"/>
      <c r="C155" s="19"/>
      <c r="D155" s="19"/>
      <c r="E155" s="20"/>
      <c r="F155" s="22"/>
      <c r="G155" s="36"/>
      <c r="H155" s="38"/>
      <c r="I155" s="38"/>
      <c r="J155" s="13"/>
      <c r="K155" s="18"/>
      <c r="L155" s="19"/>
      <c r="M155" s="19"/>
      <c r="N155" s="20"/>
      <c r="O155" s="22"/>
      <c r="P155" s="36"/>
      <c r="Q155" s="38"/>
      <c r="R155" s="38"/>
      <c r="S155" s="13"/>
      <c r="X155" s="72"/>
      <c r="Y155" s="72"/>
      <c r="Z155" s="72"/>
      <c r="AA155" s="72"/>
    </row>
    <row r="156" spans="1:27" x14ac:dyDescent="0.2">
      <c r="A156" s="13"/>
      <c r="B156" s="18"/>
      <c r="C156" s="19"/>
      <c r="D156" s="19"/>
      <c r="E156" s="20"/>
      <c r="F156" s="22"/>
      <c r="G156" s="36"/>
      <c r="H156" s="37"/>
      <c r="I156" s="37"/>
      <c r="J156" s="13"/>
      <c r="K156" s="18"/>
      <c r="L156" s="19"/>
      <c r="M156" s="19"/>
      <c r="N156" s="20"/>
      <c r="O156" s="22"/>
      <c r="P156" s="36"/>
      <c r="Q156" s="37"/>
      <c r="R156" s="37"/>
      <c r="S156" s="13"/>
      <c r="X156" s="72"/>
      <c r="Y156" s="72"/>
      <c r="Z156" s="30"/>
      <c r="AA156" s="30"/>
    </row>
    <row r="157" spans="1:27" x14ac:dyDescent="0.2">
      <c r="A157" s="13"/>
      <c r="B157" s="18"/>
      <c r="C157" s="19"/>
      <c r="D157" s="19"/>
      <c r="E157" s="20"/>
      <c r="F157" s="22"/>
      <c r="G157" s="36"/>
      <c r="H157" s="37"/>
      <c r="I157" s="37"/>
      <c r="J157" s="13"/>
      <c r="K157" s="18"/>
      <c r="L157" s="19"/>
      <c r="M157" s="19"/>
      <c r="N157" s="20"/>
      <c r="O157" s="22"/>
      <c r="P157" s="36"/>
      <c r="Q157" s="37"/>
      <c r="R157" s="37"/>
      <c r="S157" s="13"/>
      <c r="T157" s="18"/>
      <c r="U157" s="19"/>
      <c r="V157" s="19"/>
      <c r="W157" s="20"/>
      <c r="X157" s="22"/>
      <c r="Y157" s="36"/>
      <c r="Z157" s="37"/>
      <c r="AA157" s="37"/>
    </row>
    <row r="158" spans="1:27" ht="15" customHeight="1" x14ac:dyDescent="0.2">
      <c r="A158" s="13"/>
      <c r="B158" s="18"/>
      <c r="C158" s="19"/>
      <c r="D158" s="19"/>
      <c r="E158" s="20"/>
      <c r="F158" s="22"/>
      <c r="G158" s="36"/>
      <c r="H158" s="37"/>
      <c r="I158" s="37"/>
      <c r="J158" s="13"/>
      <c r="K158" s="18"/>
      <c r="L158" s="19"/>
      <c r="M158" s="19"/>
      <c r="N158" s="20"/>
      <c r="O158" s="22"/>
      <c r="P158" s="36"/>
      <c r="Q158" s="37"/>
      <c r="R158" s="37"/>
      <c r="S158" s="13"/>
      <c r="T158" s="18"/>
      <c r="U158" s="19"/>
      <c r="V158" s="19"/>
      <c r="W158" s="20"/>
      <c r="X158" s="22"/>
      <c r="Y158" s="36"/>
      <c r="Z158" s="37"/>
      <c r="AA158" s="37"/>
    </row>
    <row r="159" spans="1:27" x14ac:dyDescent="0.2">
      <c r="A159" s="13"/>
      <c r="B159" s="18"/>
      <c r="C159" s="19"/>
      <c r="D159" s="19"/>
      <c r="E159" s="20"/>
      <c r="F159" s="22"/>
      <c r="G159" s="22"/>
      <c r="H159" s="23"/>
      <c r="I159" s="23"/>
      <c r="J159" s="13"/>
      <c r="K159" s="18"/>
      <c r="L159" s="19"/>
      <c r="M159" s="19"/>
      <c r="N159" s="20"/>
      <c r="O159" s="22"/>
      <c r="P159" s="22"/>
      <c r="Q159" s="23"/>
      <c r="R159" s="23"/>
      <c r="S159" s="13"/>
      <c r="T159" s="18"/>
      <c r="U159" s="19"/>
      <c r="V159" s="19"/>
      <c r="W159" s="20"/>
      <c r="X159" s="22"/>
      <c r="Y159" s="22"/>
      <c r="Z159" s="23"/>
      <c r="AA159" s="23"/>
    </row>
    <row r="160" spans="1:27" x14ac:dyDescent="0.2">
      <c r="A160" s="13"/>
      <c r="B160" s="248" t="s">
        <v>30</v>
      </c>
      <c r="C160" s="249"/>
      <c r="D160" s="249"/>
      <c r="E160" s="250"/>
      <c r="F160" s="22"/>
      <c r="G160" s="22"/>
      <c r="H160" s="23"/>
      <c r="I160" s="23">
        <f>SUM(I147:I159)</f>
        <v>1066.54</v>
      </c>
      <c r="J160" s="13"/>
      <c r="K160" s="248" t="s">
        <v>30</v>
      </c>
      <c r="L160" s="249"/>
      <c r="M160" s="249"/>
      <c r="N160" s="250"/>
      <c r="O160" s="22"/>
      <c r="P160" s="22"/>
      <c r="Q160" s="23"/>
      <c r="R160" s="23">
        <f>SUM(R147:R159)</f>
        <v>15413.820000000002</v>
      </c>
      <c r="S160" s="13"/>
      <c r="T160" s="248" t="s">
        <v>30</v>
      </c>
      <c r="U160" s="249"/>
      <c r="V160" s="249"/>
      <c r="W160" s="250"/>
      <c r="X160" s="22"/>
      <c r="Y160" s="22"/>
      <c r="Z160" s="23"/>
      <c r="AA160" s="23">
        <f>SUM(AA147:AA159)</f>
        <v>7341.1</v>
      </c>
    </row>
    <row r="161" spans="1:27" x14ac:dyDescent="0.2">
      <c r="A161" s="12" t="s">
        <v>31</v>
      </c>
      <c r="B161" s="260" t="s">
        <v>32</v>
      </c>
      <c r="C161" s="261"/>
      <c r="D161" s="261"/>
      <c r="E161" s="261"/>
      <c r="F161" s="39"/>
      <c r="G161" s="39"/>
      <c r="H161" s="40"/>
      <c r="I161" s="41">
        <f>SUM(I160+I142)</f>
        <v>1252.8699999999999</v>
      </c>
      <c r="J161" s="12" t="s">
        <v>31</v>
      </c>
      <c r="K161" s="260" t="s">
        <v>32</v>
      </c>
      <c r="L161" s="261"/>
      <c r="M161" s="261"/>
      <c r="N161" s="261"/>
      <c r="O161" s="151"/>
      <c r="P161" s="151"/>
      <c r="Q161" s="40"/>
      <c r="R161" s="41">
        <f>SUM(R160+R142)</f>
        <v>15995.720000000001</v>
      </c>
      <c r="S161" s="12" t="s">
        <v>31</v>
      </c>
      <c r="T161" s="260" t="s">
        <v>32</v>
      </c>
      <c r="U161" s="261"/>
      <c r="V161" s="261"/>
      <c r="W161" s="261"/>
      <c r="X161" s="151"/>
      <c r="Y161" s="151"/>
      <c r="Z161" s="40"/>
      <c r="AA161" s="41">
        <f>SUM(AA160+AA142)</f>
        <v>8000.9400000000005</v>
      </c>
    </row>
    <row r="162" spans="1:27" x14ac:dyDescent="0.2">
      <c r="A162" s="13" t="s">
        <v>33</v>
      </c>
      <c r="B162" s="309">
        <f>E129</f>
        <v>0.3</v>
      </c>
      <c r="C162" s="310"/>
      <c r="D162" s="310"/>
      <c r="E162" s="310"/>
      <c r="F162" s="310"/>
      <c r="G162" s="310"/>
      <c r="H162" s="40"/>
      <c r="I162" s="41"/>
      <c r="J162" s="13" t="s">
        <v>33</v>
      </c>
      <c r="K162" s="311">
        <f>N129</f>
        <v>171.3</v>
      </c>
      <c r="L162" s="312"/>
      <c r="M162" s="312"/>
      <c r="N162" s="312"/>
      <c r="O162" s="312"/>
      <c r="P162" s="312"/>
      <c r="Q162" s="40"/>
      <c r="R162" s="41"/>
      <c r="S162" s="13" t="s">
        <v>33</v>
      </c>
      <c r="T162" s="305">
        <f>W129</f>
        <v>100</v>
      </c>
      <c r="U162" s="306"/>
      <c r="V162" s="306"/>
      <c r="W162" s="306"/>
      <c r="X162" s="306"/>
      <c r="Y162" s="306"/>
      <c r="Z162" s="40"/>
      <c r="AA162" s="41"/>
    </row>
    <row r="163" spans="1:27" x14ac:dyDescent="0.2">
      <c r="A163" s="13" t="s">
        <v>34</v>
      </c>
      <c r="B163" s="42" t="s">
        <v>35</v>
      </c>
      <c r="C163" s="43"/>
      <c r="D163" s="43"/>
      <c r="E163" s="39"/>
      <c r="F163" s="44"/>
      <c r="G163" s="44"/>
      <c r="H163" s="40"/>
      <c r="I163" s="41">
        <f>I161/E129</f>
        <v>4176.2333333333336</v>
      </c>
      <c r="J163" s="13" t="s">
        <v>34</v>
      </c>
      <c r="K163" s="155" t="s">
        <v>35</v>
      </c>
      <c r="L163" s="43"/>
      <c r="M163" s="43"/>
      <c r="N163" s="151"/>
      <c r="O163" s="156"/>
      <c r="P163" s="156"/>
      <c r="Q163" s="40"/>
      <c r="R163" s="41">
        <f>R161/N129</f>
        <v>93.378400467016931</v>
      </c>
      <c r="S163" s="13" t="s">
        <v>34</v>
      </c>
      <c r="T163" s="155" t="s">
        <v>35</v>
      </c>
      <c r="U163" s="43"/>
      <c r="V163" s="43"/>
      <c r="W163" s="151"/>
      <c r="X163" s="156"/>
      <c r="Y163" s="156"/>
      <c r="Z163" s="40"/>
      <c r="AA163" s="41">
        <f>AA161/W129</f>
        <v>80.009399999999999</v>
      </c>
    </row>
    <row r="164" spans="1:27" x14ac:dyDescent="0.2">
      <c r="A164" s="12"/>
      <c r="B164" s="251" t="s">
        <v>36</v>
      </c>
      <c r="C164" s="252"/>
      <c r="D164" s="252"/>
      <c r="E164" s="253"/>
      <c r="F164" s="244" t="s">
        <v>37</v>
      </c>
      <c r="G164" s="244" t="s">
        <v>38</v>
      </c>
      <c r="H164" s="244" t="s">
        <v>39</v>
      </c>
      <c r="I164" s="246" t="s">
        <v>15</v>
      </c>
      <c r="J164" s="12"/>
      <c r="K164" s="251" t="s">
        <v>36</v>
      </c>
      <c r="L164" s="252"/>
      <c r="M164" s="252"/>
      <c r="N164" s="253"/>
      <c r="O164" s="244" t="s">
        <v>37</v>
      </c>
      <c r="P164" s="244" t="s">
        <v>38</v>
      </c>
      <c r="Q164" s="244" t="s">
        <v>39</v>
      </c>
      <c r="R164" s="246" t="s">
        <v>15</v>
      </c>
      <c r="S164" s="12"/>
      <c r="T164" s="251" t="s">
        <v>36</v>
      </c>
      <c r="U164" s="252"/>
      <c r="V164" s="252"/>
      <c r="W164" s="253"/>
      <c r="X164" s="244" t="s">
        <v>37</v>
      </c>
      <c r="Y164" s="244" t="s">
        <v>38</v>
      </c>
      <c r="Z164" s="244" t="s">
        <v>39</v>
      </c>
      <c r="AA164" s="246" t="s">
        <v>15</v>
      </c>
    </row>
    <row r="165" spans="1:27" x14ac:dyDescent="0.2">
      <c r="A165" s="13"/>
      <c r="B165" s="254"/>
      <c r="C165" s="255"/>
      <c r="D165" s="255"/>
      <c r="E165" s="256"/>
      <c r="F165" s="245"/>
      <c r="G165" s="245"/>
      <c r="H165" s="245"/>
      <c r="I165" s="247"/>
      <c r="J165" s="13"/>
      <c r="K165" s="254"/>
      <c r="L165" s="255"/>
      <c r="M165" s="255"/>
      <c r="N165" s="256"/>
      <c r="O165" s="245"/>
      <c r="P165" s="245"/>
      <c r="Q165" s="245"/>
      <c r="R165" s="247"/>
      <c r="S165" s="13"/>
      <c r="T165" s="254"/>
      <c r="U165" s="255"/>
      <c r="V165" s="255"/>
      <c r="W165" s="256"/>
      <c r="X165" s="245"/>
      <c r="Y165" s="245"/>
      <c r="Z165" s="245"/>
      <c r="AA165" s="247"/>
    </row>
    <row r="166" spans="1:27" x14ac:dyDescent="0.2">
      <c r="A166" s="13" t="s">
        <v>40</v>
      </c>
      <c r="B166" s="18" t="s">
        <v>41</v>
      </c>
      <c r="C166" s="19"/>
      <c r="D166" s="19"/>
      <c r="E166" s="20"/>
      <c r="F166" s="22"/>
      <c r="G166" s="22"/>
      <c r="H166" s="23"/>
      <c r="I166" s="23"/>
      <c r="J166" s="13" t="s">
        <v>40</v>
      </c>
      <c r="K166" s="18" t="s">
        <v>41</v>
      </c>
      <c r="L166" s="19"/>
      <c r="M166" s="19"/>
      <c r="N166" s="20"/>
      <c r="O166" s="22"/>
      <c r="P166" s="22"/>
      <c r="Q166" s="23"/>
      <c r="R166" s="23"/>
      <c r="S166" s="13" t="s">
        <v>40</v>
      </c>
      <c r="T166" s="18" t="s">
        <v>41</v>
      </c>
      <c r="U166" s="19"/>
      <c r="V166" s="19"/>
      <c r="W166" s="20"/>
      <c r="X166" s="22"/>
      <c r="Y166" s="22"/>
      <c r="Z166" s="23"/>
      <c r="AA166" s="23"/>
    </row>
    <row r="167" spans="1:27" x14ac:dyDescent="0.2">
      <c r="A167" s="13"/>
      <c r="B167" s="18"/>
      <c r="C167" s="19"/>
      <c r="D167" s="19"/>
      <c r="E167" s="20"/>
      <c r="F167" s="22"/>
      <c r="G167" s="22"/>
      <c r="H167" s="23"/>
      <c r="I167" s="23"/>
      <c r="J167" s="13"/>
      <c r="K167" s="18"/>
      <c r="L167" s="19"/>
      <c r="M167" s="19"/>
      <c r="N167" s="20"/>
      <c r="O167" s="22"/>
      <c r="P167" s="22"/>
      <c r="Q167" s="23"/>
      <c r="R167" s="23"/>
      <c r="S167" s="13"/>
      <c r="T167" s="18"/>
      <c r="U167" s="19"/>
      <c r="V167" s="19"/>
      <c r="W167" s="20"/>
      <c r="X167" s="22"/>
      <c r="Y167" s="22"/>
      <c r="Z167" s="23"/>
      <c r="AA167" s="23"/>
    </row>
    <row r="168" spans="1:27" x14ac:dyDescent="0.2">
      <c r="A168" s="13"/>
      <c r="B168" s="18" t="s">
        <v>289</v>
      </c>
      <c r="C168" s="66"/>
      <c r="D168" s="19"/>
      <c r="E168" s="20"/>
      <c r="F168" s="62" t="s">
        <v>239</v>
      </c>
      <c r="G168" s="62">
        <v>1.05</v>
      </c>
      <c r="H168" s="107">
        <v>40300</v>
      </c>
      <c r="I168" s="23">
        <f>H168*G168</f>
        <v>42315</v>
      </c>
      <c r="J168" s="13"/>
      <c r="K168" s="18" t="s">
        <v>290</v>
      </c>
      <c r="L168" s="66"/>
      <c r="M168" s="19"/>
      <c r="N168" s="20"/>
      <c r="O168" s="22" t="s">
        <v>282</v>
      </c>
      <c r="P168" s="69">
        <v>1.226E-2</v>
      </c>
      <c r="Q168" s="107">
        <v>44000</v>
      </c>
      <c r="R168" s="23">
        <f>P168*Q168</f>
        <v>539.44000000000005</v>
      </c>
      <c r="S168" s="13"/>
      <c r="T168" s="18" t="s">
        <v>263</v>
      </c>
      <c r="U168" s="66"/>
      <c r="V168" s="19"/>
      <c r="W168" s="20"/>
      <c r="X168" s="22" t="s">
        <v>77</v>
      </c>
      <c r="Y168" s="22">
        <v>0.43</v>
      </c>
      <c r="Z168" s="107">
        <v>40</v>
      </c>
      <c r="AA168" s="23">
        <f>Y168*Z168</f>
        <v>17.2</v>
      </c>
    </row>
    <row r="169" spans="1:27" x14ac:dyDescent="0.2">
      <c r="A169" s="13"/>
      <c r="B169" s="18" t="s">
        <v>291</v>
      </c>
      <c r="C169" s="66"/>
      <c r="D169" s="19"/>
      <c r="E169" s="20"/>
      <c r="F169" s="22"/>
      <c r="G169" s="22"/>
      <c r="H169" s="23"/>
      <c r="I169" s="23"/>
      <c r="J169" s="13"/>
      <c r="K169" s="18" t="s">
        <v>1212</v>
      </c>
      <c r="L169" s="66"/>
      <c r="M169" s="19"/>
      <c r="N169" s="20"/>
      <c r="O169" s="22" t="s">
        <v>9</v>
      </c>
      <c r="P169" s="22">
        <v>4.1000000000000002E-2</v>
      </c>
      <c r="Q169" s="107">
        <v>650</v>
      </c>
      <c r="R169" s="23">
        <f>P169*Q169</f>
        <v>26.650000000000002</v>
      </c>
      <c r="S169" s="13"/>
      <c r="T169" s="18" t="s">
        <v>264</v>
      </c>
      <c r="U169" s="66"/>
      <c r="V169" s="19"/>
      <c r="W169" s="20"/>
      <c r="X169" s="22" t="s">
        <v>1216</v>
      </c>
      <c r="Y169" s="22">
        <v>0.28999999999999998</v>
      </c>
      <c r="Z169" s="107">
        <v>28</v>
      </c>
      <c r="AA169" s="23">
        <f t="shared" ref="AA169:AA170" si="10">Y169*Z169</f>
        <v>8.1199999999999992</v>
      </c>
    </row>
    <row r="170" spans="1:27" x14ac:dyDescent="0.2">
      <c r="A170" s="13"/>
      <c r="B170" s="18"/>
      <c r="C170" s="19"/>
      <c r="D170" s="19"/>
      <c r="E170" s="20"/>
      <c r="F170" s="22"/>
      <c r="G170" s="22"/>
      <c r="H170" s="38"/>
      <c r="I170" s="38"/>
      <c r="J170" s="13"/>
      <c r="K170" s="18" t="s">
        <v>1214</v>
      </c>
      <c r="L170" s="66"/>
      <c r="M170" s="19"/>
      <c r="N170" s="20"/>
      <c r="O170" s="22" t="s">
        <v>9</v>
      </c>
      <c r="P170" s="62">
        <v>0.01</v>
      </c>
      <c r="Q170" s="107">
        <v>650</v>
      </c>
      <c r="R170" s="23">
        <f>P170*Q170</f>
        <v>6.5</v>
      </c>
      <c r="S170" s="13"/>
      <c r="T170" s="18" t="s">
        <v>266</v>
      </c>
      <c r="U170" s="19"/>
      <c r="V170" s="19"/>
      <c r="W170" s="20"/>
      <c r="X170" s="22" t="s">
        <v>1216</v>
      </c>
      <c r="Y170" s="22">
        <v>0.12</v>
      </c>
      <c r="Z170" s="107">
        <f>44000/1000</f>
        <v>44</v>
      </c>
      <c r="AA170" s="23">
        <f t="shared" si="10"/>
        <v>5.2799999999999994</v>
      </c>
    </row>
    <row r="171" spans="1:27" x14ac:dyDescent="0.2">
      <c r="A171" s="13"/>
      <c r="B171" s="18"/>
      <c r="C171" s="19"/>
      <c r="D171" s="19"/>
      <c r="E171" s="20"/>
      <c r="F171" s="22"/>
      <c r="G171" s="22"/>
      <c r="H171" s="38"/>
      <c r="I171" s="38"/>
      <c r="J171" s="13"/>
      <c r="K171" s="18" t="s">
        <v>1213</v>
      </c>
      <c r="L171" s="19"/>
      <c r="M171" s="19"/>
      <c r="N171" s="20"/>
      <c r="O171" s="22" t="s">
        <v>227</v>
      </c>
      <c r="P171" s="22">
        <v>0.13</v>
      </c>
      <c r="Q171" s="107">
        <v>240.56</v>
      </c>
      <c r="R171" s="23">
        <f>P171*Q171</f>
        <v>31.2728</v>
      </c>
      <c r="S171" s="13"/>
      <c r="T171" s="18" t="s">
        <v>1259</v>
      </c>
      <c r="U171" s="19"/>
      <c r="V171" s="19"/>
      <c r="W171" s="20"/>
      <c r="X171" s="22" t="s">
        <v>9</v>
      </c>
      <c r="Y171" s="22">
        <v>0.23</v>
      </c>
      <c r="Z171" s="107">
        <v>850</v>
      </c>
      <c r="AA171" s="23">
        <f t="shared" ref="AA171:AA174" si="11">Y171*Z171</f>
        <v>195.5</v>
      </c>
    </row>
    <row r="172" spans="1:27" x14ac:dyDescent="0.2">
      <c r="A172" s="13"/>
      <c r="B172" s="18"/>
      <c r="C172" s="19"/>
      <c r="D172" s="19"/>
      <c r="E172" s="20"/>
      <c r="F172" s="22"/>
      <c r="G172" s="22"/>
      <c r="H172" s="45"/>
      <c r="I172" s="45"/>
      <c r="J172" s="13"/>
      <c r="K172" s="18" t="s">
        <v>1215</v>
      </c>
      <c r="L172" s="19"/>
      <c r="M172" s="19"/>
      <c r="N172" s="20"/>
      <c r="O172" s="22" t="s">
        <v>1216</v>
      </c>
      <c r="P172" s="22">
        <v>1.165</v>
      </c>
      <c r="Q172" s="107">
        <v>240.56</v>
      </c>
      <c r="R172" s="23">
        <f>P172*Q172</f>
        <v>280.25240000000002</v>
      </c>
      <c r="S172" s="13"/>
      <c r="T172" s="18" t="s">
        <v>1260</v>
      </c>
      <c r="U172" s="19"/>
      <c r="V172" s="19"/>
      <c r="W172" s="20"/>
      <c r="X172" s="22" t="s">
        <v>80</v>
      </c>
      <c r="Y172" s="22">
        <v>1.4999999999999999E-4</v>
      </c>
      <c r="Z172" s="107">
        <v>8000</v>
      </c>
      <c r="AA172" s="23">
        <f t="shared" si="11"/>
        <v>1.2</v>
      </c>
    </row>
    <row r="173" spans="1:27" x14ac:dyDescent="0.2">
      <c r="A173" s="13"/>
      <c r="B173" s="18"/>
      <c r="C173" s="19"/>
      <c r="D173" s="19"/>
      <c r="E173" s="20"/>
      <c r="F173" s="22"/>
      <c r="G173" s="22"/>
      <c r="H173" s="45"/>
      <c r="I173" s="45"/>
      <c r="J173" s="13"/>
      <c r="K173" s="18"/>
      <c r="L173" s="19"/>
      <c r="M173" s="19"/>
      <c r="N173" s="20"/>
      <c r="O173" s="22"/>
      <c r="P173" s="22"/>
      <c r="Q173" s="45"/>
      <c r="R173" s="45"/>
      <c r="S173" s="13"/>
      <c r="T173" s="18" t="s">
        <v>1261</v>
      </c>
      <c r="U173" s="19"/>
      <c r="V173" s="19"/>
      <c r="W173" s="20"/>
      <c r="X173" s="22" t="s">
        <v>1153</v>
      </c>
      <c r="Y173" s="22">
        <v>7.1000000000000004E-3</v>
      </c>
      <c r="Z173" s="107">
        <v>34.33</v>
      </c>
      <c r="AA173" s="23">
        <f t="shared" si="11"/>
        <v>0.24374300000000002</v>
      </c>
    </row>
    <row r="174" spans="1:27" ht="15" customHeight="1" x14ac:dyDescent="0.2">
      <c r="A174" s="13"/>
      <c r="B174" s="18"/>
      <c r="C174" s="19"/>
      <c r="D174" s="19"/>
      <c r="E174" s="20"/>
      <c r="F174" s="22"/>
      <c r="G174" s="22"/>
      <c r="H174" s="23"/>
      <c r="I174" s="23"/>
      <c r="J174" s="13"/>
      <c r="K174" s="18"/>
      <c r="L174" s="19"/>
      <c r="M174" s="19"/>
      <c r="N174" s="20"/>
      <c r="O174" s="22"/>
      <c r="P174" s="22"/>
      <c r="Q174" s="23"/>
      <c r="R174" s="23"/>
      <c r="S174" s="13"/>
      <c r="T174" s="18" t="s">
        <v>1262</v>
      </c>
      <c r="U174" s="19"/>
      <c r="V174" s="19"/>
      <c r="W174" s="20"/>
      <c r="X174" s="22" t="s">
        <v>1216</v>
      </c>
      <c r="Y174" s="22">
        <v>8.6999999999999994E-3</v>
      </c>
      <c r="Z174" s="107">
        <v>300</v>
      </c>
      <c r="AA174" s="23">
        <f t="shared" si="11"/>
        <v>2.61</v>
      </c>
    </row>
    <row r="175" spans="1:27" x14ac:dyDescent="0.2">
      <c r="A175" s="13"/>
      <c r="B175" s="18"/>
      <c r="C175" s="19"/>
      <c r="D175" s="19"/>
      <c r="E175" s="20"/>
      <c r="F175" s="22"/>
      <c r="G175" s="22"/>
      <c r="H175" s="23"/>
      <c r="I175" s="23"/>
      <c r="J175" s="13"/>
      <c r="K175" s="18"/>
      <c r="L175" s="19"/>
      <c r="M175" s="19"/>
      <c r="N175" s="20"/>
      <c r="O175" s="22"/>
      <c r="P175" s="22"/>
      <c r="Q175" s="23"/>
      <c r="R175" s="23"/>
      <c r="S175" s="13"/>
      <c r="T175" s="18"/>
      <c r="U175" s="19"/>
      <c r="V175" s="19"/>
      <c r="W175" s="20"/>
      <c r="X175" s="22"/>
      <c r="Y175" s="22"/>
      <c r="Z175" s="107"/>
      <c r="AA175" s="23"/>
    </row>
    <row r="176" spans="1:27" x14ac:dyDescent="0.2">
      <c r="A176" s="13"/>
      <c r="B176" s="18"/>
      <c r="C176" s="19"/>
      <c r="D176" s="19"/>
      <c r="E176" s="20"/>
      <c r="F176" s="22"/>
      <c r="G176" s="22"/>
      <c r="H176" s="23"/>
      <c r="I176" s="23"/>
      <c r="J176" s="13"/>
      <c r="K176" s="18"/>
      <c r="L176" s="19"/>
      <c r="M176" s="19"/>
      <c r="N176" s="20"/>
      <c r="O176" s="22"/>
      <c r="P176" s="22"/>
      <c r="Q176" s="23"/>
      <c r="R176" s="23"/>
      <c r="S176" s="13"/>
      <c r="T176" s="18"/>
      <c r="U176" s="19"/>
      <c r="V176" s="19"/>
      <c r="W176" s="20"/>
      <c r="X176" s="22"/>
      <c r="Y176" s="22"/>
      <c r="Z176" s="107"/>
      <c r="AA176" s="23"/>
    </row>
    <row r="177" spans="1:27" x14ac:dyDescent="0.2">
      <c r="A177" s="13"/>
      <c r="B177" s="18"/>
      <c r="C177" s="19"/>
      <c r="D177" s="19"/>
      <c r="E177" s="20"/>
      <c r="F177" s="22"/>
      <c r="G177" s="22"/>
      <c r="H177" s="23"/>
      <c r="I177" s="23"/>
      <c r="J177" s="13"/>
      <c r="K177" s="18"/>
      <c r="L177" s="19"/>
      <c r="M177" s="19"/>
      <c r="N177" s="20"/>
      <c r="O177" s="22"/>
      <c r="P177" s="22"/>
      <c r="Q177" s="23"/>
      <c r="R177" s="23"/>
      <c r="S177" s="13"/>
      <c r="T177" s="18"/>
      <c r="U177" s="19"/>
      <c r="V177" s="19"/>
      <c r="W177" s="20"/>
      <c r="X177" s="22"/>
      <c r="Y177" s="22"/>
      <c r="Z177" s="23"/>
      <c r="AA177" s="23"/>
    </row>
    <row r="178" spans="1:27" x14ac:dyDescent="0.2">
      <c r="A178" s="13"/>
      <c r="B178" s="18"/>
      <c r="C178" s="19"/>
      <c r="D178" s="19"/>
      <c r="E178" s="20"/>
      <c r="F178" s="22"/>
      <c r="G178" s="22"/>
      <c r="H178" s="23"/>
      <c r="I178" s="23"/>
      <c r="J178" s="13"/>
      <c r="K178" s="18"/>
      <c r="L178" s="19"/>
      <c r="M178" s="19"/>
      <c r="N178" s="20"/>
      <c r="O178" s="22"/>
      <c r="P178" s="22"/>
      <c r="Q178" s="23"/>
      <c r="R178" s="23"/>
      <c r="S178" s="13"/>
      <c r="T178" s="18"/>
      <c r="U178" s="19"/>
      <c r="V178" s="19"/>
      <c r="W178" s="20"/>
      <c r="X178" s="22"/>
      <c r="Y178" s="22"/>
      <c r="Z178" s="23"/>
      <c r="AA178" s="23"/>
    </row>
    <row r="179" spans="1:27" x14ac:dyDescent="0.2">
      <c r="A179" s="13"/>
      <c r="B179" s="18"/>
      <c r="C179" s="19"/>
      <c r="D179" s="19"/>
      <c r="E179" s="20"/>
      <c r="F179" s="22"/>
      <c r="G179" s="22"/>
      <c r="H179" s="23"/>
      <c r="I179" s="23"/>
      <c r="J179" s="13"/>
      <c r="K179" s="18"/>
      <c r="L179" s="19"/>
      <c r="M179" s="19"/>
      <c r="N179" s="20"/>
      <c r="O179" s="22"/>
      <c r="P179" s="22"/>
      <c r="Q179" s="23"/>
      <c r="R179" s="23"/>
      <c r="S179" s="13"/>
      <c r="T179" s="18"/>
      <c r="U179" s="19"/>
      <c r="V179" s="19"/>
      <c r="W179" s="20"/>
      <c r="X179" s="22"/>
      <c r="Y179" s="22"/>
      <c r="Z179" s="23"/>
      <c r="AA179" s="23"/>
    </row>
    <row r="180" spans="1:27" x14ac:dyDescent="0.2">
      <c r="A180" s="13"/>
      <c r="B180" s="18"/>
      <c r="C180" s="19"/>
      <c r="D180" s="19"/>
      <c r="E180" s="20"/>
      <c r="F180" s="22"/>
      <c r="G180" s="36"/>
      <c r="H180" s="37"/>
      <c r="I180" s="37"/>
      <c r="J180" s="13"/>
      <c r="K180" s="18"/>
      <c r="L180" s="19"/>
      <c r="M180" s="19"/>
      <c r="N180" s="20"/>
      <c r="O180" s="22"/>
      <c r="P180" s="36"/>
      <c r="Q180" s="37"/>
      <c r="R180" s="37"/>
      <c r="S180" s="13"/>
      <c r="T180" s="18"/>
      <c r="U180" s="19"/>
      <c r="V180" s="19"/>
      <c r="W180" s="20"/>
      <c r="X180" s="22"/>
      <c r="Y180" s="36"/>
      <c r="Z180" s="37"/>
      <c r="AA180" s="37"/>
    </row>
    <row r="181" spans="1:27" x14ac:dyDescent="0.2">
      <c r="A181" s="13"/>
      <c r="B181" s="248" t="s">
        <v>42</v>
      </c>
      <c r="C181" s="249"/>
      <c r="D181" s="249"/>
      <c r="E181" s="250"/>
      <c r="F181" s="46"/>
      <c r="G181" s="46"/>
      <c r="H181" s="47"/>
      <c r="I181" s="47">
        <f>SUM(I168:I180)</f>
        <v>42315</v>
      </c>
      <c r="J181" s="13"/>
      <c r="K181" s="248" t="s">
        <v>42</v>
      </c>
      <c r="L181" s="249"/>
      <c r="M181" s="249"/>
      <c r="N181" s="250"/>
      <c r="O181" s="46"/>
      <c r="P181" s="46"/>
      <c r="Q181" s="47"/>
      <c r="R181" s="47">
        <f>SUM(R168:R180)</f>
        <v>884.11519999999996</v>
      </c>
      <c r="S181" s="13"/>
      <c r="T181" s="248" t="s">
        <v>42</v>
      </c>
      <c r="U181" s="249"/>
      <c r="V181" s="249"/>
      <c r="W181" s="250"/>
      <c r="X181" s="46"/>
      <c r="Y181" s="46"/>
      <c r="Z181" s="47"/>
      <c r="AA181" s="47">
        <f>SUM(AA168:AA180)</f>
        <v>230.15374299999999</v>
      </c>
    </row>
    <row r="182" spans="1:27" x14ac:dyDescent="0.2">
      <c r="A182" s="12" t="s">
        <v>43</v>
      </c>
      <c r="B182" s="48" t="s">
        <v>44</v>
      </c>
      <c r="C182" s="43"/>
      <c r="D182" s="43"/>
      <c r="E182" s="39"/>
      <c r="F182" s="49"/>
      <c r="G182" s="49"/>
      <c r="H182" s="50"/>
      <c r="I182" s="51">
        <f>SUM(I163+I181)</f>
        <v>46491.233333333337</v>
      </c>
      <c r="J182" s="12" t="s">
        <v>43</v>
      </c>
      <c r="K182" s="48" t="s">
        <v>44</v>
      </c>
      <c r="L182" s="43"/>
      <c r="M182" s="43"/>
      <c r="N182" s="151"/>
      <c r="O182" s="49"/>
      <c r="P182" s="49"/>
      <c r="Q182" s="50"/>
      <c r="R182" s="51">
        <f>SUM(R163+R181)</f>
        <v>977.4936004670169</v>
      </c>
      <c r="S182" s="12" t="s">
        <v>43</v>
      </c>
      <c r="T182" s="48" t="s">
        <v>44</v>
      </c>
      <c r="U182" s="43"/>
      <c r="V182" s="43"/>
      <c r="W182" s="151"/>
      <c r="X182" s="49"/>
      <c r="Y182" s="49"/>
      <c r="Z182" s="50"/>
      <c r="AA182" s="51">
        <f>SUM(AA163+AA181)</f>
        <v>310.16314299999999</v>
      </c>
    </row>
    <row r="183" spans="1:27" x14ac:dyDescent="0.2">
      <c r="A183" s="13" t="s">
        <v>45</v>
      </c>
      <c r="B183" s="48" t="s">
        <v>46</v>
      </c>
      <c r="C183" s="43"/>
      <c r="D183" s="43"/>
      <c r="E183" s="39"/>
      <c r="F183" s="49"/>
      <c r="G183" s="52">
        <v>0.09</v>
      </c>
      <c r="H183" s="53" t="s">
        <v>47</v>
      </c>
      <c r="I183" s="51">
        <f>G183*I182</f>
        <v>4184.2110000000002</v>
      </c>
      <c r="J183" s="13" t="s">
        <v>45</v>
      </c>
      <c r="K183" s="48" t="s">
        <v>46</v>
      </c>
      <c r="L183" s="43"/>
      <c r="M183" s="43"/>
      <c r="N183" s="151"/>
      <c r="O183" s="49"/>
      <c r="P183" s="52">
        <v>0.09</v>
      </c>
      <c r="Q183" s="53" t="s">
        <v>47</v>
      </c>
      <c r="R183" s="51">
        <f>P183*R182</f>
        <v>87.974424042031515</v>
      </c>
      <c r="S183" s="13" t="s">
        <v>45</v>
      </c>
      <c r="T183" s="48" t="s">
        <v>46</v>
      </c>
      <c r="U183" s="43"/>
      <c r="V183" s="43"/>
      <c r="W183" s="151"/>
      <c r="X183" s="49"/>
      <c r="Y183" s="52">
        <v>0.09</v>
      </c>
      <c r="Z183" s="53" t="s">
        <v>47</v>
      </c>
      <c r="AA183" s="51">
        <f>Y183*AA182</f>
        <v>27.914682869999996</v>
      </c>
    </row>
    <row r="184" spans="1:27" x14ac:dyDescent="0.2">
      <c r="A184" s="13" t="s">
        <v>48</v>
      </c>
      <c r="B184" s="48" t="s">
        <v>49</v>
      </c>
      <c r="C184" s="43"/>
      <c r="D184" s="43"/>
      <c r="E184" s="39"/>
      <c r="F184" s="49"/>
      <c r="G184" s="52">
        <v>0.08</v>
      </c>
      <c r="H184" s="53" t="s">
        <v>47</v>
      </c>
      <c r="I184" s="51">
        <f>G184*I182</f>
        <v>3719.298666666667</v>
      </c>
      <c r="J184" s="13" t="s">
        <v>48</v>
      </c>
      <c r="K184" s="48" t="s">
        <v>49</v>
      </c>
      <c r="L184" s="43"/>
      <c r="M184" s="43"/>
      <c r="N184" s="151"/>
      <c r="O184" s="49"/>
      <c r="P184" s="52">
        <v>0.08</v>
      </c>
      <c r="Q184" s="53" t="s">
        <v>47</v>
      </c>
      <c r="R184" s="51">
        <f>P184*R182</f>
        <v>78.199488037361348</v>
      </c>
      <c r="S184" s="13" t="s">
        <v>48</v>
      </c>
      <c r="T184" s="48" t="s">
        <v>49</v>
      </c>
      <c r="U184" s="43"/>
      <c r="V184" s="43"/>
      <c r="W184" s="151"/>
      <c r="X184" s="49"/>
      <c r="Y184" s="52">
        <v>0.08</v>
      </c>
      <c r="Z184" s="53" t="s">
        <v>47</v>
      </c>
      <c r="AA184" s="51">
        <f>Y184*AA182</f>
        <v>24.813051439999999</v>
      </c>
    </row>
    <row r="185" spans="1:27" x14ac:dyDescent="0.2">
      <c r="A185" s="13" t="s">
        <v>50</v>
      </c>
      <c r="B185" s="48" t="s">
        <v>51</v>
      </c>
      <c r="C185" s="43"/>
      <c r="D185" s="43"/>
      <c r="E185" s="39"/>
      <c r="F185" s="49"/>
      <c r="G185" s="52">
        <f>5/100</f>
        <v>0.05</v>
      </c>
      <c r="H185" s="53" t="s">
        <v>52</v>
      </c>
      <c r="I185" s="51">
        <f>G185*(I182+I183+I184)</f>
        <v>2719.7371500000008</v>
      </c>
      <c r="J185" s="13" t="s">
        <v>50</v>
      </c>
      <c r="K185" s="48" t="s">
        <v>51</v>
      </c>
      <c r="L185" s="43"/>
      <c r="M185" s="43"/>
      <c r="N185" s="151"/>
      <c r="O185" s="49"/>
      <c r="P185" s="52">
        <v>0.05</v>
      </c>
      <c r="Q185" s="53" t="s">
        <v>52</v>
      </c>
      <c r="R185" s="51">
        <f>P185*(R182+R183+R184)</f>
        <v>57.183375627320494</v>
      </c>
      <c r="S185" s="13" t="s">
        <v>50</v>
      </c>
      <c r="T185" s="48" t="s">
        <v>51</v>
      </c>
      <c r="U185" s="43"/>
      <c r="V185" s="43"/>
      <c r="W185" s="151"/>
      <c r="X185" s="49"/>
      <c r="Y185" s="52">
        <v>0.05</v>
      </c>
      <c r="Z185" s="53" t="s">
        <v>52</v>
      </c>
      <c r="AA185" s="51">
        <f>Y185*(AA182+AA183+AA184)</f>
        <v>18.144543865499998</v>
      </c>
    </row>
    <row r="186" spans="1:27" x14ac:dyDescent="0.2">
      <c r="A186" s="54" t="s">
        <v>53</v>
      </c>
      <c r="B186" s="48" t="s">
        <v>54</v>
      </c>
      <c r="C186" s="43"/>
      <c r="D186" s="43"/>
      <c r="E186" s="39"/>
      <c r="F186" s="49"/>
      <c r="G186" s="49"/>
      <c r="H186" s="55" t="s">
        <v>55</v>
      </c>
      <c r="I186" s="51">
        <f>SUM(I182+I183+I184+I185)</f>
        <v>57114.48015000001</v>
      </c>
      <c r="J186" s="54" t="s">
        <v>53</v>
      </c>
      <c r="K186" s="48" t="s">
        <v>54</v>
      </c>
      <c r="L186" s="43"/>
      <c r="M186" s="43"/>
      <c r="N186" s="151"/>
      <c r="O186" s="49"/>
      <c r="P186" s="49"/>
      <c r="Q186" s="55" t="s">
        <v>55</v>
      </c>
      <c r="R186" s="51">
        <f>SUM(R182+R183+R184+R185)</f>
        <v>1200.8508881737303</v>
      </c>
      <c r="S186" s="54" t="s">
        <v>53</v>
      </c>
      <c r="T186" s="48" t="s">
        <v>54</v>
      </c>
      <c r="U186" s="43"/>
      <c r="V186" s="43"/>
      <c r="W186" s="151"/>
      <c r="X186" s="49"/>
      <c r="Y186" s="49"/>
      <c r="Z186" s="55" t="s">
        <v>55</v>
      </c>
      <c r="AA186" s="51">
        <f>SUM(AA182+AA183+AA184+AA185)</f>
        <v>381.03542117549995</v>
      </c>
    </row>
    <row r="187" spans="1:27" s="1" customFormat="1" x14ac:dyDescent="0.2">
      <c r="A187" s="236" t="s">
        <v>0</v>
      </c>
      <c r="B187" s="236"/>
      <c r="C187" s="236"/>
      <c r="D187" s="236"/>
      <c r="E187" s="236"/>
      <c r="F187" s="236"/>
      <c r="G187" s="236"/>
      <c r="H187" s="236"/>
      <c r="I187" s="236"/>
      <c r="J187" s="236" t="s">
        <v>0</v>
      </c>
      <c r="K187" s="236"/>
      <c r="L187" s="236"/>
      <c r="M187" s="236"/>
      <c r="N187" s="236"/>
      <c r="O187" s="236"/>
      <c r="P187" s="236"/>
      <c r="Q187" s="236"/>
      <c r="R187" s="236"/>
      <c r="S187" s="236" t="s">
        <v>0</v>
      </c>
      <c r="T187" s="236"/>
      <c r="U187" s="236"/>
      <c r="V187" s="236"/>
      <c r="W187" s="236"/>
      <c r="X187" s="236"/>
      <c r="Y187" s="236"/>
      <c r="Z187" s="236"/>
      <c r="AA187" s="236"/>
    </row>
    <row r="188" spans="1:27" x14ac:dyDescent="0.2">
      <c r="S188" s="10"/>
      <c r="T188" s="3"/>
      <c r="U188" s="4"/>
      <c r="V188" s="4"/>
      <c r="W188" s="5"/>
      <c r="X188" s="3"/>
      <c r="Y188" s="3"/>
      <c r="Z188" s="3"/>
      <c r="AA188" s="3"/>
    </row>
    <row r="189" spans="1:27" x14ac:dyDescent="0.2">
      <c r="A189" s="2" t="s">
        <v>1</v>
      </c>
      <c r="C189" s="4" t="s">
        <v>2</v>
      </c>
      <c r="D189" s="5" t="s">
        <v>292</v>
      </c>
      <c r="E189" s="237" t="s">
        <v>293</v>
      </c>
      <c r="F189" s="237"/>
      <c r="G189" s="237"/>
      <c r="H189" s="237"/>
      <c r="J189" s="152" t="s">
        <v>1</v>
      </c>
      <c r="L189" s="4" t="s">
        <v>2</v>
      </c>
      <c r="M189" s="5" t="s">
        <v>294</v>
      </c>
      <c r="N189" s="237" t="s">
        <v>287</v>
      </c>
      <c r="O189" s="237"/>
      <c r="P189" s="237"/>
      <c r="Q189" s="237"/>
      <c r="S189" s="152" t="s">
        <v>1</v>
      </c>
      <c r="T189" s="3"/>
      <c r="U189" s="4" t="s">
        <v>2</v>
      </c>
      <c r="V189" s="5" t="s">
        <v>382</v>
      </c>
      <c r="W189" s="237" t="s">
        <v>383</v>
      </c>
      <c r="X189" s="237"/>
      <c r="Y189" s="237"/>
      <c r="Z189" s="237"/>
      <c r="AA189" s="3"/>
    </row>
    <row r="190" spans="1:27" x14ac:dyDescent="0.2">
      <c r="A190" s="2" t="s">
        <v>7</v>
      </c>
      <c r="C190" s="4" t="s">
        <v>2</v>
      </c>
      <c r="E190" s="2" t="s">
        <v>239</v>
      </c>
      <c r="F190" s="8"/>
      <c r="G190" s="8"/>
      <c r="H190" s="8"/>
      <c r="J190" s="152" t="s">
        <v>7</v>
      </c>
      <c r="L190" s="4" t="s">
        <v>2</v>
      </c>
      <c r="N190" s="152" t="s">
        <v>8</v>
      </c>
      <c r="O190" s="8"/>
      <c r="P190" s="8"/>
      <c r="Q190" s="8"/>
      <c r="S190" s="152" t="s">
        <v>7</v>
      </c>
      <c r="T190" s="3"/>
      <c r="U190" s="4" t="s">
        <v>2</v>
      </c>
      <c r="V190" s="4"/>
      <c r="W190" s="152" t="s">
        <v>8</v>
      </c>
      <c r="X190" s="8"/>
      <c r="Y190" s="8"/>
      <c r="Z190" s="8"/>
      <c r="AA190" s="3"/>
    </row>
    <row r="191" spans="1:27" x14ac:dyDescent="0.2">
      <c r="A191" s="2" t="s">
        <v>10</v>
      </c>
      <c r="C191" s="4" t="s">
        <v>2</v>
      </c>
      <c r="E191" s="9">
        <v>0.3</v>
      </c>
      <c r="F191" s="8"/>
      <c r="G191" s="8"/>
      <c r="H191" s="8"/>
      <c r="J191" s="152" t="s">
        <v>10</v>
      </c>
      <c r="L191" s="4" t="s">
        <v>2</v>
      </c>
      <c r="N191" s="9">
        <v>171.3</v>
      </c>
      <c r="O191" s="8"/>
      <c r="P191" s="8"/>
      <c r="Q191" s="8"/>
      <c r="S191" s="152" t="s">
        <v>10</v>
      </c>
      <c r="T191" s="3"/>
      <c r="U191" s="4" t="s">
        <v>2</v>
      </c>
      <c r="V191" s="4"/>
      <c r="W191" s="9">
        <v>82.8</v>
      </c>
      <c r="X191" s="8"/>
      <c r="Y191" s="8"/>
      <c r="Z191" s="8"/>
      <c r="AA191" s="3"/>
    </row>
    <row r="192" spans="1:27" x14ac:dyDescent="0.2">
      <c r="B192" s="8"/>
      <c r="F192" s="11"/>
      <c r="G192" s="8"/>
      <c r="H192" s="8"/>
      <c r="I192" s="8"/>
      <c r="K192" s="8"/>
      <c r="O192" s="11"/>
      <c r="P192" s="8"/>
      <c r="Q192" s="8"/>
      <c r="R192" s="8"/>
      <c r="S192" s="10"/>
      <c r="T192" s="8"/>
      <c r="U192" s="4"/>
      <c r="V192" s="4"/>
      <c r="W192" s="5"/>
      <c r="X192" s="11"/>
      <c r="Y192" s="8"/>
      <c r="Z192" s="8"/>
      <c r="AA192" s="8"/>
    </row>
    <row r="193" spans="1:27" x14ac:dyDescent="0.2">
      <c r="A193" s="12"/>
      <c r="B193" s="238" t="s">
        <v>11</v>
      </c>
      <c r="C193" s="239"/>
      <c r="D193" s="239"/>
      <c r="E193" s="240"/>
      <c r="F193" s="244" t="s">
        <v>12</v>
      </c>
      <c r="G193" s="244" t="s">
        <v>13</v>
      </c>
      <c r="H193" s="244" t="s">
        <v>14</v>
      </c>
      <c r="I193" s="246" t="s">
        <v>15</v>
      </c>
      <c r="J193" s="12"/>
      <c r="K193" s="238" t="s">
        <v>11</v>
      </c>
      <c r="L193" s="239"/>
      <c r="M193" s="239"/>
      <c r="N193" s="240"/>
      <c r="O193" s="244" t="s">
        <v>12</v>
      </c>
      <c r="P193" s="244" t="s">
        <v>13</v>
      </c>
      <c r="Q193" s="244" t="s">
        <v>14</v>
      </c>
      <c r="R193" s="246" t="s">
        <v>15</v>
      </c>
      <c r="S193" s="12"/>
      <c r="T193" s="238" t="s">
        <v>11</v>
      </c>
      <c r="U193" s="239"/>
      <c r="V193" s="239"/>
      <c r="W193" s="240"/>
      <c r="X193" s="244" t="s">
        <v>12</v>
      </c>
      <c r="Y193" s="244" t="s">
        <v>13</v>
      </c>
      <c r="Z193" s="244" t="s">
        <v>14</v>
      </c>
      <c r="AA193" s="246" t="s">
        <v>15</v>
      </c>
    </row>
    <row r="194" spans="1:27" x14ac:dyDescent="0.2">
      <c r="A194" s="13"/>
      <c r="B194" s="241"/>
      <c r="C194" s="242"/>
      <c r="D194" s="242"/>
      <c r="E194" s="243"/>
      <c r="F194" s="245"/>
      <c r="G194" s="245"/>
      <c r="H194" s="245"/>
      <c r="I194" s="247"/>
      <c r="J194" s="13"/>
      <c r="K194" s="241"/>
      <c r="L194" s="242"/>
      <c r="M194" s="242"/>
      <c r="N194" s="243"/>
      <c r="O194" s="245"/>
      <c r="P194" s="245"/>
      <c r="Q194" s="245"/>
      <c r="R194" s="247"/>
      <c r="S194" s="13"/>
      <c r="T194" s="241"/>
      <c r="U194" s="242"/>
      <c r="V194" s="242"/>
      <c r="W194" s="243"/>
      <c r="X194" s="245"/>
      <c r="Y194" s="245"/>
      <c r="Z194" s="245"/>
      <c r="AA194" s="247"/>
    </row>
    <row r="195" spans="1:27" x14ac:dyDescent="0.2">
      <c r="A195" s="13" t="s">
        <v>16</v>
      </c>
      <c r="B195" s="14" t="s">
        <v>17</v>
      </c>
      <c r="C195" s="15"/>
      <c r="D195" s="15"/>
      <c r="E195" s="16"/>
      <c r="F195" s="17"/>
      <c r="G195" s="17"/>
      <c r="H195" s="17"/>
      <c r="I195" s="17"/>
      <c r="J195" s="13" t="s">
        <v>16</v>
      </c>
      <c r="K195" s="14" t="s">
        <v>17</v>
      </c>
      <c r="L195" s="15"/>
      <c r="M195" s="15"/>
      <c r="N195" s="16"/>
      <c r="O195" s="17"/>
      <c r="P195" s="17"/>
      <c r="Q195" s="17"/>
      <c r="R195" s="17"/>
      <c r="S195" s="13" t="s">
        <v>16</v>
      </c>
      <c r="T195" s="14" t="s">
        <v>17</v>
      </c>
      <c r="U195" s="15"/>
      <c r="V195" s="15"/>
      <c r="W195" s="16"/>
      <c r="X195" s="17"/>
      <c r="Y195" s="17"/>
      <c r="Z195" s="17"/>
      <c r="AA195" s="17"/>
    </row>
    <row r="196" spans="1:27" x14ac:dyDescent="0.2">
      <c r="A196" s="13"/>
      <c r="B196" s="18"/>
      <c r="C196" s="19"/>
      <c r="D196" s="19"/>
      <c r="E196" s="20"/>
      <c r="F196" s="21"/>
      <c r="G196" s="22"/>
      <c r="H196" s="21"/>
      <c r="I196" s="21"/>
      <c r="J196" s="13"/>
      <c r="K196" s="24" t="s">
        <v>18</v>
      </c>
      <c r="L196" s="25"/>
      <c r="M196" s="25"/>
      <c r="N196" s="171" t="s">
        <v>1217</v>
      </c>
      <c r="O196" s="22">
        <v>1</v>
      </c>
      <c r="P196" s="23">
        <v>1</v>
      </c>
      <c r="Q196" s="23">
        <v>69.42</v>
      </c>
      <c r="R196" s="23">
        <f>P196*Q196*O196</f>
        <v>69.42</v>
      </c>
      <c r="S196" s="13"/>
      <c r="T196" s="18"/>
      <c r="U196" s="19"/>
      <c r="V196" s="19"/>
      <c r="W196" s="20"/>
      <c r="X196" s="21"/>
      <c r="Y196" s="22"/>
      <c r="Z196" s="21"/>
      <c r="AA196" s="21"/>
    </row>
    <row r="197" spans="1:27" x14ac:dyDescent="0.2">
      <c r="A197" s="13"/>
      <c r="B197" s="24" t="s">
        <v>18</v>
      </c>
      <c r="C197" s="25"/>
      <c r="D197" s="25"/>
      <c r="E197" s="26"/>
      <c r="F197" s="22">
        <v>1</v>
      </c>
      <c r="G197" s="62">
        <v>1</v>
      </c>
      <c r="H197" s="23">
        <v>69.42</v>
      </c>
      <c r="I197" s="23">
        <f>G197*H197*F197</f>
        <v>69.42</v>
      </c>
      <c r="J197" s="13"/>
      <c r="K197" s="153" t="s">
        <v>1178</v>
      </c>
      <c r="L197" s="154"/>
      <c r="M197" s="25"/>
      <c r="N197" s="171" t="s">
        <v>1218</v>
      </c>
      <c r="O197" s="22">
        <v>4</v>
      </c>
      <c r="P197" s="23">
        <v>1</v>
      </c>
      <c r="Q197" s="23">
        <v>50.18</v>
      </c>
      <c r="R197" s="23">
        <f t="shared" ref="R197:R203" si="12">P197*Q197*O197</f>
        <v>200.72</v>
      </c>
      <c r="S197" s="13"/>
      <c r="T197" s="24" t="s">
        <v>18</v>
      </c>
      <c r="U197" s="25"/>
      <c r="V197" s="25"/>
      <c r="W197" s="26"/>
      <c r="X197" s="22">
        <v>1</v>
      </c>
      <c r="Y197" s="23">
        <v>1</v>
      </c>
      <c r="Z197" s="23">
        <v>69.42</v>
      </c>
      <c r="AA197" s="23">
        <f>Y197*Z197*X197</f>
        <v>69.42</v>
      </c>
    </row>
    <row r="198" spans="1:27" x14ac:dyDescent="0.2">
      <c r="A198" s="13"/>
      <c r="B198" s="24" t="s">
        <v>1179</v>
      </c>
      <c r="C198" s="25"/>
      <c r="D198" s="25"/>
      <c r="E198" s="26"/>
      <c r="F198" s="22">
        <v>3</v>
      </c>
      <c r="G198" s="62">
        <v>1</v>
      </c>
      <c r="H198" s="23">
        <v>38.97</v>
      </c>
      <c r="I198" s="23">
        <f>G198*H198*F198</f>
        <v>116.91</v>
      </c>
      <c r="J198" s="13"/>
      <c r="K198" s="153" t="s">
        <v>1177</v>
      </c>
      <c r="L198" s="154"/>
      <c r="M198" s="19"/>
      <c r="N198" s="20"/>
      <c r="O198" s="22">
        <v>8</v>
      </c>
      <c r="P198" s="23">
        <v>1</v>
      </c>
      <c r="Q198" s="23">
        <v>38.97</v>
      </c>
      <c r="R198" s="23">
        <f t="shared" si="12"/>
        <v>311.76</v>
      </c>
      <c r="S198" s="13"/>
      <c r="T198" s="257" t="s">
        <v>1178</v>
      </c>
      <c r="U198" s="258"/>
      <c r="V198" s="25"/>
      <c r="W198" s="26"/>
      <c r="X198" s="22">
        <v>4</v>
      </c>
      <c r="Y198" s="23">
        <v>1</v>
      </c>
      <c r="Z198" s="23">
        <v>50.18</v>
      </c>
      <c r="AA198" s="23">
        <f>Y198*Z198*X198</f>
        <v>200.72</v>
      </c>
    </row>
    <row r="199" spans="1:27" x14ac:dyDescent="0.2">
      <c r="A199" s="13"/>
      <c r="B199" s="27"/>
      <c r="C199" s="19"/>
      <c r="D199" s="19"/>
      <c r="E199" s="20"/>
      <c r="F199" s="22"/>
      <c r="G199" s="22"/>
      <c r="H199" s="28"/>
      <c r="I199" s="23"/>
      <c r="J199" s="13"/>
      <c r="K199" s="153" t="s">
        <v>1219</v>
      </c>
      <c r="L199" s="19"/>
      <c r="M199" s="19"/>
      <c r="N199" s="157" t="s">
        <v>1240</v>
      </c>
      <c r="O199" s="22">
        <v>1</v>
      </c>
      <c r="P199" s="23">
        <v>1</v>
      </c>
      <c r="Q199" s="29"/>
      <c r="R199" s="23">
        <f t="shared" si="12"/>
        <v>0</v>
      </c>
      <c r="S199" s="13"/>
      <c r="T199" s="257" t="s">
        <v>1177</v>
      </c>
      <c r="U199" s="258"/>
      <c r="V199" s="19"/>
      <c r="W199" s="20"/>
      <c r="X199" s="22">
        <v>10</v>
      </c>
      <c r="Y199" s="23">
        <v>1</v>
      </c>
      <c r="Z199" s="23">
        <v>38.97</v>
      </c>
      <c r="AA199" s="23">
        <f>Y199*Z199*X199</f>
        <v>389.7</v>
      </c>
    </row>
    <row r="200" spans="1:27" ht="15" customHeight="1" x14ac:dyDescent="0.2">
      <c r="A200" s="13"/>
      <c r="B200" s="27"/>
      <c r="C200" s="19"/>
      <c r="D200" s="19"/>
      <c r="E200" s="20"/>
      <c r="F200" s="22"/>
      <c r="G200" s="22"/>
      <c r="H200" s="29"/>
      <c r="I200" s="30"/>
      <c r="J200" s="13"/>
      <c r="K200" s="153" t="s">
        <v>1220</v>
      </c>
      <c r="L200" s="19"/>
      <c r="M200" s="19"/>
      <c r="N200" s="157" t="s">
        <v>1241</v>
      </c>
      <c r="O200" s="22">
        <v>1</v>
      </c>
      <c r="P200" s="23">
        <v>1</v>
      </c>
      <c r="Q200" s="29"/>
      <c r="R200" s="23">
        <f t="shared" si="12"/>
        <v>0</v>
      </c>
      <c r="S200" s="13"/>
      <c r="T200" s="153"/>
      <c r="U200" s="19"/>
      <c r="V200" s="19"/>
      <c r="W200" s="20"/>
      <c r="X200" s="22"/>
      <c r="Y200" s="22"/>
      <c r="Z200" s="29"/>
      <c r="AA200" s="30"/>
    </row>
    <row r="201" spans="1:27" x14ac:dyDescent="0.2">
      <c r="A201" s="13"/>
      <c r="B201" s="27"/>
      <c r="C201" s="19"/>
      <c r="D201" s="19"/>
      <c r="E201" s="20"/>
      <c r="F201" s="22"/>
      <c r="G201" s="22"/>
      <c r="H201" s="29"/>
      <c r="I201" s="30"/>
      <c r="J201" s="13"/>
      <c r="K201" s="153" t="s">
        <v>1221</v>
      </c>
      <c r="L201" s="19"/>
      <c r="M201" s="19"/>
      <c r="N201" s="157" t="s">
        <v>1242</v>
      </c>
      <c r="O201" s="22">
        <v>1</v>
      </c>
      <c r="P201" s="23">
        <v>1</v>
      </c>
      <c r="Q201" s="29"/>
      <c r="R201" s="23">
        <f t="shared" si="12"/>
        <v>0</v>
      </c>
      <c r="S201" s="13"/>
      <c r="T201" s="153"/>
      <c r="U201" s="19"/>
      <c r="V201" s="19"/>
      <c r="W201" s="20"/>
      <c r="X201" s="22"/>
      <c r="Y201" s="22"/>
      <c r="Z201" s="30"/>
      <c r="AA201" s="30"/>
    </row>
    <row r="202" spans="1:27" x14ac:dyDescent="0.2">
      <c r="A202" s="13"/>
      <c r="B202" s="18"/>
      <c r="C202" s="19"/>
      <c r="D202" s="19"/>
      <c r="E202" s="20"/>
      <c r="F202" s="22"/>
      <c r="G202" s="22"/>
      <c r="H202" s="28"/>
      <c r="I202" s="23"/>
      <c r="J202" s="13"/>
      <c r="K202" s="18" t="s">
        <v>1222</v>
      </c>
      <c r="L202" s="19"/>
      <c r="M202" s="19"/>
      <c r="N202" s="20"/>
      <c r="O202" s="22">
        <v>1</v>
      </c>
      <c r="P202" s="23">
        <v>1</v>
      </c>
      <c r="Q202" s="28"/>
      <c r="R202" s="23">
        <f t="shared" si="12"/>
        <v>0</v>
      </c>
      <c r="S202" s="13"/>
      <c r="T202" s="18"/>
      <c r="U202" s="19"/>
      <c r="V202" s="19"/>
      <c r="W202" s="20"/>
      <c r="X202" s="22"/>
      <c r="Y202" s="22"/>
      <c r="Z202" s="28"/>
      <c r="AA202" s="23"/>
    </row>
    <row r="203" spans="1:27" x14ac:dyDescent="0.2">
      <c r="A203" s="13"/>
      <c r="B203" s="18"/>
      <c r="C203" s="19"/>
      <c r="D203" s="19"/>
      <c r="E203" s="20"/>
      <c r="F203" s="22"/>
      <c r="G203" s="22"/>
      <c r="H203" s="23"/>
      <c r="I203" s="23"/>
      <c r="J203" s="13"/>
      <c r="K203" s="18" t="s">
        <v>1223</v>
      </c>
      <c r="L203" s="19"/>
      <c r="M203" s="19"/>
      <c r="N203" s="20"/>
      <c r="O203" s="22">
        <v>4</v>
      </c>
      <c r="P203" s="23">
        <v>1</v>
      </c>
      <c r="Q203" s="23"/>
      <c r="R203" s="23">
        <f t="shared" si="12"/>
        <v>0</v>
      </c>
      <c r="S203" s="13"/>
      <c r="T203" s="18"/>
      <c r="U203" s="19"/>
      <c r="V203" s="19"/>
      <c r="W203" s="20"/>
      <c r="X203" s="22"/>
      <c r="Y203" s="22"/>
      <c r="Z203" s="23"/>
      <c r="AA203" s="23"/>
    </row>
    <row r="204" spans="1:27" x14ac:dyDescent="0.2">
      <c r="A204" s="13"/>
      <c r="B204" s="248" t="s">
        <v>20</v>
      </c>
      <c r="C204" s="249"/>
      <c r="D204" s="249"/>
      <c r="E204" s="250"/>
      <c r="F204" s="31"/>
      <c r="G204" s="31"/>
      <c r="H204" s="32"/>
      <c r="I204" s="32">
        <f>SUM(I197:I203)</f>
        <v>186.32999999999998</v>
      </c>
      <c r="J204" s="13"/>
      <c r="K204" s="248" t="s">
        <v>20</v>
      </c>
      <c r="L204" s="249"/>
      <c r="M204" s="249"/>
      <c r="N204" s="250"/>
      <c r="O204" s="31"/>
      <c r="P204" s="31"/>
      <c r="Q204" s="32"/>
      <c r="R204" s="32">
        <f>SUM(R196:R203)</f>
        <v>581.9</v>
      </c>
      <c r="S204" s="13"/>
      <c r="T204" s="248" t="s">
        <v>20</v>
      </c>
      <c r="U204" s="249"/>
      <c r="V204" s="249"/>
      <c r="W204" s="250"/>
      <c r="X204" s="31"/>
      <c r="Y204" s="31"/>
      <c r="Z204" s="32"/>
      <c r="AA204" s="32">
        <f>SUM(AA197:AA203)</f>
        <v>659.83999999999992</v>
      </c>
    </row>
    <row r="205" spans="1:27" x14ac:dyDescent="0.2">
      <c r="A205" s="12"/>
      <c r="B205" s="251" t="s">
        <v>21</v>
      </c>
      <c r="C205" s="252"/>
      <c r="D205" s="252"/>
      <c r="E205" s="253"/>
      <c r="F205" s="244" t="s">
        <v>22</v>
      </c>
      <c r="G205" s="244" t="s">
        <v>13</v>
      </c>
      <c r="H205" s="244" t="s">
        <v>14</v>
      </c>
      <c r="I205" s="246" t="s">
        <v>15</v>
      </c>
      <c r="J205" s="12"/>
      <c r="K205" s="251" t="s">
        <v>21</v>
      </c>
      <c r="L205" s="252"/>
      <c r="M205" s="252"/>
      <c r="N205" s="253"/>
      <c r="O205" s="244" t="s">
        <v>22</v>
      </c>
      <c r="P205" s="244" t="s">
        <v>13</v>
      </c>
      <c r="Q205" s="244" t="s">
        <v>14</v>
      </c>
      <c r="R205" s="246" t="s">
        <v>15</v>
      </c>
      <c r="S205" s="12"/>
      <c r="T205" s="251" t="s">
        <v>21</v>
      </c>
      <c r="U205" s="252"/>
      <c r="V205" s="252"/>
      <c r="W205" s="253"/>
      <c r="X205" s="244" t="s">
        <v>22</v>
      </c>
      <c r="Y205" s="244" t="s">
        <v>13</v>
      </c>
      <c r="Z205" s="244" t="s">
        <v>14</v>
      </c>
      <c r="AA205" s="246" t="s">
        <v>15</v>
      </c>
    </row>
    <row r="206" spans="1:27" x14ac:dyDescent="0.2">
      <c r="A206" s="13"/>
      <c r="B206" s="254"/>
      <c r="C206" s="255"/>
      <c r="D206" s="255"/>
      <c r="E206" s="256"/>
      <c r="F206" s="245"/>
      <c r="G206" s="245"/>
      <c r="H206" s="245"/>
      <c r="I206" s="247"/>
      <c r="J206" s="13"/>
      <c r="K206" s="254"/>
      <c r="L206" s="255"/>
      <c r="M206" s="255"/>
      <c r="N206" s="256"/>
      <c r="O206" s="245"/>
      <c r="P206" s="245"/>
      <c r="Q206" s="245"/>
      <c r="R206" s="247"/>
      <c r="S206" s="13"/>
      <c r="T206" s="254"/>
      <c r="U206" s="255"/>
      <c r="V206" s="255"/>
      <c r="W206" s="256"/>
      <c r="X206" s="245"/>
      <c r="Y206" s="245"/>
      <c r="Z206" s="245"/>
      <c r="AA206" s="247"/>
    </row>
    <row r="207" spans="1:27" x14ac:dyDescent="0.2">
      <c r="A207" s="13" t="s">
        <v>23</v>
      </c>
      <c r="B207" s="33" t="s">
        <v>24</v>
      </c>
      <c r="C207" s="15"/>
      <c r="D207" s="15"/>
      <c r="E207" s="16"/>
      <c r="F207" s="34"/>
      <c r="G207" s="34"/>
      <c r="H207" s="35"/>
      <c r="I207" s="35"/>
      <c r="J207" s="13" t="s">
        <v>23</v>
      </c>
      <c r="K207" s="33" t="s">
        <v>24</v>
      </c>
      <c r="L207" s="15"/>
      <c r="M207" s="15"/>
      <c r="N207" s="16"/>
      <c r="O207" s="34"/>
      <c r="P207" s="34"/>
      <c r="Q207" s="35"/>
      <c r="R207" s="35"/>
      <c r="S207" s="13" t="s">
        <v>23</v>
      </c>
      <c r="T207" s="33" t="s">
        <v>24</v>
      </c>
      <c r="U207" s="15"/>
      <c r="V207" s="15"/>
      <c r="W207" s="16"/>
      <c r="X207" s="34"/>
      <c r="Y207" s="34"/>
      <c r="Z207" s="35"/>
      <c r="AA207" s="35"/>
    </row>
    <row r="208" spans="1:27" x14ac:dyDescent="0.2">
      <c r="A208" s="13"/>
      <c r="B208" s="18"/>
      <c r="C208" s="19"/>
      <c r="D208" s="19"/>
      <c r="E208" s="20"/>
      <c r="F208" s="22"/>
      <c r="G208" s="22"/>
      <c r="H208" s="23"/>
      <c r="I208" s="23"/>
      <c r="J208" s="13"/>
      <c r="K208" s="18"/>
      <c r="L208" s="19"/>
      <c r="M208" s="19"/>
      <c r="N208" s="20"/>
      <c r="O208" s="22"/>
      <c r="P208" s="22"/>
      <c r="Q208" s="23"/>
      <c r="R208" s="23"/>
      <c r="S208" s="13"/>
      <c r="T208" s="18"/>
      <c r="U208" s="19"/>
      <c r="V208" s="19"/>
      <c r="W208" s="20"/>
      <c r="X208" s="22"/>
      <c r="Y208" s="22"/>
      <c r="Z208" s="23"/>
      <c r="AA208" s="23"/>
    </row>
    <row r="209" spans="1:27" ht="17.25" customHeight="1" x14ac:dyDescent="0.2">
      <c r="A209" s="13"/>
      <c r="B209" s="18" t="s">
        <v>254</v>
      </c>
      <c r="C209" s="19"/>
      <c r="D209" s="19"/>
      <c r="E209" s="20"/>
      <c r="F209" s="22">
        <v>1</v>
      </c>
      <c r="G209" s="23">
        <v>1</v>
      </c>
      <c r="H209" s="37">
        <v>936</v>
      </c>
      <c r="I209" s="37">
        <f>G209*H209*F209</f>
        <v>936</v>
      </c>
      <c r="J209" s="13"/>
      <c r="K209" s="18" t="s">
        <v>275</v>
      </c>
      <c r="L209" s="19"/>
      <c r="M209" s="19"/>
      <c r="N209" s="20"/>
      <c r="O209" s="22">
        <v>1</v>
      </c>
      <c r="P209" s="23">
        <v>1</v>
      </c>
      <c r="Q209" s="37">
        <v>1833</v>
      </c>
      <c r="R209" s="37">
        <f t="shared" ref="R209:R215" si="13">P209*Q209*O209</f>
        <v>1833</v>
      </c>
      <c r="S209" s="13"/>
      <c r="T209" s="18" t="s">
        <v>1208</v>
      </c>
      <c r="U209" s="19"/>
      <c r="V209" s="19"/>
      <c r="W209" s="20"/>
      <c r="X209" s="22">
        <v>1</v>
      </c>
      <c r="Y209" s="23">
        <v>1</v>
      </c>
      <c r="Z209" s="37">
        <v>1759.5</v>
      </c>
      <c r="AA209" s="37">
        <f t="shared" ref="AA209:AA216" si="14">Y209*Z209*X209</f>
        <v>1759.5</v>
      </c>
    </row>
    <row r="210" spans="1:27" ht="17.25" customHeight="1" x14ac:dyDescent="0.2">
      <c r="A210" s="13"/>
      <c r="B210" s="18" t="s">
        <v>288</v>
      </c>
      <c r="C210" s="19"/>
      <c r="D210" s="19"/>
      <c r="E210" s="20"/>
      <c r="F210" s="22">
        <v>1</v>
      </c>
      <c r="G210" s="23">
        <v>1</v>
      </c>
      <c r="H210" s="37">
        <v>130.54</v>
      </c>
      <c r="I210" s="37">
        <f>G210*H210*F210</f>
        <v>130.54</v>
      </c>
      <c r="J210" s="13"/>
      <c r="K210" s="18" t="s">
        <v>276</v>
      </c>
      <c r="L210" s="19"/>
      <c r="M210" s="19"/>
      <c r="N210" s="20"/>
      <c r="O210" s="22">
        <v>1</v>
      </c>
      <c r="P210" s="23">
        <v>1</v>
      </c>
      <c r="Q210" s="37">
        <v>561</v>
      </c>
      <c r="R210" s="37">
        <f t="shared" si="13"/>
        <v>561</v>
      </c>
      <c r="S210" s="13"/>
      <c r="T210" s="18" t="s">
        <v>1256</v>
      </c>
      <c r="U210" s="19"/>
      <c r="V210" s="19"/>
      <c r="W210" s="20"/>
      <c r="X210" s="22">
        <v>1</v>
      </c>
      <c r="Y210" s="23">
        <v>1</v>
      </c>
      <c r="Z210" s="37">
        <v>6765</v>
      </c>
      <c r="AA210" s="37">
        <f t="shared" si="14"/>
        <v>6765</v>
      </c>
    </row>
    <row r="211" spans="1:27" x14ac:dyDescent="0.2">
      <c r="A211" s="13"/>
      <c r="B211" s="18"/>
      <c r="C211" s="19"/>
      <c r="D211" s="19"/>
      <c r="E211" s="20"/>
      <c r="F211" s="22"/>
      <c r="G211" s="23"/>
      <c r="H211" s="37"/>
      <c r="I211" s="37"/>
      <c r="J211" s="13"/>
      <c r="K211" s="18" t="s">
        <v>277</v>
      </c>
      <c r="L211" s="19"/>
      <c r="M211" s="19"/>
      <c r="N211" s="20"/>
      <c r="O211" s="22">
        <v>1</v>
      </c>
      <c r="P211" s="23">
        <v>1</v>
      </c>
      <c r="Q211" s="37">
        <v>1652</v>
      </c>
      <c r="R211" s="37">
        <f t="shared" si="13"/>
        <v>1652</v>
      </c>
      <c r="S211" s="13"/>
      <c r="T211" s="18" t="s">
        <v>256</v>
      </c>
      <c r="U211" s="19"/>
      <c r="V211" s="19"/>
      <c r="W211" s="20"/>
      <c r="X211" s="22">
        <v>4</v>
      </c>
      <c r="Y211" s="23">
        <v>1</v>
      </c>
      <c r="Z211" s="37">
        <v>1318</v>
      </c>
      <c r="AA211" s="37">
        <f t="shared" si="14"/>
        <v>5272</v>
      </c>
    </row>
    <row r="212" spans="1:27" x14ac:dyDescent="0.2">
      <c r="A212" s="13"/>
      <c r="B212" s="18"/>
      <c r="F212" s="22"/>
      <c r="G212" s="36"/>
      <c r="H212" s="37"/>
      <c r="I212" s="37"/>
      <c r="J212" s="13"/>
      <c r="K212" s="18" t="s">
        <v>1140</v>
      </c>
      <c r="O212" s="22">
        <v>2</v>
      </c>
      <c r="P212" s="23">
        <v>1</v>
      </c>
      <c r="Q212" s="37">
        <v>1420</v>
      </c>
      <c r="R212" s="37">
        <f t="shared" si="13"/>
        <v>2840</v>
      </c>
      <c r="S212" s="13"/>
      <c r="T212" s="18" t="s">
        <v>257</v>
      </c>
      <c r="U212" s="4"/>
      <c r="V212" s="4"/>
      <c r="W212" s="5"/>
      <c r="X212" s="22">
        <v>1</v>
      </c>
      <c r="Y212" s="23">
        <v>1</v>
      </c>
      <c r="Z212" s="37">
        <v>1733</v>
      </c>
      <c r="AA212" s="37">
        <f t="shared" si="14"/>
        <v>1733</v>
      </c>
    </row>
    <row r="213" spans="1:27" x14ac:dyDescent="0.2">
      <c r="A213" s="13"/>
      <c r="B213" s="18"/>
      <c r="C213" s="19"/>
      <c r="D213" s="19"/>
      <c r="E213" s="20"/>
      <c r="F213" s="22"/>
      <c r="G213" s="36"/>
      <c r="H213" s="37"/>
      <c r="I213" s="37"/>
      <c r="J213" s="13"/>
      <c r="K213" s="18" t="s">
        <v>278</v>
      </c>
      <c r="L213" s="19"/>
      <c r="M213" s="19"/>
      <c r="N213" s="20"/>
      <c r="O213" s="22">
        <v>1</v>
      </c>
      <c r="P213" s="23">
        <v>1</v>
      </c>
      <c r="Q213" s="37">
        <v>4286.63</v>
      </c>
      <c r="R213" s="37">
        <f t="shared" si="13"/>
        <v>4286.63</v>
      </c>
      <c r="S213" s="13"/>
      <c r="T213" s="18" t="s">
        <v>1211</v>
      </c>
      <c r="U213" s="19"/>
      <c r="V213" s="19"/>
      <c r="W213" s="20"/>
      <c r="X213" s="22">
        <v>1</v>
      </c>
      <c r="Y213" s="23">
        <v>1</v>
      </c>
      <c r="Z213" s="37">
        <v>2450</v>
      </c>
      <c r="AA213" s="37">
        <f t="shared" si="14"/>
        <v>2450</v>
      </c>
    </row>
    <row r="214" spans="1:27" x14ac:dyDescent="0.2">
      <c r="A214" s="13"/>
      <c r="B214" s="18"/>
      <c r="C214" s="19"/>
      <c r="D214" s="19"/>
      <c r="E214" s="20"/>
      <c r="F214" s="22"/>
      <c r="G214" s="36"/>
      <c r="H214" s="38"/>
      <c r="I214" s="38"/>
      <c r="J214" s="13"/>
      <c r="K214" s="18" t="s">
        <v>1206</v>
      </c>
      <c r="L214" s="19"/>
      <c r="M214" s="19"/>
      <c r="N214" s="20"/>
      <c r="O214" s="22">
        <v>1</v>
      </c>
      <c r="P214" s="23">
        <v>1</v>
      </c>
      <c r="Q214" s="37">
        <v>2450</v>
      </c>
      <c r="R214" s="37">
        <f t="shared" si="13"/>
        <v>2450</v>
      </c>
      <c r="S214" s="13"/>
      <c r="T214" s="18" t="s">
        <v>1257</v>
      </c>
      <c r="U214" s="19"/>
      <c r="V214" s="19"/>
      <c r="W214" s="20"/>
      <c r="X214" s="22">
        <v>1</v>
      </c>
      <c r="Y214" s="23">
        <v>1</v>
      </c>
      <c r="Z214" s="37">
        <v>32.630000000000003</v>
      </c>
      <c r="AA214" s="37">
        <f t="shared" si="14"/>
        <v>32.630000000000003</v>
      </c>
    </row>
    <row r="215" spans="1:27" x14ac:dyDescent="0.2">
      <c r="A215" s="13"/>
      <c r="B215" s="18"/>
      <c r="C215" s="19"/>
      <c r="D215" s="19"/>
      <c r="E215" s="20"/>
      <c r="F215" s="22"/>
      <c r="G215" s="36"/>
      <c r="H215" s="38"/>
      <c r="I215" s="38"/>
      <c r="J215" s="13"/>
      <c r="K215" s="18" t="s">
        <v>279</v>
      </c>
      <c r="L215" s="19"/>
      <c r="M215" s="19"/>
      <c r="N215" s="20"/>
      <c r="O215" s="22">
        <v>1</v>
      </c>
      <c r="P215" s="23">
        <v>1</v>
      </c>
      <c r="Q215" s="37">
        <v>1733</v>
      </c>
      <c r="R215" s="37">
        <f t="shared" si="13"/>
        <v>1733</v>
      </c>
      <c r="S215" s="13"/>
      <c r="T215" s="18" t="s">
        <v>1258</v>
      </c>
      <c r="U215" s="19"/>
      <c r="V215" s="19"/>
      <c r="W215" s="20"/>
      <c r="X215" s="22">
        <v>1</v>
      </c>
      <c r="Y215" s="23">
        <v>0.1</v>
      </c>
      <c r="Z215" s="37">
        <v>91.25</v>
      </c>
      <c r="AA215" s="37">
        <f t="shared" si="14"/>
        <v>9.125</v>
      </c>
    </row>
    <row r="216" spans="1:27" x14ac:dyDescent="0.2">
      <c r="A216" s="13"/>
      <c r="B216" s="18"/>
      <c r="C216" s="19"/>
      <c r="D216" s="19"/>
      <c r="E216" s="20"/>
      <c r="F216" s="22"/>
      <c r="G216" s="36"/>
      <c r="H216" s="38"/>
      <c r="I216" s="38"/>
      <c r="J216" s="13"/>
      <c r="K216" s="18" t="s">
        <v>1192</v>
      </c>
      <c r="L216" s="19"/>
      <c r="M216" s="19"/>
      <c r="N216" s="20"/>
      <c r="O216" s="22"/>
      <c r="P216" s="36"/>
      <c r="R216" s="37">
        <f>0.1*R204</f>
        <v>58.19</v>
      </c>
      <c r="S216" s="13"/>
      <c r="T216" s="18" t="s">
        <v>343</v>
      </c>
      <c r="U216" s="19"/>
      <c r="V216" s="19"/>
      <c r="W216" s="20"/>
      <c r="X216" s="22">
        <v>1</v>
      </c>
      <c r="Y216" s="23">
        <v>0.1</v>
      </c>
      <c r="Z216" s="37">
        <v>219.75</v>
      </c>
      <c r="AA216" s="37">
        <f t="shared" si="14"/>
        <v>21.975000000000001</v>
      </c>
    </row>
    <row r="217" spans="1:27" x14ac:dyDescent="0.2">
      <c r="A217" s="13"/>
      <c r="B217" s="18"/>
      <c r="C217" s="19"/>
      <c r="D217" s="19"/>
      <c r="E217" s="20"/>
      <c r="F217" s="22"/>
      <c r="G217" s="36"/>
      <c r="H217" s="38"/>
      <c r="I217" s="38"/>
      <c r="J217" s="13"/>
      <c r="K217" s="18"/>
      <c r="L217" s="19"/>
      <c r="M217" s="19"/>
      <c r="N217" s="20"/>
      <c r="O217" s="22"/>
      <c r="P217" s="36"/>
      <c r="Q217" s="38"/>
      <c r="R217" s="38"/>
      <c r="S217" s="13"/>
      <c r="X217" s="72"/>
      <c r="Y217" s="72"/>
      <c r="Z217" s="72"/>
      <c r="AA217" s="72"/>
    </row>
    <row r="218" spans="1:27" x14ac:dyDescent="0.2">
      <c r="A218" s="13"/>
      <c r="B218" s="18"/>
      <c r="C218" s="19"/>
      <c r="D218" s="19"/>
      <c r="E218" s="20"/>
      <c r="F218" s="22"/>
      <c r="G218" s="36"/>
      <c r="H218" s="37"/>
      <c r="I218" s="37"/>
      <c r="J218" s="13"/>
      <c r="K218" s="18"/>
      <c r="L218" s="19"/>
      <c r="M218" s="19"/>
      <c r="N218" s="20"/>
      <c r="O218" s="22"/>
      <c r="P218" s="36"/>
      <c r="Q218" s="37"/>
      <c r="R218" s="37"/>
      <c r="S218" s="13"/>
      <c r="X218" s="72"/>
      <c r="Y218" s="72"/>
      <c r="Z218" s="30"/>
      <c r="AA218" s="30"/>
    </row>
    <row r="219" spans="1:27" x14ac:dyDescent="0.2">
      <c r="A219" s="13"/>
      <c r="B219" s="18"/>
      <c r="C219" s="19"/>
      <c r="D219" s="19"/>
      <c r="E219" s="20"/>
      <c r="F219" s="22"/>
      <c r="G219" s="36"/>
      <c r="H219" s="37"/>
      <c r="I219" s="37"/>
      <c r="J219" s="13"/>
      <c r="K219" s="18"/>
      <c r="L219" s="19"/>
      <c r="M219" s="19"/>
      <c r="N219" s="20"/>
      <c r="O219" s="22"/>
      <c r="P219" s="36"/>
      <c r="Q219" s="37"/>
      <c r="R219" s="37"/>
      <c r="S219" s="13"/>
      <c r="T219" s="18"/>
      <c r="U219" s="19"/>
      <c r="V219" s="19"/>
      <c r="W219" s="20"/>
      <c r="X219" s="22"/>
      <c r="Y219" s="36"/>
      <c r="Z219" s="37"/>
      <c r="AA219" s="37"/>
    </row>
    <row r="220" spans="1:27" ht="15" customHeight="1" x14ac:dyDescent="0.2">
      <c r="A220" s="13"/>
      <c r="B220" s="18"/>
      <c r="C220" s="19"/>
      <c r="D220" s="19"/>
      <c r="E220" s="20"/>
      <c r="F220" s="22"/>
      <c r="G220" s="36"/>
      <c r="H220" s="37"/>
      <c r="I220" s="37"/>
      <c r="J220" s="13"/>
      <c r="K220" s="18"/>
      <c r="L220" s="19"/>
      <c r="M220" s="19"/>
      <c r="N220" s="20"/>
      <c r="O220" s="22"/>
      <c r="P220" s="36"/>
      <c r="Q220" s="37"/>
      <c r="R220" s="37"/>
      <c r="S220" s="13"/>
      <c r="T220" s="18"/>
      <c r="U220" s="19"/>
      <c r="V220" s="19"/>
      <c r="W220" s="20"/>
      <c r="X220" s="22"/>
      <c r="Y220" s="36"/>
      <c r="Z220" s="37"/>
      <c r="AA220" s="37"/>
    </row>
    <row r="221" spans="1:27" x14ac:dyDescent="0.2">
      <c r="A221" s="13"/>
      <c r="B221" s="18"/>
      <c r="C221" s="19"/>
      <c r="D221" s="19"/>
      <c r="E221" s="20"/>
      <c r="F221" s="22"/>
      <c r="G221" s="22"/>
      <c r="H221" s="23"/>
      <c r="I221" s="23"/>
      <c r="J221" s="13"/>
      <c r="K221" s="18"/>
      <c r="L221" s="19"/>
      <c r="M221" s="19"/>
      <c r="N221" s="20"/>
      <c r="O221" s="22"/>
      <c r="P221" s="22"/>
      <c r="Q221" s="23"/>
      <c r="R221" s="23"/>
      <c r="S221" s="13"/>
      <c r="T221" s="18"/>
      <c r="U221" s="19"/>
      <c r="V221" s="19"/>
      <c r="W221" s="20"/>
      <c r="X221" s="22"/>
      <c r="Y221" s="22"/>
      <c r="Z221" s="23"/>
      <c r="AA221" s="23"/>
    </row>
    <row r="222" spans="1:27" x14ac:dyDescent="0.2">
      <c r="A222" s="13"/>
      <c r="B222" s="248" t="s">
        <v>30</v>
      </c>
      <c r="C222" s="249"/>
      <c r="D222" s="249"/>
      <c r="E222" s="250"/>
      <c r="F222" s="22"/>
      <c r="G222" s="22"/>
      <c r="H222" s="23"/>
      <c r="I222" s="23">
        <f>SUM(I209:I221)</f>
        <v>1066.54</v>
      </c>
      <c r="J222" s="13"/>
      <c r="K222" s="248" t="s">
        <v>30</v>
      </c>
      <c r="L222" s="249"/>
      <c r="M222" s="249"/>
      <c r="N222" s="250"/>
      <c r="O222" s="22"/>
      <c r="P222" s="22"/>
      <c r="Q222" s="23"/>
      <c r="R222" s="23">
        <f>SUM(R209:R221)</f>
        <v>15413.820000000002</v>
      </c>
      <c r="S222" s="13"/>
      <c r="T222" s="248" t="s">
        <v>30</v>
      </c>
      <c r="U222" s="249"/>
      <c r="V222" s="249"/>
      <c r="W222" s="250"/>
      <c r="X222" s="22"/>
      <c r="Y222" s="22"/>
      <c r="Z222" s="23"/>
      <c r="AA222" s="23">
        <f>SUM(AA209:AA221)</f>
        <v>18043.23</v>
      </c>
    </row>
    <row r="223" spans="1:27" x14ac:dyDescent="0.2">
      <c r="A223" s="12" t="s">
        <v>31</v>
      </c>
      <c r="B223" s="260" t="s">
        <v>32</v>
      </c>
      <c r="C223" s="261"/>
      <c r="D223" s="261"/>
      <c r="E223" s="261"/>
      <c r="F223" s="39"/>
      <c r="G223" s="39"/>
      <c r="H223" s="40"/>
      <c r="I223" s="41">
        <f>SUM(I222+I204)</f>
        <v>1252.8699999999999</v>
      </c>
      <c r="J223" s="12" t="s">
        <v>31</v>
      </c>
      <c r="K223" s="260" t="s">
        <v>32</v>
      </c>
      <c r="L223" s="261"/>
      <c r="M223" s="261"/>
      <c r="N223" s="261"/>
      <c r="O223" s="151"/>
      <c r="P223" s="151"/>
      <c r="Q223" s="40"/>
      <c r="R223" s="41">
        <f>SUM(R222+R204)</f>
        <v>15995.720000000001</v>
      </c>
      <c r="S223" s="12" t="s">
        <v>31</v>
      </c>
      <c r="T223" s="260" t="s">
        <v>32</v>
      </c>
      <c r="U223" s="261"/>
      <c r="V223" s="261"/>
      <c r="W223" s="261"/>
      <c r="X223" s="151"/>
      <c r="Y223" s="151"/>
      <c r="Z223" s="40"/>
      <c r="AA223" s="41">
        <f>SUM(AA222+AA204)</f>
        <v>18703.07</v>
      </c>
    </row>
    <row r="224" spans="1:27" x14ac:dyDescent="0.2">
      <c r="A224" s="13" t="s">
        <v>33</v>
      </c>
      <c r="B224" s="309">
        <f>E191</f>
        <v>0.3</v>
      </c>
      <c r="C224" s="310"/>
      <c r="D224" s="310"/>
      <c r="E224" s="310"/>
      <c r="F224" s="310"/>
      <c r="G224" s="310"/>
      <c r="H224" s="40"/>
      <c r="I224" s="41"/>
      <c r="J224" s="13" t="s">
        <v>33</v>
      </c>
      <c r="K224" s="311">
        <f>N191</f>
        <v>171.3</v>
      </c>
      <c r="L224" s="312"/>
      <c r="M224" s="312"/>
      <c r="N224" s="312"/>
      <c r="O224" s="312"/>
      <c r="P224" s="312"/>
      <c r="Q224" s="40"/>
      <c r="R224" s="41"/>
      <c r="S224" s="13" t="s">
        <v>33</v>
      </c>
      <c r="T224" s="311">
        <f>W191</f>
        <v>82.8</v>
      </c>
      <c r="U224" s="312"/>
      <c r="V224" s="312"/>
      <c r="W224" s="312"/>
      <c r="X224" s="312"/>
      <c r="Y224" s="312"/>
      <c r="Z224" s="40"/>
      <c r="AA224" s="41"/>
    </row>
    <row r="225" spans="1:27" x14ac:dyDescent="0.2">
      <c r="A225" s="13" t="s">
        <v>34</v>
      </c>
      <c r="B225" s="42" t="s">
        <v>35</v>
      </c>
      <c r="C225" s="43"/>
      <c r="D225" s="43"/>
      <c r="E225" s="39"/>
      <c r="F225" s="44"/>
      <c r="G225" s="44"/>
      <c r="H225" s="40"/>
      <c r="I225" s="41">
        <f>I223/E191</f>
        <v>4176.2333333333336</v>
      </c>
      <c r="J225" s="13" t="s">
        <v>34</v>
      </c>
      <c r="K225" s="155" t="s">
        <v>35</v>
      </c>
      <c r="L225" s="43"/>
      <c r="M225" s="43"/>
      <c r="N225" s="151"/>
      <c r="O225" s="156"/>
      <c r="P225" s="156"/>
      <c r="Q225" s="40"/>
      <c r="R225" s="41">
        <f>R223/N191</f>
        <v>93.378400467016931</v>
      </c>
      <c r="S225" s="13" t="s">
        <v>34</v>
      </c>
      <c r="T225" s="155" t="s">
        <v>35</v>
      </c>
      <c r="U225" s="43"/>
      <c r="V225" s="43"/>
      <c r="W225" s="151"/>
      <c r="X225" s="156"/>
      <c r="Y225" s="156"/>
      <c r="Z225" s="40"/>
      <c r="AA225" s="41">
        <f>AA223/W191</f>
        <v>225.88248792270531</v>
      </c>
    </row>
    <row r="226" spans="1:27" x14ac:dyDescent="0.2">
      <c r="A226" s="12"/>
      <c r="B226" s="251" t="s">
        <v>36</v>
      </c>
      <c r="C226" s="252"/>
      <c r="D226" s="252"/>
      <c r="E226" s="253"/>
      <c r="F226" s="244" t="s">
        <v>37</v>
      </c>
      <c r="G226" s="244" t="s">
        <v>38</v>
      </c>
      <c r="H226" s="244" t="s">
        <v>39</v>
      </c>
      <c r="I226" s="246" t="s">
        <v>15</v>
      </c>
      <c r="J226" s="12"/>
      <c r="K226" s="251" t="s">
        <v>36</v>
      </c>
      <c r="L226" s="252"/>
      <c r="M226" s="252"/>
      <c r="N226" s="253"/>
      <c r="O226" s="244" t="s">
        <v>37</v>
      </c>
      <c r="P226" s="244" t="s">
        <v>38</v>
      </c>
      <c r="Q226" s="244" t="s">
        <v>39</v>
      </c>
      <c r="R226" s="246" t="s">
        <v>15</v>
      </c>
      <c r="S226" s="12"/>
      <c r="T226" s="251" t="s">
        <v>36</v>
      </c>
      <c r="U226" s="252"/>
      <c r="V226" s="252"/>
      <c r="W226" s="253"/>
      <c r="X226" s="244" t="s">
        <v>37</v>
      </c>
      <c r="Y226" s="244" t="s">
        <v>38</v>
      </c>
      <c r="Z226" s="244" t="s">
        <v>39</v>
      </c>
      <c r="AA226" s="246" t="s">
        <v>15</v>
      </c>
    </row>
    <row r="227" spans="1:27" x14ac:dyDescent="0.2">
      <c r="A227" s="13"/>
      <c r="B227" s="254"/>
      <c r="C227" s="255"/>
      <c r="D227" s="255"/>
      <c r="E227" s="256"/>
      <c r="F227" s="245"/>
      <c r="G227" s="245"/>
      <c r="H227" s="245"/>
      <c r="I227" s="247"/>
      <c r="J227" s="13"/>
      <c r="K227" s="254"/>
      <c r="L227" s="255"/>
      <c r="M227" s="255"/>
      <c r="N227" s="256"/>
      <c r="O227" s="245"/>
      <c r="P227" s="245"/>
      <c r="Q227" s="245"/>
      <c r="R227" s="247"/>
      <c r="S227" s="13"/>
      <c r="T227" s="254"/>
      <c r="U227" s="255"/>
      <c r="V227" s="255"/>
      <c r="W227" s="256"/>
      <c r="X227" s="245"/>
      <c r="Y227" s="245"/>
      <c r="Z227" s="245"/>
      <c r="AA227" s="247"/>
    </row>
    <row r="228" spans="1:27" x14ac:dyDescent="0.2">
      <c r="A228" s="13" t="s">
        <v>40</v>
      </c>
      <c r="B228" s="18" t="s">
        <v>41</v>
      </c>
      <c r="C228" s="19"/>
      <c r="D228" s="19"/>
      <c r="E228" s="20"/>
      <c r="F228" s="22"/>
      <c r="G228" s="22"/>
      <c r="H228" s="23"/>
      <c r="I228" s="23"/>
      <c r="J228" s="13" t="s">
        <v>40</v>
      </c>
      <c r="K228" s="18" t="s">
        <v>41</v>
      </c>
      <c r="L228" s="19"/>
      <c r="M228" s="19"/>
      <c r="N228" s="20"/>
      <c r="O228" s="22"/>
      <c r="P228" s="22"/>
      <c r="Q228" s="23"/>
      <c r="R228" s="23"/>
      <c r="S228" s="13" t="s">
        <v>40</v>
      </c>
      <c r="T228" s="18" t="s">
        <v>41</v>
      </c>
      <c r="U228" s="19"/>
      <c r="V228" s="19"/>
      <c r="W228" s="20"/>
      <c r="X228" s="22"/>
      <c r="Y228" s="22"/>
      <c r="Z228" s="23"/>
      <c r="AA228" s="23"/>
    </row>
    <row r="229" spans="1:27" x14ac:dyDescent="0.2">
      <c r="A229" s="13"/>
      <c r="B229" s="18"/>
      <c r="C229" s="19"/>
      <c r="D229" s="19"/>
      <c r="E229" s="20"/>
      <c r="F229" s="22"/>
      <c r="G229" s="22"/>
      <c r="H229" s="23"/>
      <c r="I229" s="23"/>
      <c r="J229" s="13"/>
      <c r="K229" s="18"/>
      <c r="L229" s="19"/>
      <c r="M229" s="19"/>
      <c r="N229" s="20"/>
      <c r="O229" s="22"/>
      <c r="P229" s="22"/>
      <c r="Q229" s="23"/>
      <c r="R229" s="23"/>
      <c r="S229" s="13"/>
      <c r="T229" s="18"/>
      <c r="U229" s="19"/>
      <c r="V229" s="19"/>
      <c r="W229" s="20"/>
      <c r="X229" s="22"/>
      <c r="Y229" s="22"/>
      <c r="Z229" s="23"/>
      <c r="AA229" s="23"/>
    </row>
    <row r="230" spans="1:27" x14ac:dyDescent="0.2">
      <c r="A230" s="13"/>
      <c r="B230" s="18" t="s">
        <v>295</v>
      </c>
      <c r="C230" s="66"/>
      <c r="D230" s="19"/>
      <c r="E230" s="20"/>
      <c r="F230" s="62" t="s">
        <v>239</v>
      </c>
      <c r="G230" s="62">
        <v>1.05</v>
      </c>
      <c r="H230" s="107">
        <v>41575</v>
      </c>
      <c r="I230" s="23">
        <f>H230*G230</f>
        <v>43653.75</v>
      </c>
      <c r="J230" s="13"/>
      <c r="K230" s="18" t="s">
        <v>296</v>
      </c>
      <c r="L230" s="66"/>
      <c r="M230" s="19"/>
      <c r="N230" s="20"/>
      <c r="O230" s="22" t="s">
        <v>282</v>
      </c>
      <c r="P230" s="69">
        <v>8.5800000000000008E-3</v>
      </c>
      <c r="Q230" s="107">
        <v>40300</v>
      </c>
      <c r="R230" s="23">
        <f>P230*Q230</f>
        <v>345.77400000000006</v>
      </c>
      <c r="S230" s="13"/>
      <c r="T230" s="18" t="s">
        <v>263</v>
      </c>
      <c r="U230" s="66"/>
      <c r="V230" s="19"/>
      <c r="W230" s="20"/>
      <c r="X230" s="22" t="s">
        <v>77</v>
      </c>
      <c r="Y230" s="62">
        <v>0.45</v>
      </c>
      <c r="Z230" s="107">
        <v>40</v>
      </c>
      <c r="AA230" s="23">
        <f t="shared" ref="AA230:AA238" si="15">Y230*Z230</f>
        <v>18</v>
      </c>
    </row>
    <row r="231" spans="1:27" x14ac:dyDescent="0.2">
      <c r="A231" s="13"/>
      <c r="B231" s="18" t="s">
        <v>291</v>
      </c>
      <c r="C231" s="66"/>
      <c r="D231" s="19"/>
      <c r="E231" s="20"/>
      <c r="F231" s="22"/>
      <c r="G231" s="22"/>
      <c r="H231" s="23"/>
      <c r="I231" s="23"/>
      <c r="J231" s="13"/>
      <c r="K231" s="18" t="s">
        <v>1243</v>
      </c>
      <c r="L231" s="66"/>
      <c r="M231" s="19"/>
      <c r="N231" s="20"/>
      <c r="O231" s="22" t="s">
        <v>9</v>
      </c>
      <c r="P231" s="22">
        <v>4.8800000000000003E-2</v>
      </c>
      <c r="Q231" s="107">
        <v>650</v>
      </c>
      <c r="R231" s="23">
        <f>P231*Q231</f>
        <v>31.720000000000002</v>
      </c>
      <c r="S231" s="13"/>
      <c r="T231" s="18" t="s">
        <v>264</v>
      </c>
      <c r="U231" s="66"/>
      <c r="V231" s="19"/>
      <c r="W231" s="20"/>
      <c r="X231" s="22" t="s">
        <v>1216</v>
      </c>
      <c r="Y231" s="22">
        <v>0.28999999999999998</v>
      </c>
      <c r="Z231" s="107">
        <v>28</v>
      </c>
      <c r="AA231" s="23">
        <f t="shared" si="15"/>
        <v>8.1199999999999992</v>
      </c>
    </row>
    <row r="232" spans="1:27" x14ac:dyDescent="0.2">
      <c r="A232" s="13"/>
      <c r="B232" s="18"/>
      <c r="C232" s="19"/>
      <c r="D232" s="19"/>
      <c r="E232" s="20"/>
      <c r="F232" s="22"/>
      <c r="G232" s="22"/>
      <c r="H232" s="38"/>
      <c r="I232" s="38"/>
      <c r="J232" s="13"/>
      <c r="K232" s="18" t="s">
        <v>1244</v>
      </c>
      <c r="L232" s="66"/>
      <c r="M232" s="19"/>
      <c r="N232" s="20"/>
      <c r="O232" s="22" t="s">
        <v>9</v>
      </c>
      <c r="P232" s="22">
        <v>0.01</v>
      </c>
      <c r="Q232" s="107">
        <v>650</v>
      </c>
      <c r="R232" s="23">
        <f>P232*Q232</f>
        <v>6.5</v>
      </c>
      <c r="S232" s="13"/>
      <c r="T232" s="18" t="s">
        <v>266</v>
      </c>
      <c r="U232" s="19"/>
      <c r="V232" s="19"/>
      <c r="W232" s="20"/>
      <c r="X232" s="22" t="s">
        <v>1216</v>
      </c>
      <c r="Y232" s="22">
        <v>0.15</v>
      </c>
      <c r="Z232" s="107">
        <v>44</v>
      </c>
      <c r="AA232" s="23">
        <f t="shared" si="15"/>
        <v>6.6</v>
      </c>
    </row>
    <row r="233" spans="1:27" x14ac:dyDescent="0.2">
      <c r="A233" s="13"/>
      <c r="B233" s="18"/>
      <c r="C233" s="19"/>
      <c r="D233" s="19"/>
      <c r="E233" s="20"/>
      <c r="F233" s="22"/>
      <c r="G233" s="22"/>
      <c r="H233" s="38"/>
      <c r="I233" s="38"/>
      <c r="J233" s="13"/>
      <c r="K233" s="18" t="s">
        <v>1213</v>
      </c>
      <c r="L233" s="19"/>
      <c r="M233" s="19"/>
      <c r="N233" s="20"/>
      <c r="O233" s="22" t="s">
        <v>227</v>
      </c>
      <c r="P233" s="22">
        <v>0.13</v>
      </c>
      <c r="Q233" s="107">
        <v>240.56</v>
      </c>
      <c r="R233" s="23">
        <f>P233*Q233</f>
        <v>31.2728</v>
      </c>
      <c r="S233" s="13"/>
      <c r="T233" s="18" t="s">
        <v>374</v>
      </c>
      <c r="U233" s="19"/>
      <c r="V233" s="19"/>
      <c r="W233" s="20"/>
      <c r="X233" s="22" t="s">
        <v>9</v>
      </c>
      <c r="Y233" s="22">
        <v>0.13750000000000001</v>
      </c>
      <c r="Z233" s="107">
        <v>850</v>
      </c>
      <c r="AA233" s="23">
        <f t="shared" si="15"/>
        <v>116.87500000000001</v>
      </c>
    </row>
    <row r="234" spans="1:27" x14ac:dyDescent="0.2">
      <c r="A234" s="13"/>
      <c r="B234" s="18"/>
      <c r="C234" s="19"/>
      <c r="D234" s="19"/>
      <c r="E234" s="20"/>
      <c r="F234" s="22"/>
      <c r="G234" s="22"/>
      <c r="H234" s="45"/>
      <c r="I234" s="45"/>
      <c r="J234" s="13"/>
      <c r="K234" s="18" t="s">
        <v>1215</v>
      </c>
      <c r="L234" s="19"/>
      <c r="M234" s="19"/>
      <c r="N234" s="20"/>
      <c r="O234" s="22" t="s">
        <v>1216</v>
      </c>
      <c r="P234" s="22">
        <v>1.165</v>
      </c>
      <c r="Q234" s="107">
        <v>240.56</v>
      </c>
      <c r="R234" s="23">
        <f>P234*Q234</f>
        <v>280.25240000000002</v>
      </c>
      <c r="S234" s="13"/>
      <c r="T234" s="18" t="s">
        <v>375</v>
      </c>
      <c r="U234" s="19"/>
      <c r="V234" s="19"/>
      <c r="W234" s="20"/>
      <c r="X234" s="22" t="s">
        <v>9</v>
      </c>
      <c r="Y234" s="22">
        <v>0.25</v>
      </c>
      <c r="Z234" s="107">
        <v>650</v>
      </c>
      <c r="AA234" s="23">
        <f t="shared" si="15"/>
        <v>162.5</v>
      </c>
    </row>
    <row r="235" spans="1:27" x14ac:dyDescent="0.2">
      <c r="A235" s="13"/>
      <c r="B235" s="18"/>
      <c r="C235" s="19"/>
      <c r="D235" s="19"/>
      <c r="E235" s="20"/>
      <c r="F235" s="22"/>
      <c r="G235" s="22"/>
      <c r="H235" s="45"/>
      <c r="I235" s="45"/>
      <c r="J235" s="13"/>
      <c r="K235" s="18"/>
      <c r="L235" s="19"/>
      <c r="M235" s="19"/>
      <c r="N235" s="20"/>
      <c r="O235" s="22"/>
      <c r="P235" s="22"/>
      <c r="Q235" s="45"/>
      <c r="R235" s="45"/>
      <c r="S235" s="13"/>
      <c r="T235" s="18" t="s">
        <v>376</v>
      </c>
      <c r="U235" s="19"/>
      <c r="V235" s="19"/>
      <c r="W235" s="20"/>
      <c r="X235" s="22" t="s">
        <v>227</v>
      </c>
      <c r="Y235" s="22">
        <v>2.38</v>
      </c>
      <c r="Z235" s="107">
        <v>220</v>
      </c>
      <c r="AA235" s="23">
        <f t="shared" si="15"/>
        <v>523.6</v>
      </c>
    </row>
    <row r="236" spans="1:27" ht="15" customHeight="1" x14ac:dyDescent="0.2">
      <c r="A236" s="13"/>
      <c r="B236" s="18"/>
      <c r="C236" s="19"/>
      <c r="D236" s="19"/>
      <c r="E236" s="20"/>
      <c r="F236" s="22"/>
      <c r="G236" s="22"/>
      <c r="H236" s="23"/>
      <c r="I236" s="23"/>
      <c r="J236" s="13"/>
      <c r="K236" s="18"/>
      <c r="L236" s="19"/>
      <c r="M236" s="19"/>
      <c r="N236" s="20"/>
      <c r="O236" s="22"/>
      <c r="P236" s="22"/>
      <c r="Q236" s="23"/>
      <c r="R236" s="23"/>
      <c r="S236" s="13"/>
      <c r="T236" s="18" t="s">
        <v>377</v>
      </c>
      <c r="U236" s="19"/>
      <c r="V236" s="19"/>
      <c r="W236" s="20"/>
      <c r="X236" s="22" t="s">
        <v>80</v>
      </c>
      <c r="Y236" s="22">
        <v>1.4999999999999999E-4</v>
      </c>
      <c r="Z236" s="107">
        <v>8000</v>
      </c>
      <c r="AA236" s="23">
        <f t="shared" si="15"/>
        <v>1.2</v>
      </c>
    </row>
    <row r="237" spans="1:27" x14ac:dyDescent="0.2">
      <c r="A237" s="13"/>
      <c r="B237" s="18"/>
      <c r="C237" s="19"/>
      <c r="D237" s="19"/>
      <c r="E237" s="20"/>
      <c r="F237" s="22"/>
      <c r="G237" s="22"/>
      <c r="H237" s="23"/>
      <c r="I237" s="23"/>
      <c r="J237" s="13"/>
      <c r="K237" s="18"/>
      <c r="L237" s="19"/>
      <c r="M237" s="19"/>
      <c r="N237" s="20"/>
      <c r="O237" s="22"/>
      <c r="P237" s="22"/>
      <c r="Q237" s="23"/>
      <c r="R237" s="23"/>
      <c r="S237" s="13"/>
      <c r="T237" s="18" t="s">
        <v>378</v>
      </c>
      <c r="U237" s="19"/>
      <c r="V237" s="19"/>
      <c r="W237" s="20"/>
      <c r="X237" s="22" t="s">
        <v>1153</v>
      </c>
      <c r="Y237" s="22">
        <v>7.7999999999999996E-3</v>
      </c>
      <c r="Z237" s="107">
        <v>97</v>
      </c>
      <c r="AA237" s="23">
        <f t="shared" si="15"/>
        <v>0.75659999999999994</v>
      </c>
    </row>
    <row r="238" spans="1:27" x14ac:dyDescent="0.2">
      <c r="A238" s="13"/>
      <c r="B238" s="18"/>
      <c r="C238" s="19"/>
      <c r="D238" s="19"/>
      <c r="E238" s="20"/>
      <c r="F238" s="22"/>
      <c r="G238" s="22"/>
      <c r="H238" s="23"/>
      <c r="I238" s="23"/>
      <c r="J238" s="13"/>
      <c r="K238" s="18"/>
      <c r="L238" s="19"/>
      <c r="M238" s="19"/>
      <c r="N238" s="20"/>
      <c r="O238" s="22"/>
      <c r="P238" s="22"/>
      <c r="Q238" s="23"/>
      <c r="R238" s="23"/>
      <c r="S238" s="13"/>
      <c r="T238" s="18" t="s">
        <v>379</v>
      </c>
      <c r="U238" s="19"/>
      <c r="V238" s="19"/>
      <c r="W238" s="20"/>
      <c r="X238" s="22" t="s">
        <v>1216</v>
      </c>
      <c r="Y238" s="22">
        <v>9.4999999999999998E-3</v>
      </c>
      <c r="Z238" s="107">
        <v>300</v>
      </c>
      <c r="AA238" s="23">
        <f t="shared" si="15"/>
        <v>2.85</v>
      </c>
    </row>
    <row r="239" spans="1:27" x14ac:dyDescent="0.2">
      <c r="A239" s="13"/>
      <c r="B239" s="18"/>
      <c r="C239" s="19"/>
      <c r="D239" s="19"/>
      <c r="E239" s="20"/>
      <c r="F239" s="22"/>
      <c r="G239" s="22"/>
      <c r="H239" s="23"/>
      <c r="I239" s="23"/>
      <c r="J239" s="13"/>
      <c r="K239" s="18"/>
      <c r="L239" s="19"/>
      <c r="M239" s="19"/>
      <c r="N239" s="20"/>
      <c r="O239" s="22"/>
      <c r="P239" s="22"/>
      <c r="Q239" s="23"/>
      <c r="R239" s="23"/>
      <c r="S239" s="13"/>
      <c r="T239" s="18"/>
      <c r="U239" s="19"/>
      <c r="V239" s="19"/>
      <c r="W239" s="20"/>
      <c r="X239" s="22"/>
      <c r="Y239" s="22"/>
      <c r="Z239" s="23"/>
      <c r="AA239" s="23"/>
    </row>
    <row r="240" spans="1:27" x14ac:dyDescent="0.2">
      <c r="A240" s="13"/>
      <c r="B240" s="18"/>
      <c r="C240" s="19"/>
      <c r="D240" s="19"/>
      <c r="E240" s="20"/>
      <c r="F240" s="22"/>
      <c r="G240" s="22"/>
      <c r="H240" s="23"/>
      <c r="I240" s="23"/>
      <c r="J240" s="13"/>
      <c r="K240" s="18"/>
      <c r="L240" s="19"/>
      <c r="M240" s="19"/>
      <c r="N240" s="20"/>
      <c r="O240" s="22"/>
      <c r="P240" s="22"/>
      <c r="Q240" s="23"/>
      <c r="R240" s="23"/>
      <c r="S240" s="13"/>
      <c r="T240" s="18"/>
      <c r="U240" s="19"/>
      <c r="V240" s="19"/>
      <c r="W240" s="20"/>
      <c r="X240" s="22"/>
      <c r="Y240" s="22"/>
      <c r="Z240" s="23"/>
      <c r="AA240" s="23"/>
    </row>
    <row r="241" spans="1:27" x14ac:dyDescent="0.2">
      <c r="A241" s="13"/>
      <c r="B241" s="18"/>
      <c r="C241" s="19"/>
      <c r="D241" s="19"/>
      <c r="E241" s="20"/>
      <c r="F241" s="22"/>
      <c r="G241" s="22"/>
      <c r="H241" s="23"/>
      <c r="I241" s="23"/>
      <c r="J241" s="13"/>
      <c r="K241" s="18"/>
      <c r="L241" s="19"/>
      <c r="M241" s="19"/>
      <c r="N241" s="20"/>
      <c r="O241" s="22"/>
      <c r="P241" s="22"/>
      <c r="Q241" s="23"/>
      <c r="R241" s="23"/>
      <c r="S241" s="13"/>
      <c r="T241" s="18"/>
      <c r="U241" s="19"/>
      <c r="V241" s="19"/>
      <c r="W241" s="20"/>
      <c r="X241" s="22"/>
      <c r="Y241" s="36"/>
      <c r="Z241" s="37"/>
      <c r="AA241" s="37"/>
    </row>
    <row r="242" spans="1:27" x14ac:dyDescent="0.2">
      <c r="A242" s="13"/>
      <c r="B242" s="18"/>
      <c r="C242" s="19"/>
      <c r="D242" s="19"/>
      <c r="E242" s="20"/>
      <c r="F242" s="22"/>
      <c r="G242" s="36"/>
      <c r="H242" s="37"/>
      <c r="I242" s="37"/>
      <c r="J242" s="13"/>
      <c r="K242" s="18"/>
      <c r="L242" s="19"/>
      <c r="M242" s="19"/>
      <c r="N242" s="20"/>
      <c r="O242" s="22"/>
      <c r="P242" s="36"/>
      <c r="Q242" s="37"/>
      <c r="R242" s="37"/>
      <c r="S242" s="13"/>
      <c r="T242" s="18"/>
      <c r="U242" s="19"/>
      <c r="V242" s="19"/>
      <c r="W242" s="20"/>
      <c r="X242" s="22"/>
      <c r="Y242" s="36"/>
      <c r="Z242" s="37"/>
      <c r="AA242" s="37"/>
    </row>
    <row r="243" spans="1:27" x14ac:dyDescent="0.2">
      <c r="A243" s="13"/>
      <c r="B243" s="248" t="s">
        <v>42</v>
      </c>
      <c r="C243" s="249"/>
      <c r="D243" s="249"/>
      <c r="E243" s="250"/>
      <c r="F243" s="46"/>
      <c r="G243" s="46"/>
      <c r="H243" s="47"/>
      <c r="I243" s="47">
        <f>SUM(I230:I242)</f>
        <v>43653.75</v>
      </c>
      <c r="J243" s="13"/>
      <c r="K243" s="248" t="s">
        <v>42</v>
      </c>
      <c r="L243" s="249"/>
      <c r="M243" s="249"/>
      <c r="N243" s="250"/>
      <c r="O243" s="46"/>
      <c r="P243" s="46"/>
      <c r="Q243" s="47"/>
      <c r="R243" s="47">
        <f>SUM(R230:R242)</f>
        <v>695.51920000000018</v>
      </c>
      <c r="S243" s="13"/>
      <c r="T243" s="248" t="s">
        <v>42</v>
      </c>
      <c r="U243" s="249"/>
      <c r="V243" s="249"/>
      <c r="W243" s="250"/>
      <c r="X243" s="46"/>
      <c r="Y243" s="46"/>
      <c r="Z243" s="47"/>
      <c r="AA243" s="47">
        <f>SUM(AA230:AA241)</f>
        <v>840.50160000000017</v>
      </c>
    </row>
    <row r="244" spans="1:27" x14ac:dyDescent="0.2">
      <c r="A244" s="12" t="s">
        <v>43</v>
      </c>
      <c r="B244" s="48" t="s">
        <v>44</v>
      </c>
      <c r="C244" s="43"/>
      <c r="D244" s="43"/>
      <c r="E244" s="39"/>
      <c r="F244" s="49"/>
      <c r="G244" s="49"/>
      <c r="H244" s="50"/>
      <c r="I244" s="51">
        <f>SUM(I225+I243)</f>
        <v>47829.983333333337</v>
      </c>
      <c r="J244" s="12" t="s">
        <v>43</v>
      </c>
      <c r="K244" s="48" t="s">
        <v>44</v>
      </c>
      <c r="L244" s="43"/>
      <c r="M244" s="43"/>
      <c r="N244" s="151"/>
      <c r="O244" s="49"/>
      <c r="P244" s="49"/>
      <c r="Q244" s="50"/>
      <c r="R244" s="51">
        <f>SUM(R225+R243)</f>
        <v>788.89760046701713</v>
      </c>
      <c r="S244" s="12" t="s">
        <v>43</v>
      </c>
      <c r="T244" s="48" t="s">
        <v>44</v>
      </c>
      <c r="U244" s="43"/>
      <c r="V244" s="43"/>
      <c r="W244" s="151"/>
      <c r="X244" s="49"/>
      <c r="Y244" s="49"/>
      <c r="Z244" s="50"/>
      <c r="AA244" s="51">
        <f>SUM(AA225+AA243)</f>
        <v>1066.3840879227055</v>
      </c>
    </row>
    <row r="245" spans="1:27" x14ac:dyDescent="0.2">
      <c r="A245" s="13" t="s">
        <v>45</v>
      </c>
      <c r="B245" s="48" t="s">
        <v>46</v>
      </c>
      <c r="C245" s="43"/>
      <c r="D245" s="43"/>
      <c r="E245" s="39"/>
      <c r="F245" s="49"/>
      <c r="G245" s="52">
        <v>0.09</v>
      </c>
      <c r="H245" s="53" t="s">
        <v>47</v>
      </c>
      <c r="I245" s="51">
        <f>G245*I244</f>
        <v>4304.6985000000004</v>
      </c>
      <c r="J245" s="13" t="s">
        <v>45</v>
      </c>
      <c r="K245" s="48" t="s">
        <v>46</v>
      </c>
      <c r="L245" s="43"/>
      <c r="M245" s="43"/>
      <c r="N245" s="151"/>
      <c r="O245" s="49"/>
      <c r="P245" s="52">
        <v>0.09</v>
      </c>
      <c r="Q245" s="53" t="s">
        <v>47</v>
      </c>
      <c r="R245" s="51">
        <f>P245*R244</f>
        <v>71.00078404203154</v>
      </c>
      <c r="S245" s="13" t="s">
        <v>45</v>
      </c>
      <c r="T245" s="48" t="s">
        <v>46</v>
      </c>
      <c r="U245" s="43"/>
      <c r="V245" s="43"/>
      <c r="W245" s="151"/>
      <c r="X245" s="49"/>
      <c r="Y245" s="52">
        <v>0.09</v>
      </c>
      <c r="Z245" s="53" t="s">
        <v>47</v>
      </c>
      <c r="AA245" s="51">
        <f>Y245*AA244</f>
        <v>95.974567913043487</v>
      </c>
    </row>
    <row r="246" spans="1:27" x14ac:dyDescent="0.2">
      <c r="A246" s="13" t="s">
        <v>48</v>
      </c>
      <c r="B246" s="48" t="s">
        <v>49</v>
      </c>
      <c r="C246" s="43"/>
      <c r="D246" s="43"/>
      <c r="E246" s="39"/>
      <c r="F246" s="49"/>
      <c r="G246" s="52">
        <v>0.08</v>
      </c>
      <c r="H246" s="53" t="s">
        <v>47</v>
      </c>
      <c r="I246" s="51">
        <f>G246*I244</f>
        <v>3826.3986666666669</v>
      </c>
      <c r="J246" s="13" t="s">
        <v>48</v>
      </c>
      <c r="K246" s="48" t="s">
        <v>49</v>
      </c>
      <c r="L246" s="43"/>
      <c r="M246" s="43"/>
      <c r="N246" s="151"/>
      <c r="O246" s="49"/>
      <c r="P246" s="52">
        <v>0.08</v>
      </c>
      <c r="Q246" s="53" t="s">
        <v>47</v>
      </c>
      <c r="R246" s="51">
        <f>P246*R244</f>
        <v>63.111808037361371</v>
      </c>
      <c r="S246" s="13" t="s">
        <v>48</v>
      </c>
      <c r="T246" s="48" t="s">
        <v>49</v>
      </c>
      <c r="U246" s="43"/>
      <c r="V246" s="43"/>
      <c r="W246" s="151"/>
      <c r="X246" s="49"/>
      <c r="Y246" s="52">
        <v>0.08</v>
      </c>
      <c r="Z246" s="53" t="s">
        <v>47</v>
      </c>
      <c r="AA246" s="51">
        <f>Y246*AA244</f>
        <v>85.310727033816434</v>
      </c>
    </row>
    <row r="247" spans="1:27" x14ac:dyDescent="0.2">
      <c r="A247" s="13" t="s">
        <v>50</v>
      </c>
      <c r="B247" s="48" t="s">
        <v>51</v>
      </c>
      <c r="C247" s="43"/>
      <c r="D247" s="43"/>
      <c r="E247" s="39"/>
      <c r="F247" s="49"/>
      <c r="G247" s="52">
        <f>5/100</f>
        <v>0.05</v>
      </c>
      <c r="H247" s="53" t="s">
        <v>52</v>
      </c>
      <c r="I247" s="51">
        <f>G247*(I244+I245+I246)</f>
        <v>2798.0540250000004</v>
      </c>
      <c r="J247" s="13" t="s">
        <v>50</v>
      </c>
      <c r="K247" s="48" t="s">
        <v>51</v>
      </c>
      <c r="L247" s="43"/>
      <c r="M247" s="43"/>
      <c r="N247" s="151"/>
      <c r="O247" s="49"/>
      <c r="P247" s="52">
        <v>0.05</v>
      </c>
      <c r="Q247" s="53" t="s">
        <v>52</v>
      </c>
      <c r="R247" s="51">
        <f>P247*(R244+R245+R246)</f>
        <v>46.150509627320503</v>
      </c>
      <c r="S247" s="13" t="s">
        <v>50</v>
      </c>
      <c r="T247" s="48" t="s">
        <v>51</v>
      </c>
      <c r="U247" s="43"/>
      <c r="V247" s="43"/>
      <c r="W247" s="151"/>
      <c r="X247" s="49"/>
      <c r="Y247" s="52">
        <v>0.05</v>
      </c>
      <c r="Z247" s="53" t="s">
        <v>52</v>
      </c>
      <c r="AA247" s="51">
        <f>Y247*(AA244+AA245+AA246)</f>
        <v>62.383469143478273</v>
      </c>
    </row>
    <row r="248" spans="1:27" x14ac:dyDescent="0.2">
      <c r="A248" s="54" t="s">
        <v>53</v>
      </c>
      <c r="B248" s="48" t="s">
        <v>54</v>
      </c>
      <c r="C248" s="43"/>
      <c r="D248" s="43"/>
      <c r="E248" s="39"/>
      <c r="F248" s="49"/>
      <c r="G248" s="49"/>
      <c r="H248" s="55" t="s">
        <v>55</v>
      </c>
      <c r="I248" s="51">
        <f>SUM(I244+I245+I246+I247)</f>
        <v>58759.134525000001</v>
      </c>
      <c r="J248" s="54" t="s">
        <v>53</v>
      </c>
      <c r="K248" s="48" t="s">
        <v>54</v>
      </c>
      <c r="L248" s="43"/>
      <c r="M248" s="43"/>
      <c r="N248" s="151"/>
      <c r="O248" s="49"/>
      <c r="P248" s="49"/>
      <c r="Q248" s="55" t="s">
        <v>55</v>
      </c>
      <c r="R248" s="51">
        <f>SUM(R244+R245+R246+R247)</f>
        <v>969.16070217373056</v>
      </c>
      <c r="S248" s="54" t="s">
        <v>53</v>
      </c>
      <c r="T248" s="48" t="s">
        <v>54</v>
      </c>
      <c r="U248" s="43"/>
      <c r="V248" s="43"/>
      <c r="W248" s="151"/>
      <c r="X248" s="49"/>
      <c r="Y248" s="49"/>
      <c r="Z248" s="55" t="s">
        <v>55</v>
      </c>
      <c r="AA248" s="51">
        <f>SUM(AA244+AA245+AA246+AA247)</f>
        <v>1310.0528520130438</v>
      </c>
    </row>
    <row r="249" spans="1:27" s="1" customFormat="1" x14ac:dyDescent="0.2">
      <c r="A249" s="236" t="s">
        <v>0</v>
      </c>
      <c r="B249" s="236"/>
      <c r="C249" s="236"/>
      <c r="D249" s="236"/>
      <c r="E249" s="236"/>
      <c r="F249" s="236"/>
      <c r="G249" s="236"/>
      <c r="H249" s="236"/>
      <c r="I249" s="236"/>
      <c r="J249" s="236" t="s">
        <v>0</v>
      </c>
      <c r="K249" s="236"/>
      <c r="L249" s="236"/>
      <c r="M249" s="236"/>
      <c r="N249" s="236"/>
      <c r="O249" s="236"/>
      <c r="P249" s="236"/>
      <c r="Q249" s="236"/>
      <c r="R249" s="236"/>
      <c r="S249" s="236" t="s">
        <v>0</v>
      </c>
      <c r="T249" s="236"/>
      <c r="U249" s="236"/>
      <c r="V249" s="236"/>
      <c r="W249" s="236"/>
      <c r="X249" s="236"/>
      <c r="Y249" s="236"/>
      <c r="Z249" s="236"/>
      <c r="AA249" s="236"/>
    </row>
    <row r="250" spans="1:27" x14ac:dyDescent="0.2">
      <c r="S250" s="10"/>
      <c r="T250" s="3"/>
      <c r="U250" s="4"/>
      <c r="V250" s="4"/>
      <c r="W250" s="5"/>
      <c r="X250" s="3"/>
      <c r="Y250" s="3"/>
      <c r="Z250" s="3"/>
      <c r="AA250" s="3"/>
    </row>
    <row r="251" spans="1:27" x14ac:dyDescent="0.2">
      <c r="A251" s="2" t="s">
        <v>1</v>
      </c>
      <c r="C251" s="4" t="s">
        <v>2</v>
      </c>
      <c r="D251" s="5" t="s">
        <v>297</v>
      </c>
      <c r="E251" s="237" t="s">
        <v>298</v>
      </c>
      <c r="F251" s="237"/>
      <c r="G251" s="237"/>
      <c r="H251" s="237"/>
      <c r="J251" s="152" t="s">
        <v>1</v>
      </c>
      <c r="L251" s="4" t="s">
        <v>2</v>
      </c>
      <c r="M251" s="5">
        <v>309</v>
      </c>
      <c r="N251" s="237" t="s">
        <v>299</v>
      </c>
      <c r="O251" s="237"/>
      <c r="P251" s="237"/>
      <c r="Q251" s="237"/>
      <c r="S251" s="152" t="s">
        <v>1</v>
      </c>
      <c r="T251" s="3"/>
      <c r="U251" s="4" t="s">
        <v>2</v>
      </c>
      <c r="V251" s="5" t="s">
        <v>1263</v>
      </c>
      <c r="W251" s="237" t="s">
        <v>383</v>
      </c>
      <c r="X251" s="237"/>
      <c r="Y251" s="237"/>
      <c r="Z251" s="237"/>
      <c r="AA251" s="3"/>
    </row>
    <row r="252" spans="1:27" x14ac:dyDescent="0.2">
      <c r="A252" s="2" t="s">
        <v>7</v>
      </c>
      <c r="C252" s="4" t="s">
        <v>2</v>
      </c>
      <c r="E252" s="2" t="s">
        <v>239</v>
      </c>
      <c r="F252" s="8"/>
      <c r="G252" s="8"/>
      <c r="H252" s="8"/>
      <c r="J252" s="152" t="s">
        <v>7</v>
      </c>
      <c r="L252" s="4" t="s">
        <v>2</v>
      </c>
      <c r="N252" s="152" t="s">
        <v>8</v>
      </c>
      <c r="O252" s="8"/>
      <c r="P252" s="8"/>
      <c r="Q252" s="8"/>
      <c r="S252" s="152" t="s">
        <v>7</v>
      </c>
      <c r="T252" s="3"/>
      <c r="U252" s="4" t="s">
        <v>2</v>
      </c>
      <c r="V252" s="4"/>
      <c r="W252" s="152" t="s">
        <v>8</v>
      </c>
      <c r="X252" s="8"/>
      <c r="Y252" s="8"/>
      <c r="Z252" s="8"/>
      <c r="AA252" s="3"/>
    </row>
    <row r="253" spans="1:27" x14ac:dyDescent="0.2">
      <c r="A253" s="2" t="s">
        <v>10</v>
      </c>
      <c r="C253" s="4" t="s">
        <v>2</v>
      </c>
      <c r="E253" s="9">
        <v>0.3</v>
      </c>
      <c r="F253" s="8"/>
      <c r="G253" s="8"/>
      <c r="H253" s="8"/>
      <c r="J253" s="152" t="s">
        <v>10</v>
      </c>
      <c r="L253" s="4" t="s">
        <v>2</v>
      </c>
      <c r="N253" s="9">
        <v>171.3</v>
      </c>
      <c r="O253" s="8"/>
      <c r="P253" s="8"/>
      <c r="Q253" s="8"/>
      <c r="S253" s="152" t="s">
        <v>10</v>
      </c>
      <c r="T253" s="3"/>
      <c r="U253" s="4" t="s">
        <v>2</v>
      </c>
      <c r="V253" s="4"/>
      <c r="W253" s="9">
        <v>100</v>
      </c>
      <c r="X253" s="8"/>
      <c r="Y253" s="8"/>
      <c r="Z253" s="8"/>
      <c r="AA253" s="3"/>
    </row>
    <row r="254" spans="1:27" x14ac:dyDescent="0.2">
      <c r="B254" s="8"/>
      <c r="F254" s="11"/>
      <c r="G254" s="8"/>
      <c r="H254" s="8"/>
      <c r="I254" s="8"/>
      <c r="K254" s="8"/>
      <c r="O254" s="11"/>
      <c r="P254" s="8"/>
      <c r="Q254" s="8"/>
      <c r="R254" s="8"/>
      <c r="S254" s="10"/>
      <c r="T254" s="8"/>
      <c r="U254" s="4"/>
      <c r="V254" s="4"/>
      <c r="W254" s="5"/>
      <c r="X254" s="11"/>
      <c r="Y254" s="8"/>
      <c r="Z254" s="8"/>
      <c r="AA254" s="8"/>
    </row>
    <row r="255" spans="1:27" x14ac:dyDescent="0.2">
      <c r="A255" s="12"/>
      <c r="B255" s="238" t="s">
        <v>11</v>
      </c>
      <c r="C255" s="239"/>
      <c r="D255" s="239"/>
      <c r="E255" s="240"/>
      <c r="F255" s="244" t="s">
        <v>12</v>
      </c>
      <c r="G255" s="244" t="s">
        <v>13</v>
      </c>
      <c r="H255" s="244" t="s">
        <v>14</v>
      </c>
      <c r="I255" s="246" t="s">
        <v>15</v>
      </c>
      <c r="J255" s="12"/>
      <c r="K255" s="238" t="s">
        <v>11</v>
      </c>
      <c r="L255" s="239"/>
      <c r="M255" s="239"/>
      <c r="N255" s="240"/>
      <c r="O255" s="244" t="s">
        <v>12</v>
      </c>
      <c r="P255" s="244" t="s">
        <v>13</v>
      </c>
      <c r="Q255" s="244" t="s">
        <v>14</v>
      </c>
      <c r="R255" s="246" t="s">
        <v>15</v>
      </c>
      <c r="S255" s="12"/>
      <c r="T255" s="238" t="s">
        <v>11</v>
      </c>
      <c r="U255" s="239"/>
      <c r="V255" s="239"/>
      <c r="W255" s="240"/>
      <c r="X255" s="244" t="s">
        <v>12</v>
      </c>
      <c r="Y255" s="244" t="s">
        <v>13</v>
      </c>
      <c r="Z255" s="244" t="s">
        <v>14</v>
      </c>
      <c r="AA255" s="246" t="s">
        <v>15</v>
      </c>
    </row>
    <row r="256" spans="1:27" x14ac:dyDescent="0.2">
      <c r="A256" s="13"/>
      <c r="B256" s="241"/>
      <c r="C256" s="242"/>
      <c r="D256" s="242"/>
      <c r="E256" s="243"/>
      <c r="F256" s="245"/>
      <c r="G256" s="245"/>
      <c r="H256" s="245"/>
      <c r="I256" s="247"/>
      <c r="J256" s="13"/>
      <c r="K256" s="241"/>
      <c r="L256" s="242"/>
      <c r="M256" s="242"/>
      <c r="N256" s="243"/>
      <c r="O256" s="245"/>
      <c r="P256" s="245"/>
      <c r="Q256" s="245"/>
      <c r="R256" s="247"/>
      <c r="S256" s="13"/>
      <c r="T256" s="241"/>
      <c r="U256" s="242"/>
      <c r="V256" s="242"/>
      <c r="W256" s="243"/>
      <c r="X256" s="245"/>
      <c r="Y256" s="245"/>
      <c r="Z256" s="245"/>
      <c r="AA256" s="247"/>
    </row>
    <row r="257" spans="1:27" x14ac:dyDescent="0.2">
      <c r="A257" s="13" t="s">
        <v>16</v>
      </c>
      <c r="B257" s="14" t="s">
        <v>17</v>
      </c>
      <c r="C257" s="15"/>
      <c r="D257" s="15"/>
      <c r="E257" s="16"/>
      <c r="F257" s="17"/>
      <c r="G257" s="17"/>
      <c r="H257" s="17"/>
      <c r="I257" s="17"/>
      <c r="J257" s="13" t="s">
        <v>16</v>
      </c>
      <c r="K257" s="14" t="s">
        <v>17</v>
      </c>
      <c r="L257" s="15"/>
      <c r="M257" s="15"/>
      <c r="N257" s="16"/>
      <c r="O257" s="17"/>
      <c r="P257" s="17"/>
      <c r="Q257" s="17"/>
      <c r="R257" s="17"/>
      <c r="S257" s="13" t="s">
        <v>16</v>
      </c>
      <c r="T257" s="14" t="s">
        <v>17</v>
      </c>
      <c r="U257" s="15"/>
      <c r="V257" s="15"/>
      <c r="W257" s="16"/>
      <c r="X257" s="17"/>
      <c r="Y257" s="17"/>
      <c r="Z257" s="17"/>
      <c r="AA257" s="17"/>
    </row>
    <row r="258" spans="1:27" x14ac:dyDescent="0.2">
      <c r="A258" s="13"/>
      <c r="B258" s="18"/>
      <c r="C258" s="19"/>
      <c r="D258" s="19"/>
      <c r="E258" s="20"/>
      <c r="F258" s="21"/>
      <c r="G258" s="22"/>
      <c r="H258" s="21"/>
      <c r="I258" s="21"/>
      <c r="J258" s="13"/>
      <c r="K258" s="24" t="s">
        <v>18</v>
      </c>
      <c r="L258" s="25"/>
      <c r="M258" s="25"/>
      <c r="N258" s="171" t="s">
        <v>1217</v>
      </c>
      <c r="O258" s="22">
        <v>1</v>
      </c>
      <c r="P258" s="23">
        <v>1</v>
      </c>
      <c r="Q258" s="23">
        <v>69.42</v>
      </c>
      <c r="R258" s="23">
        <f>P258*Q258*O258</f>
        <v>69.42</v>
      </c>
      <c r="S258" s="13"/>
      <c r="T258" s="18"/>
      <c r="U258" s="19"/>
      <c r="V258" s="19"/>
      <c r="W258" s="20"/>
      <c r="X258" s="21"/>
      <c r="Y258" s="22"/>
      <c r="Z258" s="21"/>
      <c r="AA258" s="21"/>
    </row>
    <row r="259" spans="1:27" x14ac:dyDescent="0.2">
      <c r="A259" s="13"/>
      <c r="B259" s="24" t="s">
        <v>18</v>
      </c>
      <c r="C259" s="25"/>
      <c r="D259" s="25"/>
      <c r="E259" s="26"/>
      <c r="F259" s="22">
        <v>1</v>
      </c>
      <c r="G259" s="62">
        <v>1</v>
      </c>
      <c r="H259" s="23">
        <v>69.42</v>
      </c>
      <c r="I259" s="23">
        <f>G259*H259*F259</f>
        <v>69.42</v>
      </c>
      <c r="J259" s="13"/>
      <c r="K259" s="153" t="s">
        <v>1178</v>
      </c>
      <c r="L259" s="154"/>
      <c r="M259" s="25"/>
      <c r="N259" s="171" t="s">
        <v>1218</v>
      </c>
      <c r="O259" s="22">
        <v>4</v>
      </c>
      <c r="P259" s="23">
        <v>1</v>
      </c>
      <c r="Q259" s="23">
        <v>50.18</v>
      </c>
      <c r="R259" s="23">
        <f t="shared" ref="R259:R265" si="16">P259*Q259*O259</f>
        <v>200.72</v>
      </c>
      <c r="S259" s="13"/>
      <c r="T259" s="24" t="s">
        <v>18</v>
      </c>
      <c r="U259" s="25"/>
      <c r="V259" s="25"/>
      <c r="W259" s="26"/>
      <c r="X259" s="22">
        <v>1</v>
      </c>
      <c r="Y259" s="23">
        <v>1</v>
      </c>
      <c r="Z259" s="23">
        <v>69.42</v>
      </c>
      <c r="AA259" s="23">
        <f>Y259*Z259*X259</f>
        <v>69.42</v>
      </c>
    </row>
    <row r="260" spans="1:27" x14ac:dyDescent="0.2">
      <c r="A260" s="13"/>
      <c r="B260" s="24" t="s">
        <v>1179</v>
      </c>
      <c r="C260" s="25"/>
      <c r="D260" s="25"/>
      <c r="E260" s="26"/>
      <c r="F260" s="22">
        <v>3</v>
      </c>
      <c r="G260" s="62">
        <v>1</v>
      </c>
      <c r="H260" s="23">
        <v>38.97</v>
      </c>
      <c r="I260" s="23">
        <f>G260*H260*F260</f>
        <v>116.91</v>
      </c>
      <c r="J260" s="13"/>
      <c r="K260" s="153" t="s">
        <v>1177</v>
      </c>
      <c r="L260" s="154"/>
      <c r="M260" s="19"/>
      <c r="N260" s="20"/>
      <c r="O260" s="22">
        <v>8</v>
      </c>
      <c r="P260" s="23">
        <v>1</v>
      </c>
      <c r="Q260" s="23">
        <v>38.97</v>
      </c>
      <c r="R260" s="23">
        <f t="shared" si="16"/>
        <v>311.76</v>
      </c>
      <c r="S260" s="13"/>
      <c r="T260" s="257" t="s">
        <v>1178</v>
      </c>
      <c r="U260" s="258"/>
      <c r="V260" s="25"/>
      <c r="W260" s="26"/>
      <c r="X260" s="22">
        <v>4</v>
      </c>
      <c r="Y260" s="23">
        <v>1</v>
      </c>
      <c r="Z260" s="23">
        <v>50.18</v>
      </c>
      <c r="AA260" s="23">
        <f>Y260*Z260*X260</f>
        <v>200.72</v>
      </c>
    </row>
    <row r="261" spans="1:27" x14ac:dyDescent="0.2">
      <c r="A261" s="13"/>
      <c r="B261" s="27"/>
      <c r="C261" s="19"/>
      <c r="D261" s="19"/>
      <c r="E261" s="20"/>
      <c r="F261" s="22"/>
      <c r="G261" s="22"/>
      <c r="H261" s="28"/>
      <c r="I261" s="23"/>
      <c r="J261" s="13"/>
      <c r="K261" s="153" t="s">
        <v>1219</v>
      </c>
      <c r="L261" s="19"/>
      <c r="M261" s="19"/>
      <c r="N261" s="157" t="s">
        <v>1240</v>
      </c>
      <c r="O261" s="22">
        <v>1</v>
      </c>
      <c r="P261" s="23">
        <v>1</v>
      </c>
      <c r="Q261" s="29"/>
      <c r="R261" s="23">
        <f t="shared" si="16"/>
        <v>0</v>
      </c>
      <c r="S261" s="13"/>
      <c r="T261" s="257" t="s">
        <v>1177</v>
      </c>
      <c r="U261" s="258"/>
      <c r="V261" s="19"/>
      <c r="W261" s="20"/>
      <c r="X261" s="22">
        <v>10</v>
      </c>
      <c r="Y261" s="23">
        <v>1</v>
      </c>
      <c r="Z261" s="23">
        <v>38.97</v>
      </c>
      <c r="AA261" s="23">
        <f>Y261*Z261*X261</f>
        <v>389.7</v>
      </c>
    </row>
    <row r="262" spans="1:27" ht="15" customHeight="1" x14ac:dyDescent="0.2">
      <c r="A262" s="13"/>
      <c r="B262" s="27"/>
      <c r="C262" s="19"/>
      <c r="D262" s="19"/>
      <c r="E262" s="20"/>
      <c r="F262" s="22"/>
      <c r="G262" s="22"/>
      <c r="H262" s="29"/>
      <c r="I262" s="30"/>
      <c r="J262" s="13"/>
      <c r="K262" s="153" t="s">
        <v>1220</v>
      </c>
      <c r="L262" s="19"/>
      <c r="M262" s="19"/>
      <c r="N262" s="157" t="s">
        <v>1241</v>
      </c>
      <c r="O262" s="22">
        <v>1</v>
      </c>
      <c r="P262" s="23">
        <v>1</v>
      </c>
      <c r="Q262" s="29"/>
      <c r="R262" s="23">
        <f t="shared" si="16"/>
        <v>0</v>
      </c>
      <c r="S262" s="13"/>
      <c r="T262" s="153"/>
      <c r="U262" s="19"/>
      <c r="V262" s="19"/>
      <c r="W262" s="20"/>
      <c r="X262" s="22"/>
      <c r="Y262" s="22"/>
      <c r="Z262" s="29"/>
      <c r="AA262" s="30"/>
    </row>
    <row r="263" spans="1:27" x14ac:dyDescent="0.2">
      <c r="A263" s="13"/>
      <c r="B263" s="27"/>
      <c r="C263" s="19"/>
      <c r="D263" s="19"/>
      <c r="E263" s="20"/>
      <c r="F263" s="22"/>
      <c r="G263" s="22"/>
      <c r="H263" s="29"/>
      <c r="I263" s="30"/>
      <c r="J263" s="13"/>
      <c r="K263" s="153" t="s">
        <v>1221</v>
      </c>
      <c r="L263" s="19"/>
      <c r="M263" s="19"/>
      <c r="N263" s="157" t="s">
        <v>1242</v>
      </c>
      <c r="O263" s="22">
        <v>1</v>
      </c>
      <c r="P263" s="23">
        <v>1</v>
      </c>
      <c r="Q263" s="29"/>
      <c r="R263" s="23">
        <f t="shared" si="16"/>
        <v>0</v>
      </c>
      <c r="S263" s="13"/>
      <c r="T263" s="153"/>
      <c r="U263" s="19"/>
      <c r="V263" s="19"/>
      <c r="W263" s="20"/>
      <c r="X263" s="22"/>
      <c r="Y263" s="22"/>
      <c r="Z263" s="29"/>
      <c r="AA263" s="30"/>
    </row>
    <row r="264" spans="1:27" x14ac:dyDescent="0.2">
      <c r="A264" s="13"/>
      <c r="B264" s="18"/>
      <c r="C264" s="19"/>
      <c r="D264" s="19"/>
      <c r="E264" s="20"/>
      <c r="F264" s="22"/>
      <c r="G264" s="22"/>
      <c r="H264" s="28"/>
      <c r="I264" s="23"/>
      <c r="J264" s="13"/>
      <c r="K264" s="18" t="s">
        <v>1222</v>
      </c>
      <c r="L264" s="19"/>
      <c r="M264" s="19"/>
      <c r="N264" s="20"/>
      <c r="O264" s="22">
        <v>1</v>
      </c>
      <c r="P264" s="23">
        <v>1</v>
      </c>
      <c r="Q264" s="28"/>
      <c r="R264" s="23">
        <f t="shared" si="16"/>
        <v>0</v>
      </c>
      <c r="S264" s="13"/>
      <c r="T264" s="18"/>
      <c r="U264" s="19"/>
      <c r="V264" s="19"/>
      <c r="W264" s="20"/>
      <c r="X264" s="22"/>
      <c r="Y264" s="22"/>
      <c r="Z264" s="28"/>
      <c r="AA264" s="23"/>
    </row>
    <row r="265" spans="1:27" x14ac:dyDescent="0.2">
      <c r="A265" s="13"/>
      <c r="B265" s="18"/>
      <c r="C265" s="19"/>
      <c r="D265" s="19"/>
      <c r="E265" s="20"/>
      <c r="F265" s="22"/>
      <c r="G265" s="22"/>
      <c r="H265" s="23"/>
      <c r="I265" s="23"/>
      <c r="J265" s="13"/>
      <c r="K265" s="18" t="s">
        <v>1223</v>
      </c>
      <c r="L265" s="19"/>
      <c r="M265" s="19"/>
      <c r="N265" s="20"/>
      <c r="O265" s="22">
        <v>4</v>
      </c>
      <c r="P265" s="23">
        <v>1</v>
      </c>
      <c r="Q265" s="23"/>
      <c r="R265" s="23">
        <f t="shared" si="16"/>
        <v>0</v>
      </c>
      <c r="S265" s="13"/>
      <c r="T265" s="18"/>
      <c r="U265" s="19"/>
      <c r="V265" s="19"/>
      <c r="W265" s="20"/>
      <c r="X265" s="22"/>
      <c r="Y265" s="22"/>
      <c r="Z265" s="23"/>
      <c r="AA265" s="23"/>
    </row>
    <row r="266" spans="1:27" x14ac:dyDescent="0.2">
      <c r="A266" s="13"/>
      <c r="B266" s="248" t="s">
        <v>20</v>
      </c>
      <c r="C266" s="249"/>
      <c r="D266" s="249"/>
      <c r="E266" s="250"/>
      <c r="F266" s="31"/>
      <c r="G266" s="31"/>
      <c r="H266" s="32"/>
      <c r="I266" s="32">
        <f>SUM(I259:I265)</f>
        <v>186.32999999999998</v>
      </c>
      <c r="J266" s="13"/>
      <c r="K266" s="248" t="s">
        <v>20</v>
      </c>
      <c r="L266" s="249"/>
      <c r="M266" s="249"/>
      <c r="N266" s="250"/>
      <c r="O266" s="31"/>
      <c r="P266" s="31"/>
      <c r="Q266" s="32"/>
      <c r="R266" s="32">
        <f>SUM(R258:R265)</f>
        <v>581.9</v>
      </c>
      <c r="S266" s="13"/>
      <c r="T266" s="248" t="s">
        <v>20</v>
      </c>
      <c r="U266" s="249"/>
      <c r="V266" s="249"/>
      <c r="W266" s="250"/>
      <c r="X266" s="31"/>
      <c r="Y266" s="31"/>
      <c r="Z266" s="32"/>
      <c r="AA266" s="32">
        <f>SUM(AA259:AA265)</f>
        <v>659.83999999999992</v>
      </c>
    </row>
    <row r="267" spans="1:27" x14ac:dyDescent="0.2">
      <c r="A267" s="12"/>
      <c r="B267" s="251" t="s">
        <v>21</v>
      </c>
      <c r="C267" s="252"/>
      <c r="D267" s="252"/>
      <c r="E267" s="253"/>
      <c r="F267" s="244" t="s">
        <v>22</v>
      </c>
      <c r="G267" s="244" t="s">
        <v>13</v>
      </c>
      <c r="H267" s="244" t="s">
        <v>14</v>
      </c>
      <c r="I267" s="246" t="s">
        <v>15</v>
      </c>
      <c r="J267" s="12"/>
      <c r="K267" s="251" t="s">
        <v>21</v>
      </c>
      <c r="L267" s="252"/>
      <c r="M267" s="252"/>
      <c r="N267" s="253"/>
      <c r="O267" s="244" t="s">
        <v>22</v>
      </c>
      <c r="P267" s="244" t="s">
        <v>13</v>
      </c>
      <c r="Q267" s="244" t="s">
        <v>14</v>
      </c>
      <c r="R267" s="246" t="s">
        <v>15</v>
      </c>
      <c r="S267" s="12"/>
      <c r="T267" s="251" t="s">
        <v>21</v>
      </c>
      <c r="U267" s="252"/>
      <c r="V267" s="252"/>
      <c r="W267" s="253"/>
      <c r="X267" s="244" t="s">
        <v>22</v>
      </c>
      <c r="Y267" s="244" t="s">
        <v>13</v>
      </c>
      <c r="Z267" s="244" t="s">
        <v>14</v>
      </c>
      <c r="AA267" s="246" t="s">
        <v>15</v>
      </c>
    </row>
    <row r="268" spans="1:27" x14ac:dyDescent="0.2">
      <c r="A268" s="13"/>
      <c r="B268" s="254"/>
      <c r="C268" s="255"/>
      <c r="D268" s="255"/>
      <c r="E268" s="256"/>
      <c r="F268" s="245"/>
      <c r="G268" s="245"/>
      <c r="H268" s="245"/>
      <c r="I268" s="247"/>
      <c r="J268" s="13"/>
      <c r="K268" s="254"/>
      <c r="L268" s="255"/>
      <c r="M268" s="255"/>
      <c r="N268" s="256"/>
      <c r="O268" s="245"/>
      <c r="P268" s="245"/>
      <c r="Q268" s="245"/>
      <c r="R268" s="247"/>
      <c r="S268" s="13"/>
      <c r="T268" s="254"/>
      <c r="U268" s="255"/>
      <c r="V268" s="255"/>
      <c r="W268" s="256"/>
      <c r="X268" s="245"/>
      <c r="Y268" s="245"/>
      <c r="Z268" s="245"/>
      <c r="AA268" s="247"/>
    </row>
    <row r="269" spans="1:27" x14ac:dyDescent="0.2">
      <c r="A269" s="13" t="s">
        <v>23</v>
      </c>
      <c r="B269" s="33" t="s">
        <v>24</v>
      </c>
      <c r="C269" s="15"/>
      <c r="D269" s="15"/>
      <c r="E269" s="16"/>
      <c r="F269" s="34"/>
      <c r="G269" s="34"/>
      <c r="H269" s="35"/>
      <c r="I269" s="35"/>
      <c r="J269" s="13" t="s">
        <v>23</v>
      </c>
      <c r="K269" s="33" t="s">
        <v>24</v>
      </c>
      <c r="L269" s="15"/>
      <c r="M269" s="15"/>
      <c r="N269" s="16"/>
      <c r="O269" s="34"/>
      <c r="P269" s="34"/>
      <c r="Q269" s="35"/>
      <c r="R269" s="35"/>
      <c r="S269" s="13" t="s">
        <v>23</v>
      </c>
      <c r="T269" s="33" t="s">
        <v>24</v>
      </c>
      <c r="U269" s="15"/>
      <c r="V269" s="15"/>
      <c r="W269" s="16"/>
      <c r="X269" s="34"/>
      <c r="Y269" s="34"/>
      <c r="Z269" s="35"/>
      <c r="AA269" s="35"/>
    </row>
    <row r="270" spans="1:27" x14ac:dyDescent="0.2">
      <c r="A270" s="13"/>
      <c r="B270" s="18"/>
      <c r="C270" s="19"/>
      <c r="D270" s="19"/>
      <c r="E270" s="20"/>
      <c r="F270" s="22"/>
      <c r="G270" s="22"/>
      <c r="H270" s="23"/>
      <c r="I270" s="23"/>
      <c r="J270" s="13"/>
      <c r="K270" s="18"/>
      <c r="L270" s="19"/>
      <c r="M270" s="19"/>
      <c r="N270" s="20"/>
      <c r="O270" s="22"/>
      <c r="P270" s="22"/>
      <c r="Q270" s="23"/>
      <c r="R270" s="23"/>
      <c r="S270" s="13"/>
      <c r="T270" s="18"/>
      <c r="U270" s="19"/>
      <c r="V270" s="19"/>
      <c r="W270" s="20"/>
      <c r="X270" s="22"/>
      <c r="Y270" s="22"/>
      <c r="Z270" s="23"/>
      <c r="AA270" s="23"/>
    </row>
    <row r="271" spans="1:27" ht="17.25" customHeight="1" x14ac:dyDescent="0.2">
      <c r="A271" s="13"/>
      <c r="B271" s="18" t="s">
        <v>254</v>
      </c>
      <c r="C271" s="19"/>
      <c r="D271" s="19"/>
      <c r="E271" s="20"/>
      <c r="F271" s="22">
        <v>1</v>
      </c>
      <c r="G271" s="23">
        <v>1</v>
      </c>
      <c r="H271" s="37">
        <v>936</v>
      </c>
      <c r="I271" s="37">
        <f>G271*H271*F271</f>
        <v>936</v>
      </c>
      <c r="J271" s="13"/>
      <c r="K271" s="18" t="s">
        <v>1130</v>
      </c>
      <c r="L271" s="19"/>
      <c r="M271" s="19"/>
      <c r="N271" s="20"/>
      <c r="O271" s="22">
        <v>2</v>
      </c>
      <c r="P271" s="23">
        <v>1</v>
      </c>
      <c r="Q271" s="37">
        <v>1420</v>
      </c>
      <c r="R271" s="37">
        <f>P271*Q271*O271</f>
        <v>2840</v>
      </c>
      <c r="S271" s="13"/>
      <c r="T271" s="18" t="s">
        <v>1267</v>
      </c>
      <c r="U271" s="19"/>
      <c r="V271" s="19"/>
      <c r="W271" s="20"/>
      <c r="X271" s="22">
        <v>1</v>
      </c>
      <c r="Y271" s="23">
        <v>1</v>
      </c>
      <c r="Z271" s="37">
        <v>6765</v>
      </c>
      <c r="AA271" s="37">
        <f t="shared" ref="AA271:AA274" si="17">Y271*Z271*X271</f>
        <v>6765</v>
      </c>
    </row>
    <row r="272" spans="1:27" ht="17.25" customHeight="1" x14ac:dyDescent="0.2">
      <c r="A272" s="13"/>
      <c r="B272" s="18" t="s">
        <v>288</v>
      </c>
      <c r="C272" s="19"/>
      <c r="D272" s="19"/>
      <c r="E272" s="20"/>
      <c r="F272" s="22">
        <v>1</v>
      </c>
      <c r="G272" s="23">
        <v>1</v>
      </c>
      <c r="H272" s="37">
        <v>130.54</v>
      </c>
      <c r="I272" s="37">
        <f>G272*H272*F272</f>
        <v>130.54</v>
      </c>
      <c r="J272" s="13"/>
      <c r="K272" s="18" t="s">
        <v>300</v>
      </c>
      <c r="L272" s="19"/>
      <c r="M272" s="19"/>
      <c r="N272" s="20"/>
      <c r="O272" s="22">
        <v>1</v>
      </c>
      <c r="P272" s="23">
        <v>1</v>
      </c>
      <c r="Q272" s="37">
        <v>4286.63</v>
      </c>
      <c r="R272" s="37">
        <f>P272*Q272*O272</f>
        <v>4286.63</v>
      </c>
      <c r="S272" s="13"/>
      <c r="T272" s="18" t="s">
        <v>255</v>
      </c>
      <c r="U272" s="19"/>
      <c r="V272" s="19"/>
      <c r="W272" s="20"/>
      <c r="X272" s="22">
        <v>1</v>
      </c>
      <c r="Y272" s="23">
        <v>1</v>
      </c>
      <c r="Z272" s="37">
        <v>545</v>
      </c>
      <c r="AA272" s="37">
        <f t="shared" si="17"/>
        <v>545</v>
      </c>
    </row>
    <row r="273" spans="1:27" x14ac:dyDescent="0.2">
      <c r="A273" s="13"/>
      <c r="B273" s="18"/>
      <c r="C273" s="19"/>
      <c r="D273" s="19"/>
      <c r="E273" s="20"/>
      <c r="F273" s="22"/>
      <c r="G273" s="23"/>
      <c r="H273" s="37"/>
      <c r="I273" s="37"/>
      <c r="J273" s="13"/>
      <c r="K273" s="18" t="s">
        <v>1174</v>
      </c>
      <c r="L273" s="19"/>
      <c r="M273" s="19"/>
      <c r="N273" s="20"/>
      <c r="O273" s="22">
        <v>1</v>
      </c>
      <c r="P273" s="23">
        <v>1</v>
      </c>
      <c r="Q273" s="37">
        <v>2450</v>
      </c>
      <c r="R273" s="37">
        <f>P273*Q273*O273</f>
        <v>2450</v>
      </c>
      <c r="S273" s="13"/>
      <c r="T273" s="18" t="s">
        <v>1266</v>
      </c>
      <c r="U273" s="19"/>
      <c r="V273" s="19"/>
      <c r="W273" s="20"/>
      <c r="X273" s="22">
        <v>1</v>
      </c>
      <c r="Y273" s="23">
        <v>0.1</v>
      </c>
      <c r="Z273" s="37">
        <v>91.25</v>
      </c>
      <c r="AA273" s="37">
        <f t="shared" si="17"/>
        <v>9.125</v>
      </c>
    </row>
    <row r="274" spans="1:27" x14ac:dyDescent="0.2">
      <c r="A274" s="13"/>
      <c r="B274" s="18"/>
      <c r="F274" s="22"/>
      <c r="G274" s="36"/>
      <c r="H274" s="37"/>
      <c r="I274" s="37"/>
      <c r="J274" s="13"/>
      <c r="K274" s="18" t="s">
        <v>257</v>
      </c>
      <c r="L274" s="19"/>
      <c r="M274" s="19"/>
      <c r="N274" s="20"/>
      <c r="O274" s="22">
        <v>1</v>
      </c>
      <c r="P274" s="23">
        <v>1</v>
      </c>
      <c r="Q274" s="37">
        <v>1733</v>
      </c>
      <c r="R274" s="37">
        <f>P274*Q274*O274</f>
        <v>1733</v>
      </c>
      <c r="S274" s="13"/>
      <c r="T274" s="18" t="s">
        <v>404</v>
      </c>
      <c r="U274" s="19"/>
      <c r="V274" s="19"/>
      <c r="W274" s="20"/>
      <c r="X274" s="22">
        <v>1</v>
      </c>
      <c r="Y274" s="23">
        <v>0.1</v>
      </c>
      <c r="Z274" s="37">
        <v>219.75</v>
      </c>
      <c r="AA274" s="37">
        <f t="shared" si="17"/>
        <v>21.975000000000001</v>
      </c>
    </row>
    <row r="275" spans="1:27" x14ac:dyDescent="0.2">
      <c r="A275" s="13"/>
      <c r="B275" s="18"/>
      <c r="C275" s="19"/>
      <c r="D275" s="19"/>
      <c r="E275" s="20"/>
      <c r="F275" s="22"/>
      <c r="G275" s="36"/>
      <c r="H275" s="37"/>
      <c r="I275" s="37"/>
      <c r="J275" s="13"/>
      <c r="K275" s="18" t="s">
        <v>1192</v>
      </c>
      <c r="L275" s="19"/>
      <c r="M275" s="19"/>
      <c r="N275" s="20"/>
      <c r="O275" s="22"/>
      <c r="P275" s="36"/>
      <c r="R275" s="37">
        <f>0.1*R266</f>
        <v>58.19</v>
      </c>
      <c r="S275" s="13"/>
      <c r="T275" s="18"/>
      <c r="U275" s="19"/>
      <c r="V275" s="19"/>
      <c r="W275" s="20"/>
      <c r="X275" s="22"/>
      <c r="Y275" s="36"/>
      <c r="Z275" s="3"/>
      <c r="AA275" s="37"/>
    </row>
    <row r="276" spans="1:27" x14ac:dyDescent="0.2">
      <c r="A276" s="13"/>
      <c r="B276" s="18"/>
      <c r="C276" s="19"/>
      <c r="D276" s="19"/>
      <c r="E276" s="20"/>
      <c r="F276" s="22"/>
      <c r="G276" s="36"/>
      <c r="H276" s="38"/>
      <c r="I276" s="38"/>
      <c r="J276" s="13"/>
      <c r="K276" s="18"/>
      <c r="L276" s="19"/>
      <c r="M276" s="19"/>
      <c r="N276" s="20"/>
      <c r="O276" s="22"/>
      <c r="P276" s="36"/>
      <c r="Q276" s="37"/>
      <c r="R276" s="37"/>
      <c r="S276" s="13"/>
      <c r="T276" s="18"/>
      <c r="U276" s="19"/>
      <c r="V276" s="19"/>
      <c r="W276" s="20"/>
      <c r="X276" s="22"/>
      <c r="Y276" s="23"/>
      <c r="Z276" s="37"/>
      <c r="AA276" s="37"/>
    </row>
    <row r="277" spans="1:27" x14ac:dyDescent="0.2">
      <c r="A277" s="13"/>
      <c r="B277" s="18"/>
      <c r="C277" s="19"/>
      <c r="D277" s="19"/>
      <c r="E277" s="20"/>
      <c r="F277" s="22"/>
      <c r="G277" s="36"/>
      <c r="H277" s="38"/>
      <c r="I277" s="38"/>
      <c r="J277" s="13"/>
      <c r="K277" s="18"/>
      <c r="L277" s="19"/>
      <c r="M277" s="19"/>
      <c r="N277" s="20"/>
      <c r="O277" s="22"/>
      <c r="P277" s="36"/>
      <c r="Q277" s="37"/>
      <c r="R277" s="37"/>
      <c r="S277" s="13"/>
      <c r="T277" s="18"/>
      <c r="U277" s="19"/>
      <c r="V277" s="19"/>
      <c r="W277" s="20"/>
      <c r="X277" s="22"/>
      <c r="Y277" s="23"/>
      <c r="Z277" s="37"/>
      <c r="AA277" s="37"/>
    </row>
    <row r="278" spans="1:27" x14ac:dyDescent="0.2">
      <c r="A278" s="13"/>
      <c r="B278" s="18"/>
      <c r="C278" s="19"/>
      <c r="D278" s="19"/>
      <c r="E278" s="20"/>
      <c r="F278" s="22"/>
      <c r="G278" s="36"/>
      <c r="H278" s="38"/>
      <c r="I278" s="38"/>
      <c r="J278" s="13"/>
      <c r="K278" s="18"/>
      <c r="L278" s="19"/>
      <c r="M278" s="19"/>
      <c r="N278" s="20"/>
      <c r="O278" s="22"/>
      <c r="P278" s="36"/>
      <c r="Q278" s="37"/>
      <c r="R278" s="37"/>
      <c r="S278" s="13"/>
      <c r="T278" s="18"/>
      <c r="U278" s="19"/>
      <c r="V278" s="19"/>
      <c r="W278" s="20"/>
      <c r="X278" s="22"/>
      <c r="Y278" s="23"/>
      <c r="Z278" s="37"/>
      <c r="AA278" s="37"/>
    </row>
    <row r="279" spans="1:27" x14ac:dyDescent="0.2">
      <c r="A279" s="13"/>
      <c r="B279" s="18"/>
      <c r="C279" s="19"/>
      <c r="D279" s="19"/>
      <c r="E279" s="20"/>
      <c r="F279" s="22"/>
      <c r="G279" s="36"/>
      <c r="H279" s="38"/>
      <c r="I279" s="38"/>
      <c r="J279" s="13"/>
      <c r="K279" s="18"/>
      <c r="L279" s="19"/>
      <c r="M279" s="19"/>
      <c r="N279" s="20"/>
      <c r="O279" s="22"/>
      <c r="P279" s="36"/>
      <c r="Q279" s="38"/>
      <c r="R279" s="38"/>
      <c r="S279" s="13"/>
      <c r="X279" s="72"/>
      <c r="Y279" s="72"/>
      <c r="Z279" s="72"/>
      <c r="AA279" s="72"/>
    </row>
    <row r="280" spans="1:27" x14ac:dyDescent="0.2">
      <c r="A280" s="13"/>
      <c r="B280" s="18"/>
      <c r="C280" s="19"/>
      <c r="D280" s="19"/>
      <c r="E280" s="20"/>
      <c r="F280" s="22"/>
      <c r="G280" s="36"/>
      <c r="H280" s="37"/>
      <c r="I280" s="37"/>
      <c r="J280" s="13"/>
      <c r="K280" s="18"/>
      <c r="L280" s="19"/>
      <c r="M280" s="19"/>
      <c r="N280" s="20"/>
      <c r="O280" s="22"/>
      <c r="P280" s="36"/>
      <c r="Q280" s="37"/>
      <c r="R280" s="37"/>
      <c r="S280" s="13"/>
      <c r="X280" s="72"/>
      <c r="Y280" s="72"/>
      <c r="Z280" s="30"/>
      <c r="AA280" s="30"/>
    </row>
    <row r="281" spans="1:27" x14ac:dyDescent="0.2">
      <c r="A281" s="13"/>
      <c r="B281" s="18"/>
      <c r="C281" s="19"/>
      <c r="D281" s="19"/>
      <c r="E281" s="20"/>
      <c r="F281" s="22"/>
      <c r="G281" s="36"/>
      <c r="H281" s="37"/>
      <c r="I281" s="37"/>
      <c r="J281" s="13"/>
      <c r="K281" s="18"/>
      <c r="L281" s="19"/>
      <c r="M281" s="19"/>
      <c r="N281" s="20"/>
      <c r="O281" s="22"/>
      <c r="P281" s="36"/>
      <c r="Q281" s="37"/>
      <c r="R281" s="37"/>
      <c r="S281" s="13"/>
      <c r="T281" s="18"/>
      <c r="U281" s="19"/>
      <c r="V281" s="19"/>
      <c r="W281" s="20"/>
      <c r="X281" s="22"/>
      <c r="Y281" s="36"/>
      <c r="Z281" s="37"/>
      <c r="AA281" s="37"/>
    </row>
    <row r="282" spans="1:27" ht="15" customHeight="1" x14ac:dyDescent="0.2">
      <c r="A282" s="13"/>
      <c r="B282" s="18"/>
      <c r="C282" s="19"/>
      <c r="D282" s="19"/>
      <c r="E282" s="20"/>
      <c r="F282" s="22"/>
      <c r="G282" s="36"/>
      <c r="H282" s="37"/>
      <c r="I282" s="37"/>
      <c r="J282" s="13"/>
      <c r="K282" s="18"/>
      <c r="L282" s="19"/>
      <c r="M282" s="19"/>
      <c r="N282" s="20"/>
      <c r="O282" s="22"/>
      <c r="P282" s="36"/>
      <c r="Q282" s="37"/>
      <c r="R282" s="37"/>
      <c r="S282" s="13"/>
      <c r="T282" s="18"/>
      <c r="U282" s="19"/>
      <c r="V282" s="19"/>
      <c r="W282" s="20"/>
      <c r="X282" s="22"/>
      <c r="Y282" s="36"/>
      <c r="Z282" s="37"/>
      <c r="AA282" s="37"/>
    </row>
    <row r="283" spans="1:27" x14ac:dyDescent="0.2">
      <c r="A283" s="13"/>
      <c r="B283" s="18"/>
      <c r="C283" s="19"/>
      <c r="D283" s="19"/>
      <c r="E283" s="20"/>
      <c r="F283" s="22"/>
      <c r="G283" s="22"/>
      <c r="H283" s="23"/>
      <c r="I283" s="23"/>
      <c r="J283" s="13"/>
      <c r="K283" s="18"/>
      <c r="L283" s="19"/>
      <c r="M283" s="19"/>
      <c r="N283" s="20"/>
      <c r="O283" s="22"/>
      <c r="P283" s="22"/>
      <c r="Q283" s="23"/>
      <c r="R283" s="23"/>
      <c r="S283" s="13"/>
      <c r="T283" s="18"/>
      <c r="U283" s="19"/>
      <c r="V283" s="19"/>
      <c r="W283" s="20"/>
      <c r="X283" s="22"/>
      <c r="Y283" s="22"/>
      <c r="Z283" s="23"/>
      <c r="AA283" s="23"/>
    </row>
    <row r="284" spans="1:27" x14ac:dyDescent="0.2">
      <c r="A284" s="13"/>
      <c r="B284" s="248" t="s">
        <v>30</v>
      </c>
      <c r="C284" s="249"/>
      <c r="D284" s="249"/>
      <c r="E284" s="250"/>
      <c r="F284" s="22"/>
      <c r="G284" s="22"/>
      <c r="H284" s="23"/>
      <c r="I284" s="23">
        <f>SUM(I271:I283)</f>
        <v>1066.54</v>
      </c>
      <c r="J284" s="13"/>
      <c r="K284" s="248" t="s">
        <v>30</v>
      </c>
      <c r="L284" s="249"/>
      <c r="M284" s="249"/>
      <c r="N284" s="250"/>
      <c r="O284" s="22"/>
      <c r="P284" s="22"/>
      <c r="Q284" s="23"/>
      <c r="R284" s="23">
        <f>SUM(R271:R283)</f>
        <v>11367.820000000002</v>
      </c>
      <c r="S284" s="13"/>
      <c r="T284" s="248" t="s">
        <v>30</v>
      </c>
      <c r="U284" s="249"/>
      <c r="V284" s="249"/>
      <c r="W284" s="250"/>
      <c r="X284" s="22"/>
      <c r="Y284" s="22"/>
      <c r="Z284" s="23"/>
      <c r="AA284" s="23">
        <f>SUM(AA271:AA283)</f>
        <v>7341.1</v>
      </c>
    </row>
    <row r="285" spans="1:27" x14ac:dyDescent="0.2">
      <c r="A285" s="12" t="s">
        <v>31</v>
      </c>
      <c r="B285" s="260" t="s">
        <v>32</v>
      </c>
      <c r="C285" s="261"/>
      <c r="D285" s="261"/>
      <c r="E285" s="261"/>
      <c r="F285" s="39"/>
      <c r="G285" s="39"/>
      <c r="H285" s="40"/>
      <c r="I285" s="41">
        <f>SUM(I284+I266)</f>
        <v>1252.8699999999999</v>
      </c>
      <c r="J285" s="12" t="s">
        <v>31</v>
      </c>
      <c r="K285" s="260" t="s">
        <v>32</v>
      </c>
      <c r="L285" s="261"/>
      <c r="M285" s="261"/>
      <c r="N285" s="261"/>
      <c r="O285" s="151"/>
      <c r="P285" s="151"/>
      <c r="Q285" s="40"/>
      <c r="R285" s="41">
        <f>SUM(R284+R266)</f>
        <v>11949.720000000001</v>
      </c>
      <c r="S285" s="12" t="s">
        <v>31</v>
      </c>
      <c r="T285" s="260" t="s">
        <v>32</v>
      </c>
      <c r="U285" s="261"/>
      <c r="V285" s="261"/>
      <c r="W285" s="261"/>
      <c r="X285" s="151"/>
      <c r="Y285" s="151"/>
      <c r="Z285" s="40"/>
      <c r="AA285" s="41">
        <f>SUM(AA284+AA266)</f>
        <v>8000.9400000000005</v>
      </c>
    </row>
    <row r="286" spans="1:27" x14ac:dyDescent="0.2">
      <c r="A286" s="13" t="s">
        <v>33</v>
      </c>
      <c r="B286" s="309">
        <f>E253</f>
        <v>0.3</v>
      </c>
      <c r="C286" s="310"/>
      <c r="D286" s="310"/>
      <c r="E286" s="310"/>
      <c r="F286" s="310"/>
      <c r="G286" s="310"/>
      <c r="H286" s="40"/>
      <c r="I286" s="41"/>
      <c r="J286" s="13" t="s">
        <v>33</v>
      </c>
      <c r="K286" s="311">
        <f>N253</f>
        <v>171.3</v>
      </c>
      <c r="L286" s="312"/>
      <c r="M286" s="312"/>
      <c r="N286" s="312"/>
      <c r="O286" s="312"/>
      <c r="P286" s="312"/>
      <c r="Q286" s="40"/>
      <c r="R286" s="41"/>
      <c r="S286" s="13" t="s">
        <v>33</v>
      </c>
      <c r="T286" s="305">
        <f>W253</f>
        <v>100</v>
      </c>
      <c r="U286" s="306"/>
      <c r="V286" s="306"/>
      <c r="W286" s="306"/>
      <c r="X286" s="306"/>
      <c r="Y286" s="306"/>
      <c r="Z286" s="40"/>
      <c r="AA286" s="41"/>
    </row>
    <row r="287" spans="1:27" x14ac:dyDescent="0.2">
      <c r="A287" s="13" t="s">
        <v>34</v>
      </c>
      <c r="B287" s="42" t="s">
        <v>35</v>
      </c>
      <c r="C287" s="43"/>
      <c r="D287" s="43"/>
      <c r="E287" s="39"/>
      <c r="F287" s="44"/>
      <c r="G287" s="44"/>
      <c r="H287" s="40"/>
      <c r="I287" s="41">
        <f>I285/E253</f>
        <v>4176.2333333333336</v>
      </c>
      <c r="J287" s="13" t="s">
        <v>34</v>
      </c>
      <c r="K287" s="155" t="s">
        <v>35</v>
      </c>
      <c r="L287" s="43"/>
      <c r="M287" s="43"/>
      <c r="N287" s="151"/>
      <c r="O287" s="156"/>
      <c r="P287" s="156"/>
      <c r="Q287" s="40"/>
      <c r="R287" s="41">
        <f>R285/N253</f>
        <v>69.759019264448341</v>
      </c>
      <c r="S287" s="13" t="s">
        <v>34</v>
      </c>
      <c r="T287" s="155" t="s">
        <v>35</v>
      </c>
      <c r="U287" s="43"/>
      <c r="V287" s="43"/>
      <c r="W287" s="151"/>
      <c r="X287" s="156"/>
      <c r="Y287" s="156"/>
      <c r="Z287" s="40"/>
      <c r="AA287" s="41">
        <f>AA285/W253</f>
        <v>80.009399999999999</v>
      </c>
    </row>
    <row r="288" spans="1:27" x14ac:dyDescent="0.2">
      <c r="A288" s="12"/>
      <c r="B288" s="251" t="s">
        <v>36</v>
      </c>
      <c r="C288" s="252"/>
      <c r="D288" s="252"/>
      <c r="E288" s="253"/>
      <c r="F288" s="244" t="s">
        <v>37</v>
      </c>
      <c r="G288" s="244" t="s">
        <v>38</v>
      </c>
      <c r="H288" s="244" t="s">
        <v>39</v>
      </c>
      <c r="I288" s="246" t="s">
        <v>15</v>
      </c>
      <c r="J288" s="12"/>
      <c r="K288" s="251" t="s">
        <v>36</v>
      </c>
      <c r="L288" s="252"/>
      <c r="M288" s="252"/>
      <c r="N288" s="253"/>
      <c r="O288" s="244" t="s">
        <v>37</v>
      </c>
      <c r="P288" s="244" t="s">
        <v>38</v>
      </c>
      <c r="Q288" s="244" t="s">
        <v>39</v>
      </c>
      <c r="R288" s="246" t="s">
        <v>15</v>
      </c>
      <c r="S288" s="12"/>
      <c r="T288" s="251" t="s">
        <v>36</v>
      </c>
      <c r="U288" s="252"/>
      <c r="V288" s="252"/>
      <c r="W288" s="253"/>
      <c r="X288" s="244" t="s">
        <v>37</v>
      </c>
      <c r="Y288" s="244" t="s">
        <v>38</v>
      </c>
      <c r="Z288" s="244" t="s">
        <v>39</v>
      </c>
      <c r="AA288" s="246" t="s">
        <v>15</v>
      </c>
    </row>
    <row r="289" spans="1:27" x14ac:dyDescent="0.2">
      <c r="A289" s="13"/>
      <c r="B289" s="254"/>
      <c r="C289" s="255"/>
      <c r="D289" s="255"/>
      <c r="E289" s="256"/>
      <c r="F289" s="245"/>
      <c r="G289" s="245"/>
      <c r="H289" s="245"/>
      <c r="I289" s="247"/>
      <c r="J289" s="13"/>
      <c r="K289" s="254"/>
      <c r="L289" s="255"/>
      <c r="M289" s="255"/>
      <c r="N289" s="256"/>
      <c r="O289" s="245"/>
      <c r="P289" s="245"/>
      <c r="Q289" s="245"/>
      <c r="R289" s="247"/>
      <c r="S289" s="13"/>
      <c r="T289" s="254"/>
      <c r="U289" s="255"/>
      <c r="V289" s="255"/>
      <c r="W289" s="256"/>
      <c r="X289" s="245"/>
      <c r="Y289" s="245"/>
      <c r="Z289" s="245"/>
      <c r="AA289" s="247"/>
    </row>
    <row r="290" spans="1:27" x14ac:dyDescent="0.2">
      <c r="A290" s="13" t="s">
        <v>40</v>
      </c>
      <c r="B290" s="18" t="s">
        <v>41</v>
      </c>
      <c r="C290" s="19"/>
      <c r="D290" s="19"/>
      <c r="E290" s="20"/>
      <c r="F290" s="22"/>
      <c r="G290" s="22"/>
      <c r="H290" s="23"/>
      <c r="I290" s="23"/>
      <c r="J290" s="13" t="s">
        <v>40</v>
      </c>
      <c r="K290" s="18" t="s">
        <v>41</v>
      </c>
      <c r="L290" s="19"/>
      <c r="M290" s="19"/>
      <c r="N290" s="20"/>
      <c r="O290" s="22"/>
      <c r="P290" s="22"/>
      <c r="Q290" s="23"/>
      <c r="R290" s="23"/>
      <c r="S290" s="13" t="s">
        <v>40</v>
      </c>
      <c r="T290" s="18" t="s">
        <v>41</v>
      </c>
      <c r="U290" s="19"/>
      <c r="V290" s="19"/>
      <c r="W290" s="20"/>
      <c r="X290" s="22"/>
      <c r="Y290" s="22"/>
      <c r="Z290" s="23"/>
      <c r="AA290" s="23"/>
    </row>
    <row r="291" spans="1:27" x14ac:dyDescent="0.2">
      <c r="A291" s="13"/>
      <c r="B291" s="18"/>
      <c r="C291" s="19"/>
      <c r="D291" s="19"/>
      <c r="E291" s="20"/>
      <c r="F291" s="22"/>
      <c r="G291" s="22"/>
      <c r="H291" s="23"/>
      <c r="I291" s="23"/>
      <c r="J291" s="13"/>
      <c r="K291" s="18"/>
      <c r="L291" s="19"/>
      <c r="M291" s="19"/>
      <c r="N291" s="20"/>
      <c r="O291" s="22"/>
      <c r="P291" s="22"/>
      <c r="Q291" s="23"/>
      <c r="R291" s="23"/>
      <c r="S291" s="13"/>
      <c r="T291" s="18"/>
      <c r="U291" s="19"/>
      <c r="V291" s="19"/>
      <c r="W291" s="20"/>
      <c r="X291" s="22"/>
      <c r="Y291" s="22"/>
      <c r="Z291" s="23"/>
      <c r="AA291" s="23"/>
    </row>
    <row r="292" spans="1:27" x14ac:dyDescent="0.2">
      <c r="A292" s="13"/>
      <c r="B292" s="18" t="s">
        <v>301</v>
      </c>
      <c r="C292" s="66"/>
      <c r="D292" s="19"/>
      <c r="E292" s="20"/>
      <c r="F292" s="62" t="s">
        <v>239</v>
      </c>
      <c r="G292" s="62">
        <v>1.05</v>
      </c>
      <c r="H292" s="107">
        <v>41575</v>
      </c>
      <c r="I292" s="23">
        <f>H292*G292</f>
        <v>43653.75</v>
      </c>
      <c r="J292" s="13"/>
      <c r="K292" s="18" t="s">
        <v>302</v>
      </c>
      <c r="L292" s="66"/>
      <c r="M292" s="19"/>
      <c r="N292" s="20"/>
      <c r="O292" s="22" t="s">
        <v>282</v>
      </c>
      <c r="P292" s="69">
        <v>1.226E-2</v>
      </c>
      <c r="Q292" s="107">
        <v>40300</v>
      </c>
      <c r="R292" s="23">
        <f>P292*Q292</f>
        <v>494.07799999999997</v>
      </c>
      <c r="S292" s="13"/>
      <c r="T292" s="18" t="s">
        <v>263</v>
      </c>
      <c r="U292" s="66"/>
      <c r="V292" s="19"/>
      <c r="W292" s="20"/>
      <c r="X292" s="22" t="s">
        <v>77</v>
      </c>
      <c r="Y292" s="22">
        <v>0.45</v>
      </c>
      <c r="Z292" s="107">
        <v>40</v>
      </c>
      <c r="AA292" s="23">
        <f>Y292*Z292</f>
        <v>18</v>
      </c>
    </row>
    <row r="293" spans="1:27" x14ac:dyDescent="0.2">
      <c r="A293" s="13"/>
      <c r="B293" s="18" t="s">
        <v>283</v>
      </c>
      <c r="C293" s="66"/>
      <c r="D293" s="19"/>
      <c r="E293" s="20"/>
      <c r="F293" s="22"/>
      <c r="G293" s="22"/>
      <c r="H293" s="23"/>
      <c r="I293" s="23"/>
      <c r="J293" s="13"/>
      <c r="K293" s="18" t="s">
        <v>1243</v>
      </c>
      <c r="L293" s="66"/>
      <c r="M293" s="19"/>
      <c r="N293" s="20"/>
      <c r="O293" s="22" t="s">
        <v>9</v>
      </c>
      <c r="P293" s="22">
        <v>4.1000000000000002E-2</v>
      </c>
      <c r="Q293" s="107">
        <v>650</v>
      </c>
      <c r="R293" s="23">
        <f>P293*Q293</f>
        <v>26.650000000000002</v>
      </c>
      <c r="S293" s="13"/>
      <c r="T293" s="18" t="s">
        <v>264</v>
      </c>
      <c r="U293" s="66"/>
      <c r="V293" s="19"/>
      <c r="W293" s="20"/>
      <c r="X293" s="22" t="s">
        <v>1216</v>
      </c>
      <c r="Y293" s="22">
        <v>0.28999999999999998</v>
      </c>
      <c r="Z293" s="107">
        <v>28</v>
      </c>
      <c r="AA293" s="23">
        <f t="shared" ref="AA293:AA298" si="18">Y293*Z293</f>
        <v>8.1199999999999992</v>
      </c>
    </row>
    <row r="294" spans="1:27" x14ac:dyDescent="0.2">
      <c r="A294" s="13"/>
      <c r="B294" s="18"/>
      <c r="C294" s="19"/>
      <c r="D294" s="19"/>
      <c r="E294" s="20"/>
      <c r="F294" s="22"/>
      <c r="G294" s="22"/>
      <c r="H294" s="38"/>
      <c r="I294" s="38"/>
      <c r="J294" s="13"/>
      <c r="K294" s="18" t="s">
        <v>1244</v>
      </c>
      <c r="L294" s="66"/>
      <c r="M294" s="19"/>
      <c r="N294" s="20"/>
      <c r="O294" s="22" t="s">
        <v>9</v>
      </c>
      <c r="P294" s="22">
        <v>0.01</v>
      </c>
      <c r="Q294" s="107">
        <v>650</v>
      </c>
      <c r="R294" s="23">
        <f>P294*Q294</f>
        <v>6.5</v>
      </c>
      <c r="S294" s="13"/>
      <c r="T294" s="18" t="s">
        <v>266</v>
      </c>
      <c r="U294" s="19"/>
      <c r="V294" s="19"/>
      <c r="W294" s="20"/>
      <c r="X294" s="22" t="s">
        <v>1216</v>
      </c>
      <c r="Y294" s="22">
        <v>0.15</v>
      </c>
      <c r="Z294" s="107">
        <f>44000/1000</f>
        <v>44</v>
      </c>
      <c r="AA294" s="23">
        <f t="shared" si="18"/>
        <v>6.6</v>
      </c>
    </row>
    <row r="295" spans="1:27" x14ac:dyDescent="0.2">
      <c r="A295" s="13"/>
      <c r="B295" s="18"/>
      <c r="C295" s="19"/>
      <c r="D295" s="19"/>
      <c r="E295" s="20"/>
      <c r="F295" s="22"/>
      <c r="G295" s="22"/>
      <c r="H295" s="38"/>
      <c r="I295" s="38"/>
      <c r="J295" s="13"/>
      <c r="K295" s="18" t="s">
        <v>1213</v>
      </c>
      <c r="L295" s="19"/>
      <c r="M295" s="19"/>
      <c r="N295" s="20"/>
      <c r="O295" s="22" t="s">
        <v>227</v>
      </c>
      <c r="P295" s="22">
        <v>0.13</v>
      </c>
      <c r="Q295" s="107">
        <v>240.56</v>
      </c>
      <c r="R295" s="23">
        <f>P295*Q295</f>
        <v>31.2728</v>
      </c>
      <c r="S295" s="13"/>
      <c r="T295" s="18" t="s">
        <v>1259</v>
      </c>
      <c r="U295" s="19"/>
      <c r="V295" s="19"/>
      <c r="W295" s="20"/>
      <c r="X295" s="22" t="s">
        <v>9</v>
      </c>
      <c r="Y295" s="22">
        <v>0.25</v>
      </c>
      <c r="Z295" s="107">
        <v>850</v>
      </c>
      <c r="AA295" s="23">
        <f t="shared" si="18"/>
        <v>212.5</v>
      </c>
    </row>
    <row r="296" spans="1:27" x14ac:dyDescent="0.2">
      <c r="A296" s="13"/>
      <c r="B296" s="18"/>
      <c r="C296" s="19"/>
      <c r="D296" s="19"/>
      <c r="E296" s="20"/>
      <c r="F296" s="22"/>
      <c r="G296" s="22"/>
      <c r="H296" s="45"/>
      <c r="I296" s="45"/>
      <c r="J296" s="13"/>
      <c r="K296" s="18" t="s">
        <v>1215</v>
      </c>
      <c r="L296" s="19"/>
      <c r="M296" s="19"/>
      <c r="N296" s="20"/>
      <c r="O296" s="22" t="s">
        <v>1216</v>
      </c>
      <c r="P296" s="22">
        <v>1.165</v>
      </c>
      <c r="Q296" s="107">
        <v>240.56</v>
      </c>
      <c r="R296" s="23">
        <f>P296*Q296</f>
        <v>280.25240000000002</v>
      </c>
      <c r="S296" s="13"/>
      <c r="T296" s="18" t="s">
        <v>1260</v>
      </c>
      <c r="U296" s="19"/>
      <c r="V296" s="19"/>
      <c r="W296" s="20"/>
      <c r="X296" s="22" t="s">
        <v>80</v>
      </c>
      <c r="Y296" s="22">
        <v>1.4999999999999999E-4</v>
      </c>
      <c r="Z296" s="107">
        <v>8000</v>
      </c>
      <c r="AA296" s="23">
        <f t="shared" si="18"/>
        <v>1.2</v>
      </c>
    </row>
    <row r="297" spans="1:27" x14ac:dyDescent="0.2">
      <c r="A297" s="13"/>
      <c r="B297" s="18"/>
      <c r="C297" s="19"/>
      <c r="D297" s="19"/>
      <c r="E297" s="20"/>
      <c r="F297" s="22"/>
      <c r="G297" s="22"/>
      <c r="H297" s="45"/>
      <c r="I297" s="45"/>
      <c r="J297" s="13"/>
      <c r="K297" s="18"/>
      <c r="L297" s="19"/>
      <c r="M297" s="19"/>
      <c r="N297" s="20"/>
      <c r="O297" s="22"/>
      <c r="P297" s="22"/>
      <c r="Q297" s="45"/>
      <c r="R297" s="45"/>
      <c r="S297" s="13"/>
      <c r="T297" s="18" t="s">
        <v>1261</v>
      </c>
      <c r="U297" s="19"/>
      <c r="V297" s="19"/>
      <c r="W297" s="20"/>
      <c r="X297" s="22" t="s">
        <v>1153</v>
      </c>
      <c r="Y297" s="22">
        <v>7.7999999999999996E-3</v>
      </c>
      <c r="Z297" s="107">
        <v>34.33</v>
      </c>
      <c r="AA297" s="23">
        <f t="shared" si="18"/>
        <v>0.26777399999999996</v>
      </c>
    </row>
    <row r="298" spans="1:27" ht="15" customHeight="1" x14ac:dyDescent="0.2">
      <c r="A298" s="13"/>
      <c r="B298" s="18"/>
      <c r="C298" s="19"/>
      <c r="D298" s="19"/>
      <c r="E298" s="20"/>
      <c r="F298" s="22"/>
      <c r="G298" s="22"/>
      <c r="H298" s="23"/>
      <c r="I298" s="23"/>
      <c r="J298" s="13"/>
      <c r="K298" s="18"/>
      <c r="L298" s="19"/>
      <c r="M298" s="19"/>
      <c r="N298" s="20"/>
      <c r="O298" s="22"/>
      <c r="P298" s="22"/>
      <c r="Q298" s="23"/>
      <c r="R298" s="23"/>
      <c r="S298" s="13"/>
      <c r="T298" s="18" t="s">
        <v>1262</v>
      </c>
      <c r="U298" s="19"/>
      <c r="V298" s="19"/>
      <c r="W298" s="20"/>
      <c r="X298" s="22" t="s">
        <v>1216</v>
      </c>
      <c r="Y298" s="22">
        <v>9.4999999999999998E-3</v>
      </c>
      <c r="Z298" s="107">
        <v>300</v>
      </c>
      <c r="AA298" s="23">
        <f t="shared" si="18"/>
        <v>2.85</v>
      </c>
    </row>
    <row r="299" spans="1:27" x14ac:dyDescent="0.2">
      <c r="A299" s="13"/>
      <c r="B299" s="18"/>
      <c r="C299" s="19"/>
      <c r="D299" s="19"/>
      <c r="E299" s="20"/>
      <c r="F299" s="22"/>
      <c r="G299" s="22"/>
      <c r="H299" s="23"/>
      <c r="I299" s="23"/>
      <c r="J299" s="13"/>
      <c r="K299" s="18"/>
      <c r="L299" s="19"/>
      <c r="M299" s="19"/>
      <c r="N299" s="20"/>
      <c r="O299" s="22"/>
      <c r="P299" s="22"/>
      <c r="Q299" s="23"/>
      <c r="R299" s="23"/>
      <c r="S299" s="13"/>
      <c r="T299" s="18"/>
      <c r="U299" s="19"/>
      <c r="V299" s="19"/>
      <c r="W299" s="20"/>
      <c r="X299" s="22"/>
      <c r="Y299" s="22"/>
      <c r="Z299" s="23"/>
      <c r="AA299" s="23"/>
    </row>
    <row r="300" spans="1:27" x14ac:dyDescent="0.2">
      <c r="A300" s="13"/>
      <c r="B300" s="18"/>
      <c r="C300" s="19"/>
      <c r="D300" s="19"/>
      <c r="E300" s="20"/>
      <c r="F300" s="22"/>
      <c r="G300" s="22"/>
      <c r="H300" s="23"/>
      <c r="I300" s="23"/>
      <c r="J300" s="13"/>
      <c r="K300" s="18"/>
      <c r="L300" s="19"/>
      <c r="M300" s="19"/>
      <c r="N300" s="20"/>
      <c r="O300" s="22"/>
      <c r="P300" s="22"/>
      <c r="Q300" s="23"/>
      <c r="R300" s="23"/>
      <c r="S300" s="13"/>
      <c r="T300" s="18"/>
      <c r="U300" s="19"/>
      <c r="V300" s="19"/>
      <c r="W300" s="20"/>
      <c r="X300" s="22"/>
      <c r="Y300" s="22"/>
      <c r="Z300" s="23"/>
      <c r="AA300" s="23"/>
    </row>
    <row r="301" spans="1:27" x14ac:dyDescent="0.2">
      <c r="A301" s="13"/>
      <c r="B301" s="18"/>
      <c r="C301" s="19"/>
      <c r="D301" s="19"/>
      <c r="E301" s="20"/>
      <c r="F301" s="22"/>
      <c r="G301" s="22"/>
      <c r="H301" s="23"/>
      <c r="I301" s="23"/>
      <c r="J301" s="13"/>
      <c r="K301" s="18"/>
      <c r="L301" s="19"/>
      <c r="M301" s="19"/>
      <c r="N301" s="20"/>
      <c r="O301" s="22"/>
      <c r="P301" s="22"/>
      <c r="Q301" s="23"/>
      <c r="R301" s="23"/>
      <c r="S301" s="13"/>
      <c r="T301" s="18"/>
      <c r="U301" s="19"/>
      <c r="V301" s="19"/>
      <c r="W301" s="20"/>
      <c r="X301" s="22"/>
      <c r="Y301" s="22"/>
      <c r="Z301" s="23"/>
      <c r="AA301" s="23"/>
    </row>
    <row r="302" spans="1:27" x14ac:dyDescent="0.2">
      <c r="A302" s="13"/>
      <c r="B302" s="18"/>
      <c r="C302" s="19"/>
      <c r="D302" s="19"/>
      <c r="E302" s="20"/>
      <c r="F302" s="22"/>
      <c r="G302" s="22"/>
      <c r="H302" s="23"/>
      <c r="I302" s="23"/>
      <c r="J302" s="13"/>
      <c r="K302" s="18"/>
      <c r="L302" s="19"/>
      <c r="M302" s="19"/>
      <c r="N302" s="20"/>
      <c r="O302" s="22"/>
      <c r="P302" s="22"/>
      <c r="Q302" s="23"/>
      <c r="R302" s="23"/>
      <c r="S302" s="13"/>
      <c r="T302" s="18"/>
      <c r="U302" s="19"/>
      <c r="V302" s="19"/>
      <c r="W302" s="20"/>
      <c r="X302" s="22"/>
      <c r="Y302" s="22"/>
      <c r="Z302" s="23"/>
      <c r="AA302" s="23"/>
    </row>
    <row r="303" spans="1:27" x14ac:dyDescent="0.2">
      <c r="A303" s="13"/>
      <c r="B303" s="18"/>
      <c r="C303" s="19"/>
      <c r="D303" s="19"/>
      <c r="E303" s="20"/>
      <c r="F303" s="22"/>
      <c r="G303" s="22"/>
      <c r="H303" s="23"/>
      <c r="I303" s="23"/>
      <c r="J303" s="13"/>
      <c r="K303" s="18"/>
      <c r="L303" s="19"/>
      <c r="M303" s="19"/>
      <c r="N303" s="20"/>
      <c r="O303" s="22"/>
      <c r="P303" s="22"/>
      <c r="Q303" s="23"/>
      <c r="R303" s="23"/>
      <c r="S303" s="13"/>
      <c r="T303" s="18"/>
      <c r="U303" s="19"/>
      <c r="V303" s="19"/>
      <c r="W303" s="20"/>
      <c r="X303" s="22"/>
      <c r="Y303" s="22"/>
      <c r="Z303" s="23"/>
      <c r="AA303" s="23"/>
    </row>
    <row r="304" spans="1:27" x14ac:dyDescent="0.2">
      <c r="A304" s="13"/>
      <c r="B304" s="18"/>
      <c r="C304" s="19"/>
      <c r="D304" s="19"/>
      <c r="E304" s="20"/>
      <c r="F304" s="22"/>
      <c r="G304" s="36"/>
      <c r="H304" s="37"/>
      <c r="I304" s="37"/>
      <c r="J304" s="13"/>
      <c r="K304" s="18"/>
      <c r="L304" s="19"/>
      <c r="M304" s="19"/>
      <c r="N304" s="20"/>
      <c r="O304" s="22"/>
      <c r="P304" s="36"/>
      <c r="Q304" s="37"/>
      <c r="R304" s="37"/>
      <c r="S304" s="13"/>
      <c r="T304" s="18"/>
      <c r="U304" s="19"/>
      <c r="V304" s="19"/>
      <c r="W304" s="20"/>
      <c r="X304" s="22"/>
      <c r="Y304" s="36"/>
      <c r="Z304" s="37"/>
      <c r="AA304" s="37"/>
    </row>
    <row r="305" spans="1:27" x14ac:dyDescent="0.2">
      <c r="A305" s="13"/>
      <c r="B305" s="248" t="s">
        <v>42</v>
      </c>
      <c r="C305" s="249"/>
      <c r="D305" s="249"/>
      <c r="E305" s="250"/>
      <c r="F305" s="46"/>
      <c r="G305" s="46"/>
      <c r="H305" s="47"/>
      <c r="I305" s="47">
        <f>SUM(I292:I304)</f>
        <v>43653.75</v>
      </c>
      <c r="J305" s="13"/>
      <c r="K305" s="248" t="s">
        <v>42</v>
      </c>
      <c r="L305" s="249"/>
      <c r="M305" s="249"/>
      <c r="N305" s="250"/>
      <c r="O305" s="46"/>
      <c r="P305" s="46"/>
      <c r="Q305" s="47"/>
      <c r="R305" s="47">
        <f>SUM(R292:R304)</f>
        <v>838.75319999999988</v>
      </c>
      <c r="S305" s="13"/>
      <c r="T305" s="248" t="s">
        <v>42</v>
      </c>
      <c r="U305" s="249"/>
      <c r="V305" s="249"/>
      <c r="W305" s="250"/>
      <c r="X305" s="46"/>
      <c r="Y305" s="46"/>
      <c r="Z305" s="47"/>
      <c r="AA305" s="47">
        <f>SUM(AA292:AA304)</f>
        <v>249.53777399999998</v>
      </c>
    </row>
    <row r="306" spans="1:27" x14ac:dyDescent="0.2">
      <c r="A306" s="12" t="s">
        <v>43</v>
      </c>
      <c r="B306" s="48" t="s">
        <v>44</v>
      </c>
      <c r="C306" s="43"/>
      <c r="D306" s="43"/>
      <c r="E306" s="39"/>
      <c r="F306" s="49"/>
      <c r="G306" s="49"/>
      <c r="H306" s="50"/>
      <c r="I306" s="51">
        <f>SUM(I287+I305)</f>
        <v>47829.983333333337</v>
      </c>
      <c r="J306" s="12" t="s">
        <v>43</v>
      </c>
      <c r="K306" s="48" t="s">
        <v>44</v>
      </c>
      <c r="L306" s="43"/>
      <c r="M306" s="43"/>
      <c r="N306" s="151"/>
      <c r="O306" s="49"/>
      <c r="P306" s="49"/>
      <c r="Q306" s="50"/>
      <c r="R306" s="51">
        <f>SUM(R287+R305)</f>
        <v>908.51221926444828</v>
      </c>
      <c r="S306" s="12" t="s">
        <v>43</v>
      </c>
      <c r="T306" s="48" t="s">
        <v>44</v>
      </c>
      <c r="U306" s="43"/>
      <c r="V306" s="43"/>
      <c r="W306" s="151"/>
      <c r="X306" s="49"/>
      <c r="Y306" s="49"/>
      <c r="Z306" s="50"/>
      <c r="AA306" s="51">
        <f>SUM(AA287+AA305)</f>
        <v>329.54717399999998</v>
      </c>
    </row>
    <row r="307" spans="1:27" x14ac:dyDescent="0.2">
      <c r="A307" s="13" t="s">
        <v>45</v>
      </c>
      <c r="B307" s="48" t="s">
        <v>46</v>
      </c>
      <c r="C307" s="43"/>
      <c r="D307" s="43"/>
      <c r="E307" s="39"/>
      <c r="F307" s="49"/>
      <c r="G307" s="52">
        <v>0.09</v>
      </c>
      <c r="H307" s="53" t="s">
        <v>47</v>
      </c>
      <c r="I307" s="51">
        <f>G307*I306</f>
        <v>4304.6985000000004</v>
      </c>
      <c r="J307" s="13" t="s">
        <v>45</v>
      </c>
      <c r="K307" s="48" t="s">
        <v>46</v>
      </c>
      <c r="L307" s="43"/>
      <c r="M307" s="43"/>
      <c r="N307" s="151"/>
      <c r="O307" s="49"/>
      <c r="P307" s="52">
        <v>0.09</v>
      </c>
      <c r="Q307" s="53" t="s">
        <v>47</v>
      </c>
      <c r="R307" s="51">
        <f>P307*R306</f>
        <v>81.766099733800345</v>
      </c>
      <c r="S307" s="13" t="s">
        <v>45</v>
      </c>
      <c r="T307" s="48" t="s">
        <v>46</v>
      </c>
      <c r="U307" s="43"/>
      <c r="V307" s="43"/>
      <c r="W307" s="151"/>
      <c r="X307" s="49"/>
      <c r="Y307" s="52">
        <v>0.09</v>
      </c>
      <c r="Z307" s="53" t="s">
        <v>47</v>
      </c>
      <c r="AA307" s="51">
        <f>Y307*AA306</f>
        <v>29.659245659999996</v>
      </c>
    </row>
    <row r="308" spans="1:27" x14ac:dyDescent="0.2">
      <c r="A308" s="13" t="s">
        <v>48</v>
      </c>
      <c r="B308" s="48" t="s">
        <v>49</v>
      </c>
      <c r="C308" s="43"/>
      <c r="D308" s="43"/>
      <c r="E308" s="39"/>
      <c r="F308" s="49"/>
      <c r="G308" s="52">
        <v>0.08</v>
      </c>
      <c r="H308" s="53" t="s">
        <v>47</v>
      </c>
      <c r="I308" s="51">
        <f>G308*I306</f>
        <v>3826.3986666666669</v>
      </c>
      <c r="J308" s="13" t="s">
        <v>48</v>
      </c>
      <c r="K308" s="48" t="s">
        <v>49</v>
      </c>
      <c r="L308" s="43"/>
      <c r="M308" s="43"/>
      <c r="N308" s="151"/>
      <c r="O308" s="49"/>
      <c r="P308" s="52">
        <v>0.08</v>
      </c>
      <c r="Q308" s="53" t="s">
        <v>47</v>
      </c>
      <c r="R308" s="51">
        <f>P308*R306</f>
        <v>72.680977541155869</v>
      </c>
      <c r="S308" s="13" t="s">
        <v>48</v>
      </c>
      <c r="T308" s="48" t="s">
        <v>49</v>
      </c>
      <c r="U308" s="43"/>
      <c r="V308" s="43"/>
      <c r="W308" s="151"/>
      <c r="X308" s="49"/>
      <c r="Y308" s="52">
        <v>0.08</v>
      </c>
      <c r="Z308" s="53" t="s">
        <v>47</v>
      </c>
      <c r="AA308" s="51">
        <f>Y308*AA306</f>
        <v>26.36377392</v>
      </c>
    </row>
    <row r="309" spans="1:27" x14ac:dyDescent="0.2">
      <c r="A309" s="13" t="s">
        <v>50</v>
      </c>
      <c r="B309" s="48" t="s">
        <v>51</v>
      </c>
      <c r="C309" s="43"/>
      <c r="D309" s="43"/>
      <c r="E309" s="39"/>
      <c r="F309" s="49"/>
      <c r="G309" s="52">
        <f>5/100</f>
        <v>0.05</v>
      </c>
      <c r="H309" s="53" t="s">
        <v>52</v>
      </c>
      <c r="I309" s="51">
        <f>G309*(I306+I307+I308)</f>
        <v>2798.0540250000004</v>
      </c>
      <c r="J309" s="13" t="s">
        <v>50</v>
      </c>
      <c r="K309" s="48" t="s">
        <v>51</v>
      </c>
      <c r="L309" s="43"/>
      <c r="M309" s="43"/>
      <c r="N309" s="151"/>
      <c r="O309" s="49"/>
      <c r="P309" s="52">
        <v>0.05</v>
      </c>
      <c r="Q309" s="53" t="s">
        <v>52</v>
      </c>
      <c r="R309" s="51">
        <f>P309*(R306+R307+R308)</f>
        <v>53.147964826970224</v>
      </c>
      <c r="S309" s="13" t="s">
        <v>50</v>
      </c>
      <c r="T309" s="48" t="s">
        <v>51</v>
      </c>
      <c r="U309" s="43"/>
      <c r="V309" s="43"/>
      <c r="W309" s="151"/>
      <c r="X309" s="49"/>
      <c r="Y309" s="52">
        <v>0.05</v>
      </c>
      <c r="Z309" s="53" t="s">
        <v>52</v>
      </c>
      <c r="AA309" s="51">
        <f>Y309*(AA306+AA307+AA308)</f>
        <v>19.278509679000003</v>
      </c>
    </row>
    <row r="310" spans="1:27" x14ac:dyDescent="0.2">
      <c r="A310" s="54" t="s">
        <v>53</v>
      </c>
      <c r="B310" s="48" t="s">
        <v>54</v>
      </c>
      <c r="C310" s="43"/>
      <c r="D310" s="43"/>
      <c r="E310" s="39"/>
      <c r="F310" s="49"/>
      <c r="G310" s="49"/>
      <c r="H310" s="55" t="s">
        <v>55</v>
      </c>
      <c r="I310" s="51">
        <f>SUM(I306+I307+I308+I309)</f>
        <v>58759.134525000001</v>
      </c>
      <c r="J310" s="54" t="s">
        <v>53</v>
      </c>
      <c r="K310" s="48" t="s">
        <v>54</v>
      </c>
      <c r="L310" s="43"/>
      <c r="M310" s="43"/>
      <c r="N310" s="151"/>
      <c r="O310" s="49"/>
      <c r="P310" s="49"/>
      <c r="Q310" s="55" t="s">
        <v>55</v>
      </c>
      <c r="R310" s="51">
        <f>SUM(R306+R307+R308+R309)</f>
        <v>1116.1072613663746</v>
      </c>
      <c r="S310" s="54" t="s">
        <v>53</v>
      </c>
      <c r="T310" s="48" t="s">
        <v>54</v>
      </c>
      <c r="U310" s="43"/>
      <c r="V310" s="43"/>
      <c r="W310" s="151"/>
      <c r="X310" s="49"/>
      <c r="Y310" s="49"/>
      <c r="Z310" s="55" t="s">
        <v>55</v>
      </c>
      <c r="AA310" s="51">
        <f>SUM(AA306+AA307+AA308+AA309)</f>
        <v>404.84870325900005</v>
      </c>
    </row>
    <row r="311" spans="1:27" s="1" customFormat="1" x14ac:dyDescent="0.2">
      <c r="A311" s="236" t="s">
        <v>0</v>
      </c>
      <c r="B311" s="236"/>
      <c r="C311" s="236"/>
      <c r="D311" s="236"/>
      <c r="E311" s="236"/>
      <c r="F311" s="236"/>
      <c r="G311" s="236"/>
      <c r="H311" s="236"/>
      <c r="I311" s="236"/>
      <c r="J311" s="236" t="s">
        <v>0</v>
      </c>
      <c r="K311" s="236"/>
      <c r="L311" s="236"/>
      <c r="M311" s="236"/>
      <c r="N311" s="236"/>
      <c r="O311" s="236"/>
      <c r="P311" s="236"/>
      <c r="Q311" s="236"/>
      <c r="R311" s="236"/>
      <c r="S311" s="236" t="s">
        <v>0</v>
      </c>
      <c r="T311" s="236"/>
      <c r="U311" s="236"/>
      <c r="V311" s="236"/>
      <c r="W311" s="236"/>
      <c r="X311" s="236"/>
      <c r="Y311" s="236"/>
      <c r="Z311" s="236"/>
      <c r="AA311" s="236"/>
    </row>
    <row r="312" spans="1:27" x14ac:dyDescent="0.2">
      <c r="S312" s="10"/>
      <c r="T312" s="3"/>
      <c r="U312" s="4"/>
      <c r="V312" s="4"/>
      <c r="W312" s="5"/>
      <c r="X312" s="3"/>
      <c r="Y312" s="3"/>
      <c r="Z312" s="3"/>
      <c r="AA312" s="3"/>
    </row>
    <row r="313" spans="1:27" x14ac:dyDescent="0.2">
      <c r="A313" s="2" t="s">
        <v>1</v>
      </c>
      <c r="C313" s="4" t="s">
        <v>2</v>
      </c>
      <c r="D313" s="5" t="s">
        <v>303</v>
      </c>
      <c r="E313" s="237" t="s">
        <v>304</v>
      </c>
      <c r="F313" s="237"/>
      <c r="G313" s="237"/>
      <c r="H313" s="237"/>
      <c r="J313" s="152" t="s">
        <v>1</v>
      </c>
      <c r="L313" s="4" t="s">
        <v>2</v>
      </c>
      <c r="M313" s="5" t="s">
        <v>305</v>
      </c>
      <c r="N313" s="237" t="s">
        <v>306</v>
      </c>
      <c r="O313" s="237"/>
      <c r="P313" s="237"/>
      <c r="Q313" s="237"/>
      <c r="S313" s="152" t="s">
        <v>1</v>
      </c>
      <c r="T313" s="3"/>
      <c r="U313" s="4" t="s">
        <v>2</v>
      </c>
      <c r="V313" s="5" t="s">
        <v>386</v>
      </c>
      <c r="W313" s="237" t="s">
        <v>387</v>
      </c>
      <c r="X313" s="237"/>
      <c r="Y313" s="237"/>
      <c r="Z313" s="237"/>
      <c r="AA313" s="3"/>
    </row>
    <row r="314" spans="1:27" x14ac:dyDescent="0.2">
      <c r="A314" s="2" t="s">
        <v>7</v>
      </c>
      <c r="C314" s="4" t="s">
        <v>2</v>
      </c>
      <c r="E314" s="2" t="s">
        <v>239</v>
      </c>
      <c r="F314" s="8"/>
      <c r="G314" s="8"/>
      <c r="H314" s="8"/>
      <c r="J314" s="152" t="s">
        <v>7</v>
      </c>
      <c r="L314" s="4" t="s">
        <v>2</v>
      </c>
      <c r="N314" s="152" t="s">
        <v>8</v>
      </c>
      <c r="O314" s="8"/>
      <c r="P314" s="8"/>
      <c r="Q314" s="8"/>
      <c r="S314" s="152" t="s">
        <v>7</v>
      </c>
      <c r="T314" s="3"/>
      <c r="U314" s="4" t="s">
        <v>2</v>
      </c>
      <c r="V314" s="4"/>
      <c r="W314" s="152" t="s">
        <v>8</v>
      </c>
      <c r="X314" s="8"/>
      <c r="Y314" s="8"/>
      <c r="Z314" s="8"/>
      <c r="AA314" s="3"/>
    </row>
    <row r="315" spans="1:27" x14ac:dyDescent="0.2">
      <c r="A315" s="2" t="s">
        <v>10</v>
      </c>
      <c r="C315" s="4" t="s">
        <v>2</v>
      </c>
      <c r="E315" s="9">
        <v>0.3</v>
      </c>
      <c r="F315" s="8"/>
      <c r="G315" s="8"/>
      <c r="H315" s="8"/>
      <c r="J315" s="152" t="s">
        <v>10</v>
      </c>
      <c r="L315" s="4" t="s">
        <v>2</v>
      </c>
      <c r="N315" s="9">
        <v>285.51</v>
      </c>
      <c r="O315" s="8"/>
      <c r="P315" s="8"/>
      <c r="Q315" s="8"/>
      <c r="S315" s="152" t="s">
        <v>10</v>
      </c>
      <c r="T315" s="3"/>
      <c r="U315" s="4" t="s">
        <v>2</v>
      </c>
      <c r="V315" s="4"/>
      <c r="W315" s="9">
        <v>73.930000000000007</v>
      </c>
      <c r="X315" s="8"/>
      <c r="Y315" s="8"/>
      <c r="Z315" s="8"/>
      <c r="AA315" s="3"/>
    </row>
    <row r="316" spans="1:27" x14ac:dyDescent="0.2">
      <c r="B316" s="8"/>
      <c r="F316" s="11"/>
      <c r="G316" s="8"/>
      <c r="H316" s="8"/>
      <c r="I316" s="8"/>
      <c r="K316" s="8"/>
      <c r="O316" s="11"/>
      <c r="P316" s="8"/>
      <c r="Q316" s="8"/>
      <c r="R316" s="8"/>
      <c r="S316" s="10"/>
      <c r="T316" s="8"/>
      <c r="U316" s="4"/>
      <c r="V316" s="4"/>
      <c r="W316" s="5"/>
      <c r="X316" s="11"/>
      <c r="Y316" s="8"/>
      <c r="Z316" s="8"/>
      <c r="AA316" s="8"/>
    </row>
    <row r="317" spans="1:27" x14ac:dyDescent="0.2">
      <c r="A317" s="12"/>
      <c r="B317" s="238" t="s">
        <v>11</v>
      </c>
      <c r="C317" s="239"/>
      <c r="D317" s="239"/>
      <c r="E317" s="240"/>
      <c r="F317" s="244" t="s">
        <v>12</v>
      </c>
      <c r="G317" s="244" t="s">
        <v>13</v>
      </c>
      <c r="H317" s="244" t="s">
        <v>14</v>
      </c>
      <c r="I317" s="246" t="s">
        <v>15</v>
      </c>
      <c r="J317" s="12"/>
      <c r="K317" s="238" t="s">
        <v>11</v>
      </c>
      <c r="L317" s="239"/>
      <c r="M317" s="239"/>
      <c r="N317" s="240"/>
      <c r="O317" s="244" t="s">
        <v>12</v>
      </c>
      <c r="P317" s="244" t="s">
        <v>13</v>
      </c>
      <c r="Q317" s="244" t="s">
        <v>14</v>
      </c>
      <c r="R317" s="246" t="s">
        <v>15</v>
      </c>
      <c r="S317" s="12"/>
      <c r="T317" s="238" t="s">
        <v>11</v>
      </c>
      <c r="U317" s="239"/>
      <c r="V317" s="239"/>
      <c r="W317" s="240"/>
      <c r="X317" s="244" t="s">
        <v>12</v>
      </c>
      <c r="Y317" s="244" t="s">
        <v>13</v>
      </c>
      <c r="Z317" s="244" t="s">
        <v>14</v>
      </c>
      <c r="AA317" s="246" t="s">
        <v>15</v>
      </c>
    </row>
    <row r="318" spans="1:27" x14ac:dyDescent="0.2">
      <c r="A318" s="13"/>
      <c r="B318" s="241"/>
      <c r="C318" s="242"/>
      <c r="D318" s="242"/>
      <c r="E318" s="243"/>
      <c r="F318" s="245"/>
      <c r="G318" s="245"/>
      <c r="H318" s="245"/>
      <c r="I318" s="247"/>
      <c r="J318" s="13"/>
      <c r="K318" s="241"/>
      <c r="L318" s="242"/>
      <c r="M318" s="242"/>
      <c r="N318" s="243"/>
      <c r="O318" s="245"/>
      <c r="P318" s="245"/>
      <c r="Q318" s="245"/>
      <c r="R318" s="247"/>
      <c r="S318" s="13"/>
      <c r="T318" s="241"/>
      <c r="U318" s="242"/>
      <c r="V318" s="242"/>
      <c r="W318" s="243"/>
      <c r="X318" s="245"/>
      <c r="Y318" s="245"/>
      <c r="Z318" s="245"/>
      <c r="AA318" s="247"/>
    </row>
    <row r="319" spans="1:27" x14ac:dyDescent="0.2">
      <c r="A319" s="13" t="s">
        <v>16</v>
      </c>
      <c r="B319" s="14" t="s">
        <v>17</v>
      </c>
      <c r="C319" s="15"/>
      <c r="D319" s="15"/>
      <c r="E319" s="16"/>
      <c r="F319" s="17"/>
      <c r="G319" s="17"/>
      <c r="H319" s="17"/>
      <c r="I319" s="17"/>
      <c r="J319" s="13" t="s">
        <v>16</v>
      </c>
      <c r="K319" s="14" t="s">
        <v>17</v>
      </c>
      <c r="L319" s="15"/>
      <c r="M319" s="15"/>
      <c r="N319" s="16"/>
      <c r="O319" s="17"/>
      <c r="P319" s="17"/>
      <c r="Q319" s="17"/>
      <c r="R319" s="17"/>
      <c r="S319" s="13" t="s">
        <v>16</v>
      </c>
      <c r="T319" s="14" t="s">
        <v>17</v>
      </c>
      <c r="U319" s="15"/>
      <c r="V319" s="15"/>
      <c r="W319" s="16"/>
      <c r="X319" s="17"/>
      <c r="Y319" s="17"/>
      <c r="Z319" s="17"/>
      <c r="AA319" s="17"/>
    </row>
    <row r="320" spans="1:27" x14ac:dyDescent="0.2">
      <c r="A320" s="13"/>
      <c r="B320" s="18"/>
      <c r="C320" s="19"/>
      <c r="D320" s="19"/>
      <c r="E320" s="20"/>
      <c r="F320" s="21"/>
      <c r="G320" s="22"/>
      <c r="H320" s="21"/>
      <c r="I320" s="21"/>
      <c r="J320" s="13"/>
      <c r="K320" s="18"/>
      <c r="L320" s="19"/>
      <c r="M320" s="19"/>
      <c r="N320" s="20"/>
      <c r="O320" s="21"/>
      <c r="P320" s="22"/>
      <c r="Q320" s="21"/>
      <c r="R320" s="21"/>
      <c r="S320" s="13"/>
      <c r="T320" s="18"/>
      <c r="U320" s="19"/>
      <c r="V320" s="19"/>
      <c r="W320" s="20"/>
      <c r="X320" s="21"/>
      <c r="Y320" s="22"/>
      <c r="Z320" s="21"/>
      <c r="AA320" s="21"/>
    </row>
    <row r="321" spans="1:27" x14ac:dyDescent="0.2">
      <c r="A321" s="13"/>
      <c r="B321" s="24" t="s">
        <v>18</v>
      </c>
      <c r="C321" s="25"/>
      <c r="D321" s="25"/>
      <c r="E321" s="26"/>
      <c r="F321" s="22">
        <v>1</v>
      </c>
      <c r="G321" s="62">
        <v>1</v>
      </c>
      <c r="H321" s="23">
        <v>69.42</v>
      </c>
      <c r="I321" s="23">
        <f>G321*H321*F321</f>
        <v>69.42</v>
      </c>
      <c r="J321" s="13"/>
      <c r="K321" s="24" t="s">
        <v>18</v>
      </c>
      <c r="L321" s="25"/>
      <c r="M321" s="25"/>
      <c r="N321" s="26"/>
      <c r="O321" s="22">
        <v>1</v>
      </c>
      <c r="P321" s="23">
        <v>1</v>
      </c>
      <c r="Q321" s="23">
        <v>69.42</v>
      </c>
      <c r="R321" s="23">
        <f>P321*Q321*O321</f>
        <v>69.42</v>
      </c>
      <c r="S321" s="13"/>
      <c r="T321" s="24" t="s">
        <v>18</v>
      </c>
      <c r="U321" s="25"/>
      <c r="V321" s="25"/>
      <c r="W321" s="26"/>
      <c r="X321" s="22">
        <v>1</v>
      </c>
      <c r="Y321" s="23">
        <v>1</v>
      </c>
      <c r="Z321" s="23">
        <v>69.42</v>
      </c>
      <c r="AA321" s="23">
        <f>Y321*Z321*X321</f>
        <v>69.42</v>
      </c>
    </row>
    <row r="322" spans="1:27" x14ac:dyDescent="0.2">
      <c r="A322" s="13"/>
      <c r="B322" s="24" t="s">
        <v>1179</v>
      </c>
      <c r="C322" s="25"/>
      <c r="D322" s="25"/>
      <c r="E322" s="26"/>
      <c r="F322" s="22">
        <v>3</v>
      </c>
      <c r="G322" s="62">
        <v>1</v>
      </c>
      <c r="H322" s="23">
        <v>38.97</v>
      </c>
      <c r="I322" s="23">
        <f>G322*H322*F322</f>
        <v>116.91</v>
      </c>
      <c r="J322" s="13"/>
      <c r="K322" s="257" t="s">
        <v>1178</v>
      </c>
      <c r="L322" s="258"/>
      <c r="M322" s="25"/>
      <c r="N322" s="26"/>
      <c r="O322" s="22">
        <v>4</v>
      </c>
      <c r="P322" s="23">
        <v>1</v>
      </c>
      <c r="Q322" s="23">
        <v>50.18</v>
      </c>
      <c r="R322" s="23">
        <f>P322*Q322*O322</f>
        <v>200.72</v>
      </c>
      <c r="S322" s="13"/>
      <c r="T322" s="257" t="s">
        <v>1178</v>
      </c>
      <c r="U322" s="258"/>
      <c r="V322" s="25"/>
      <c r="W322" s="26"/>
      <c r="X322" s="22">
        <v>4</v>
      </c>
      <c r="Y322" s="23">
        <v>1</v>
      </c>
      <c r="Z322" s="23">
        <v>50.18</v>
      </c>
      <c r="AA322" s="23">
        <f>Y322*Z322*X322</f>
        <v>200.72</v>
      </c>
    </row>
    <row r="323" spans="1:27" x14ac:dyDescent="0.2">
      <c r="A323" s="13"/>
      <c r="B323" s="27"/>
      <c r="C323" s="19"/>
      <c r="D323" s="19"/>
      <c r="E323" s="20"/>
      <c r="F323" s="22"/>
      <c r="G323" s="22"/>
      <c r="H323" s="28"/>
      <c r="I323" s="23"/>
      <c r="J323" s="13"/>
      <c r="K323" s="257" t="s">
        <v>1177</v>
      </c>
      <c r="L323" s="258"/>
      <c r="M323" s="19"/>
      <c r="N323" s="20"/>
      <c r="O323" s="22">
        <v>8</v>
      </c>
      <c r="P323" s="23">
        <v>1</v>
      </c>
      <c r="Q323" s="23">
        <v>38.97</v>
      </c>
      <c r="R323" s="23">
        <f>P323*Q323*O323</f>
        <v>311.76</v>
      </c>
      <c r="S323" s="13"/>
      <c r="T323" s="257" t="s">
        <v>1177</v>
      </c>
      <c r="U323" s="258"/>
      <c r="V323" s="19"/>
      <c r="W323" s="20"/>
      <c r="X323" s="22">
        <v>10</v>
      </c>
      <c r="Y323" s="23">
        <v>1</v>
      </c>
      <c r="Z323" s="23">
        <v>38.97</v>
      </c>
      <c r="AA323" s="23">
        <f>Y323*Z323*X323</f>
        <v>389.7</v>
      </c>
    </row>
    <row r="324" spans="1:27" x14ac:dyDescent="0.2">
      <c r="A324" s="13"/>
      <c r="B324" s="27"/>
      <c r="C324" s="19"/>
      <c r="D324" s="19"/>
      <c r="E324" s="20"/>
      <c r="F324" s="22"/>
      <c r="G324" s="22"/>
      <c r="H324" s="29"/>
      <c r="I324" s="30"/>
      <c r="J324" s="13"/>
      <c r="K324" s="153"/>
      <c r="L324" s="19"/>
      <c r="M324" s="19"/>
      <c r="N324" s="20"/>
      <c r="O324" s="22"/>
      <c r="P324" s="22"/>
      <c r="Q324" s="29"/>
      <c r="R324" s="30"/>
      <c r="S324" s="13"/>
      <c r="T324" s="153"/>
      <c r="U324" s="19"/>
      <c r="V324" s="19"/>
      <c r="W324" s="20"/>
      <c r="X324" s="22"/>
      <c r="Y324" s="22"/>
      <c r="Z324" s="29"/>
      <c r="AA324" s="30"/>
    </row>
    <row r="325" spans="1:27" ht="15" customHeight="1" x14ac:dyDescent="0.2">
      <c r="A325" s="13"/>
      <c r="B325" s="27"/>
      <c r="C325" s="19"/>
      <c r="D325" s="19"/>
      <c r="E325" s="20"/>
      <c r="F325" s="22"/>
      <c r="G325" s="22"/>
      <c r="H325" s="29"/>
      <c r="I325" s="30"/>
      <c r="J325" s="13"/>
      <c r="K325" s="153"/>
      <c r="L325" s="19"/>
      <c r="M325" s="19"/>
      <c r="N325" s="20"/>
      <c r="O325" s="22"/>
      <c r="P325" s="22"/>
      <c r="Q325" s="29"/>
      <c r="R325" s="30"/>
      <c r="S325" s="13"/>
      <c r="T325" s="153"/>
      <c r="U325" s="19"/>
      <c r="V325" s="19"/>
      <c r="W325" s="20"/>
      <c r="X325" s="22"/>
      <c r="Y325" s="22"/>
      <c r="Z325" s="30"/>
      <c r="AA325" s="30"/>
    </row>
    <row r="326" spans="1:27" x14ac:dyDescent="0.2">
      <c r="A326" s="13"/>
      <c r="B326" s="18"/>
      <c r="C326" s="19"/>
      <c r="D326" s="19"/>
      <c r="E326" s="20"/>
      <c r="F326" s="22"/>
      <c r="G326" s="22"/>
      <c r="H326" s="28"/>
      <c r="I326" s="23"/>
      <c r="J326" s="13"/>
      <c r="K326" s="18"/>
      <c r="L326" s="19"/>
      <c r="M326" s="19"/>
      <c r="N326" s="20"/>
      <c r="O326" s="22"/>
      <c r="P326" s="22"/>
      <c r="Q326" s="28"/>
      <c r="R326" s="23"/>
      <c r="S326" s="13"/>
      <c r="T326" s="18"/>
      <c r="U326" s="19"/>
      <c r="V326" s="19"/>
      <c r="W326" s="20"/>
      <c r="X326" s="22"/>
      <c r="Y326" s="22"/>
      <c r="Z326" s="28"/>
      <c r="AA326" s="23"/>
    </row>
    <row r="327" spans="1:27" x14ac:dyDescent="0.2">
      <c r="A327" s="13"/>
      <c r="B327" s="18"/>
      <c r="C327" s="19"/>
      <c r="D327" s="19"/>
      <c r="E327" s="20"/>
      <c r="F327" s="22"/>
      <c r="G327" s="22"/>
      <c r="H327" s="23"/>
      <c r="I327" s="23"/>
      <c r="J327" s="13"/>
      <c r="K327" s="18"/>
      <c r="L327" s="19"/>
      <c r="M327" s="19"/>
      <c r="N327" s="20"/>
      <c r="O327" s="22"/>
      <c r="P327" s="22"/>
      <c r="Q327" s="23"/>
      <c r="R327" s="23"/>
      <c r="S327" s="13"/>
      <c r="T327" s="18"/>
      <c r="U327" s="19"/>
      <c r="V327" s="19"/>
      <c r="W327" s="20"/>
      <c r="X327" s="22"/>
      <c r="Y327" s="22"/>
      <c r="Z327" s="23"/>
      <c r="AA327" s="23"/>
    </row>
    <row r="328" spans="1:27" x14ac:dyDescent="0.2">
      <c r="A328" s="13"/>
      <c r="B328" s="248" t="s">
        <v>20</v>
      </c>
      <c r="C328" s="249"/>
      <c r="D328" s="249"/>
      <c r="E328" s="250"/>
      <c r="F328" s="31"/>
      <c r="G328" s="31"/>
      <c r="H328" s="32"/>
      <c r="I328" s="32">
        <f>SUM(I321:I327)</f>
        <v>186.32999999999998</v>
      </c>
      <c r="J328" s="13"/>
      <c r="K328" s="248" t="s">
        <v>20</v>
      </c>
      <c r="L328" s="249"/>
      <c r="M328" s="249"/>
      <c r="N328" s="250"/>
      <c r="O328" s="31"/>
      <c r="P328" s="31"/>
      <c r="Q328" s="32"/>
      <c r="R328" s="32">
        <f>SUM(R321:R327)</f>
        <v>581.9</v>
      </c>
      <c r="S328" s="13"/>
      <c r="T328" s="248" t="s">
        <v>20</v>
      </c>
      <c r="U328" s="249"/>
      <c r="V328" s="249"/>
      <c r="W328" s="250"/>
      <c r="X328" s="31"/>
      <c r="Y328" s="31"/>
      <c r="Z328" s="32"/>
      <c r="AA328" s="32">
        <f>SUM(AA321:AA327)</f>
        <v>659.83999999999992</v>
      </c>
    </row>
    <row r="329" spans="1:27" x14ac:dyDescent="0.2">
      <c r="A329" s="12"/>
      <c r="B329" s="251" t="s">
        <v>21</v>
      </c>
      <c r="C329" s="252"/>
      <c r="D329" s="252"/>
      <c r="E329" s="253"/>
      <c r="F329" s="244" t="s">
        <v>22</v>
      </c>
      <c r="G329" s="244" t="s">
        <v>13</v>
      </c>
      <c r="H329" s="244" t="s">
        <v>14</v>
      </c>
      <c r="I329" s="246" t="s">
        <v>15</v>
      </c>
      <c r="J329" s="12"/>
      <c r="K329" s="251" t="s">
        <v>21</v>
      </c>
      <c r="L329" s="252"/>
      <c r="M329" s="252"/>
      <c r="N329" s="253"/>
      <c r="O329" s="244" t="s">
        <v>22</v>
      </c>
      <c r="P329" s="244" t="s">
        <v>13</v>
      </c>
      <c r="Q329" s="244" t="s">
        <v>14</v>
      </c>
      <c r="R329" s="246" t="s">
        <v>15</v>
      </c>
      <c r="S329" s="12"/>
      <c r="T329" s="251" t="s">
        <v>21</v>
      </c>
      <c r="U329" s="252"/>
      <c r="V329" s="252"/>
      <c r="W329" s="253"/>
      <c r="X329" s="244" t="s">
        <v>22</v>
      </c>
      <c r="Y329" s="244" t="s">
        <v>13</v>
      </c>
      <c r="Z329" s="244" t="s">
        <v>14</v>
      </c>
      <c r="AA329" s="246" t="s">
        <v>15</v>
      </c>
    </row>
    <row r="330" spans="1:27" x14ac:dyDescent="0.2">
      <c r="A330" s="13"/>
      <c r="B330" s="254"/>
      <c r="C330" s="255"/>
      <c r="D330" s="255"/>
      <c r="E330" s="256"/>
      <c r="F330" s="245"/>
      <c r="G330" s="245"/>
      <c r="H330" s="245"/>
      <c r="I330" s="247"/>
      <c r="J330" s="13"/>
      <c r="K330" s="254"/>
      <c r="L330" s="255"/>
      <c r="M330" s="255"/>
      <c r="N330" s="256"/>
      <c r="O330" s="245"/>
      <c r="P330" s="245"/>
      <c r="Q330" s="245"/>
      <c r="R330" s="247"/>
      <c r="S330" s="13"/>
      <c r="T330" s="254"/>
      <c r="U330" s="255"/>
      <c r="V330" s="255"/>
      <c r="W330" s="256"/>
      <c r="X330" s="245"/>
      <c r="Y330" s="245"/>
      <c r="Z330" s="245"/>
      <c r="AA330" s="247"/>
    </row>
    <row r="331" spans="1:27" x14ac:dyDescent="0.2">
      <c r="A331" s="13" t="s">
        <v>23</v>
      </c>
      <c r="B331" s="33" t="s">
        <v>24</v>
      </c>
      <c r="C331" s="15"/>
      <c r="D331" s="15"/>
      <c r="E331" s="16"/>
      <c r="F331" s="34"/>
      <c r="G331" s="34"/>
      <c r="H331" s="35"/>
      <c r="I331" s="35"/>
      <c r="J331" s="13" t="s">
        <v>23</v>
      </c>
      <c r="K331" s="33" t="s">
        <v>24</v>
      </c>
      <c r="L331" s="15"/>
      <c r="M331" s="15"/>
      <c r="N331" s="16"/>
      <c r="O331" s="34"/>
      <c r="P331" s="34"/>
      <c r="Q331" s="35"/>
      <c r="R331" s="35"/>
      <c r="S331" s="13" t="s">
        <v>23</v>
      </c>
      <c r="T331" s="33" t="s">
        <v>24</v>
      </c>
      <c r="U331" s="15"/>
      <c r="V331" s="15"/>
      <c r="W331" s="16"/>
      <c r="X331" s="34"/>
      <c r="Y331" s="34"/>
      <c r="Z331" s="35"/>
      <c r="AA331" s="35"/>
    </row>
    <row r="332" spans="1:27" x14ac:dyDescent="0.2">
      <c r="A332" s="13"/>
      <c r="B332" s="18"/>
      <c r="C332" s="19"/>
      <c r="D332" s="19"/>
      <c r="E332" s="20"/>
      <c r="F332" s="22"/>
      <c r="G332" s="22"/>
      <c r="H332" s="23"/>
      <c r="I332" s="23"/>
      <c r="J332" s="13"/>
      <c r="K332" s="18"/>
      <c r="L332" s="19"/>
      <c r="M332" s="19"/>
      <c r="N332" s="20"/>
      <c r="O332" s="22"/>
      <c r="P332" s="22"/>
      <c r="Q332" s="23"/>
      <c r="R332" s="23"/>
      <c r="S332" s="13"/>
      <c r="T332" s="18"/>
      <c r="U332" s="19"/>
      <c r="V332" s="19"/>
      <c r="W332" s="20"/>
      <c r="X332" s="22"/>
      <c r="Y332" s="22"/>
      <c r="Z332" s="23"/>
      <c r="AA332" s="23"/>
    </row>
    <row r="333" spans="1:27" x14ac:dyDescent="0.2">
      <c r="A333" s="13"/>
      <c r="B333" s="18" t="s">
        <v>254</v>
      </c>
      <c r="C333" s="19"/>
      <c r="D333" s="19"/>
      <c r="E333" s="20"/>
      <c r="F333" s="22">
        <v>1</v>
      </c>
      <c r="G333" s="23">
        <v>1</v>
      </c>
      <c r="H333" s="37">
        <v>936</v>
      </c>
      <c r="I333" s="37">
        <f>G333*H333*F333</f>
        <v>936</v>
      </c>
      <c r="J333" s="13"/>
      <c r="K333" s="18" t="s">
        <v>275</v>
      </c>
      <c r="L333" s="19"/>
      <c r="M333" s="19"/>
      <c r="N333" s="20"/>
      <c r="O333" s="22">
        <v>1</v>
      </c>
      <c r="P333" s="23">
        <v>1</v>
      </c>
      <c r="Q333" s="37">
        <v>1833</v>
      </c>
      <c r="R333" s="37">
        <f>P333*Q333*O333</f>
        <v>1833</v>
      </c>
      <c r="S333" s="13"/>
      <c r="T333" s="18" t="s">
        <v>1208</v>
      </c>
      <c r="U333" s="19"/>
      <c r="V333" s="19"/>
      <c r="W333" s="20"/>
      <c r="X333" s="22">
        <v>1</v>
      </c>
      <c r="Y333" s="23">
        <v>1</v>
      </c>
      <c r="Z333" s="37">
        <v>1759.5</v>
      </c>
      <c r="AA333" s="37">
        <f t="shared" ref="AA333:AA340" si="19">Y333*Z333*X333</f>
        <v>1759.5</v>
      </c>
    </row>
    <row r="334" spans="1:27" x14ac:dyDescent="0.2">
      <c r="A334" s="13"/>
      <c r="B334" s="18" t="s">
        <v>288</v>
      </c>
      <c r="C334" s="19"/>
      <c r="D334" s="19"/>
      <c r="E334" s="20"/>
      <c r="F334" s="22">
        <v>1</v>
      </c>
      <c r="G334" s="23">
        <v>1</v>
      </c>
      <c r="H334" s="37">
        <v>130.54</v>
      </c>
      <c r="I334" s="37">
        <f>G334*H334*F334</f>
        <v>130.54</v>
      </c>
      <c r="J334" s="13"/>
      <c r="K334" s="18" t="s">
        <v>276</v>
      </c>
      <c r="L334" s="19"/>
      <c r="M334" s="19"/>
      <c r="N334" s="20"/>
      <c r="O334" s="22">
        <v>1</v>
      </c>
      <c r="P334" s="23">
        <v>1</v>
      </c>
      <c r="Q334" s="37">
        <v>561</v>
      </c>
      <c r="R334" s="37">
        <f>P334*Q334*O334</f>
        <v>561</v>
      </c>
      <c r="S334" s="13"/>
      <c r="T334" s="18" t="s">
        <v>1256</v>
      </c>
      <c r="U334" s="19"/>
      <c r="V334" s="19"/>
      <c r="W334" s="20"/>
      <c r="X334" s="22">
        <v>1</v>
      </c>
      <c r="Y334" s="23">
        <v>1</v>
      </c>
      <c r="Z334" s="37">
        <v>6765</v>
      </c>
      <c r="AA334" s="37">
        <f t="shared" si="19"/>
        <v>6765</v>
      </c>
    </row>
    <row r="335" spans="1:27" x14ac:dyDescent="0.2">
      <c r="A335" s="13"/>
      <c r="B335" s="18"/>
      <c r="C335" s="19"/>
      <c r="D335" s="19"/>
      <c r="E335" s="20"/>
      <c r="F335" s="22"/>
      <c r="G335" s="23"/>
      <c r="H335" s="37"/>
      <c r="I335" s="37"/>
      <c r="J335" s="13"/>
      <c r="K335" s="18" t="s">
        <v>277</v>
      </c>
      <c r="L335" s="19"/>
      <c r="M335" s="19"/>
      <c r="N335" s="20"/>
      <c r="O335" s="22">
        <v>1</v>
      </c>
      <c r="P335" s="23">
        <v>1</v>
      </c>
      <c r="Q335" s="37">
        <v>1652</v>
      </c>
      <c r="R335" s="37">
        <f>P335*Q335*O335</f>
        <v>1652</v>
      </c>
      <c r="S335" s="13"/>
      <c r="T335" s="18" t="s">
        <v>256</v>
      </c>
      <c r="U335" s="19"/>
      <c r="V335" s="19"/>
      <c r="W335" s="20"/>
      <c r="X335" s="22">
        <v>4</v>
      </c>
      <c r="Y335" s="23">
        <v>1</v>
      </c>
      <c r="Z335" s="37">
        <v>1318</v>
      </c>
      <c r="AA335" s="37">
        <f t="shared" si="19"/>
        <v>5272</v>
      </c>
    </row>
    <row r="336" spans="1:27" x14ac:dyDescent="0.2">
      <c r="A336" s="13"/>
      <c r="B336" s="18"/>
      <c r="F336" s="22"/>
      <c r="G336" s="36"/>
      <c r="H336" s="37"/>
      <c r="I336" s="37"/>
      <c r="J336" s="13"/>
      <c r="K336" s="18" t="s">
        <v>1201</v>
      </c>
      <c r="L336" s="19"/>
      <c r="M336" s="19"/>
      <c r="N336" s="20"/>
      <c r="O336" s="22">
        <v>1</v>
      </c>
      <c r="P336" s="23">
        <v>1</v>
      </c>
      <c r="Q336" s="37">
        <v>2450</v>
      </c>
      <c r="R336" s="37">
        <f>P336*Q336*O336</f>
        <v>2450</v>
      </c>
      <c r="S336" s="13"/>
      <c r="T336" s="18" t="s">
        <v>257</v>
      </c>
      <c r="U336" s="4"/>
      <c r="V336" s="4"/>
      <c r="W336" s="5"/>
      <c r="X336" s="22">
        <v>1</v>
      </c>
      <c r="Y336" s="23">
        <v>1</v>
      </c>
      <c r="Z336" s="37">
        <v>1733</v>
      </c>
      <c r="AA336" s="37">
        <f t="shared" si="19"/>
        <v>1733</v>
      </c>
    </row>
    <row r="337" spans="1:27" x14ac:dyDescent="0.2">
      <c r="A337" s="13"/>
      <c r="B337" s="18"/>
      <c r="C337" s="19"/>
      <c r="D337" s="19"/>
      <c r="E337" s="20"/>
      <c r="F337" s="22"/>
      <c r="G337" s="36"/>
      <c r="H337" s="37"/>
      <c r="I337" s="37"/>
      <c r="J337" s="13"/>
      <c r="K337" s="18" t="s">
        <v>1192</v>
      </c>
      <c r="L337" s="19"/>
      <c r="M337" s="19"/>
      <c r="N337" s="20"/>
      <c r="O337" s="22"/>
      <c r="P337" s="36"/>
      <c r="R337" s="37">
        <f>0.1*R328</f>
        <v>58.19</v>
      </c>
      <c r="S337" s="13"/>
      <c r="T337" s="18" t="s">
        <v>1211</v>
      </c>
      <c r="U337" s="19"/>
      <c r="V337" s="19"/>
      <c r="W337" s="20"/>
      <c r="X337" s="22">
        <v>1</v>
      </c>
      <c r="Y337" s="23">
        <v>1</v>
      </c>
      <c r="Z337" s="37">
        <v>2450</v>
      </c>
      <c r="AA337" s="37">
        <f t="shared" si="19"/>
        <v>2450</v>
      </c>
    </row>
    <row r="338" spans="1:27" x14ac:dyDescent="0.2">
      <c r="A338" s="13"/>
      <c r="B338" s="18"/>
      <c r="C338" s="19"/>
      <c r="D338" s="19"/>
      <c r="E338" s="20"/>
      <c r="F338" s="22"/>
      <c r="G338" s="36"/>
      <c r="H338" s="38"/>
      <c r="I338" s="38"/>
      <c r="J338" s="13"/>
      <c r="K338" s="18"/>
      <c r="L338" s="19"/>
      <c r="M338" s="19"/>
      <c r="N338" s="20"/>
      <c r="O338" s="22"/>
      <c r="P338" s="36"/>
      <c r="Q338" s="38"/>
      <c r="R338" s="38"/>
      <c r="S338" s="13"/>
      <c r="T338" s="18" t="s">
        <v>1257</v>
      </c>
      <c r="U338" s="19"/>
      <c r="V338" s="19"/>
      <c r="W338" s="20"/>
      <c r="X338" s="22">
        <v>1</v>
      </c>
      <c r="Y338" s="23">
        <v>1</v>
      </c>
      <c r="Z338" s="37">
        <v>32.630000000000003</v>
      </c>
      <c r="AA338" s="37">
        <f t="shared" si="19"/>
        <v>32.630000000000003</v>
      </c>
    </row>
    <row r="339" spans="1:27" x14ac:dyDescent="0.2">
      <c r="A339" s="13"/>
      <c r="B339" s="18"/>
      <c r="C339" s="19"/>
      <c r="D339" s="19"/>
      <c r="E339" s="20"/>
      <c r="F339" s="22"/>
      <c r="G339" s="36"/>
      <c r="H339" s="38"/>
      <c r="I339" s="38"/>
      <c r="J339" s="13"/>
      <c r="K339" s="18"/>
      <c r="L339" s="19"/>
      <c r="M339" s="19"/>
      <c r="N339" s="20"/>
      <c r="O339" s="22"/>
      <c r="P339" s="36"/>
      <c r="Q339" s="38"/>
      <c r="R339" s="38"/>
      <c r="S339" s="13"/>
      <c r="T339" s="18" t="s">
        <v>1258</v>
      </c>
      <c r="U339" s="19"/>
      <c r="V339" s="19"/>
      <c r="W339" s="20"/>
      <c r="X339" s="22">
        <v>1</v>
      </c>
      <c r="Y339" s="23">
        <v>0.1</v>
      </c>
      <c r="Z339" s="37">
        <v>91.25</v>
      </c>
      <c r="AA339" s="37">
        <f t="shared" si="19"/>
        <v>9.125</v>
      </c>
    </row>
    <row r="340" spans="1:27" x14ac:dyDescent="0.2">
      <c r="A340" s="13"/>
      <c r="B340" s="18"/>
      <c r="C340" s="19"/>
      <c r="D340" s="19"/>
      <c r="E340" s="20"/>
      <c r="F340" s="22"/>
      <c r="G340" s="36"/>
      <c r="H340" s="38"/>
      <c r="I340" s="38"/>
      <c r="J340" s="13"/>
      <c r="K340" s="18"/>
      <c r="L340" s="19"/>
      <c r="M340" s="19"/>
      <c r="N340" s="20"/>
      <c r="O340" s="22"/>
      <c r="P340" s="36"/>
      <c r="Q340" s="38"/>
      <c r="R340" s="38"/>
      <c r="S340" s="13"/>
      <c r="T340" s="18" t="s">
        <v>343</v>
      </c>
      <c r="U340" s="19"/>
      <c r="V340" s="19"/>
      <c r="W340" s="20"/>
      <c r="X340" s="22">
        <v>1</v>
      </c>
      <c r="Y340" s="23">
        <v>0.1</v>
      </c>
      <c r="Z340" s="37">
        <v>219.75</v>
      </c>
      <c r="AA340" s="37">
        <f t="shared" si="19"/>
        <v>21.975000000000001</v>
      </c>
    </row>
    <row r="341" spans="1:27" x14ac:dyDescent="0.2">
      <c r="A341" s="13"/>
      <c r="B341" s="18"/>
      <c r="C341" s="19"/>
      <c r="D341" s="19"/>
      <c r="E341" s="20"/>
      <c r="F341" s="22"/>
      <c r="G341" s="36"/>
      <c r="H341" s="38"/>
      <c r="I341" s="38"/>
      <c r="J341" s="13"/>
      <c r="K341" s="18"/>
      <c r="L341" s="19"/>
      <c r="M341" s="19"/>
      <c r="N341" s="20"/>
      <c r="O341" s="22"/>
      <c r="P341" s="36"/>
      <c r="Q341" s="38"/>
      <c r="R341" s="38"/>
      <c r="S341" s="13"/>
      <c r="X341" s="72"/>
      <c r="Y341" s="72"/>
      <c r="Z341" s="72"/>
      <c r="AA341" s="72"/>
    </row>
    <row r="342" spans="1:27" x14ac:dyDescent="0.2">
      <c r="A342" s="13"/>
      <c r="B342" s="18"/>
      <c r="C342" s="19"/>
      <c r="D342" s="19"/>
      <c r="E342" s="20"/>
      <c r="F342" s="22"/>
      <c r="G342" s="36"/>
      <c r="H342" s="37"/>
      <c r="I342" s="37"/>
      <c r="J342" s="13"/>
      <c r="K342" s="18"/>
      <c r="L342" s="19"/>
      <c r="M342" s="19"/>
      <c r="N342" s="20"/>
      <c r="O342" s="22"/>
      <c r="P342" s="36"/>
      <c r="Q342" s="37"/>
      <c r="R342" s="37"/>
      <c r="S342" s="13"/>
      <c r="X342" s="72"/>
      <c r="Y342" s="72"/>
      <c r="Z342" s="30"/>
      <c r="AA342" s="30"/>
    </row>
    <row r="343" spans="1:27" x14ac:dyDescent="0.2">
      <c r="A343" s="13"/>
      <c r="B343" s="18"/>
      <c r="C343" s="19"/>
      <c r="D343" s="19"/>
      <c r="E343" s="20"/>
      <c r="F343" s="22"/>
      <c r="G343" s="36"/>
      <c r="H343" s="37"/>
      <c r="I343" s="37"/>
      <c r="J343" s="13"/>
      <c r="K343" s="18"/>
      <c r="L343" s="19"/>
      <c r="M343" s="19"/>
      <c r="N343" s="20"/>
      <c r="O343" s="22"/>
      <c r="P343" s="36"/>
      <c r="Q343" s="37"/>
      <c r="R343" s="37"/>
      <c r="S343" s="13"/>
      <c r="T343" s="18"/>
      <c r="U343" s="19"/>
      <c r="V343" s="19"/>
      <c r="W343" s="20"/>
      <c r="X343" s="22"/>
      <c r="Y343" s="36"/>
      <c r="Z343" s="37"/>
      <c r="AA343" s="37"/>
    </row>
    <row r="344" spans="1:27" x14ac:dyDescent="0.2">
      <c r="A344" s="13"/>
      <c r="B344" s="18"/>
      <c r="C344" s="19"/>
      <c r="D344" s="19"/>
      <c r="E344" s="20"/>
      <c r="F344" s="22"/>
      <c r="G344" s="36"/>
      <c r="H344" s="37"/>
      <c r="I344" s="37"/>
      <c r="J344" s="13"/>
      <c r="K344" s="18"/>
      <c r="L344" s="19"/>
      <c r="M344" s="19"/>
      <c r="N344" s="20"/>
      <c r="O344" s="22"/>
      <c r="P344" s="36"/>
      <c r="Q344" s="37"/>
      <c r="R344" s="37"/>
      <c r="S344" s="13"/>
      <c r="T344" s="18"/>
      <c r="U344" s="19"/>
      <c r="V344" s="19"/>
      <c r="W344" s="20"/>
      <c r="X344" s="22"/>
      <c r="Y344" s="36"/>
      <c r="Z344" s="37"/>
      <c r="AA344" s="37"/>
    </row>
    <row r="345" spans="1:27" x14ac:dyDescent="0.2">
      <c r="A345" s="13"/>
      <c r="B345" s="18"/>
      <c r="C345" s="19"/>
      <c r="D345" s="19"/>
      <c r="E345" s="20"/>
      <c r="F345" s="22"/>
      <c r="G345" s="22"/>
      <c r="H345" s="23"/>
      <c r="I345" s="23"/>
      <c r="J345" s="13"/>
      <c r="K345" s="18"/>
      <c r="L345" s="19"/>
      <c r="M345" s="19"/>
      <c r="N345" s="20"/>
      <c r="O345" s="22"/>
      <c r="P345" s="22"/>
      <c r="Q345" s="23"/>
      <c r="R345" s="23"/>
      <c r="S345" s="13"/>
      <c r="T345" s="18"/>
      <c r="U345" s="19"/>
      <c r="V345" s="19"/>
      <c r="W345" s="20"/>
      <c r="X345" s="22"/>
      <c r="Y345" s="22"/>
      <c r="Z345" s="23"/>
      <c r="AA345" s="23"/>
    </row>
    <row r="346" spans="1:27" x14ac:dyDescent="0.2">
      <c r="A346" s="13"/>
      <c r="B346" s="248" t="s">
        <v>30</v>
      </c>
      <c r="C346" s="249"/>
      <c r="D346" s="249"/>
      <c r="E346" s="250"/>
      <c r="F346" s="22"/>
      <c r="G346" s="22"/>
      <c r="H346" s="23"/>
      <c r="I346" s="23">
        <f>SUM(I333:I345)</f>
        <v>1066.54</v>
      </c>
      <c r="J346" s="13"/>
      <c r="K346" s="248" t="s">
        <v>30</v>
      </c>
      <c r="L346" s="249"/>
      <c r="M346" s="249"/>
      <c r="N346" s="250"/>
      <c r="O346" s="22"/>
      <c r="P346" s="22"/>
      <c r="Q346" s="23"/>
      <c r="R346" s="23">
        <f>SUM(R333:R345)</f>
        <v>6554.19</v>
      </c>
      <c r="S346" s="13"/>
      <c r="T346" s="248" t="s">
        <v>30</v>
      </c>
      <c r="U346" s="249"/>
      <c r="V346" s="249"/>
      <c r="W346" s="250"/>
      <c r="X346" s="22"/>
      <c r="Y346" s="22"/>
      <c r="Z346" s="23"/>
      <c r="AA346" s="23">
        <f>SUM(AA333:AA345)</f>
        <v>18043.23</v>
      </c>
    </row>
    <row r="347" spans="1:27" x14ac:dyDescent="0.2">
      <c r="A347" s="12" t="s">
        <v>31</v>
      </c>
      <c r="B347" s="260" t="s">
        <v>32</v>
      </c>
      <c r="C347" s="261"/>
      <c r="D347" s="261"/>
      <c r="E347" s="261"/>
      <c r="F347" s="39"/>
      <c r="G347" s="39"/>
      <c r="H347" s="40"/>
      <c r="I347" s="41">
        <f>SUM(I346+I328)</f>
        <v>1252.8699999999999</v>
      </c>
      <c r="J347" s="12" t="s">
        <v>31</v>
      </c>
      <c r="K347" s="260" t="s">
        <v>32</v>
      </c>
      <c r="L347" s="261"/>
      <c r="M347" s="261"/>
      <c r="N347" s="261"/>
      <c r="O347" s="151"/>
      <c r="P347" s="151"/>
      <c r="Q347" s="40"/>
      <c r="R347" s="41">
        <f>SUM(R346+R328)</f>
        <v>7136.0899999999992</v>
      </c>
      <c r="S347" s="12" t="s">
        <v>31</v>
      </c>
      <c r="T347" s="260" t="s">
        <v>32</v>
      </c>
      <c r="U347" s="261"/>
      <c r="V347" s="261"/>
      <c r="W347" s="261"/>
      <c r="X347" s="151"/>
      <c r="Y347" s="151"/>
      <c r="Z347" s="40"/>
      <c r="AA347" s="41">
        <f>SUM(AA346+AA328)</f>
        <v>18703.07</v>
      </c>
    </row>
    <row r="348" spans="1:27" x14ac:dyDescent="0.2">
      <c r="A348" s="13" t="s">
        <v>33</v>
      </c>
      <c r="B348" s="309">
        <f>E315</f>
        <v>0.3</v>
      </c>
      <c r="C348" s="310"/>
      <c r="D348" s="310"/>
      <c r="E348" s="310"/>
      <c r="F348" s="310"/>
      <c r="G348" s="310"/>
      <c r="H348" s="40"/>
      <c r="I348" s="41"/>
      <c r="J348" s="13" t="s">
        <v>33</v>
      </c>
      <c r="K348" s="313">
        <f>N315</f>
        <v>285.51</v>
      </c>
      <c r="L348" s="314"/>
      <c r="M348" s="314"/>
      <c r="N348" s="314"/>
      <c r="O348" s="314"/>
      <c r="P348" s="314"/>
      <c r="Q348" s="40"/>
      <c r="R348" s="41"/>
      <c r="S348" s="13" t="s">
        <v>33</v>
      </c>
      <c r="T348" s="313">
        <f>W315</f>
        <v>73.930000000000007</v>
      </c>
      <c r="U348" s="314"/>
      <c r="V348" s="314"/>
      <c r="W348" s="314"/>
      <c r="X348" s="314"/>
      <c r="Y348" s="314"/>
      <c r="Z348" s="40"/>
      <c r="AA348" s="41"/>
    </row>
    <row r="349" spans="1:27" x14ac:dyDescent="0.2">
      <c r="A349" s="13" t="s">
        <v>34</v>
      </c>
      <c r="B349" s="42" t="s">
        <v>35</v>
      </c>
      <c r="C349" s="43"/>
      <c r="D349" s="43"/>
      <c r="E349" s="39"/>
      <c r="F349" s="44"/>
      <c r="G349" s="44"/>
      <c r="H349" s="40"/>
      <c r="I349" s="41">
        <f>I347/E315</f>
        <v>4176.2333333333336</v>
      </c>
      <c r="J349" s="13" t="s">
        <v>34</v>
      </c>
      <c r="K349" s="155" t="s">
        <v>35</v>
      </c>
      <c r="L349" s="43"/>
      <c r="M349" s="43"/>
      <c r="N349" s="151"/>
      <c r="O349" s="156"/>
      <c r="P349" s="156"/>
      <c r="Q349" s="40"/>
      <c r="R349" s="41">
        <f>R347/N315</f>
        <v>24.994185842877656</v>
      </c>
      <c r="S349" s="13" t="s">
        <v>34</v>
      </c>
      <c r="T349" s="155" t="s">
        <v>35</v>
      </c>
      <c r="U349" s="43"/>
      <c r="V349" s="43"/>
      <c r="W349" s="151"/>
      <c r="X349" s="156"/>
      <c r="Y349" s="156"/>
      <c r="Z349" s="40"/>
      <c r="AA349" s="41">
        <f>AA347/W315</f>
        <v>252.98349790342212</v>
      </c>
    </row>
    <row r="350" spans="1:27" x14ac:dyDescent="0.2">
      <c r="A350" s="12"/>
      <c r="B350" s="251" t="s">
        <v>36</v>
      </c>
      <c r="C350" s="252"/>
      <c r="D350" s="252"/>
      <c r="E350" s="253"/>
      <c r="F350" s="244" t="s">
        <v>37</v>
      </c>
      <c r="G350" s="244" t="s">
        <v>38</v>
      </c>
      <c r="H350" s="244" t="s">
        <v>39</v>
      </c>
      <c r="I350" s="246" t="s">
        <v>15</v>
      </c>
      <c r="J350" s="12"/>
      <c r="K350" s="251" t="s">
        <v>36</v>
      </c>
      <c r="L350" s="252"/>
      <c r="M350" s="252"/>
      <c r="N350" s="253"/>
      <c r="O350" s="244" t="s">
        <v>37</v>
      </c>
      <c r="P350" s="244" t="s">
        <v>38</v>
      </c>
      <c r="Q350" s="244" t="s">
        <v>39</v>
      </c>
      <c r="R350" s="246" t="s">
        <v>15</v>
      </c>
      <c r="S350" s="12"/>
      <c r="T350" s="251" t="s">
        <v>36</v>
      </c>
      <c r="U350" s="252"/>
      <c r="V350" s="252"/>
      <c r="W350" s="253"/>
      <c r="X350" s="244" t="s">
        <v>37</v>
      </c>
      <c r="Y350" s="244" t="s">
        <v>38</v>
      </c>
      <c r="Z350" s="244" t="s">
        <v>39</v>
      </c>
      <c r="AA350" s="246" t="s">
        <v>15</v>
      </c>
    </row>
    <row r="351" spans="1:27" x14ac:dyDescent="0.2">
      <c r="A351" s="13"/>
      <c r="B351" s="254"/>
      <c r="C351" s="255"/>
      <c r="D351" s="255"/>
      <c r="E351" s="256"/>
      <c r="F351" s="245"/>
      <c r="G351" s="245"/>
      <c r="H351" s="245"/>
      <c r="I351" s="247"/>
      <c r="J351" s="13"/>
      <c r="K351" s="254"/>
      <c r="L351" s="255"/>
      <c r="M351" s="255"/>
      <c r="N351" s="256"/>
      <c r="O351" s="245"/>
      <c r="P351" s="245"/>
      <c r="Q351" s="245"/>
      <c r="R351" s="247"/>
      <c r="S351" s="13"/>
      <c r="T351" s="254"/>
      <c r="U351" s="255"/>
      <c r="V351" s="255"/>
      <c r="W351" s="256"/>
      <c r="X351" s="245"/>
      <c r="Y351" s="245"/>
      <c r="Z351" s="245"/>
      <c r="AA351" s="247"/>
    </row>
    <row r="352" spans="1:27" x14ac:dyDescent="0.2">
      <c r="A352" s="13" t="s">
        <v>40</v>
      </c>
      <c r="B352" s="18" t="s">
        <v>41</v>
      </c>
      <c r="C352" s="19"/>
      <c r="D352" s="19"/>
      <c r="E352" s="20"/>
      <c r="F352" s="22"/>
      <c r="G352" s="22"/>
      <c r="H352" s="23"/>
      <c r="I352" s="23"/>
      <c r="J352" s="13" t="s">
        <v>40</v>
      </c>
      <c r="K352" s="18" t="s">
        <v>41</v>
      </c>
      <c r="L352" s="19"/>
      <c r="M352" s="19"/>
      <c r="N352" s="20"/>
      <c r="O352" s="22"/>
      <c r="P352" s="22"/>
      <c r="Q352" s="23"/>
      <c r="R352" s="23"/>
      <c r="S352" s="13" t="s">
        <v>40</v>
      </c>
      <c r="T352" s="18" t="s">
        <v>41</v>
      </c>
      <c r="U352" s="19"/>
      <c r="V352" s="19"/>
      <c r="W352" s="20"/>
      <c r="X352" s="22"/>
      <c r="Y352" s="22"/>
      <c r="Z352" s="23"/>
      <c r="AA352" s="23"/>
    </row>
    <row r="353" spans="1:27" x14ac:dyDescent="0.2">
      <c r="A353" s="13"/>
      <c r="B353" s="18"/>
      <c r="C353" s="19"/>
      <c r="D353" s="19"/>
      <c r="E353" s="20"/>
      <c r="F353" s="22"/>
      <c r="G353" s="22"/>
      <c r="H353" s="23"/>
      <c r="I353" s="23"/>
      <c r="J353" s="13"/>
      <c r="K353" s="18"/>
      <c r="L353" s="19"/>
      <c r="M353" s="19"/>
      <c r="N353" s="20"/>
      <c r="O353" s="22"/>
      <c r="P353" s="22"/>
      <c r="Q353" s="23"/>
      <c r="R353" s="23"/>
      <c r="S353" s="13"/>
      <c r="T353" s="18"/>
      <c r="U353" s="19"/>
      <c r="V353" s="19"/>
      <c r="W353" s="20"/>
      <c r="X353" s="22"/>
      <c r="Y353" s="22"/>
      <c r="Z353" s="23"/>
      <c r="AA353" s="23"/>
    </row>
    <row r="354" spans="1:27" x14ac:dyDescent="0.2">
      <c r="A354" s="13"/>
      <c r="B354" s="18" t="s">
        <v>238</v>
      </c>
      <c r="C354" s="66"/>
      <c r="D354" s="19"/>
      <c r="E354" s="20"/>
      <c r="F354" s="62" t="s">
        <v>239</v>
      </c>
      <c r="G354" s="62">
        <v>1.05</v>
      </c>
      <c r="H354" s="107">
        <v>44000</v>
      </c>
      <c r="I354" s="23">
        <f>H354*G354</f>
        <v>46200</v>
      </c>
      <c r="J354" s="13"/>
      <c r="K354" s="18" t="s">
        <v>307</v>
      </c>
      <c r="L354" s="66"/>
      <c r="M354" s="19"/>
      <c r="N354" s="20"/>
      <c r="O354" s="62" t="s">
        <v>239</v>
      </c>
      <c r="P354" s="70">
        <v>7.3999999999999996E-2</v>
      </c>
      <c r="Q354" s="107">
        <v>4500</v>
      </c>
      <c r="R354" s="23">
        <f>Q354*P354</f>
        <v>333</v>
      </c>
      <c r="S354" s="13"/>
      <c r="T354" s="18" t="s">
        <v>263</v>
      </c>
      <c r="U354" s="66"/>
      <c r="V354" s="19"/>
      <c r="W354" s="20"/>
      <c r="X354" s="22" t="s">
        <v>77</v>
      </c>
      <c r="Y354" s="62">
        <v>0.5</v>
      </c>
      <c r="Z354" s="107">
        <v>40</v>
      </c>
      <c r="AA354" s="23">
        <f t="shared" ref="AA354:AA362" si="20">Y354*Z354</f>
        <v>20</v>
      </c>
    </row>
    <row r="355" spans="1:27" x14ac:dyDescent="0.2">
      <c r="A355" s="13"/>
      <c r="B355" s="18" t="s">
        <v>283</v>
      </c>
      <c r="C355" s="66"/>
      <c r="D355" s="19"/>
      <c r="E355" s="20"/>
      <c r="F355" s="22"/>
      <c r="G355" s="22"/>
      <c r="H355" s="23"/>
      <c r="I355" s="23"/>
      <c r="J355" s="13"/>
      <c r="K355" s="18" t="s">
        <v>308</v>
      </c>
      <c r="L355" s="66"/>
      <c r="M355" s="19"/>
      <c r="N355" s="20"/>
      <c r="O355" s="22"/>
      <c r="P355" s="22"/>
      <c r="Q355" s="23"/>
      <c r="R355" s="23"/>
      <c r="S355" s="13"/>
      <c r="T355" s="18" t="s">
        <v>264</v>
      </c>
      <c r="U355" s="66"/>
      <c r="V355" s="19"/>
      <c r="W355" s="20"/>
      <c r="X355" s="22" t="s">
        <v>1216</v>
      </c>
      <c r="Y355" s="22">
        <v>0.28999999999999998</v>
      </c>
      <c r="Z355" s="107">
        <v>28</v>
      </c>
      <c r="AA355" s="23">
        <f t="shared" si="20"/>
        <v>8.1199999999999992</v>
      </c>
    </row>
    <row r="356" spans="1:27" x14ac:dyDescent="0.2">
      <c r="A356" s="13"/>
      <c r="B356" s="18"/>
      <c r="C356" s="19"/>
      <c r="D356" s="19"/>
      <c r="E356" s="20"/>
      <c r="F356" s="22"/>
      <c r="G356" s="22"/>
      <c r="H356" s="38"/>
      <c r="I356" s="38"/>
      <c r="J356" s="13"/>
      <c r="K356" s="18"/>
      <c r="L356" s="19"/>
      <c r="M356" s="19"/>
      <c r="N356" s="20"/>
      <c r="O356" s="22"/>
      <c r="P356" s="22"/>
      <c r="Q356" s="38"/>
      <c r="R356" s="38"/>
      <c r="S356" s="13"/>
      <c r="T356" s="18" t="s">
        <v>266</v>
      </c>
      <c r="U356" s="19"/>
      <c r="V356" s="19"/>
      <c r="W356" s="20"/>
      <c r="X356" s="22" t="s">
        <v>1216</v>
      </c>
      <c r="Y356" s="22">
        <v>0.17</v>
      </c>
      <c r="Z356" s="107">
        <v>44</v>
      </c>
      <c r="AA356" s="23">
        <f t="shared" si="20"/>
        <v>7.48</v>
      </c>
    </row>
    <row r="357" spans="1:27" x14ac:dyDescent="0.2">
      <c r="A357" s="13"/>
      <c r="B357" s="18"/>
      <c r="C357" s="19"/>
      <c r="D357" s="19"/>
      <c r="E357" s="20"/>
      <c r="F357" s="22"/>
      <c r="G357" s="22"/>
      <c r="H357" s="38"/>
      <c r="I357" s="38"/>
      <c r="J357" s="13"/>
      <c r="K357" s="18"/>
      <c r="L357" s="19"/>
      <c r="M357" s="19"/>
      <c r="N357" s="20"/>
      <c r="O357" s="22"/>
      <c r="P357" s="22"/>
      <c r="Q357" s="38"/>
      <c r="R357" s="38"/>
      <c r="S357" s="13"/>
      <c r="T357" s="18" t="s">
        <v>374</v>
      </c>
      <c r="U357" s="19"/>
      <c r="V357" s="19"/>
      <c r="W357" s="20"/>
      <c r="X357" s="22" t="s">
        <v>9</v>
      </c>
      <c r="Y357" s="70">
        <v>0.154</v>
      </c>
      <c r="Z357" s="107">
        <v>850</v>
      </c>
      <c r="AA357" s="23">
        <f t="shared" si="20"/>
        <v>130.9</v>
      </c>
    </row>
    <row r="358" spans="1:27" x14ac:dyDescent="0.2">
      <c r="A358" s="13"/>
      <c r="B358" s="18"/>
      <c r="C358" s="19"/>
      <c r="D358" s="19"/>
      <c r="E358" s="20"/>
      <c r="F358" s="22"/>
      <c r="G358" s="22"/>
      <c r="H358" s="45"/>
      <c r="I358" s="45"/>
      <c r="J358" s="13"/>
      <c r="K358" s="18"/>
      <c r="L358" s="19"/>
      <c r="M358" s="19"/>
      <c r="N358" s="20"/>
      <c r="O358" s="22"/>
      <c r="P358" s="22"/>
      <c r="Q358" s="45"/>
      <c r="R358" s="45"/>
      <c r="S358" s="13"/>
      <c r="T358" s="18" t="s">
        <v>375</v>
      </c>
      <c r="U358" s="19"/>
      <c r="V358" s="19"/>
      <c r="W358" s="20"/>
      <c r="X358" s="22" t="s">
        <v>9</v>
      </c>
      <c r="Y358" s="22">
        <v>0.28000000000000003</v>
      </c>
      <c r="Z358" s="107">
        <v>650</v>
      </c>
      <c r="AA358" s="23">
        <f t="shared" si="20"/>
        <v>182.00000000000003</v>
      </c>
    </row>
    <row r="359" spans="1:27" x14ac:dyDescent="0.2">
      <c r="A359" s="13"/>
      <c r="B359" s="18"/>
      <c r="C359" s="19"/>
      <c r="D359" s="19"/>
      <c r="E359" s="20"/>
      <c r="F359" s="22"/>
      <c r="G359" s="22"/>
      <c r="H359" s="45"/>
      <c r="I359" s="45"/>
      <c r="J359" s="13"/>
      <c r="K359" s="18"/>
      <c r="L359" s="19"/>
      <c r="M359" s="19"/>
      <c r="N359" s="20"/>
      <c r="O359" s="22"/>
      <c r="P359" s="22"/>
      <c r="Q359" s="45"/>
      <c r="R359" s="45"/>
      <c r="S359" s="13"/>
      <c r="T359" s="18" t="s">
        <v>376</v>
      </c>
      <c r="U359" s="19"/>
      <c r="V359" s="19"/>
      <c r="W359" s="20"/>
      <c r="X359" s="22" t="s">
        <v>227</v>
      </c>
      <c r="Y359" s="22">
        <v>2.66</v>
      </c>
      <c r="Z359" s="107">
        <v>220</v>
      </c>
      <c r="AA359" s="23">
        <f t="shared" si="20"/>
        <v>585.20000000000005</v>
      </c>
    </row>
    <row r="360" spans="1:27" x14ac:dyDescent="0.2">
      <c r="A360" s="13"/>
      <c r="B360" s="18"/>
      <c r="C360" s="19"/>
      <c r="D360" s="19"/>
      <c r="E360" s="20"/>
      <c r="F360" s="22"/>
      <c r="G360" s="22"/>
      <c r="H360" s="23"/>
      <c r="I360" s="23"/>
      <c r="J360" s="13"/>
      <c r="K360" s="18"/>
      <c r="L360" s="19"/>
      <c r="M360" s="19"/>
      <c r="N360" s="20"/>
      <c r="O360" s="22"/>
      <c r="P360" s="22"/>
      <c r="Q360" s="23"/>
      <c r="R360" s="23"/>
      <c r="S360" s="13"/>
      <c r="T360" s="18" t="s">
        <v>377</v>
      </c>
      <c r="U360" s="19"/>
      <c r="V360" s="19"/>
      <c r="W360" s="20"/>
      <c r="X360" s="22" t="s">
        <v>80</v>
      </c>
      <c r="Y360" s="22">
        <v>1.4999999999999999E-4</v>
      </c>
      <c r="Z360" s="107">
        <v>8000</v>
      </c>
      <c r="AA360" s="23">
        <f t="shared" si="20"/>
        <v>1.2</v>
      </c>
    </row>
    <row r="361" spans="1:27" x14ac:dyDescent="0.2">
      <c r="A361" s="13"/>
      <c r="B361" s="18"/>
      <c r="C361" s="19"/>
      <c r="D361" s="19"/>
      <c r="E361" s="20"/>
      <c r="F361" s="22"/>
      <c r="G361" s="22"/>
      <c r="H361" s="23"/>
      <c r="I361" s="23"/>
      <c r="J361" s="13"/>
      <c r="K361" s="18"/>
      <c r="L361" s="19"/>
      <c r="M361" s="19"/>
      <c r="N361" s="20"/>
      <c r="O361" s="22"/>
      <c r="P361" s="22"/>
      <c r="Q361" s="23"/>
      <c r="R361" s="23"/>
      <c r="S361" s="13"/>
      <c r="T361" s="18" t="s">
        <v>378</v>
      </c>
      <c r="U361" s="19"/>
      <c r="V361" s="19"/>
      <c r="W361" s="20"/>
      <c r="X361" s="22" t="s">
        <v>1153</v>
      </c>
      <c r="Y361" s="22">
        <v>7.7999999999999996E-3</v>
      </c>
      <c r="Z361" s="107">
        <v>97</v>
      </c>
      <c r="AA361" s="23">
        <f t="shared" si="20"/>
        <v>0.75659999999999994</v>
      </c>
    </row>
    <row r="362" spans="1:27" x14ac:dyDescent="0.2">
      <c r="A362" s="13"/>
      <c r="B362" s="18"/>
      <c r="C362" s="19"/>
      <c r="D362" s="19"/>
      <c r="E362" s="20"/>
      <c r="F362" s="22"/>
      <c r="G362" s="22"/>
      <c r="H362" s="23"/>
      <c r="I362" s="23"/>
      <c r="J362" s="13"/>
      <c r="K362" s="18"/>
      <c r="L362" s="19"/>
      <c r="M362" s="19"/>
      <c r="N362" s="20"/>
      <c r="O362" s="22"/>
      <c r="P362" s="22"/>
      <c r="Q362" s="23"/>
      <c r="R362" s="23"/>
      <c r="S362" s="13"/>
      <c r="T362" s="18" t="s">
        <v>379</v>
      </c>
      <c r="U362" s="19"/>
      <c r="V362" s="19"/>
      <c r="W362" s="20"/>
      <c r="X362" s="22" t="s">
        <v>1216</v>
      </c>
      <c r="Y362" s="22">
        <v>7.7999999999999996E-3</v>
      </c>
      <c r="Z362" s="107">
        <v>300</v>
      </c>
      <c r="AA362" s="23">
        <f t="shared" si="20"/>
        <v>2.34</v>
      </c>
    </row>
    <row r="363" spans="1:27" x14ac:dyDescent="0.2">
      <c r="A363" s="13"/>
      <c r="B363" s="18"/>
      <c r="C363" s="19"/>
      <c r="D363" s="19"/>
      <c r="E363" s="20"/>
      <c r="F363" s="22"/>
      <c r="G363" s="22"/>
      <c r="H363" s="23"/>
      <c r="I363" s="23"/>
      <c r="J363" s="13"/>
      <c r="K363" s="18"/>
      <c r="L363" s="19"/>
      <c r="M363" s="19"/>
      <c r="N363" s="20"/>
      <c r="O363" s="22"/>
      <c r="P363" s="22"/>
      <c r="Q363" s="23"/>
      <c r="R363" s="23"/>
      <c r="S363" s="13"/>
      <c r="T363" s="18"/>
      <c r="U363" s="19"/>
      <c r="V363" s="19"/>
      <c r="W363" s="20"/>
      <c r="X363" s="22"/>
      <c r="Y363" s="22"/>
      <c r="Z363" s="23"/>
      <c r="AA363" s="23"/>
    </row>
    <row r="364" spans="1:27" x14ac:dyDescent="0.2">
      <c r="A364" s="13"/>
      <c r="B364" s="18"/>
      <c r="C364" s="19"/>
      <c r="D364" s="19"/>
      <c r="E364" s="20"/>
      <c r="F364" s="22"/>
      <c r="G364" s="22"/>
      <c r="H364" s="23"/>
      <c r="I364" s="23"/>
      <c r="J364" s="13"/>
      <c r="K364" s="18"/>
      <c r="L364" s="19"/>
      <c r="M364" s="19"/>
      <c r="N364" s="20"/>
      <c r="O364" s="22"/>
      <c r="P364" s="22"/>
      <c r="Q364" s="23"/>
      <c r="R364" s="23"/>
      <c r="S364" s="13"/>
      <c r="T364" s="18"/>
      <c r="U364" s="19"/>
      <c r="V364" s="19"/>
      <c r="W364" s="20"/>
      <c r="X364" s="22"/>
      <c r="Y364" s="22"/>
      <c r="Z364" s="23"/>
      <c r="AA364" s="23"/>
    </row>
    <row r="365" spans="1:27" x14ac:dyDescent="0.2">
      <c r="A365" s="13"/>
      <c r="B365" s="18"/>
      <c r="C365" s="19"/>
      <c r="D365" s="19"/>
      <c r="E365" s="20"/>
      <c r="F365" s="22"/>
      <c r="G365" s="22"/>
      <c r="H365" s="23"/>
      <c r="I365" s="23"/>
      <c r="J365" s="13"/>
      <c r="K365" s="18"/>
      <c r="L365" s="19"/>
      <c r="M365" s="19"/>
      <c r="N365" s="20"/>
      <c r="O365" s="22"/>
      <c r="P365" s="22"/>
      <c r="Q365" s="23"/>
      <c r="R365" s="23"/>
      <c r="S365" s="13"/>
      <c r="T365" s="18"/>
      <c r="U365" s="19"/>
      <c r="V365" s="19"/>
      <c r="W365" s="20"/>
      <c r="X365" s="22"/>
      <c r="Y365" s="22"/>
      <c r="Z365" s="23"/>
      <c r="AA365" s="23"/>
    </row>
    <row r="366" spans="1:27" x14ac:dyDescent="0.2">
      <c r="A366" s="13"/>
      <c r="B366" s="18"/>
      <c r="C366" s="19"/>
      <c r="D366" s="19"/>
      <c r="E366" s="20"/>
      <c r="F366" s="22"/>
      <c r="G366" s="36"/>
      <c r="H366" s="37"/>
      <c r="I366" s="37"/>
      <c r="J366" s="13"/>
      <c r="K366" s="18"/>
      <c r="L366" s="19"/>
      <c r="M366" s="19"/>
      <c r="N366" s="20"/>
      <c r="O366" s="22"/>
      <c r="P366" s="36"/>
      <c r="Q366" s="37"/>
      <c r="R366" s="37"/>
      <c r="S366" s="13"/>
      <c r="T366" s="18"/>
      <c r="U366" s="19"/>
      <c r="V366" s="19"/>
      <c r="W366" s="20"/>
      <c r="X366" s="22"/>
      <c r="Y366" s="36"/>
      <c r="Z366" s="37"/>
      <c r="AA366" s="37"/>
    </row>
    <row r="367" spans="1:27" x14ac:dyDescent="0.2">
      <c r="A367" s="13"/>
      <c r="B367" s="248" t="s">
        <v>42</v>
      </c>
      <c r="C367" s="249"/>
      <c r="D367" s="249"/>
      <c r="E367" s="250"/>
      <c r="F367" s="46"/>
      <c r="G367" s="46"/>
      <c r="H367" s="47"/>
      <c r="I367" s="47">
        <f>SUM(I354:I366)</f>
        <v>46200</v>
      </c>
      <c r="J367" s="13"/>
      <c r="K367" s="248" t="s">
        <v>42</v>
      </c>
      <c r="L367" s="249"/>
      <c r="M367" s="249"/>
      <c r="N367" s="250"/>
      <c r="O367" s="46"/>
      <c r="P367" s="46"/>
      <c r="Q367" s="47"/>
      <c r="R367" s="47">
        <f>SUM(R354:R366)</f>
        <v>333</v>
      </c>
      <c r="S367" s="13"/>
      <c r="T367" s="248" t="s">
        <v>42</v>
      </c>
      <c r="U367" s="249"/>
      <c r="V367" s="249"/>
      <c r="W367" s="250"/>
      <c r="X367" s="46"/>
      <c r="Y367" s="46"/>
      <c r="Z367" s="47"/>
      <c r="AA367" s="47">
        <f>SUM(AA354:AA366)</f>
        <v>937.99660000000017</v>
      </c>
    </row>
    <row r="368" spans="1:27" x14ac:dyDescent="0.2">
      <c r="A368" s="12" t="s">
        <v>43</v>
      </c>
      <c r="B368" s="48" t="s">
        <v>44</v>
      </c>
      <c r="C368" s="43"/>
      <c r="D368" s="43"/>
      <c r="E368" s="39"/>
      <c r="F368" s="49"/>
      <c r="G368" s="49"/>
      <c r="H368" s="50"/>
      <c r="I368" s="51">
        <f>SUM(I349+I367)</f>
        <v>50376.233333333337</v>
      </c>
      <c r="J368" s="12" t="s">
        <v>43</v>
      </c>
      <c r="K368" s="48" t="s">
        <v>44</v>
      </c>
      <c r="L368" s="43"/>
      <c r="M368" s="43"/>
      <c r="N368" s="151"/>
      <c r="O368" s="49"/>
      <c r="P368" s="49"/>
      <c r="Q368" s="50"/>
      <c r="R368" s="51">
        <f>SUM(R349+R367)</f>
        <v>357.99418584287764</v>
      </c>
      <c r="S368" s="12" t="s">
        <v>43</v>
      </c>
      <c r="T368" s="48" t="s">
        <v>44</v>
      </c>
      <c r="U368" s="43"/>
      <c r="V368" s="43"/>
      <c r="W368" s="151"/>
      <c r="X368" s="49"/>
      <c r="Y368" s="49"/>
      <c r="Z368" s="50"/>
      <c r="AA368" s="51">
        <f>SUM(AA349+AA367)</f>
        <v>1190.9800979034223</v>
      </c>
    </row>
    <row r="369" spans="1:27" x14ac:dyDescent="0.2">
      <c r="A369" s="13" t="s">
        <v>45</v>
      </c>
      <c r="B369" s="48" t="s">
        <v>46</v>
      </c>
      <c r="C369" s="43"/>
      <c r="D369" s="43"/>
      <c r="E369" s="39"/>
      <c r="F369" s="49"/>
      <c r="G369" s="52">
        <v>0.09</v>
      </c>
      <c r="H369" s="53" t="s">
        <v>47</v>
      </c>
      <c r="I369" s="51">
        <f>G369*I368</f>
        <v>4533.8609999999999</v>
      </c>
      <c r="J369" s="13" t="s">
        <v>45</v>
      </c>
      <c r="K369" s="48" t="s">
        <v>46</v>
      </c>
      <c r="L369" s="43"/>
      <c r="M369" s="43"/>
      <c r="N369" s="151"/>
      <c r="O369" s="49"/>
      <c r="P369" s="52">
        <v>0.09</v>
      </c>
      <c r="Q369" s="53" t="s">
        <v>47</v>
      </c>
      <c r="R369" s="51">
        <f>P369*R368</f>
        <v>32.219476725858989</v>
      </c>
      <c r="S369" s="13" t="s">
        <v>45</v>
      </c>
      <c r="T369" s="48" t="s">
        <v>46</v>
      </c>
      <c r="U369" s="43"/>
      <c r="V369" s="43"/>
      <c r="W369" s="151"/>
      <c r="X369" s="49"/>
      <c r="Y369" s="52">
        <v>0.09</v>
      </c>
      <c r="Z369" s="53" t="s">
        <v>47</v>
      </c>
      <c r="AA369" s="51">
        <f>Y369*AA368</f>
        <v>107.188208811308</v>
      </c>
    </row>
    <row r="370" spans="1:27" x14ac:dyDescent="0.2">
      <c r="A370" s="13" t="s">
        <v>48</v>
      </c>
      <c r="B370" s="48" t="s">
        <v>49</v>
      </c>
      <c r="C370" s="43"/>
      <c r="D370" s="43"/>
      <c r="E370" s="39"/>
      <c r="F370" s="49"/>
      <c r="G370" s="52">
        <v>0.08</v>
      </c>
      <c r="H370" s="53" t="s">
        <v>47</v>
      </c>
      <c r="I370" s="51">
        <f>G370*I368</f>
        <v>4030.0986666666672</v>
      </c>
      <c r="J370" s="13" t="s">
        <v>48</v>
      </c>
      <c r="K370" s="48" t="s">
        <v>49</v>
      </c>
      <c r="L370" s="43"/>
      <c r="M370" s="43"/>
      <c r="N370" s="151"/>
      <c r="O370" s="49"/>
      <c r="P370" s="52">
        <v>0.08</v>
      </c>
      <c r="Q370" s="53" t="s">
        <v>47</v>
      </c>
      <c r="R370" s="51">
        <f>P370*R368</f>
        <v>28.639534867430211</v>
      </c>
      <c r="S370" s="13" t="s">
        <v>48</v>
      </c>
      <c r="T370" s="48" t="s">
        <v>49</v>
      </c>
      <c r="U370" s="43"/>
      <c r="V370" s="43"/>
      <c r="W370" s="151"/>
      <c r="X370" s="49"/>
      <c r="Y370" s="52">
        <v>0.08</v>
      </c>
      <c r="Z370" s="53" t="s">
        <v>47</v>
      </c>
      <c r="AA370" s="51">
        <f>Y370*AA368</f>
        <v>95.278407832273786</v>
      </c>
    </row>
    <row r="371" spans="1:27" x14ac:dyDescent="0.2">
      <c r="A371" s="13" t="s">
        <v>50</v>
      </c>
      <c r="B371" s="48" t="s">
        <v>51</v>
      </c>
      <c r="C371" s="43"/>
      <c r="D371" s="43"/>
      <c r="E371" s="39"/>
      <c r="F371" s="49"/>
      <c r="G371" s="52">
        <v>0.05</v>
      </c>
      <c r="H371" s="53" t="s">
        <v>52</v>
      </c>
      <c r="I371" s="51">
        <f>G371*(I368+I369+I370)</f>
        <v>2947.00965</v>
      </c>
      <c r="J371" s="13" t="s">
        <v>50</v>
      </c>
      <c r="K371" s="48" t="s">
        <v>51</v>
      </c>
      <c r="L371" s="43"/>
      <c r="M371" s="43"/>
      <c r="N371" s="151"/>
      <c r="O371" s="49"/>
      <c r="P371" s="52">
        <v>0.05</v>
      </c>
      <c r="Q371" s="53" t="s">
        <v>52</v>
      </c>
      <c r="R371" s="51">
        <f>P371*(R368+R369+R370)</f>
        <v>20.942659871808345</v>
      </c>
      <c r="S371" s="13" t="s">
        <v>50</v>
      </c>
      <c r="T371" s="48" t="s">
        <v>51</v>
      </c>
      <c r="U371" s="43"/>
      <c r="V371" s="43"/>
      <c r="W371" s="151"/>
      <c r="X371" s="49"/>
      <c r="Y371" s="52">
        <v>0.05</v>
      </c>
      <c r="Z371" s="53" t="s">
        <v>52</v>
      </c>
      <c r="AA371" s="51">
        <f>Y371*(AA368+AA369+AA370)</f>
        <v>69.672335727350216</v>
      </c>
    </row>
    <row r="372" spans="1:27" x14ac:dyDescent="0.2">
      <c r="A372" s="54" t="s">
        <v>53</v>
      </c>
      <c r="B372" s="48" t="s">
        <v>54</v>
      </c>
      <c r="C372" s="43"/>
      <c r="D372" s="43"/>
      <c r="E372" s="39"/>
      <c r="F372" s="49"/>
      <c r="G372" s="49"/>
      <c r="H372" s="55" t="s">
        <v>55</v>
      </c>
      <c r="I372" s="51">
        <f>SUM(I368+I369+I370+I371)</f>
        <v>61887.202649999999</v>
      </c>
      <c r="J372" s="54" t="s">
        <v>53</v>
      </c>
      <c r="K372" s="48" t="s">
        <v>54</v>
      </c>
      <c r="L372" s="43"/>
      <c r="M372" s="43"/>
      <c r="N372" s="151"/>
      <c r="O372" s="49"/>
      <c r="P372" s="49"/>
      <c r="Q372" s="55" t="s">
        <v>55</v>
      </c>
      <c r="R372" s="51">
        <f>SUM(R368+R369+R370+R371)</f>
        <v>439.79585730797521</v>
      </c>
      <c r="S372" s="54" t="s">
        <v>53</v>
      </c>
      <c r="T372" s="48" t="s">
        <v>54</v>
      </c>
      <c r="U372" s="43"/>
      <c r="V372" s="43"/>
      <c r="W372" s="151"/>
      <c r="X372" s="49"/>
      <c r="Y372" s="49"/>
      <c r="Z372" s="55" t="s">
        <v>55</v>
      </c>
      <c r="AA372" s="51">
        <f>SUM(AA368+AA369+AA370+AA371)</f>
        <v>1463.1190502743543</v>
      </c>
    </row>
    <row r="373" spans="1:27" s="1" customFormat="1" x14ac:dyDescent="0.2">
      <c r="A373" s="236" t="s">
        <v>0</v>
      </c>
      <c r="B373" s="236"/>
      <c r="C373" s="236"/>
      <c r="D373" s="236"/>
      <c r="E373" s="236"/>
      <c r="F373" s="236"/>
      <c r="G373" s="236"/>
      <c r="H373" s="236"/>
      <c r="I373" s="236"/>
      <c r="J373" s="236" t="s">
        <v>0</v>
      </c>
      <c r="K373" s="236"/>
      <c r="L373" s="236"/>
      <c r="M373" s="236"/>
      <c r="N373" s="236"/>
      <c r="O373" s="236"/>
      <c r="P373" s="236"/>
      <c r="Q373" s="236"/>
      <c r="R373" s="236"/>
      <c r="S373" s="236" t="s">
        <v>0</v>
      </c>
      <c r="T373" s="236"/>
      <c r="U373" s="236"/>
      <c r="V373" s="236"/>
      <c r="W373" s="236"/>
      <c r="X373" s="236"/>
      <c r="Y373" s="236"/>
      <c r="Z373" s="236"/>
      <c r="AA373" s="236"/>
    </row>
    <row r="374" spans="1:27" x14ac:dyDescent="0.2">
      <c r="S374" s="10"/>
      <c r="T374" s="3"/>
      <c r="U374" s="4"/>
      <c r="V374" s="4"/>
      <c r="W374" s="5"/>
      <c r="X374" s="3"/>
      <c r="Y374" s="3"/>
      <c r="Z374" s="3"/>
      <c r="AA374" s="3"/>
    </row>
    <row r="375" spans="1:27" x14ac:dyDescent="0.2">
      <c r="A375" s="2" t="s">
        <v>1</v>
      </c>
      <c r="C375" s="4" t="s">
        <v>2</v>
      </c>
      <c r="D375" s="5" t="s">
        <v>309</v>
      </c>
      <c r="E375" s="237" t="s">
        <v>310</v>
      </c>
      <c r="F375" s="237"/>
      <c r="G375" s="237"/>
      <c r="H375" s="237"/>
      <c r="J375" s="2" t="s">
        <v>1</v>
      </c>
      <c r="L375" s="4" t="s">
        <v>2</v>
      </c>
      <c r="M375" s="5" t="s">
        <v>311</v>
      </c>
      <c r="N375" s="237" t="s">
        <v>312</v>
      </c>
      <c r="O375" s="237"/>
      <c r="P375" s="237"/>
      <c r="Q375" s="237"/>
      <c r="S375" s="152" t="s">
        <v>1</v>
      </c>
      <c r="T375" s="3"/>
      <c r="U375" s="4" t="s">
        <v>2</v>
      </c>
      <c r="V375" s="5" t="s">
        <v>1265</v>
      </c>
      <c r="W375" s="237" t="s">
        <v>387</v>
      </c>
      <c r="X375" s="237"/>
      <c r="Y375" s="237"/>
      <c r="Z375" s="237"/>
      <c r="AA375" s="3"/>
    </row>
    <row r="376" spans="1:27" x14ac:dyDescent="0.2">
      <c r="A376" s="2" t="s">
        <v>7</v>
      </c>
      <c r="C376" s="4" t="s">
        <v>2</v>
      </c>
      <c r="E376" s="2" t="s">
        <v>239</v>
      </c>
      <c r="F376" s="8"/>
      <c r="G376" s="8"/>
      <c r="H376" s="8"/>
      <c r="J376" s="2" t="s">
        <v>7</v>
      </c>
      <c r="L376" s="4" t="s">
        <v>2</v>
      </c>
      <c r="N376" s="2" t="s">
        <v>8</v>
      </c>
      <c r="O376" s="8"/>
      <c r="P376" s="8"/>
      <c r="Q376" s="8"/>
      <c r="S376" s="152" t="s">
        <v>7</v>
      </c>
      <c r="T376" s="3"/>
      <c r="U376" s="4" t="s">
        <v>2</v>
      </c>
      <c r="V376" s="4"/>
      <c r="W376" s="152" t="s">
        <v>8</v>
      </c>
      <c r="X376" s="8"/>
      <c r="Y376" s="8"/>
      <c r="Z376" s="8"/>
      <c r="AA376" s="3"/>
    </row>
    <row r="377" spans="1:27" x14ac:dyDescent="0.2">
      <c r="A377" s="2" t="s">
        <v>10</v>
      </c>
      <c r="C377" s="4" t="s">
        <v>2</v>
      </c>
      <c r="E377" s="9">
        <v>16</v>
      </c>
      <c r="F377" s="8"/>
      <c r="G377" s="8"/>
      <c r="H377" s="8"/>
      <c r="J377" s="2" t="s">
        <v>10</v>
      </c>
      <c r="L377" s="4" t="s">
        <v>2</v>
      </c>
      <c r="N377" s="9">
        <v>214.13</v>
      </c>
      <c r="O377" s="8"/>
      <c r="P377" s="8"/>
      <c r="Q377" s="8"/>
      <c r="S377" s="152" t="s">
        <v>10</v>
      </c>
      <c r="T377" s="3"/>
      <c r="U377" s="4" t="s">
        <v>2</v>
      </c>
      <c r="V377" s="4"/>
      <c r="W377" s="9">
        <v>100</v>
      </c>
      <c r="X377" s="8"/>
      <c r="Y377" s="8"/>
      <c r="Z377" s="8"/>
      <c r="AA377" s="3"/>
    </row>
    <row r="378" spans="1:27" x14ac:dyDescent="0.2">
      <c r="B378" s="8"/>
      <c r="F378" s="11"/>
      <c r="G378" s="8"/>
      <c r="H378" s="8"/>
      <c r="I378" s="8"/>
      <c r="K378" s="8"/>
      <c r="O378" s="11"/>
      <c r="P378" s="8"/>
      <c r="Q378" s="8"/>
      <c r="R378" s="8"/>
      <c r="S378" s="10"/>
      <c r="T378" s="8"/>
      <c r="U378" s="4"/>
      <c r="V378" s="4"/>
      <c r="W378" s="5"/>
      <c r="X378" s="11"/>
      <c r="Y378" s="8"/>
      <c r="Z378" s="8"/>
      <c r="AA378" s="8"/>
    </row>
    <row r="379" spans="1:27" x14ac:dyDescent="0.2">
      <c r="A379" s="12"/>
      <c r="B379" s="238" t="s">
        <v>11</v>
      </c>
      <c r="C379" s="239"/>
      <c r="D379" s="239"/>
      <c r="E379" s="240"/>
      <c r="F379" s="244" t="s">
        <v>12</v>
      </c>
      <c r="G379" s="244" t="s">
        <v>13</v>
      </c>
      <c r="H379" s="244" t="s">
        <v>14</v>
      </c>
      <c r="I379" s="246" t="s">
        <v>15</v>
      </c>
      <c r="J379" s="12"/>
      <c r="K379" s="238" t="s">
        <v>11</v>
      </c>
      <c r="L379" s="239"/>
      <c r="M379" s="239"/>
      <c r="N379" s="240"/>
      <c r="O379" s="244" t="s">
        <v>12</v>
      </c>
      <c r="P379" s="244" t="s">
        <v>13</v>
      </c>
      <c r="Q379" s="244" t="s">
        <v>14</v>
      </c>
      <c r="R379" s="246" t="s">
        <v>15</v>
      </c>
      <c r="S379" s="12"/>
      <c r="T379" s="238" t="s">
        <v>11</v>
      </c>
      <c r="U379" s="239"/>
      <c r="V379" s="239"/>
      <c r="W379" s="240"/>
      <c r="X379" s="244" t="s">
        <v>12</v>
      </c>
      <c r="Y379" s="244" t="s">
        <v>13</v>
      </c>
      <c r="Z379" s="244" t="s">
        <v>14</v>
      </c>
      <c r="AA379" s="246" t="s">
        <v>15</v>
      </c>
    </row>
    <row r="380" spans="1:27" x14ac:dyDescent="0.2">
      <c r="A380" s="13"/>
      <c r="B380" s="241"/>
      <c r="C380" s="242"/>
      <c r="D380" s="242"/>
      <c r="E380" s="243"/>
      <c r="F380" s="245"/>
      <c r="G380" s="245"/>
      <c r="H380" s="245"/>
      <c r="I380" s="247"/>
      <c r="J380" s="13"/>
      <c r="K380" s="241"/>
      <c r="L380" s="242"/>
      <c r="M380" s="242"/>
      <c r="N380" s="243"/>
      <c r="O380" s="245"/>
      <c r="P380" s="245"/>
      <c r="Q380" s="245"/>
      <c r="R380" s="247"/>
      <c r="S380" s="13"/>
      <c r="T380" s="241"/>
      <c r="U380" s="242"/>
      <c r="V380" s="242"/>
      <c r="W380" s="243"/>
      <c r="X380" s="245"/>
      <c r="Y380" s="245"/>
      <c r="Z380" s="245"/>
      <c r="AA380" s="247"/>
    </row>
    <row r="381" spans="1:27" x14ac:dyDescent="0.2">
      <c r="A381" s="13" t="s">
        <v>16</v>
      </c>
      <c r="B381" s="14" t="s">
        <v>17</v>
      </c>
      <c r="C381" s="15"/>
      <c r="D381" s="15"/>
      <c r="E381" s="16"/>
      <c r="F381" s="17"/>
      <c r="G381" s="17"/>
      <c r="H381" s="17"/>
      <c r="I381" s="17"/>
      <c r="J381" s="13" t="s">
        <v>16</v>
      </c>
      <c r="K381" s="14" t="s">
        <v>17</v>
      </c>
      <c r="L381" s="15"/>
      <c r="M381" s="15"/>
      <c r="N381" s="16"/>
      <c r="O381" s="17"/>
      <c r="P381" s="17"/>
      <c r="Q381" s="17"/>
      <c r="R381" s="17"/>
      <c r="S381" s="13" t="s">
        <v>16</v>
      </c>
      <c r="T381" s="14" t="s">
        <v>17</v>
      </c>
      <c r="U381" s="15"/>
      <c r="V381" s="15"/>
      <c r="W381" s="16"/>
      <c r="X381" s="17"/>
      <c r="Y381" s="17"/>
      <c r="Z381" s="17"/>
      <c r="AA381" s="17"/>
    </row>
    <row r="382" spans="1:27" x14ac:dyDescent="0.2">
      <c r="A382" s="13"/>
      <c r="B382" s="18"/>
      <c r="C382" s="19"/>
      <c r="D382" s="19"/>
      <c r="E382" s="20"/>
      <c r="F382" s="21"/>
      <c r="G382" s="22"/>
      <c r="H382" s="21"/>
      <c r="I382" s="21"/>
      <c r="J382" s="13"/>
      <c r="K382" s="18"/>
      <c r="L382" s="19"/>
      <c r="M382" s="19"/>
      <c r="N382" s="20"/>
      <c r="O382" s="21"/>
      <c r="P382" s="22"/>
      <c r="Q382" s="21"/>
      <c r="R382" s="21"/>
      <c r="S382" s="13"/>
      <c r="T382" s="18"/>
      <c r="U382" s="19"/>
      <c r="V382" s="19"/>
      <c r="W382" s="20"/>
      <c r="X382" s="21"/>
      <c r="Y382" s="22"/>
      <c r="Z382" s="21"/>
      <c r="AA382" s="21"/>
    </row>
    <row r="383" spans="1:27" x14ac:dyDescent="0.2">
      <c r="A383" s="13"/>
      <c r="B383" s="24" t="s">
        <v>18</v>
      </c>
      <c r="C383" s="25"/>
      <c r="D383" s="25"/>
      <c r="E383" s="26"/>
      <c r="F383" s="22">
        <v>1</v>
      </c>
      <c r="G383" s="62">
        <v>1</v>
      </c>
      <c r="H383" s="23">
        <v>69.42</v>
      </c>
      <c r="I383" s="23">
        <f>F383*G383*H383</f>
        <v>69.42</v>
      </c>
      <c r="J383" s="13"/>
      <c r="K383" s="24" t="s">
        <v>18</v>
      </c>
      <c r="L383" s="25"/>
      <c r="M383" s="25"/>
      <c r="N383" s="26"/>
      <c r="O383" s="22">
        <v>1</v>
      </c>
      <c r="P383" s="23">
        <v>1</v>
      </c>
      <c r="Q383" s="23">
        <v>69.42</v>
      </c>
      <c r="R383" s="23">
        <f>P383*Q383*O383</f>
        <v>69.42</v>
      </c>
      <c r="S383" s="13"/>
      <c r="T383" s="24" t="s">
        <v>18</v>
      </c>
      <c r="U383" s="25"/>
      <c r="V383" s="25"/>
      <c r="W383" s="26"/>
      <c r="X383" s="22">
        <v>1</v>
      </c>
      <c r="Y383" s="23">
        <v>1</v>
      </c>
      <c r="Z383" s="23">
        <v>69.42</v>
      </c>
      <c r="AA383" s="23">
        <f>Y383*Z383*X383</f>
        <v>69.42</v>
      </c>
    </row>
    <row r="384" spans="1:27" x14ac:dyDescent="0.2">
      <c r="A384" s="13"/>
      <c r="B384" s="24" t="s">
        <v>1179</v>
      </c>
      <c r="C384" s="25"/>
      <c r="D384" s="25"/>
      <c r="E384" s="26"/>
      <c r="F384" s="22">
        <v>20</v>
      </c>
      <c r="G384" s="62">
        <v>1</v>
      </c>
      <c r="H384" s="23">
        <v>38.97</v>
      </c>
      <c r="I384" s="23">
        <f>F384*G384*H384</f>
        <v>779.4</v>
      </c>
      <c r="J384" s="13"/>
      <c r="K384" s="257" t="s">
        <v>1178</v>
      </c>
      <c r="L384" s="258"/>
      <c r="M384" s="25"/>
      <c r="N384" s="26"/>
      <c r="O384" s="22">
        <v>4</v>
      </c>
      <c r="P384" s="23">
        <v>1</v>
      </c>
      <c r="Q384" s="23">
        <v>50.18</v>
      </c>
      <c r="R384" s="23">
        <f>P384*Q384*O384</f>
        <v>200.72</v>
      </c>
      <c r="S384" s="13"/>
      <c r="T384" s="257" t="s">
        <v>1178</v>
      </c>
      <c r="U384" s="258"/>
      <c r="V384" s="25"/>
      <c r="W384" s="26"/>
      <c r="X384" s="22">
        <v>4</v>
      </c>
      <c r="Y384" s="23">
        <v>1</v>
      </c>
      <c r="Z384" s="23">
        <v>50.18</v>
      </c>
      <c r="AA384" s="23">
        <f>Y384*Z384*X384</f>
        <v>200.72</v>
      </c>
    </row>
    <row r="385" spans="1:27" x14ac:dyDescent="0.2">
      <c r="A385" s="13"/>
      <c r="B385" s="27"/>
      <c r="C385" s="19"/>
      <c r="D385" s="19"/>
      <c r="E385" s="20"/>
      <c r="F385" s="22"/>
      <c r="G385" s="22"/>
      <c r="H385" s="28"/>
      <c r="I385" s="23"/>
      <c r="J385" s="13"/>
      <c r="K385" s="257" t="s">
        <v>1177</v>
      </c>
      <c r="L385" s="258"/>
      <c r="M385" s="19"/>
      <c r="N385" s="20"/>
      <c r="O385" s="22">
        <v>8</v>
      </c>
      <c r="P385" s="23">
        <v>1</v>
      </c>
      <c r="Q385" s="23">
        <v>38.97</v>
      </c>
      <c r="R385" s="23">
        <f>P385*Q385*O385</f>
        <v>311.76</v>
      </c>
      <c r="S385" s="13"/>
      <c r="T385" s="257" t="s">
        <v>1177</v>
      </c>
      <c r="U385" s="258"/>
      <c r="V385" s="19"/>
      <c r="W385" s="20"/>
      <c r="X385" s="22">
        <v>10</v>
      </c>
      <c r="Y385" s="23">
        <v>1</v>
      </c>
      <c r="Z385" s="23">
        <v>38.97</v>
      </c>
      <c r="AA385" s="23">
        <f>Y385*Z385*X385</f>
        <v>389.7</v>
      </c>
    </row>
    <row r="386" spans="1:27" x14ac:dyDescent="0.2">
      <c r="A386" s="13"/>
      <c r="B386" s="27"/>
      <c r="C386" s="19"/>
      <c r="D386" s="19"/>
      <c r="E386" s="20"/>
      <c r="F386" s="22"/>
      <c r="G386" s="22"/>
      <c r="H386" s="29"/>
      <c r="I386" s="30"/>
      <c r="J386" s="13"/>
      <c r="K386" s="27"/>
      <c r="L386" s="19"/>
      <c r="M386" s="19"/>
      <c r="N386" s="20"/>
      <c r="O386" s="22"/>
      <c r="P386" s="22"/>
      <c r="Q386" s="29"/>
      <c r="R386" s="30"/>
      <c r="S386" s="13"/>
      <c r="T386" s="153"/>
      <c r="U386" s="19"/>
      <c r="V386" s="19"/>
      <c r="W386" s="20"/>
      <c r="X386" s="22"/>
      <c r="Y386" s="22"/>
      <c r="Z386" s="29"/>
      <c r="AA386" s="30"/>
    </row>
    <row r="387" spans="1:27" ht="15" customHeight="1" x14ac:dyDescent="0.2">
      <c r="A387" s="13"/>
      <c r="B387" s="27"/>
      <c r="C387" s="19"/>
      <c r="D387" s="19"/>
      <c r="E387" s="20"/>
      <c r="F387" s="22"/>
      <c r="G387" s="22"/>
      <c r="H387" s="29"/>
      <c r="I387" s="30"/>
      <c r="J387" s="13"/>
      <c r="K387" s="27"/>
      <c r="L387" s="19"/>
      <c r="M387" s="19"/>
      <c r="N387" s="20"/>
      <c r="O387" s="22"/>
      <c r="P387" s="22"/>
      <c r="Q387" s="29"/>
      <c r="R387" s="30"/>
      <c r="S387" s="13"/>
      <c r="T387" s="153"/>
      <c r="U387" s="19"/>
      <c r="V387" s="19"/>
      <c r="W387" s="20"/>
      <c r="X387" s="22"/>
      <c r="Y387" s="22"/>
      <c r="Z387" s="29"/>
      <c r="AA387" s="30"/>
    </row>
    <row r="388" spans="1:27" x14ac:dyDescent="0.2">
      <c r="A388" s="13"/>
      <c r="B388" s="18"/>
      <c r="C388" s="19"/>
      <c r="D388" s="19"/>
      <c r="E388" s="20"/>
      <c r="F388" s="22"/>
      <c r="G388" s="22"/>
      <c r="H388" s="28"/>
      <c r="I388" s="23"/>
      <c r="J388" s="13"/>
      <c r="K388" s="18"/>
      <c r="L388" s="19"/>
      <c r="M388" s="19"/>
      <c r="N388" s="20"/>
      <c r="O388" s="22"/>
      <c r="P388" s="22"/>
      <c r="Q388" s="28"/>
      <c r="R388" s="23"/>
      <c r="S388" s="13"/>
      <c r="T388" s="18"/>
      <c r="U388" s="19"/>
      <c r="V388" s="19"/>
      <c r="W388" s="20"/>
      <c r="X388" s="22"/>
      <c r="Y388" s="22"/>
      <c r="Z388" s="28"/>
      <c r="AA388" s="23"/>
    </row>
    <row r="389" spans="1:27" x14ac:dyDescent="0.2">
      <c r="A389" s="13"/>
      <c r="B389" s="18"/>
      <c r="C389" s="19"/>
      <c r="D389" s="19"/>
      <c r="E389" s="20"/>
      <c r="F389" s="22"/>
      <c r="G389" s="22"/>
      <c r="H389" s="23"/>
      <c r="I389" s="23"/>
      <c r="J389" s="13"/>
      <c r="K389" s="18"/>
      <c r="L389" s="19"/>
      <c r="M389" s="19"/>
      <c r="N389" s="20"/>
      <c r="O389" s="22"/>
      <c r="P389" s="22"/>
      <c r="Q389" s="23"/>
      <c r="R389" s="23"/>
      <c r="S389" s="13"/>
      <c r="T389" s="18"/>
      <c r="U389" s="19"/>
      <c r="V389" s="19"/>
      <c r="W389" s="20"/>
      <c r="X389" s="22"/>
      <c r="Y389" s="22"/>
      <c r="Z389" s="23"/>
      <c r="AA389" s="23"/>
    </row>
    <row r="390" spans="1:27" x14ac:dyDescent="0.2">
      <c r="A390" s="13"/>
      <c r="B390" s="248" t="s">
        <v>20</v>
      </c>
      <c r="C390" s="249"/>
      <c r="D390" s="249"/>
      <c r="E390" s="250"/>
      <c r="F390" s="31"/>
      <c r="G390" s="31"/>
      <c r="H390" s="32"/>
      <c r="I390" s="32">
        <f>SUM(I383:I389)</f>
        <v>848.81999999999994</v>
      </c>
      <c r="J390" s="13"/>
      <c r="K390" s="248" t="s">
        <v>20</v>
      </c>
      <c r="L390" s="249"/>
      <c r="M390" s="249"/>
      <c r="N390" s="250"/>
      <c r="O390" s="31"/>
      <c r="P390" s="31"/>
      <c r="Q390" s="32"/>
      <c r="R390" s="32">
        <f>SUM(R383:R389)</f>
        <v>581.9</v>
      </c>
      <c r="S390" s="13"/>
      <c r="T390" s="248" t="s">
        <v>20</v>
      </c>
      <c r="U390" s="249"/>
      <c r="V390" s="249"/>
      <c r="W390" s="250"/>
      <c r="X390" s="31"/>
      <c r="Y390" s="31"/>
      <c r="Z390" s="32"/>
      <c r="AA390" s="32">
        <f>SUM(AA383:AA389)</f>
        <v>659.83999999999992</v>
      </c>
    </row>
    <row r="391" spans="1:27" x14ac:dyDescent="0.2">
      <c r="A391" s="12"/>
      <c r="B391" s="251" t="s">
        <v>21</v>
      </c>
      <c r="C391" s="252"/>
      <c r="D391" s="252"/>
      <c r="E391" s="253"/>
      <c r="F391" s="244" t="s">
        <v>22</v>
      </c>
      <c r="G391" s="244" t="s">
        <v>13</v>
      </c>
      <c r="H391" s="244" t="s">
        <v>14</v>
      </c>
      <c r="I391" s="246" t="s">
        <v>15</v>
      </c>
      <c r="J391" s="12"/>
      <c r="K391" s="251" t="s">
        <v>21</v>
      </c>
      <c r="L391" s="252"/>
      <c r="M391" s="252"/>
      <c r="N391" s="253"/>
      <c r="O391" s="244" t="s">
        <v>22</v>
      </c>
      <c r="P391" s="244" t="s">
        <v>13</v>
      </c>
      <c r="Q391" s="244" t="s">
        <v>14</v>
      </c>
      <c r="R391" s="246" t="s">
        <v>15</v>
      </c>
      <c r="S391" s="12"/>
      <c r="T391" s="251" t="s">
        <v>21</v>
      </c>
      <c r="U391" s="252"/>
      <c r="V391" s="252"/>
      <c r="W391" s="253"/>
      <c r="X391" s="244" t="s">
        <v>22</v>
      </c>
      <c r="Y391" s="244" t="s">
        <v>13</v>
      </c>
      <c r="Z391" s="244" t="s">
        <v>14</v>
      </c>
      <c r="AA391" s="246" t="s">
        <v>15</v>
      </c>
    </row>
    <row r="392" spans="1:27" x14ac:dyDescent="0.2">
      <c r="A392" s="13"/>
      <c r="B392" s="254"/>
      <c r="C392" s="255"/>
      <c r="D392" s="255"/>
      <c r="E392" s="256"/>
      <c r="F392" s="245"/>
      <c r="G392" s="245"/>
      <c r="H392" s="245"/>
      <c r="I392" s="247"/>
      <c r="J392" s="13"/>
      <c r="K392" s="254"/>
      <c r="L392" s="255"/>
      <c r="M392" s="255"/>
      <c r="N392" s="256"/>
      <c r="O392" s="245"/>
      <c r="P392" s="245"/>
      <c r="Q392" s="245"/>
      <c r="R392" s="247"/>
      <c r="S392" s="13"/>
      <c r="T392" s="254"/>
      <c r="U392" s="255"/>
      <c r="V392" s="255"/>
      <c r="W392" s="256"/>
      <c r="X392" s="245"/>
      <c r="Y392" s="245"/>
      <c r="Z392" s="245"/>
      <c r="AA392" s="247"/>
    </row>
    <row r="393" spans="1:27" x14ac:dyDescent="0.2">
      <c r="A393" s="13" t="s">
        <v>23</v>
      </c>
      <c r="B393" s="33" t="s">
        <v>24</v>
      </c>
      <c r="C393" s="15"/>
      <c r="D393" s="15"/>
      <c r="E393" s="16"/>
      <c r="F393" s="34"/>
      <c r="G393" s="34"/>
      <c r="H393" s="35"/>
      <c r="I393" s="35"/>
      <c r="J393" s="13" t="s">
        <v>23</v>
      </c>
      <c r="K393" s="33" t="s">
        <v>24</v>
      </c>
      <c r="L393" s="15"/>
      <c r="M393" s="15"/>
      <c r="N393" s="16"/>
      <c r="O393" s="34"/>
      <c r="P393" s="34"/>
      <c r="Q393" s="35"/>
      <c r="R393" s="35"/>
      <c r="S393" s="13" t="s">
        <v>23</v>
      </c>
      <c r="T393" s="33" t="s">
        <v>24</v>
      </c>
      <c r="U393" s="15"/>
      <c r="V393" s="15"/>
      <c r="W393" s="16"/>
      <c r="X393" s="34"/>
      <c r="Y393" s="34"/>
      <c r="Z393" s="35"/>
      <c r="AA393" s="35"/>
    </row>
    <row r="394" spans="1:27" x14ac:dyDescent="0.2">
      <c r="A394" s="13"/>
      <c r="B394" s="18"/>
      <c r="C394" s="19"/>
      <c r="D394" s="19"/>
      <c r="E394" s="20"/>
      <c r="F394" s="22"/>
      <c r="G394" s="22"/>
      <c r="H394" s="23"/>
      <c r="I394" s="23"/>
      <c r="J394" s="13"/>
      <c r="K394" s="18"/>
      <c r="L394" s="19"/>
      <c r="M394" s="19"/>
      <c r="N394" s="20"/>
      <c r="O394" s="22"/>
      <c r="P394" s="22"/>
      <c r="Q394" s="23"/>
      <c r="R394" s="23"/>
      <c r="S394" s="13"/>
      <c r="T394" s="18"/>
      <c r="U394" s="19"/>
      <c r="V394" s="19"/>
      <c r="W394" s="20"/>
      <c r="X394" s="22"/>
      <c r="Y394" s="22"/>
      <c r="Z394" s="23"/>
      <c r="AA394" s="23"/>
    </row>
    <row r="395" spans="1:27" x14ac:dyDescent="0.2">
      <c r="A395" s="13"/>
      <c r="B395" s="18" t="s">
        <v>313</v>
      </c>
      <c r="C395" s="19"/>
      <c r="D395" s="19"/>
      <c r="E395" s="20"/>
      <c r="F395" s="22">
        <v>1</v>
      </c>
      <c r="G395" s="23">
        <v>1</v>
      </c>
      <c r="H395" s="37">
        <v>1652</v>
      </c>
      <c r="I395" s="23">
        <v>1652</v>
      </c>
      <c r="J395" s="13"/>
      <c r="K395" s="18" t="s">
        <v>275</v>
      </c>
      <c r="L395" s="19"/>
      <c r="M395" s="19"/>
      <c r="N395" s="20"/>
      <c r="O395" s="22">
        <v>1</v>
      </c>
      <c r="P395" s="23">
        <v>1</v>
      </c>
      <c r="Q395" s="37">
        <v>1833</v>
      </c>
      <c r="R395" s="37">
        <f>P395*Q395*O395</f>
        <v>1833</v>
      </c>
      <c r="S395" s="13"/>
      <c r="T395" s="18" t="s">
        <v>1267</v>
      </c>
      <c r="U395" s="19"/>
      <c r="V395" s="19"/>
      <c r="W395" s="20"/>
      <c r="X395" s="22">
        <v>1</v>
      </c>
      <c r="Y395" s="23">
        <v>1</v>
      </c>
      <c r="Z395" s="37">
        <v>6765</v>
      </c>
      <c r="AA395" s="37">
        <f t="shared" ref="AA395:AA398" si="21">Y395*Z395*X395</f>
        <v>6765</v>
      </c>
    </row>
    <row r="396" spans="1:27" x14ac:dyDescent="0.2">
      <c r="A396" s="13"/>
      <c r="B396" s="18" t="s">
        <v>1169</v>
      </c>
      <c r="C396" s="19"/>
      <c r="D396" s="19"/>
      <c r="E396" s="20"/>
      <c r="F396" s="22">
        <v>1</v>
      </c>
      <c r="G396" s="23">
        <v>0.25</v>
      </c>
      <c r="H396" s="37">
        <v>2450</v>
      </c>
      <c r="I396" s="23">
        <f>F396*G396*H396</f>
        <v>612.5</v>
      </c>
      <c r="J396" s="13"/>
      <c r="K396" s="18" t="s">
        <v>276</v>
      </c>
      <c r="L396" s="19"/>
      <c r="M396" s="19"/>
      <c r="N396" s="20"/>
      <c r="O396" s="22">
        <v>1</v>
      </c>
      <c r="P396" s="23">
        <v>1</v>
      </c>
      <c r="Q396" s="37">
        <v>561</v>
      </c>
      <c r="R396" s="37">
        <f>P396*Q396*O396</f>
        <v>561</v>
      </c>
      <c r="S396" s="13"/>
      <c r="T396" s="18" t="s">
        <v>255</v>
      </c>
      <c r="U396" s="19"/>
      <c r="V396" s="19"/>
      <c r="W396" s="20"/>
      <c r="X396" s="22">
        <v>1</v>
      </c>
      <c r="Y396" s="23">
        <v>1</v>
      </c>
      <c r="Z396" s="37">
        <v>545</v>
      </c>
      <c r="AA396" s="37">
        <f t="shared" si="21"/>
        <v>545</v>
      </c>
    </row>
    <row r="397" spans="1:27" x14ac:dyDescent="0.2">
      <c r="A397" s="13"/>
      <c r="B397" s="18"/>
      <c r="C397" s="19"/>
      <c r="D397" s="19"/>
      <c r="E397" s="20"/>
      <c r="F397" s="22"/>
      <c r="G397" s="23"/>
      <c r="H397" s="37"/>
      <c r="I397" s="23"/>
      <c r="J397" s="13"/>
      <c r="K397" s="18" t="s">
        <v>277</v>
      </c>
      <c r="L397" s="19"/>
      <c r="M397" s="19"/>
      <c r="N397" s="20"/>
      <c r="O397" s="22">
        <v>1</v>
      </c>
      <c r="P397" s="23">
        <v>1</v>
      </c>
      <c r="Q397" s="37">
        <v>1652</v>
      </c>
      <c r="R397" s="37">
        <f>P397*Q397*O397</f>
        <v>1652</v>
      </c>
      <c r="S397" s="13"/>
      <c r="T397" s="18" t="s">
        <v>1266</v>
      </c>
      <c r="U397" s="19"/>
      <c r="V397" s="19"/>
      <c r="W397" s="20"/>
      <c r="X397" s="22">
        <v>1</v>
      </c>
      <c r="Y397" s="23">
        <v>0.1</v>
      </c>
      <c r="Z397" s="37">
        <v>91.25</v>
      </c>
      <c r="AA397" s="37">
        <f t="shared" si="21"/>
        <v>9.125</v>
      </c>
    </row>
    <row r="398" spans="1:27" x14ac:dyDescent="0.2">
      <c r="A398" s="13"/>
      <c r="B398" s="18"/>
      <c r="C398" s="19"/>
      <c r="D398" s="19"/>
      <c r="E398" s="20"/>
      <c r="F398" s="22"/>
      <c r="G398" s="23"/>
      <c r="H398" s="37"/>
      <c r="I398" s="23"/>
      <c r="J398" s="13"/>
      <c r="K398" s="18" t="s">
        <v>1174</v>
      </c>
      <c r="L398" s="19"/>
      <c r="M398" s="19"/>
      <c r="N398" s="20"/>
      <c r="O398" s="22">
        <v>1</v>
      </c>
      <c r="P398" s="23">
        <v>1</v>
      </c>
      <c r="Q398" s="37">
        <v>2450</v>
      </c>
      <c r="R398" s="37">
        <f>P398*Q398*O398</f>
        <v>2450</v>
      </c>
      <c r="S398" s="13"/>
      <c r="T398" s="18" t="s">
        <v>404</v>
      </c>
      <c r="U398" s="19"/>
      <c r="V398" s="19"/>
      <c r="W398" s="20"/>
      <c r="X398" s="22">
        <v>1</v>
      </c>
      <c r="Y398" s="23">
        <v>0.1</v>
      </c>
      <c r="Z398" s="37">
        <v>219.75</v>
      </c>
      <c r="AA398" s="37">
        <f t="shared" si="21"/>
        <v>21.975000000000001</v>
      </c>
    </row>
    <row r="399" spans="1:27" x14ac:dyDescent="0.2">
      <c r="A399" s="13"/>
      <c r="B399" s="18"/>
      <c r="C399" s="19"/>
      <c r="D399" s="19"/>
      <c r="E399" s="20"/>
      <c r="F399" s="22"/>
      <c r="G399" s="36"/>
      <c r="H399" s="37"/>
      <c r="I399" s="23"/>
      <c r="J399" s="13"/>
      <c r="K399" s="18" t="s">
        <v>1199</v>
      </c>
      <c r="L399" s="19"/>
      <c r="M399" s="19"/>
      <c r="N399" s="20"/>
      <c r="O399" s="22"/>
      <c r="P399" s="36"/>
      <c r="R399" s="37">
        <f>0.1*R390</f>
        <v>58.19</v>
      </c>
      <c r="S399" s="13"/>
      <c r="T399" s="18"/>
      <c r="U399" s="19"/>
      <c r="V399" s="19"/>
      <c r="W399" s="20"/>
      <c r="X399" s="22"/>
      <c r="Y399" s="36"/>
      <c r="Z399" s="3"/>
      <c r="AA399" s="37"/>
    </row>
    <row r="400" spans="1:27" x14ac:dyDescent="0.2">
      <c r="A400" s="13"/>
      <c r="B400" s="7"/>
      <c r="C400" s="19"/>
      <c r="D400" s="19"/>
      <c r="E400" s="20"/>
      <c r="F400" s="22"/>
      <c r="G400" s="36"/>
      <c r="H400" s="38"/>
      <c r="I400" s="38"/>
      <c r="J400" s="13"/>
      <c r="K400" s="18"/>
      <c r="L400" s="19"/>
      <c r="M400" s="19"/>
      <c r="N400" s="20"/>
      <c r="O400" s="22"/>
      <c r="P400" s="36"/>
      <c r="Q400" s="38"/>
      <c r="R400" s="38"/>
      <c r="S400" s="13"/>
      <c r="T400" s="18"/>
      <c r="U400" s="19"/>
      <c r="V400" s="19"/>
      <c r="W400" s="20"/>
      <c r="X400" s="22"/>
      <c r="Y400" s="23"/>
      <c r="Z400" s="37"/>
      <c r="AA400" s="37"/>
    </row>
    <row r="401" spans="1:27" x14ac:dyDescent="0.2">
      <c r="A401" s="13"/>
      <c r="B401" s="18"/>
      <c r="C401" s="19"/>
      <c r="D401" s="19"/>
      <c r="E401" s="20"/>
      <c r="F401" s="22"/>
      <c r="G401" s="36"/>
      <c r="H401" s="37"/>
      <c r="I401" s="37"/>
      <c r="J401" s="13"/>
      <c r="K401" s="18"/>
      <c r="L401" s="19"/>
      <c r="M401" s="19"/>
      <c r="N401" s="20"/>
      <c r="O401" s="22"/>
      <c r="P401" s="36"/>
      <c r="Q401" s="38"/>
      <c r="R401" s="38"/>
      <c r="S401" s="13"/>
      <c r="T401" s="18"/>
      <c r="U401" s="19"/>
      <c r="V401" s="19"/>
      <c r="W401" s="20"/>
      <c r="X401" s="22"/>
      <c r="Y401" s="23"/>
      <c r="Z401" s="37"/>
      <c r="AA401" s="37"/>
    </row>
    <row r="402" spans="1:27" x14ac:dyDescent="0.2">
      <c r="A402" s="13"/>
      <c r="B402" s="18"/>
      <c r="C402" s="19"/>
      <c r="D402" s="19"/>
      <c r="E402" s="20"/>
      <c r="F402" s="22"/>
      <c r="G402" s="36"/>
      <c r="H402" s="38"/>
      <c r="I402" s="38"/>
      <c r="J402" s="13"/>
      <c r="K402" s="18"/>
      <c r="L402" s="19"/>
      <c r="M402" s="19"/>
      <c r="N402" s="20"/>
      <c r="O402" s="22"/>
      <c r="P402" s="36"/>
      <c r="Q402" s="38"/>
      <c r="R402" s="38"/>
      <c r="S402" s="13"/>
      <c r="T402" s="18"/>
      <c r="U402" s="19"/>
      <c r="V402" s="19"/>
      <c r="W402" s="20"/>
      <c r="X402" s="22"/>
      <c r="Y402" s="23"/>
      <c r="Z402" s="37"/>
      <c r="AA402" s="37"/>
    </row>
    <row r="403" spans="1:27" x14ac:dyDescent="0.2">
      <c r="A403" s="13"/>
      <c r="B403" s="18"/>
      <c r="C403" s="19"/>
      <c r="D403" s="19"/>
      <c r="E403" s="20"/>
      <c r="F403" s="22"/>
      <c r="G403" s="36"/>
      <c r="H403" s="38"/>
      <c r="I403" s="38"/>
      <c r="J403" s="13"/>
      <c r="K403" s="18"/>
      <c r="L403" s="19"/>
      <c r="M403" s="19"/>
      <c r="N403" s="20"/>
      <c r="O403" s="22"/>
      <c r="P403" s="36"/>
      <c r="Q403" s="38"/>
      <c r="R403" s="38"/>
      <c r="S403" s="13"/>
      <c r="X403" s="72"/>
      <c r="Y403" s="72"/>
      <c r="Z403" s="72"/>
      <c r="AA403" s="72"/>
    </row>
    <row r="404" spans="1:27" x14ac:dyDescent="0.2">
      <c r="A404" s="13"/>
      <c r="B404" s="18"/>
      <c r="C404" s="19"/>
      <c r="D404" s="19"/>
      <c r="E404" s="20"/>
      <c r="F404" s="22"/>
      <c r="G404" s="36"/>
      <c r="H404" s="37"/>
      <c r="I404" s="37"/>
      <c r="J404" s="13"/>
      <c r="K404" s="18"/>
      <c r="L404" s="19"/>
      <c r="M404" s="19"/>
      <c r="N404" s="20"/>
      <c r="O404" s="22"/>
      <c r="P404" s="36"/>
      <c r="Q404" s="37"/>
      <c r="R404" s="37"/>
      <c r="S404" s="13"/>
      <c r="X404" s="72"/>
      <c r="Y404" s="72"/>
      <c r="Z404" s="30"/>
      <c r="AA404" s="30"/>
    </row>
    <row r="405" spans="1:27" x14ac:dyDescent="0.2">
      <c r="A405" s="13"/>
      <c r="B405" s="18"/>
      <c r="C405" s="19"/>
      <c r="D405" s="19"/>
      <c r="E405" s="20"/>
      <c r="F405" s="22"/>
      <c r="G405" s="36"/>
      <c r="H405" s="37"/>
      <c r="I405" s="37"/>
      <c r="J405" s="13"/>
      <c r="K405" s="18"/>
      <c r="L405" s="19"/>
      <c r="M405" s="19"/>
      <c r="N405" s="20"/>
      <c r="O405" s="22"/>
      <c r="P405" s="36"/>
      <c r="Q405" s="37"/>
      <c r="R405" s="37"/>
      <c r="S405" s="13"/>
      <c r="T405" s="18"/>
      <c r="U405" s="19"/>
      <c r="V405" s="19"/>
      <c r="W405" s="20"/>
      <c r="X405" s="22"/>
      <c r="Y405" s="36"/>
      <c r="Z405" s="37"/>
      <c r="AA405" s="37"/>
    </row>
    <row r="406" spans="1:27" x14ac:dyDescent="0.2">
      <c r="A406" s="13"/>
      <c r="B406" s="18"/>
      <c r="C406" s="19"/>
      <c r="D406" s="19"/>
      <c r="E406" s="20"/>
      <c r="F406" s="22"/>
      <c r="G406" s="36"/>
      <c r="H406" s="37"/>
      <c r="I406" s="37"/>
      <c r="J406" s="13"/>
      <c r="K406" s="18"/>
      <c r="L406" s="19"/>
      <c r="M406" s="19"/>
      <c r="N406" s="20"/>
      <c r="O406" s="22"/>
      <c r="P406" s="36"/>
      <c r="Q406" s="37"/>
      <c r="R406" s="37"/>
      <c r="S406" s="13"/>
      <c r="T406" s="18"/>
      <c r="U406" s="19"/>
      <c r="V406" s="19"/>
      <c r="W406" s="20"/>
      <c r="X406" s="22"/>
      <c r="Y406" s="36"/>
      <c r="Z406" s="37"/>
      <c r="AA406" s="37"/>
    </row>
    <row r="407" spans="1:27" x14ac:dyDescent="0.2">
      <c r="A407" s="13"/>
      <c r="B407" s="18"/>
      <c r="C407" s="19"/>
      <c r="D407" s="19"/>
      <c r="E407" s="20"/>
      <c r="F407" s="22"/>
      <c r="G407" s="22"/>
      <c r="H407" s="23"/>
      <c r="I407" s="23"/>
      <c r="J407" s="13"/>
      <c r="K407" s="18"/>
      <c r="L407" s="19"/>
      <c r="M407" s="19"/>
      <c r="N407" s="20"/>
      <c r="O407" s="22"/>
      <c r="P407" s="22"/>
      <c r="Q407" s="23"/>
      <c r="R407" s="23"/>
      <c r="S407" s="13"/>
      <c r="T407" s="18"/>
      <c r="U407" s="19"/>
      <c r="V407" s="19"/>
      <c r="W407" s="20"/>
      <c r="X407" s="22"/>
      <c r="Y407" s="22"/>
      <c r="Z407" s="23"/>
      <c r="AA407" s="23"/>
    </row>
    <row r="408" spans="1:27" x14ac:dyDescent="0.2">
      <c r="A408" s="13"/>
      <c r="B408" s="248" t="s">
        <v>30</v>
      </c>
      <c r="C408" s="249"/>
      <c r="D408" s="249"/>
      <c r="E408" s="250"/>
      <c r="F408" s="22"/>
      <c r="G408" s="22"/>
      <c r="H408" s="23"/>
      <c r="I408" s="23">
        <f>SUM(I395:I407)</f>
        <v>2264.5</v>
      </c>
      <c r="J408" s="13"/>
      <c r="K408" s="248" t="s">
        <v>30</v>
      </c>
      <c r="L408" s="249"/>
      <c r="M408" s="249"/>
      <c r="N408" s="250"/>
      <c r="O408" s="22"/>
      <c r="P408" s="22"/>
      <c r="Q408" s="23"/>
      <c r="R408" s="23">
        <f>SUM(R395:R407)</f>
        <v>6554.19</v>
      </c>
      <c r="S408" s="13"/>
      <c r="T408" s="248" t="s">
        <v>30</v>
      </c>
      <c r="U408" s="249"/>
      <c r="V408" s="249"/>
      <c r="W408" s="250"/>
      <c r="X408" s="22"/>
      <c r="Y408" s="22"/>
      <c r="Z408" s="23"/>
      <c r="AA408" s="23">
        <f>SUM(AA395:AA407)</f>
        <v>7341.1</v>
      </c>
    </row>
    <row r="409" spans="1:27" x14ac:dyDescent="0.2">
      <c r="A409" s="12" t="s">
        <v>31</v>
      </c>
      <c r="B409" s="260" t="s">
        <v>32</v>
      </c>
      <c r="C409" s="261"/>
      <c r="D409" s="261"/>
      <c r="E409" s="261"/>
      <c r="F409" s="39"/>
      <c r="G409" s="39"/>
      <c r="H409" s="40"/>
      <c r="I409" s="41">
        <f>SUM(I408+I390)</f>
        <v>3113.3199999999997</v>
      </c>
      <c r="J409" s="12" t="s">
        <v>31</v>
      </c>
      <c r="K409" s="260" t="s">
        <v>32</v>
      </c>
      <c r="L409" s="261"/>
      <c r="M409" s="261"/>
      <c r="N409" s="261"/>
      <c r="O409" s="39"/>
      <c r="P409" s="39"/>
      <c r="Q409" s="40"/>
      <c r="R409" s="41">
        <f>SUM(R408+R390)</f>
        <v>7136.0899999999992</v>
      </c>
      <c r="S409" s="12" t="s">
        <v>31</v>
      </c>
      <c r="T409" s="260" t="s">
        <v>32</v>
      </c>
      <c r="U409" s="261"/>
      <c r="V409" s="261"/>
      <c r="W409" s="261"/>
      <c r="X409" s="151"/>
      <c r="Y409" s="151"/>
      <c r="Z409" s="40"/>
      <c r="AA409" s="41">
        <f>SUM(AA408+AA390)</f>
        <v>8000.9400000000005</v>
      </c>
    </row>
    <row r="410" spans="1:27" x14ac:dyDescent="0.2">
      <c r="A410" s="13" t="s">
        <v>33</v>
      </c>
      <c r="B410" s="307">
        <f>E377</f>
        <v>16</v>
      </c>
      <c r="C410" s="308"/>
      <c r="D410" s="308"/>
      <c r="E410" s="308"/>
      <c r="F410" s="308"/>
      <c r="G410" s="308"/>
      <c r="H410" s="40"/>
      <c r="I410" s="41"/>
      <c r="J410" s="13" t="s">
        <v>33</v>
      </c>
      <c r="K410" s="313">
        <f>N377</f>
        <v>214.13</v>
      </c>
      <c r="L410" s="314"/>
      <c r="M410" s="314"/>
      <c r="N410" s="314"/>
      <c r="O410" s="314"/>
      <c r="P410" s="314"/>
      <c r="Q410" s="40"/>
      <c r="R410" s="41"/>
      <c r="S410" s="13" t="s">
        <v>33</v>
      </c>
      <c r="T410" s="305">
        <f>W377</f>
        <v>100</v>
      </c>
      <c r="U410" s="306"/>
      <c r="V410" s="306"/>
      <c r="W410" s="306"/>
      <c r="X410" s="306"/>
      <c r="Y410" s="306"/>
      <c r="Z410" s="40"/>
      <c r="AA410" s="41"/>
    </row>
    <row r="411" spans="1:27" x14ac:dyDescent="0.2">
      <c r="A411" s="13" t="s">
        <v>34</v>
      </c>
      <c r="B411" s="42" t="s">
        <v>35</v>
      </c>
      <c r="C411" s="43"/>
      <c r="D411" s="43"/>
      <c r="E411" s="39"/>
      <c r="F411" s="44"/>
      <c r="G411" s="44"/>
      <c r="H411" s="40"/>
      <c r="I411" s="41">
        <f>I409/E377</f>
        <v>194.58249999999998</v>
      </c>
      <c r="J411" s="13" t="s">
        <v>34</v>
      </c>
      <c r="K411" s="42" t="s">
        <v>35</v>
      </c>
      <c r="L411" s="43"/>
      <c r="M411" s="43"/>
      <c r="N411" s="39"/>
      <c r="O411" s="44"/>
      <c r="P411" s="44"/>
      <c r="Q411" s="40"/>
      <c r="R411" s="41">
        <f>R409/N377</f>
        <v>33.325970205015643</v>
      </c>
      <c r="S411" s="13" t="s">
        <v>34</v>
      </c>
      <c r="T411" s="155" t="s">
        <v>35</v>
      </c>
      <c r="U411" s="43"/>
      <c r="V411" s="43"/>
      <c r="W411" s="151"/>
      <c r="X411" s="156"/>
      <c r="Y411" s="156"/>
      <c r="Z411" s="40"/>
      <c r="AA411" s="41">
        <f>AA409/W377</f>
        <v>80.009399999999999</v>
      </c>
    </row>
    <row r="412" spans="1:27" x14ac:dyDescent="0.2">
      <c r="A412" s="12"/>
      <c r="B412" s="251" t="s">
        <v>36</v>
      </c>
      <c r="C412" s="252"/>
      <c r="D412" s="252"/>
      <c r="E412" s="253"/>
      <c r="F412" s="244" t="s">
        <v>37</v>
      </c>
      <c r="G412" s="244" t="s">
        <v>38</v>
      </c>
      <c r="H412" s="244" t="s">
        <v>39</v>
      </c>
      <c r="I412" s="246" t="s">
        <v>15</v>
      </c>
      <c r="J412" s="12"/>
      <c r="K412" s="251" t="s">
        <v>36</v>
      </c>
      <c r="L412" s="252"/>
      <c r="M412" s="252"/>
      <c r="N412" s="253"/>
      <c r="O412" s="244" t="s">
        <v>37</v>
      </c>
      <c r="P412" s="244" t="s">
        <v>38</v>
      </c>
      <c r="Q412" s="244" t="s">
        <v>39</v>
      </c>
      <c r="R412" s="246" t="s">
        <v>15</v>
      </c>
      <c r="S412" s="12"/>
      <c r="T412" s="251" t="s">
        <v>36</v>
      </c>
      <c r="U412" s="252"/>
      <c r="V412" s="252"/>
      <c r="W412" s="253"/>
      <c r="X412" s="244" t="s">
        <v>37</v>
      </c>
      <c r="Y412" s="244" t="s">
        <v>38</v>
      </c>
      <c r="Z412" s="244" t="s">
        <v>39</v>
      </c>
      <c r="AA412" s="246" t="s">
        <v>15</v>
      </c>
    </row>
    <row r="413" spans="1:27" x14ac:dyDescent="0.2">
      <c r="A413" s="13"/>
      <c r="B413" s="254"/>
      <c r="C413" s="255"/>
      <c r="D413" s="255"/>
      <c r="E413" s="256"/>
      <c r="F413" s="245"/>
      <c r="G413" s="245"/>
      <c r="H413" s="245"/>
      <c r="I413" s="247"/>
      <c r="J413" s="13"/>
      <c r="K413" s="254"/>
      <c r="L413" s="255"/>
      <c r="M413" s="255"/>
      <c r="N413" s="256"/>
      <c r="O413" s="245"/>
      <c r="P413" s="245"/>
      <c r="Q413" s="245"/>
      <c r="R413" s="247"/>
      <c r="S413" s="13"/>
      <c r="T413" s="254"/>
      <c r="U413" s="255"/>
      <c r="V413" s="255"/>
      <c r="W413" s="256"/>
      <c r="X413" s="245"/>
      <c r="Y413" s="245"/>
      <c r="Z413" s="245"/>
      <c r="AA413" s="247"/>
    </row>
    <row r="414" spans="1:27" x14ac:dyDescent="0.2">
      <c r="A414" s="13" t="s">
        <v>40</v>
      </c>
      <c r="B414" s="18" t="s">
        <v>41</v>
      </c>
      <c r="C414" s="19"/>
      <c r="D414" s="19"/>
      <c r="E414" s="20"/>
      <c r="F414" s="22"/>
      <c r="G414" s="22"/>
      <c r="H414" s="23"/>
      <c r="I414" s="23"/>
      <c r="J414" s="13" t="s">
        <v>40</v>
      </c>
      <c r="K414" s="18" t="s">
        <v>41</v>
      </c>
      <c r="L414" s="19"/>
      <c r="M414" s="19"/>
      <c r="N414" s="20"/>
      <c r="O414" s="22"/>
      <c r="P414" s="22"/>
      <c r="Q414" s="23"/>
      <c r="R414" s="23"/>
      <c r="S414" s="13" t="s">
        <v>40</v>
      </c>
      <c r="T414" s="18" t="s">
        <v>41</v>
      </c>
      <c r="U414" s="19"/>
      <c r="V414" s="19"/>
      <c r="W414" s="20"/>
      <c r="X414" s="22"/>
      <c r="Y414" s="22"/>
      <c r="Z414" s="23"/>
      <c r="AA414" s="23"/>
    </row>
    <row r="415" spans="1:27" x14ac:dyDescent="0.2">
      <c r="A415" s="13"/>
      <c r="B415" s="18"/>
      <c r="C415" s="19"/>
      <c r="D415" s="19"/>
      <c r="E415" s="20"/>
      <c r="F415" s="22"/>
      <c r="G415" s="22"/>
      <c r="H415" s="23"/>
      <c r="I415" s="23"/>
      <c r="J415" s="13"/>
      <c r="K415" s="18"/>
      <c r="L415" s="19"/>
      <c r="M415" s="19"/>
      <c r="N415" s="20"/>
      <c r="O415" s="22"/>
      <c r="P415" s="22"/>
      <c r="Q415" s="23"/>
      <c r="R415" s="23"/>
      <c r="S415" s="13"/>
      <c r="T415" s="18"/>
      <c r="U415" s="19"/>
      <c r="V415" s="19"/>
      <c r="W415" s="20"/>
      <c r="X415" s="22"/>
      <c r="Y415" s="22"/>
      <c r="Z415" s="23"/>
      <c r="AA415" s="23"/>
    </row>
    <row r="416" spans="1:27" x14ac:dyDescent="0.2">
      <c r="A416" s="13"/>
      <c r="B416" s="18" t="s">
        <v>314</v>
      </c>
      <c r="C416" s="66"/>
      <c r="D416" s="19"/>
      <c r="E416" s="20"/>
      <c r="F416" s="22" t="s">
        <v>239</v>
      </c>
      <c r="G416" s="22">
        <v>1.1499999999999999</v>
      </c>
      <c r="H416" s="107">
        <f>ROUND(650/1.6,2)</f>
        <v>406.25</v>
      </c>
      <c r="I416" s="23">
        <f>G416*H416</f>
        <v>467.18749999999994</v>
      </c>
      <c r="J416" s="13"/>
      <c r="K416" s="18" t="s">
        <v>307</v>
      </c>
      <c r="L416" s="66"/>
      <c r="M416" s="19"/>
      <c r="N416" s="20"/>
      <c r="O416" s="62" t="s">
        <v>239</v>
      </c>
      <c r="P416" s="70">
        <v>9.8000000000000004E-2</v>
      </c>
      <c r="Q416" s="107">
        <v>4500</v>
      </c>
      <c r="R416" s="23">
        <f>Q416*P416</f>
        <v>441</v>
      </c>
      <c r="S416" s="13"/>
      <c r="T416" s="18" t="s">
        <v>263</v>
      </c>
      <c r="U416" s="66"/>
      <c r="V416" s="19"/>
      <c r="W416" s="20"/>
      <c r="X416" s="22" t="s">
        <v>77</v>
      </c>
      <c r="Y416" s="62">
        <v>0.5</v>
      </c>
      <c r="Z416" s="107">
        <v>40</v>
      </c>
      <c r="AA416" s="23">
        <f>Y416*Z416</f>
        <v>20</v>
      </c>
    </row>
    <row r="417" spans="1:27" x14ac:dyDescent="0.2">
      <c r="A417" s="13"/>
      <c r="B417" s="18" t="s">
        <v>228</v>
      </c>
      <c r="C417" s="66"/>
      <c r="D417" s="19"/>
      <c r="E417" s="20"/>
      <c r="F417" s="22"/>
      <c r="G417" s="22"/>
      <c r="H417" s="23"/>
      <c r="I417" s="23"/>
      <c r="J417" s="13"/>
      <c r="K417" s="18" t="s">
        <v>315</v>
      </c>
      <c r="L417" s="66"/>
      <c r="M417" s="19"/>
      <c r="N417" s="20"/>
      <c r="O417" s="22"/>
      <c r="P417" s="22"/>
      <c r="Q417" s="23"/>
      <c r="R417" s="23"/>
      <c r="S417" s="13"/>
      <c r="T417" s="18" t="s">
        <v>264</v>
      </c>
      <c r="U417" s="66"/>
      <c r="V417" s="19"/>
      <c r="W417" s="20"/>
      <c r="X417" s="22" t="s">
        <v>1216</v>
      </c>
      <c r="Y417" s="22">
        <v>0.28999999999999998</v>
      </c>
      <c r="Z417" s="107">
        <v>28</v>
      </c>
      <c r="AA417" s="23">
        <f t="shared" ref="AA417:AA422" si="22">Y417*Z417</f>
        <v>8.1199999999999992</v>
      </c>
    </row>
    <row r="418" spans="1:27" x14ac:dyDescent="0.2">
      <c r="A418" s="13"/>
      <c r="B418" s="18"/>
      <c r="C418" s="19"/>
      <c r="D418" s="19"/>
      <c r="E418" s="20"/>
      <c r="F418" s="22"/>
      <c r="G418" s="22"/>
      <c r="H418" s="38"/>
      <c r="I418" s="38"/>
      <c r="J418" s="13"/>
      <c r="K418" s="18"/>
      <c r="L418" s="19"/>
      <c r="M418" s="19"/>
      <c r="N418" s="20"/>
      <c r="O418" s="22"/>
      <c r="P418" s="22"/>
      <c r="Q418" s="38"/>
      <c r="R418" s="38"/>
      <c r="S418" s="13"/>
      <c r="T418" s="18" t="s">
        <v>266</v>
      </c>
      <c r="U418" s="19"/>
      <c r="V418" s="19"/>
      <c r="W418" s="20"/>
      <c r="X418" s="22" t="s">
        <v>1216</v>
      </c>
      <c r="Y418" s="22">
        <v>0.17</v>
      </c>
      <c r="Z418" s="107">
        <f>44000/1000</f>
        <v>44</v>
      </c>
      <c r="AA418" s="23">
        <f t="shared" si="22"/>
        <v>7.48</v>
      </c>
    </row>
    <row r="419" spans="1:27" x14ac:dyDescent="0.2">
      <c r="A419" s="13"/>
      <c r="B419" s="18" t="s">
        <v>316</v>
      </c>
      <c r="C419" s="19"/>
      <c r="D419" s="19"/>
      <c r="E419" s="20"/>
      <c r="F419" s="22"/>
      <c r="G419" s="22"/>
      <c r="H419" s="38"/>
      <c r="I419" s="38"/>
      <c r="J419" s="13"/>
      <c r="K419" s="18"/>
      <c r="L419" s="19"/>
      <c r="M419" s="19"/>
      <c r="N419" s="20"/>
      <c r="O419" s="22"/>
      <c r="P419" s="22"/>
      <c r="Q419" s="38"/>
      <c r="R419" s="38"/>
      <c r="S419" s="13"/>
      <c r="T419" s="18" t="s">
        <v>1259</v>
      </c>
      <c r="U419" s="19"/>
      <c r="V419" s="19"/>
      <c r="W419" s="20"/>
      <c r="X419" s="22" t="s">
        <v>9</v>
      </c>
      <c r="Y419" s="22">
        <v>0.28000000000000003</v>
      </c>
      <c r="Z419" s="107">
        <v>850</v>
      </c>
      <c r="AA419" s="23">
        <f t="shared" si="22"/>
        <v>238.00000000000003</v>
      </c>
    </row>
    <row r="420" spans="1:27" x14ac:dyDescent="0.2">
      <c r="A420" s="13"/>
      <c r="B420" s="18" t="s">
        <v>317</v>
      </c>
      <c r="C420" s="19"/>
      <c r="D420" s="19"/>
      <c r="E420" s="20"/>
      <c r="F420" s="22"/>
      <c r="G420" s="22"/>
      <c r="H420" s="45"/>
      <c r="I420" s="45"/>
      <c r="J420" s="13"/>
      <c r="K420" s="18"/>
      <c r="L420" s="19"/>
      <c r="M420" s="19"/>
      <c r="N420" s="20"/>
      <c r="O420" s="22"/>
      <c r="P420" s="22"/>
      <c r="Q420" s="45"/>
      <c r="R420" s="45"/>
      <c r="S420" s="13"/>
      <c r="T420" s="18" t="s">
        <v>1260</v>
      </c>
      <c r="U420" s="19"/>
      <c r="V420" s="19"/>
      <c r="W420" s="20"/>
      <c r="X420" s="22" t="s">
        <v>80</v>
      </c>
      <c r="Y420" s="22">
        <v>1.4999999999999999E-4</v>
      </c>
      <c r="Z420" s="107">
        <v>8000</v>
      </c>
      <c r="AA420" s="23">
        <f t="shared" si="22"/>
        <v>1.2</v>
      </c>
    </row>
    <row r="421" spans="1:27" x14ac:dyDescent="0.2">
      <c r="A421" s="13"/>
      <c r="B421" s="18"/>
      <c r="C421" s="19"/>
      <c r="D421" s="19"/>
      <c r="E421" s="20"/>
      <c r="F421" s="22"/>
      <c r="G421" s="22"/>
      <c r="H421" s="45"/>
      <c r="I421" s="45"/>
      <c r="J421" s="13"/>
      <c r="K421" s="18"/>
      <c r="L421" s="19"/>
      <c r="M421" s="19"/>
      <c r="N421" s="20"/>
      <c r="O421" s="22"/>
      <c r="P421" s="22"/>
      <c r="Q421" s="45"/>
      <c r="R421" s="45"/>
      <c r="S421" s="13"/>
      <c r="T421" s="18" t="s">
        <v>1261</v>
      </c>
      <c r="U421" s="19"/>
      <c r="V421" s="19"/>
      <c r="W421" s="20"/>
      <c r="X421" s="22" t="s">
        <v>1153</v>
      </c>
      <c r="Y421" s="22">
        <v>7.7999999999999996E-3</v>
      </c>
      <c r="Z421" s="107">
        <v>34.33</v>
      </c>
      <c r="AA421" s="23">
        <f t="shared" si="22"/>
        <v>0.26777399999999996</v>
      </c>
    </row>
    <row r="422" spans="1:27" x14ac:dyDescent="0.2">
      <c r="A422" s="13"/>
      <c r="B422" s="18"/>
      <c r="C422" s="19"/>
      <c r="D422" s="19"/>
      <c r="E422" s="20"/>
      <c r="F422" s="22"/>
      <c r="G422" s="22"/>
      <c r="H422" s="23"/>
      <c r="I422" s="23"/>
      <c r="J422" s="13"/>
      <c r="K422" s="18"/>
      <c r="L422" s="19"/>
      <c r="M422" s="19"/>
      <c r="N422" s="20"/>
      <c r="O422" s="22"/>
      <c r="P422" s="22"/>
      <c r="Q422" s="23"/>
      <c r="R422" s="23"/>
      <c r="S422" s="13"/>
      <c r="T422" s="18" t="s">
        <v>1262</v>
      </c>
      <c r="U422" s="19"/>
      <c r="V422" s="19"/>
      <c r="W422" s="20"/>
      <c r="X422" s="22" t="s">
        <v>1216</v>
      </c>
      <c r="Y422" s="22">
        <v>7.7999999999999996E-3</v>
      </c>
      <c r="Z422" s="107">
        <v>300</v>
      </c>
      <c r="AA422" s="23">
        <f t="shared" si="22"/>
        <v>2.34</v>
      </c>
    </row>
    <row r="423" spans="1:27" ht="15" customHeight="1" x14ac:dyDescent="0.2">
      <c r="A423" s="13"/>
      <c r="B423" s="18"/>
      <c r="C423" s="19"/>
      <c r="D423" s="19"/>
      <c r="E423" s="20"/>
      <c r="F423" s="22"/>
      <c r="G423" s="22"/>
      <c r="H423" s="23"/>
      <c r="I423" s="23"/>
      <c r="J423" s="13"/>
      <c r="K423" s="18"/>
      <c r="L423" s="19"/>
      <c r="M423" s="19"/>
      <c r="N423" s="20"/>
      <c r="O423" s="22"/>
      <c r="P423" s="22"/>
      <c r="Q423" s="23"/>
      <c r="R423" s="23"/>
      <c r="S423" s="13"/>
      <c r="T423" s="18"/>
      <c r="U423" s="19"/>
      <c r="V423" s="19"/>
      <c r="W423" s="20"/>
      <c r="X423" s="22"/>
      <c r="Y423" s="22"/>
      <c r="Z423" s="23"/>
      <c r="AA423" s="23"/>
    </row>
    <row r="424" spans="1:27" x14ac:dyDescent="0.2">
      <c r="A424" s="13"/>
      <c r="B424" s="18"/>
      <c r="C424" s="19"/>
      <c r="D424" s="19"/>
      <c r="E424" s="20"/>
      <c r="F424" s="22"/>
      <c r="G424" s="22"/>
      <c r="H424" s="23"/>
      <c r="I424" s="23"/>
      <c r="J424" s="13"/>
      <c r="K424" s="18"/>
      <c r="L424" s="19"/>
      <c r="M424" s="19"/>
      <c r="N424" s="20"/>
      <c r="O424" s="22"/>
      <c r="P424" s="22"/>
      <c r="Q424" s="23"/>
      <c r="R424" s="23"/>
      <c r="S424" s="13"/>
      <c r="T424" s="18"/>
      <c r="U424" s="19"/>
      <c r="V424" s="19"/>
      <c r="W424" s="20"/>
      <c r="X424" s="22"/>
      <c r="Y424" s="22"/>
      <c r="Z424" s="23"/>
      <c r="AA424" s="23"/>
    </row>
    <row r="425" spans="1:27" x14ac:dyDescent="0.2">
      <c r="A425" s="13"/>
      <c r="B425" s="18"/>
      <c r="C425" s="19"/>
      <c r="D425" s="19"/>
      <c r="E425" s="20"/>
      <c r="F425" s="22"/>
      <c r="G425" s="22"/>
      <c r="H425" s="23"/>
      <c r="I425" s="23"/>
      <c r="J425" s="13"/>
      <c r="K425" s="18"/>
      <c r="L425" s="19"/>
      <c r="M425" s="19"/>
      <c r="N425" s="20"/>
      <c r="O425" s="22"/>
      <c r="P425" s="22"/>
      <c r="Q425" s="23"/>
      <c r="R425" s="23"/>
      <c r="S425" s="13"/>
      <c r="T425" s="18"/>
      <c r="U425" s="19"/>
      <c r="V425" s="19"/>
      <c r="W425" s="20"/>
      <c r="X425" s="22"/>
      <c r="Y425" s="22"/>
      <c r="Z425" s="23"/>
      <c r="AA425" s="23"/>
    </row>
    <row r="426" spans="1:27" x14ac:dyDescent="0.2">
      <c r="A426" s="13"/>
      <c r="B426" s="18"/>
      <c r="C426" s="19"/>
      <c r="D426" s="19"/>
      <c r="E426" s="20"/>
      <c r="F426" s="22"/>
      <c r="G426" s="22"/>
      <c r="H426" s="23"/>
      <c r="I426" s="23"/>
      <c r="J426" s="13"/>
      <c r="K426" s="18"/>
      <c r="L426" s="19"/>
      <c r="M426" s="19"/>
      <c r="N426" s="20"/>
      <c r="O426" s="22"/>
      <c r="P426" s="22"/>
      <c r="Q426" s="23"/>
      <c r="R426" s="23"/>
      <c r="S426" s="13"/>
      <c r="T426" s="18"/>
      <c r="U426" s="19"/>
      <c r="V426" s="19"/>
      <c r="W426" s="20"/>
      <c r="X426" s="22"/>
      <c r="Y426" s="22"/>
      <c r="Z426" s="23"/>
      <c r="AA426" s="23"/>
    </row>
    <row r="427" spans="1:27" x14ac:dyDescent="0.2">
      <c r="A427" s="13"/>
      <c r="B427" s="18"/>
      <c r="C427" s="19"/>
      <c r="D427" s="19"/>
      <c r="E427" s="20"/>
      <c r="F427" s="22"/>
      <c r="G427" s="22"/>
      <c r="H427" s="23"/>
      <c r="I427" s="23"/>
      <c r="J427" s="13"/>
      <c r="K427" s="18"/>
      <c r="L427" s="19"/>
      <c r="M427" s="19"/>
      <c r="N427" s="20"/>
      <c r="O427" s="22"/>
      <c r="P427" s="22"/>
      <c r="Q427" s="23"/>
      <c r="R427" s="23"/>
      <c r="S427" s="13"/>
      <c r="T427" s="18"/>
      <c r="U427" s="19"/>
      <c r="V427" s="19"/>
      <c r="W427" s="20"/>
      <c r="X427" s="22"/>
      <c r="Y427" s="22"/>
      <c r="Z427" s="23"/>
      <c r="AA427" s="23"/>
    </row>
    <row r="428" spans="1:27" x14ac:dyDescent="0.2">
      <c r="A428" s="13"/>
      <c r="B428" s="18"/>
      <c r="C428" s="19"/>
      <c r="D428" s="19"/>
      <c r="E428" s="20"/>
      <c r="F428" s="22"/>
      <c r="G428" s="36"/>
      <c r="H428" s="37"/>
      <c r="I428" s="37"/>
      <c r="J428" s="13"/>
      <c r="K428" s="18"/>
      <c r="L428" s="19"/>
      <c r="M428" s="19"/>
      <c r="N428" s="20"/>
      <c r="O428" s="22"/>
      <c r="P428" s="36"/>
      <c r="Q428" s="37"/>
      <c r="R428" s="37"/>
      <c r="S428" s="13"/>
      <c r="T428" s="18"/>
      <c r="U428" s="19"/>
      <c r="V428" s="19"/>
      <c r="W428" s="20"/>
      <c r="X428" s="22"/>
      <c r="Y428" s="36"/>
      <c r="Z428" s="37"/>
      <c r="AA428" s="37"/>
    </row>
    <row r="429" spans="1:27" x14ac:dyDescent="0.2">
      <c r="A429" s="13"/>
      <c r="B429" s="248" t="s">
        <v>42</v>
      </c>
      <c r="C429" s="249"/>
      <c r="D429" s="249"/>
      <c r="E429" s="250"/>
      <c r="F429" s="46"/>
      <c r="G429" s="46"/>
      <c r="H429" s="47"/>
      <c r="I429" s="47">
        <f>SUM(I416:I428)</f>
        <v>467.18749999999994</v>
      </c>
      <c r="J429" s="13"/>
      <c r="K429" s="248" t="s">
        <v>42</v>
      </c>
      <c r="L429" s="249"/>
      <c r="M429" s="249"/>
      <c r="N429" s="250"/>
      <c r="O429" s="46"/>
      <c r="P429" s="46"/>
      <c r="Q429" s="47"/>
      <c r="R429" s="47">
        <f>SUM(R416:R428)</f>
        <v>441</v>
      </c>
      <c r="S429" s="13"/>
      <c r="T429" s="248" t="s">
        <v>42</v>
      </c>
      <c r="U429" s="249"/>
      <c r="V429" s="249"/>
      <c r="W429" s="250"/>
      <c r="X429" s="46"/>
      <c r="Y429" s="46"/>
      <c r="Z429" s="47"/>
      <c r="AA429" s="47">
        <f>SUM(AA416:AA428)</f>
        <v>277.40777399999996</v>
      </c>
    </row>
    <row r="430" spans="1:27" x14ac:dyDescent="0.2">
      <c r="A430" s="12" t="s">
        <v>43</v>
      </c>
      <c r="B430" s="48" t="s">
        <v>44</v>
      </c>
      <c r="C430" s="43"/>
      <c r="D430" s="43"/>
      <c r="E430" s="39"/>
      <c r="F430" s="49"/>
      <c r="G430" s="49"/>
      <c r="H430" s="50"/>
      <c r="I430" s="51">
        <f>SUM(I411+I429)</f>
        <v>661.77</v>
      </c>
      <c r="J430" s="12" t="s">
        <v>43</v>
      </c>
      <c r="K430" s="48" t="s">
        <v>44</v>
      </c>
      <c r="L430" s="43"/>
      <c r="M430" s="43"/>
      <c r="N430" s="39"/>
      <c r="O430" s="49"/>
      <c r="P430" s="49"/>
      <c r="Q430" s="50"/>
      <c r="R430" s="51">
        <f>SUM(R411+R429)</f>
        <v>474.32597020501566</v>
      </c>
      <c r="S430" s="12" t="s">
        <v>43</v>
      </c>
      <c r="T430" s="48" t="s">
        <v>44</v>
      </c>
      <c r="U430" s="43"/>
      <c r="V430" s="43"/>
      <c r="W430" s="151"/>
      <c r="X430" s="49"/>
      <c r="Y430" s="49"/>
      <c r="Z430" s="50"/>
      <c r="AA430" s="51">
        <f>SUM(AA411+AA429)</f>
        <v>357.41717399999993</v>
      </c>
    </row>
    <row r="431" spans="1:27" x14ac:dyDescent="0.2">
      <c r="A431" s="13" t="s">
        <v>45</v>
      </c>
      <c r="B431" s="48" t="s">
        <v>46</v>
      </c>
      <c r="C431" s="43"/>
      <c r="D431" s="43"/>
      <c r="E431" s="39"/>
      <c r="F431" s="49"/>
      <c r="G431" s="52">
        <v>0.09</v>
      </c>
      <c r="H431" s="53" t="s">
        <v>47</v>
      </c>
      <c r="I431" s="51">
        <f>G431*I430</f>
        <v>59.559299999999993</v>
      </c>
      <c r="J431" s="13" t="s">
        <v>45</v>
      </c>
      <c r="K431" s="48" t="s">
        <v>46</v>
      </c>
      <c r="L431" s="43"/>
      <c r="M431" s="43"/>
      <c r="N431" s="39"/>
      <c r="O431" s="49"/>
      <c r="P431" s="52">
        <v>0.09</v>
      </c>
      <c r="Q431" s="53" t="s">
        <v>47</v>
      </c>
      <c r="R431" s="51">
        <f>P431*R430</f>
        <v>42.689337318451408</v>
      </c>
      <c r="S431" s="13" t="s">
        <v>45</v>
      </c>
      <c r="T431" s="48" t="s">
        <v>46</v>
      </c>
      <c r="U431" s="43"/>
      <c r="V431" s="43"/>
      <c r="W431" s="151"/>
      <c r="X431" s="49"/>
      <c r="Y431" s="52">
        <v>0.09</v>
      </c>
      <c r="Z431" s="53" t="s">
        <v>47</v>
      </c>
      <c r="AA431" s="51">
        <f>Y431*AA430</f>
        <v>32.167545659999995</v>
      </c>
    </row>
    <row r="432" spans="1:27" x14ac:dyDescent="0.2">
      <c r="A432" s="13" t="s">
        <v>48</v>
      </c>
      <c r="B432" s="48" t="s">
        <v>49</v>
      </c>
      <c r="C432" s="43"/>
      <c r="D432" s="43"/>
      <c r="E432" s="39"/>
      <c r="F432" s="49"/>
      <c r="G432" s="52">
        <v>0.08</v>
      </c>
      <c r="H432" s="53" t="s">
        <v>47</v>
      </c>
      <c r="I432" s="51">
        <f>G432*I430</f>
        <v>52.941600000000001</v>
      </c>
      <c r="J432" s="13" t="s">
        <v>48</v>
      </c>
      <c r="K432" s="48" t="s">
        <v>49</v>
      </c>
      <c r="L432" s="43"/>
      <c r="M432" s="43"/>
      <c r="N432" s="39"/>
      <c r="O432" s="49"/>
      <c r="P432" s="52">
        <v>0.08</v>
      </c>
      <c r="Q432" s="53" t="s">
        <v>47</v>
      </c>
      <c r="R432" s="51">
        <f>P432*R430</f>
        <v>37.946077616401254</v>
      </c>
      <c r="S432" s="13" t="s">
        <v>48</v>
      </c>
      <c r="T432" s="48" t="s">
        <v>49</v>
      </c>
      <c r="U432" s="43"/>
      <c r="V432" s="43"/>
      <c r="W432" s="151"/>
      <c r="X432" s="49"/>
      <c r="Y432" s="52">
        <v>0.08</v>
      </c>
      <c r="Z432" s="53" t="s">
        <v>47</v>
      </c>
      <c r="AA432" s="51">
        <f>Y432*AA430</f>
        <v>28.593373919999994</v>
      </c>
    </row>
    <row r="433" spans="1:27" x14ac:dyDescent="0.2">
      <c r="A433" s="13" t="s">
        <v>50</v>
      </c>
      <c r="B433" s="48" t="s">
        <v>51</v>
      </c>
      <c r="C433" s="43"/>
      <c r="D433" s="43"/>
      <c r="E433" s="39"/>
      <c r="F433" s="49"/>
      <c r="G433" s="52">
        <v>0.05</v>
      </c>
      <c r="H433" s="53" t="s">
        <v>52</v>
      </c>
      <c r="I433" s="51">
        <f>G433*(I430+I431+I432)</f>
        <v>38.713545000000003</v>
      </c>
      <c r="J433" s="13" t="s">
        <v>50</v>
      </c>
      <c r="K433" s="48" t="s">
        <v>51</v>
      </c>
      <c r="L433" s="43"/>
      <c r="M433" s="43"/>
      <c r="N433" s="39"/>
      <c r="O433" s="49"/>
      <c r="P433" s="52">
        <f>5/100</f>
        <v>0.05</v>
      </c>
      <c r="Q433" s="53" t="s">
        <v>52</v>
      </c>
      <c r="R433" s="51">
        <f>P433*(R430+R431+R432)</f>
        <v>27.748069256993418</v>
      </c>
      <c r="S433" s="13" t="s">
        <v>50</v>
      </c>
      <c r="T433" s="48" t="s">
        <v>51</v>
      </c>
      <c r="U433" s="43"/>
      <c r="V433" s="43"/>
      <c r="W433" s="151"/>
      <c r="X433" s="49"/>
      <c r="Y433" s="52">
        <v>0.05</v>
      </c>
      <c r="Z433" s="53" t="s">
        <v>52</v>
      </c>
      <c r="AA433" s="51">
        <f>Y433*(AA430+AA431+AA432)</f>
        <v>20.908904678999995</v>
      </c>
    </row>
    <row r="434" spans="1:27" x14ac:dyDescent="0.2">
      <c r="A434" s="54" t="s">
        <v>53</v>
      </c>
      <c r="B434" s="48" t="s">
        <v>54</v>
      </c>
      <c r="C434" s="43"/>
      <c r="D434" s="43"/>
      <c r="E434" s="39"/>
      <c r="F434" s="49"/>
      <c r="G434" s="49"/>
      <c r="H434" s="55" t="s">
        <v>55</v>
      </c>
      <c r="I434" s="51">
        <f>SUM(I430+I431+I432+I433)</f>
        <v>812.98444499999994</v>
      </c>
      <c r="J434" s="54" t="s">
        <v>53</v>
      </c>
      <c r="K434" s="48" t="s">
        <v>54</v>
      </c>
      <c r="L434" s="43"/>
      <c r="M434" s="43"/>
      <c r="N434" s="39"/>
      <c r="O434" s="49"/>
      <c r="P434" s="49"/>
      <c r="Q434" s="55" t="s">
        <v>55</v>
      </c>
      <c r="R434" s="51">
        <f>SUM(R430+R431+R432+R433)</f>
        <v>582.7094543968617</v>
      </c>
      <c r="S434" s="54" t="s">
        <v>53</v>
      </c>
      <c r="T434" s="48" t="s">
        <v>54</v>
      </c>
      <c r="U434" s="43"/>
      <c r="V434" s="43"/>
      <c r="W434" s="151"/>
      <c r="X434" s="49"/>
      <c r="Y434" s="49"/>
      <c r="Z434" s="55" t="s">
        <v>55</v>
      </c>
      <c r="AA434" s="51">
        <f>SUM(AA430+AA431+AA432+AA433)</f>
        <v>439.08699825899987</v>
      </c>
    </row>
    <row r="435" spans="1:27" s="1" customFormat="1" x14ac:dyDescent="0.2">
      <c r="A435" s="236" t="s">
        <v>0</v>
      </c>
      <c r="B435" s="236"/>
      <c r="C435" s="236"/>
      <c r="D435" s="236"/>
      <c r="E435" s="236"/>
      <c r="F435" s="236"/>
      <c r="G435" s="236"/>
      <c r="H435" s="236"/>
      <c r="I435" s="236"/>
      <c r="J435" s="236" t="s">
        <v>0</v>
      </c>
      <c r="K435" s="236"/>
      <c r="L435" s="236"/>
      <c r="M435" s="236"/>
      <c r="N435" s="236"/>
      <c r="O435" s="236"/>
      <c r="P435" s="236"/>
      <c r="Q435" s="236"/>
      <c r="R435" s="236"/>
      <c r="S435" s="236" t="s">
        <v>0</v>
      </c>
      <c r="T435" s="236"/>
      <c r="U435" s="236"/>
      <c r="V435" s="236"/>
      <c r="W435" s="236"/>
      <c r="X435" s="236"/>
      <c r="Y435" s="236"/>
      <c r="Z435" s="236"/>
      <c r="AA435" s="236"/>
    </row>
    <row r="436" spans="1:27" x14ac:dyDescent="0.2">
      <c r="S436" s="10"/>
      <c r="T436" s="3"/>
      <c r="U436" s="4"/>
      <c r="V436" s="4"/>
      <c r="W436" s="5"/>
      <c r="X436" s="3"/>
      <c r="Y436" s="3"/>
      <c r="Z436" s="3"/>
      <c r="AA436" s="3"/>
    </row>
    <row r="437" spans="1:27" x14ac:dyDescent="0.2">
      <c r="A437" s="2" t="s">
        <v>1</v>
      </c>
      <c r="C437" s="4" t="s">
        <v>2</v>
      </c>
      <c r="D437" s="5" t="s">
        <v>318</v>
      </c>
      <c r="E437" s="237" t="s">
        <v>319</v>
      </c>
      <c r="F437" s="237"/>
      <c r="G437" s="237"/>
      <c r="H437" s="237"/>
      <c r="J437" s="2" t="s">
        <v>1</v>
      </c>
      <c r="L437" s="4" t="s">
        <v>2</v>
      </c>
      <c r="M437" s="5" t="s">
        <v>320</v>
      </c>
      <c r="N437" s="237" t="s">
        <v>321</v>
      </c>
      <c r="O437" s="237"/>
      <c r="P437" s="237"/>
      <c r="Q437" s="237"/>
      <c r="S437" s="152" t="s">
        <v>1</v>
      </c>
      <c r="T437" s="3"/>
      <c r="U437" s="4" t="s">
        <v>2</v>
      </c>
      <c r="V437" s="5" t="s">
        <v>396</v>
      </c>
      <c r="W437" s="237" t="s">
        <v>397</v>
      </c>
      <c r="X437" s="237"/>
      <c r="Y437" s="237"/>
      <c r="Z437" s="237"/>
      <c r="AA437" s="3"/>
    </row>
    <row r="438" spans="1:27" x14ac:dyDescent="0.2">
      <c r="A438" s="2" t="s">
        <v>7</v>
      </c>
      <c r="C438" s="4" t="s">
        <v>2</v>
      </c>
      <c r="E438" s="2" t="s">
        <v>239</v>
      </c>
      <c r="F438" s="8"/>
      <c r="G438" s="8"/>
      <c r="H438" s="8"/>
      <c r="J438" s="2" t="s">
        <v>7</v>
      </c>
      <c r="L438" s="4" t="s">
        <v>2</v>
      </c>
      <c r="N438" s="2" t="s">
        <v>8</v>
      </c>
      <c r="O438" s="8"/>
      <c r="P438" s="8"/>
      <c r="Q438" s="8"/>
      <c r="S438" s="152" t="s">
        <v>7</v>
      </c>
      <c r="T438" s="3"/>
      <c r="U438" s="4" t="s">
        <v>2</v>
      </c>
      <c r="V438" s="4"/>
      <c r="W438" s="152" t="s">
        <v>8</v>
      </c>
      <c r="X438" s="8"/>
      <c r="Y438" s="8"/>
      <c r="Z438" s="8"/>
      <c r="AA438" s="3"/>
    </row>
    <row r="439" spans="1:27" x14ac:dyDescent="0.2">
      <c r="A439" s="2" t="s">
        <v>10</v>
      </c>
      <c r="C439" s="4" t="s">
        <v>2</v>
      </c>
      <c r="E439" s="9">
        <v>0.3</v>
      </c>
      <c r="F439" s="8"/>
      <c r="G439" s="8"/>
      <c r="H439" s="8"/>
      <c r="J439" s="2" t="s">
        <v>10</v>
      </c>
      <c r="L439" s="4" t="s">
        <v>2</v>
      </c>
      <c r="N439" s="9">
        <v>171.3</v>
      </c>
      <c r="O439" s="8"/>
      <c r="P439" s="8"/>
      <c r="Q439" s="8"/>
      <c r="S439" s="152" t="s">
        <v>10</v>
      </c>
      <c r="T439" s="3"/>
      <c r="U439" s="4" t="s">
        <v>2</v>
      </c>
      <c r="V439" s="4"/>
      <c r="W439" s="9">
        <v>69</v>
      </c>
      <c r="X439" s="8"/>
      <c r="Y439" s="8"/>
      <c r="Z439" s="8"/>
      <c r="AA439" s="3"/>
    </row>
    <row r="440" spans="1:27" x14ac:dyDescent="0.2">
      <c r="B440" s="8"/>
      <c r="F440" s="11"/>
      <c r="G440" s="8"/>
      <c r="H440" s="8"/>
      <c r="I440" s="8"/>
      <c r="K440" s="8"/>
      <c r="O440" s="11"/>
      <c r="P440" s="8"/>
      <c r="Q440" s="8"/>
      <c r="R440" s="8"/>
      <c r="S440" s="10"/>
      <c r="T440" s="8"/>
      <c r="U440" s="4"/>
      <c r="V440" s="4"/>
      <c r="W440" s="5"/>
      <c r="X440" s="11"/>
      <c r="Y440" s="8"/>
      <c r="Z440" s="8"/>
      <c r="AA440" s="8"/>
    </row>
    <row r="441" spans="1:27" x14ac:dyDescent="0.2">
      <c r="A441" s="12"/>
      <c r="B441" s="238" t="s">
        <v>11</v>
      </c>
      <c r="C441" s="239"/>
      <c r="D441" s="239"/>
      <c r="E441" s="240"/>
      <c r="F441" s="244" t="s">
        <v>12</v>
      </c>
      <c r="G441" s="244" t="s">
        <v>13</v>
      </c>
      <c r="H441" s="244" t="s">
        <v>14</v>
      </c>
      <c r="I441" s="246" t="s">
        <v>15</v>
      </c>
      <c r="J441" s="12"/>
      <c r="K441" s="238" t="s">
        <v>11</v>
      </c>
      <c r="L441" s="239"/>
      <c r="M441" s="239"/>
      <c r="N441" s="240"/>
      <c r="O441" s="244" t="s">
        <v>12</v>
      </c>
      <c r="P441" s="244" t="s">
        <v>13</v>
      </c>
      <c r="Q441" s="244" t="s">
        <v>14</v>
      </c>
      <c r="R441" s="246" t="s">
        <v>15</v>
      </c>
      <c r="S441" s="12"/>
      <c r="T441" s="238" t="s">
        <v>11</v>
      </c>
      <c r="U441" s="239"/>
      <c r="V441" s="239"/>
      <c r="W441" s="240"/>
      <c r="X441" s="244" t="s">
        <v>12</v>
      </c>
      <c r="Y441" s="244" t="s">
        <v>13</v>
      </c>
      <c r="Z441" s="244" t="s">
        <v>14</v>
      </c>
      <c r="AA441" s="246" t="s">
        <v>15</v>
      </c>
    </row>
    <row r="442" spans="1:27" x14ac:dyDescent="0.2">
      <c r="A442" s="13"/>
      <c r="B442" s="241"/>
      <c r="C442" s="242"/>
      <c r="D442" s="242"/>
      <c r="E442" s="243"/>
      <c r="F442" s="245"/>
      <c r="G442" s="245"/>
      <c r="H442" s="245"/>
      <c r="I442" s="247"/>
      <c r="J442" s="13"/>
      <c r="K442" s="241"/>
      <c r="L442" s="242"/>
      <c r="M442" s="242"/>
      <c r="N442" s="243"/>
      <c r="O442" s="245"/>
      <c r="P442" s="245"/>
      <c r="Q442" s="245"/>
      <c r="R442" s="247"/>
      <c r="S442" s="13"/>
      <c r="T442" s="241"/>
      <c r="U442" s="242"/>
      <c r="V442" s="242"/>
      <c r="W442" s="243"/>
      <c r="X442" s="245"/>
      <c r="Y442" s="245"/>
      <c r="Z442" s="245"/>
      <c r="AA442" s="247"/>
    </row>
    <row r="443" spans="1:27" x14ac:dyDescent="0.2">
      <c r="A443" s="13" t="s">
        <v>16</v>
      </c>
      <c r="B443" s="14" t="s">
        <v>17</v>
      </c>
      <c r="C443" s="15"/>
      <c r="D443" s="15"/>
      <c r="E443" s="16"/>
      <c r="F443" s="17"/>
      <c r="G443" s="17"/>
      <c r="H443" s="17"/>
      <c r="I443" s="17"/>
      <c r="J443" s="13" t="s">
        <v>16</v>
      </c>
      <c r="K443" s="14" t="s">
        <v>17</v>
      </c>
      <c r="L443" s="15"/>
      <c r="M443" s="15"/>
      <c r="N443" s="16"/>
      <c r="O443" s="17"/>
      <c r="P443" s="17"/>
      <c r="Q443" s="17"/>
      <c r="R443" s="17"/>
      <c r="S443" s="13" t="s">
        <v>16</v>
      </c>
      <c r="T443" s="14" t="s">
        <v>17</v>
      </c>
      <c r="U443" s="15"/>
      <c r="V443" s="15"/>
      <c r="W443" s="16"/>
      <c r="X443" s="17"/>
      <c r="Y443" s="17"/>
      <c r="Z443" s="17"/>
      <c r="AA443" s="17"/>
    </row>
    <row r="444" spans="1:27" x14ac:dyDescent="0.2">
      <c r="A444" s="13"/>
      <c r="B444" s="18"/>
      <c r="C444" s="19"/>
      <c r="D444" s="19"/>
      <c r="E444" s="20"/>
      <c r="F444" s="21"/>
      <c r="G444" s="22"/>
      <c r="H444" s="21"/>
      <c r="I444" s="21"/>
      <c r="J444" s="13"/>
      <c r="K444" s="18"/>
      <c r="L444" s="19"/>
      <c r="M444" s="19"/>
      <c r="N444" s="20"/>
      <c r="O444" s="21"/>
      <c r="P444" s="22"/>
      <c r="Q444" s="21"/>
      <c r="R444" s="21"/>
      <c r="S444" s="13"/>
      <c r="T444" s="18"/>
      <c r="U444" s="19"/>
      <c r="V444" s="19"/>
      <c r="W444" s="20"/>
      <c r="X444" s="21"/>
      <c r="Y444" s="22"/>
      <c r="Z444" s="21"/>
      <c r="AA444" s="21"/>
    </row>
    <row r="445" spans="1:27" x14ac:dyDescent="0.2">
      <c r="A445" s="13"/>
      <c r="B445" s="24" t="s">
        <v>18</v>
      </c>
      <c r="C445" s="25"/>
      <c r="D445" s="25"/>
      <c r="E445" s="26"/>
      <c r="F445" s="22">
        <v>1</v>
      </c>
      <c r="G445" s="62">
        <v>1</v>
      </c>
      <c r="H445" s="23">
        <v>69.42</v>
      </c>
      <c r="I445" s="23">
        <f>F445*G445*H445</f>
        <v>69.42</v>
      </c>
      <c r="J445" s="13"/>
      <c r="K445" s="24" t="s">
        <v>18</v>
      </c>
      <c r="L445" s="25"/>
      <c r="M445" s="25"/>
      <c r="N445" s="26"/>
      <c r="O445" s="22">
        <v>1</v>
      </c>
      <c r="P445" s="23">
        <v>1</v>
      </c>
      <c r="Q445" s="23">
        <v>69.42</v>
      </c>
      <c r="R445" s="23">
        <f>P445*Q445*O445</f>
        <v>69.42</v>
      </c>
      <c r="S445" s="13"/>
      <c r="T445" s="24" t="s">
        <v>18</v>
      </c>
      <c r="U445" s="25"/>
      <c r="V445" s="25"/>
      <c r="W445" s="26"/>
      <c r="X445" s="22">
        <v>1</v>
      </c>
      <c r="Y445" s="23">
        <v>1</v>
      </c>
      <c r="Z445" s="23">
        <v>69.42</v>
      </c>
      <c r="AA445" s="23">
        <f>Y445*Z445*X445</f>
        <v>69.42</v>
      </c>
    </row>
    <row r="446" spans="1:27" x14ac:dyDescent="0.2">
      <c r="A446" s="13"/>
      <c r="B446" s="24" t="s">
        <v>1179</v>
      </c>
      <c r="C446" s="25"/>
      <c r="D446" s="25"/>
      <c r="E446" s="26"/>
      <c r="F446" s="22">
        <v>3</v>
      </c>
      <c r="G446" s="62">
        <v>1</v>
      </c>
      <c r="H446" s="23">
        <v>38.97</v>
      </c>
      <c r="I446" s="23">
        <f>F446*G446*H446</f>
        <v>116.91</v>
      </c>
      <c r="J446" s="13"/>
      <c r="K446" s="257" t="s">
        <v>1178</v>
      </c>
      <c r="L446" s="258"/>
      <c r="M446" s="25"/>
      <c r="N446" s="26"/>
      <c r="O446" s="22">
        <v>4</v>
      </c>
      <c r="P446" s="23">
        <v>1</v>
      </c>
      <c r="Q446" s="23">
        <v>50.18</v>
      </c>
      <c r="R446" s="23">
        <f>P446*Q446*O446</f>
        <v>200.72</v>
      </c>
      <c r="S446" s="13"/>
      <c r="T446" s="257" t="s">
        <v>1178</v>
      </c>
      <c r="U446" s="258"/>
      <c r="V446" s="25"/>
      <c r="W446" s="26"/>
      <c r="X446" s="22">
        <v>4</v>
      </c>
      <c r="Y446" s="23">
        <v>1</v>
      </c>
      <c r="Z446" s="23">
        <v>50.18</v>
      </c>
      <c r="AA446" s="23">
        <f>Y446*Z446*X446</f>
        <v>200.72</v>
      </c>
    </row>
    <row r="447" spans="1:27" x14ac:dyDescent="0.2">
      <c r="A447" s="13"/>
      <c r="B447" s="27"/>
      <c r="C447" s="19"/>
      <c r="D447" s="19"/>
      <c r="E447" s="20"/>
      <c r="F447" s="22"/>
      <c r="G447" s="22"/>
      <c r="H447" s="28"/>
      <c r="I447" s="23"/>
      <c r="J447" s="13"/>
      <c r="K447" s="257" t="s">
        <v>1177</v>
      </c>
      <c r="L447" s="258"/>
      <c r="M447" s="19"/>
      <c r="N447" s="20"/>
      <c r="O447" s="22">
        <v>8</v>
      </c>
      <c r="P447" s="23">
        <v>1</v>
      </c>
      <c r="Q447" s="23">
        <v>38.97</v>
      </c>
      <c r="R447" s="23">
        <f>P447*Q447*O447</f>
        <v>311.76</v>
      </c>
      <c r="S447" s="13"/>
      <c r="T447" s="257" t="s">
        <v>1177</v>
      </c>
      <c r="U447" s="258"/>
      <c r="V447" s="19"/>
      <c r="W447" s="20"/>
      <c r="X447" s="22">
        <v>10</v>
      </c>
      <c r="Y447" s="23">
        <v>1</v>
      </c>
      <c r="Z447" s="23">
        <v>38.97</v>
      </c>
      <c r="AA447" s="23">
        <f>Y447*Z447*X447</f>
        <v>389.7</v>
      </c>
    </row>
    <row r="448" spans="1:27" x14ac:dyDescent="0.2">
      <c r="A448" s="13"/>
      <c r="B448" s="27"/>
      <c r="C448" s="19"/>
      <c r="D448" s="19"/>
      <c r="E448" s="20"/>
      <c r="F448" s="22"/>
      <c r="G448" s="22"/>
      <c r="H448" s="29"/>
      <c r="I448" s="30"/>
      <c r="J448" s="13"/>
      <c r="K448" s="27"/>
      <c r="L448" s="19"/>
      <c r="M448" s="19"/>
      <c r="N448" s="20"/>
      <c r="O448" s="22"/>
      <c r="P448" s="22"/>
      <c r="Q448" s="29"/>
      <c r="R448" s="30"/>
      <c r="S448" s="13"/>
      <c r="T448" s="153"/>
      <c r="U448" s="19"/>
      <c r="V448" s="19"/>
      <c r="W448" s="20"/>
      <c r="X448" s="22"/>
      <c r="Y448" s="22"/>
      <c r="Z448" s="29"/>
      <c r="AA448" s="30"/>
    </row>
    <row r="449" spans="1:27" ht="15" customHeight="1" x14ac:dyDescent="0.2">
      <c r="A449" s="13"/>
      <c r="B449" s="27"/>
      <c r="C449" s="19"/>
      <c r="D449" s="19"/>
      <c r="E449" s="20"/>
      <c r="F449" s="22"/>
      <c r="G449" s="22"/>
      <c r="H449" s="29"/>
      <c r="I449" s="30"/>
      <c r="J449" s="13"/>
      <c r="K449" s="27"/>
      <c r="L449" s="19"/>
      <c r="M449" s="19"/>
      <c r="N449" s="20"/>
      <c r="O449" s="22"/>
      <c r="P449" s="22"/>
      <c r="Q449" s="29"/>
      <c r="R449" s="30"/>
      <c r="S449" s="13"/>
      <c r="T449" s="153"/>
      <c r="U449" s="19"/>
      <c r="V449" s="19"/>
      <c r="W449" s="20"/>
      <c r="X449" s="22"/>
      <c r="Y449" s="22"/>
      <c r="Z449" s="30"/>
      <c r="AA449" s="30"/>
    </row>
    <row r="450" spans="1:27" x14ac:dyDescent="0.2">
      <c r="A450" s="13"/>
      <c r="B450" s="18"/>
      <c r="C450" s="19"/>
      <c r="D450" s="19"/>
      <c r="E450" s="20"/>
      <c r="F450" s="22"/>
      <c r="G450" s="22"/>
      <c r="H450" s="28"/>
      <c r="I450" s="23"/>
      <c r="J450" s="13"/>
      <c r="K450" s="18"/>
      <c r="L450" s="19"/>
      <c r="M450" s="19"/>
      <c r="N450" s="20"/>
      <c r="O450" s="22"/>
      <c r="P450" s="22"/>
      <c r="Q450" s="28"/>
      <c r="R450" s="23"/>
      <c r="S450" s="13"/>
      <c r="T450" s="18"/>
      <c r="U450" s="19"/>
      <c r="V450" s="19"/>
      <c r="W450" s="20"/>
      <c r="X450" s="22"/>
      <c r="Y450" s="22"/>
      <c r="Z450" s="28"/>
      <c r="AA450" s="23"/>
    </row>
    <row r="451" spans="1:27" x14ac:dyDescent="0.2">
      <c r="A451" s="13"/>
      <c r="B451" s="18"/>
      <c r="C451" s="19"/>
      <c r="D451" s="19"/>
      <c r="E451" s="20"/>
      <c r="F451" s="22"/>
      <c r="G451" s="22"/>
      <c r="H451" s="23"/>
      <c r="I451" s="23"/>
      <c r="J451" s="13"/>
      <c r="K451" s="18"/>
      <c r="L451" s="19"/>
      <c r="M451" s="19"/>
      <c r="N451" s="20"/>
      <c r="O451" s="22"/>
      <c r="P451" s="22"/>
      <c r="Q451" s="23"/>
      <c r="R451" s="23"/>
      <c r="S451" s="13"/>
      <c r="T451" s="18"/>
      <c r="U451" s="19"/>
      <c r="V451" s="19"/>
      <c r="W451" s="20"/>
      <c r="X451" s="22"/>
      <c r="Y451" s="22"/>
      <c r="Z451" s="23"/>
      <c r="AA451" s="23"/>
    </row>
    <row r="452" spans="1:27" x14ac:dyDescent="0.2">
      <c r="A452" s="13"/>
      <c r="B452" s="248" t="s">
        <v>20</v>
      </c>
      <c r="C452" s="249"/>
      <c r="D452" s="249"/>
      <c r="E452" s="250"/>
      <c r="F452" s="31"/>
      <c r="G452" s="31"/>
      <c r="H452" s="32"/>
      <c r="I452" s="32">
        <f>SUM(I445:I451)</f>
        <v>186.32999999999998</v>
      </c>
      <c r="J452" s="13"/>
      <c r="K452" s="248" t="s">
        <v>20</v>
      </c>
      <c r="L452" s="249"/>
      <c r="M452" s="249"/>
      <c r="N452" s="250"/>
      <c r="O452" s="31"/>
      <c r="P452" s="31"/>
      <c r="Q452" s="32"/>
      <c r="R452" s="32">
        <f>SUM(R445:R451)</f>
        <v>581.9</v>
      </c>
      <c r="S452" s="13"/>
      <c r="T452" s="248" t="s">
        <v>20</v>
      </c>
      <c r="U452" s="249"/>
      <c r="V452" s="249"/>
      <c r="W452" s="250"/>
      <c r="X452" s="31"/>
      <c r="Y452" s="31"/>
      <c r="Z452" s="32"/>
      <c r="AA452" s="32">
        <f>SUM(AA445:AA451)</f>
        <v>659.83999999999992</v>
      </c>
    </row>
    <row r="453" spans="1:27" x14ac:dyDescent="0.2">
      <c r="A453" s="12"/>
      <c r="B453" s="251" t="s">
        <v>21</v>
      </c>
      <c r="C453" s="252"/>
      <c r="D453" s="252"/>
      <c r="E453" s="253"/>
      <c r="F453" s="244" t="s">
        <v>22</v>
      </c>
      <c r="G453" s="244" t="s">
        <v>13</v>
      </c>
      <c r="H453" s="244" t="s">
        <v>14</v>
      </c>
      <c r="I453" s="246" t="s">
        <v>15</v>
      </c>
      <c r="J453" s="12"/>
      <c r="K453" s="251" t="s">
        <v>21</v>
      </c>
      <c r="L453" s="252"/>
      <c r="M453" s="252"/>
      <c r="N453" s="253"/>
      <c r="O453" s="244" t="s">
        <v>22</v>
      </c>
      <c r="P453" s="244" t="s">
        <v>13</v>
      </c>
      <c r="Q453" s="244" t="s">
        <v>14</v>
      </c>
      <c r="R453" s="246" t="s">
        <v>15</v>
      </c>
      <c r="S453" s="12"/>
      <c r="T453" s="251" t="s">
        <v>21</v>
      </c>
      <c r="U453" s="252"/>
      <c r="V453" s="252"/>
      <c r="W453" s="253"/>
      <c r="X453" s="244" t="s">
        <v>22</v>
      </c>
      <c r="Y453" s="244" t="s">
        <v>13</v>
      </c>
      <c r="Z453" s="244" t="s">
        <v>14</v>
      </c>
      <c r="AA453" s="246" t="s">
        <v>15</v>
      </c>
    </row>
    <row r="454" spans="1:27" x14ac:dyDescent="0.2">
      <c r="A454" s="13"/>
      <c r="B454" s="254"/>
      <c r="C454" s="255"/>
      <c r="D454" s="255"/>
      <c r="E454" s="256"/>
      <c r="F454" s="245"/>
      <c r="G454" s="245"/>
      <c r="H454" s="245"/>
      <c r="I454" s="247"/>
      <c r="J454" s="13"/>
      <c r="K454" s="254"/>
      <c r="L454" s="255"/>
      <c r="M454" s="255"/>
      <c r="N454" s="256"/>
      <c r="O454" s="245"/>
      <c r="P454" s="245"/>
      <c r="Q454" s="245"/>
      <c r="R454" s="247"/>
      <c r="S454" s="13"/>
      <c r="T454" s="254"/>
      <c r="U454" s="255"/>
      <c r="V454" s="255"/>
      <c r="W454" s="256"/>
      <c r="X454" s="245"/>
      <c r="Y454" s="245"/>
      <c r="Z454" s="245"/>
      <c r="AA454" s="247"/>
    </row>
    <row r="455" spans="1:27" x14ac:dyDescent="0.2">
      <c r="A455" s="13" t="s">
        <v>23</v>
      </c>
      <c r="B455" s="33" t="s">
        <v>24</v>
      </c>
      <c r="C455" s="15"/>
      <c r="D455" s="15"/>
      <c r="E455" s="16"/>
      <c r="F455" s="34"/>
      <c r="G455" s="34"/>
      <c r="H455" s="35"/>
      <c r="I455" s="35"/>
      <c r="J455" s="13" t="s">
        <v>23</v>
      </c>
      <c r="K455" s="33" t="s">
        <v>24</v>
      </c>
      <c r="L455" s="15"/>
      <c r="M455" s="15"/>
      <c r="N455" s="16"/>
      <c r="O455" s="34"/>
      <c r="P455" s="34"/>
      <c r="Q455" s="35"/>
      <c r="R455" s="35"/>
      <c r="S455" s="13" t="s">
        <v>23</v>
      </c>
      <c r="T455" s="33" t="s">
        <v>24</v>
      </c>
      <c r="U455" s="15"/>
      <c r="V455" s="15"/>
      <c r="W455" s="16"/>
      <c r="X455" s="34"/>
      <c r="Y455" s="34"/>
      <c r="Z455" s="35"/>
      <c r="AA455" s="35"/>
    </row>
    <row r="456" spans="1:27" x14ac:dyDescent="0.2">
      <c r="A456" s="13"/>
      <c r="B456" s="18"/>
      <c r="C456" s="19"/>
      <c r="D456" s="19"/>
      <c r="E456" s="20"/>
      <c r="F456" s="22"/>
      <c r="G456" s="22"/>
      <c r="H456" s="23"/>
      <c r="I456" s="23"/>
      <c r="J456" s="13"/>
      <c r="K456" s="18"/>
      <c r="L456" s="19"/>
      <c r="M456" s="19"/>
      <c r="N456" s="20"/>
      <c r="O456" s="22"/>
      <c r="P456" s="22"/>
      <c r="Q456" s="23"/>
      <c r="R456" s="23"/>
      <c r="S456" s="13"/>
      <c r="T456" s="18"/>
      <c r="U456" s="19"/>
      <c r="V456" s="19"/>
      <c r="W456" s="20"/>
      <c r="X456" s="22"/>
      <c r="Y456" s="22"/>
      <c r="Z456" s="23"/>
      <c r="AA456" s="23"/>
    </row>
    <row r="457" spans="1:27" x14ac:dyDescent="0.2">
      <c r="A457" s="13"/>
      <c r="B457" s="18" t="s">
        <v>254</v>
      </c>
      <c r="C457" s="19"/>
      <c r="D457" s="19"/>
      <c r="E457" s="20"/>
      <c r="F457" s="22">
        <v>1</v>
      </c>
      <c r="G457" s="23">
        <v>1</v>
      </c>
      <c r="H457" s="37">
        <v>936</v>
      </c>
      <c r="I457" s="23">
        <f>F457*G457*H457</f>
        <v>936</v>
      </c>
      <c r="J457" s="13"/>
      <c r="K457" s="18" t="s">
        <v>275</v>
      </c>
      <c r="L457" s="19"/>
      <c r="M457" s="19"/>
      <c r="N457" s="20"/>
      <c r="O457" s="22">
        <v>1</v>
      </c>
      <c r="P457" s="23">
        <v>1</v>
      </c>
      <c r="Q457" s="37">
        <v>1833</v>
      </c>
      <c r="R457" s="37">
        <f>P457*Q457*O457</f>
        <v>1833</v>
      </c>
      <c r="S457" s="13"/>
      <c r="T457" s="18" t="s">
        <v>1208</v>
      </c>
      <c r="U457" s="19"/>
      <c r="V457" s="19"/>
      <c r="W457" s="20"/>
      <c r="X457" s="22">
        <v>1</v>
      </c>
      <c r="Y457" s="23">
        <v>1</v>
      </c>
      <c r="Z457" s="37">
        <v>1759.5</v>
      </c>
      <c r="AA457" s="37">
        <f t="shared" ref="AA457:AA464" si="23">Y457*Z457*X457</f>
        <v>1759.5</v>
      </c>
    </row>
    <row r="458" spans="1:27" x14ac:dyDescent="0.2">
      <c r="A458" s="13"/>
      <c r="B458" s="18" t="s">
        <v>288</v>
      </c>
      <c r="C458" s="19"/>
      <c r="D458" s="19"/>
      <c r="E458" s="20"/>
      <c r="F458" s="22">
        <v>1</v>
      </c>
      <c r="G458" s="23">
        <v>1</v>
      </c>
      <c r="H458" s="37">
        <v>130.54</v>
      </c>
      <c r="I458" s="23">
        <f>F458*G458*H458</f>
        <v>130.54</v>
      </c>
      <c r="J458" s="13"/>
      <c r="K458" s="18" t="s">
        <v>276</v>
      </c>
      <c r="L458" s="19"/>
      <c r="M458" s="19"/>
      <c r="N458" s="20"/>
      <c r="O458" s="22">
        <v>1</v>
      </c>
      <c r="P458" s="23">
        <v>1</v>
      </c>
      <c r="Q458" s="37">
        <v>561</v>
      </c>
      <c r="R458" s="37">
        <f>P458*Q458*O458</f>
        <v>561</v>
      </c>
      <c r="S458" s="13"/>
      <c r="T458" s="18" t="s">
        <v>1256</v>
      </c>
      <c r="U458" s="19"/>
      <c r="V458" s="19"/>
      <c r="W458" s="20"/>
      <c r="X458" s="22">
        <v>1</v>
      </c>
      <c r="Y458" s="23">
        <v>1</v>
      </c>
      <c r="Z458" s="37">
        <v>6765</v>
      </c>
      <c r="AA458" s="37">
        <f t="shared" si="23"/>
        <v>6765</v>
      </c>
    </row>
    <row r="459" spans="1:27" x14ac:dyDescent="0.2">
      <c r="A459" s="13"/>
      <c r="B459" s="18"/>
      <c r="C459" s="19"/>
      <c r="D459" s="19"/>
      <c r="E459" s="20"/>
      <c r="F459" s="22"/>
      <c r="G459" s="23"/>
      <c r="H459" s="37"/>
      <c r="I459" s="23"/>
      <c r="J459" s="13"/>
      <c r="K459" s="18" t="s">
        <v>277</v>
      </c>
      <c r="L459" s="19"/>
      <c r="M459" s="19"/>
      <c r="N459" s="20"/>
      <c r="O459" s="22">
        <v>1</v>
      </c>
      <c r="P459" s="23">
        <v>1</v>
      </c>
      <c r="Q459" s="37">
        <v>1652</v>
      </c>
      <c r="R459" s="37">
        <f>P459*Q459*O459</f>
        <v>1652</v>
      </c>
      <c r="S459" s="13"/>
      <c r="T459" s="18" t="s">
        <v>256</v>
      </c>
      <c r="U459" s="19"/>
      <c r="V459" s="19"/>
      <c r="W459" s="20"/>
      <c r="X459" s="22">
        <v>4</v>
      </c>
      <c r="Y459" s="23">
        <v>1</v>
      </c>
      <c r="Z459" s="37">
        <v>1318</v>
      </c>
      <c r="AA459" s="37">
        <f t="shared" si="23"/>
        <v>5272</v>
      </c>
    </row>
    <row r="460" spans="1:27" x14ac:dyDescent="0.2">
      <c r="A460" s="13"/>
      <c r="B460" s="18"/>
      <c r="C460" s="19"/>
      <c r="D460" s="19"/>
      <c r="E460" s="20"/>
      <c r="F460" s="22"/>
      <c r="G460" s="23"/>
      <c r="H460" s="37"/>
      <c r="I460" s="23"/>
      <c r="J460" s="13"/>
      <c r="K460" s="18" t="s">
        <v>1174</v>
      </c>
      <c r="L460" s="19"/>
      <c r="M460" s="19"/>
      <c r="N460" s="20"/>
      <c r="O460" s="22">
        <v>1</v>
      </c>
      <c r="P460" s="23">
        <v>1</v>
      </c>
      <c r="Q460" s="37">
        <v>2450</v>
      </c>
      <c r="R460" s="37">
        <f>P460*Q460*O460</f>
        <v>2450</v>
      </c>
      <c r="S460" s="13"/>
      <c r="T460" s="18" t="s">
        <v>257</v>
      </c>
      <c r="U460" s="4"/>
      <c r="V460" s="4"/>
      <c r="W460" s="5"/>
      <c r="X460" s="22">
        <v>1</v>
      </c>
      <c r="Y460" s="23">
        <v>1</v>
      </c>
      <c r="Z460" s="37">
        <v>1733</v>
      </c>
      <c r="AA460" s="37">
        <f t="shared" si="23"/>
        <v>1733</v>
      </c>
    </row>
    <row r="461" spans="1:27" x14ac:dyDescent="0.2">
      <c r="A461" s="13"/>
      <c r="B461" s="18"/>
      <c r="C461" s="19"/>
      <c r="D461" s="19"/>
      <c r="E461" s="20"/>
      <c r="F461" s="22"/>
      <c r="G461" s="36"/>
      <c r="H461" s="37"/>
      <c r="I461" s="23"/>
      <c r="J461" s="13"/>
      <c r="K461" s="18" t="s">
        <v>1192</v>
      </c>
      <c r="L461" s="19"/>
      <c r="M461" s="19"/>
      <c r="N461" s="20"/>
      <c r="O461" s="22"/>
      <c r="P461" s="36"/>
      <c r="R461" s="37">
        <f>0.1*R452</f>
        <v>58.19</v>
      </c>
      <c r="S461" s="13"/>
      <c r="T461" s="18" t="s">
        <v>1211</v>
      </c>
      <c r="U461" s="19"/>
      <c r="V461" s="19"/>
      <c r="W461" s="20"/>
      <c r="X461" s="22">
        <v>1</v>
      </c>
      <c r="Y461" s="23">
        <v>1</v>
      </c>
      <c r="Z461" s="37">
        <v>2450</v>
      </c>
      <c r="AA461" s="37">
        <f t="shared" si="23"/>
        <v>2450</v>
      </c>
    </row>
    <row r="462" spans="1:27" x14ac:dyDescent="0.2">
      <c r="A462" s="13"/>
      <c r="B462" s="18"/>
      <c r="C462" s="19"/>
      <c r="D462" s="19"/>
      <c r="E462" s="20"/>
      <c r="F462" s="22"/>
      <c r="G462" s="36"/>
      <c r="H462" s="38"/>
      <c r="I462" s="38"/>
      <c r="J462" s="13"/>
      <c r="K462" s="18"/>
      <c r="L462" s="19"/>
      <c r="M462" s="19"/>
      <c r="N462" s="20"/>
      <c r="O462" s="22"/>
      <c r="P462" s="36"/>
      <c r="Q462" s="38"/>
      <c r="R462" s="38"/>
      <c r="S462" s="13"/>
      <c r="T462" s="18" t="s">
        <v>1257</v>
      </c>
      <c r="U462" s="19"/>
      <c r="V462" s="19"/>
      <c r="W462" s="20"/>
      <c r="X462" s="22">
        <v>1</v>
      </c>
      <c r="Y462" s="23">
        <v>1</v>
      </c>
      <c r="Z462" s="37">
        <v>32.630000000000003</v>
      </c>
      <c r="AA462" s="37">
        <f t="shared" si="23"/>
        <v>32.630000000000003</v>
      </c>
    </row>
    <row r="463" spans="1:27" x14ac:dyDescent="0.2">
      <c r="A463" s="13"/>
      <c r="B463" s="18"/>
      <c r="C463" s="19"/>
      <c r="D463" s="19"/>
      <c r="E463" s="20"/>
      <c r="F463" s="22"/>
      <c r="G463" s="36"/>
      <c r="H463" s="37"/>
      <c r="I463" s="37"/>
      <c r="J463" s="13"/>
      <c r="K463" s="18"/>
      <c r="L463" s="19"/>
      <c r="M463" s="19"/>
      <c r="N463" s="20"/>
      <c r="O463" s="22"/>
      <c r="P463" s="36"/>
      <c r="Q463" s="38"/>
      <c r="R463" s="38"/>
      <c r="S463" s="13"/>
      <c r="T463" s="18" t="s">
        <v>1258</v>
      </c>
      <c r="U463" s="19"/>
      <c r="V463" s="19"/>
      <c r="W463" s="20"/>
      <c r="X463" s="22">
        <v>1</v>
      </c>
      <c r="Y463" s="23">
        <v>0.1</v>
      </c>
      <c r="Z463" s="37">
        <v>91.25</v>
      </c>
      <c r="AA463" s="37">
        <f t="shared" si="23"/>
        <v>9.125</v>
      </c>
    </row>
    <row r="464" spans="1:27" x14ac:dyDescent="0.2">
      <c r="A464" s="13"/>
      <c r="B464" s="18"/>
      <c r="C464" s="19"/>
      <c r="D464" s="19"/>
      <c r="E464" s="20"/>
      <c r="F464" s="22"/>
      <c r="G464" s="36"/>
      <c r="H464" s="38"/>
      <c r="I464" s="38"/>
      <c r="J464" s="13"/>
      <c r="K464" s="18"/>
      <c r="L464" s="19"/>
      <c r="M464" s="19"/>
      <c r="N464" s="20"/>
      <c r="O464" s="22"/>
      <c r="P464" s="36"/>
      <c r="Q464" s="38"/>
      <c r="R464" s="38"/>
      <c r="S464" s="13"/>
      <c r="T464" s="18" t="s">
        <v>343</v>
      </c>
      <c r="U464" s="19"/>
      <c r="V464" s="19"/>
      <c r="W464" s="20"/>
      <c r="X464" s="22">
        <v>1</v>
      </c>
      <c r="Y464" s="23">
        <v>0.1</v>
      </c>
      <c r="Z464" s="37">
        <v>219.75</v>
      </c>
      <c r="AA464" s="37">
        <f t="shared" si="23"/>
        <v>21.975000000000001</v>
      </c>
    </row>
    <row r="465" spans="1:27" x14ac:dyDescent="0.2">
      <c r="A465" s="13"/>
      <c r="B465" s="18"/>
      <c r="C465" s="19"/>
      <c r="D465" s="19"/>
      <c r="E465" s="20"/>
      <c r="F465" s="22"/>
      <c r="G465" s="36"/>
      <c r="H465" s="38"/>
      <c r="I465" s="38"/>
      <c r="J465" s="13"/>
      <c r="K465" s="18"/>
      <c r="L465" s="19"/>
      <c r="M465" s="19"/>
      <c r="N465" s="20"/>
      <c r="O465" s="22"/>
      <c r="P465" s="36"/>
      <c r="Q465" s="38"/>
      <c r="R465" s="38"/>
      <c r="S465" s="13"/>
      <c r="X465" s="72"/>
      <c r="Y465" s="72"/>
      <c r="Z465" s="72"/>
      <c r="AA465" s="72"/>
    </row>
    <row r="466" spans="1:27" x14ac:dyDescent="0.2">
      <c r="A466" s="13"/>
      <c r="B466" s="18"/>
      <c r="C466" s="19"/>
      <c r="D466" s="19"/>
      <c r="E466" s="20"/>
      <c r="F466" s="22"/>
      <c r="G466" s="36"/>
      <c r="H466" s="37"/>
      <c r="I466" s="37"/>
      <c r="J466" s="13"/>
      <c r="K466" s="18"/>
      <c r="L466" s="19"/>
      <c r="M466" s="19"/>
      <c r="N466" s="20"/>
      <c r="O466" s="22"/>
      <c r="P466" s="36"/>
      <c r="Q466" s="37"/>
      <c r="R466" s="37"/>
      <c r="S466" s="13"/>
      <c r="X466" s="72"/>
      <c r="Y466" s="72"/>
      <c r="Z466" s="30"/>
      <c r="AA466" s="30"/>
    </row>
    <row r="467" spans="1:27" x14ac:dyDescent="0.2">
      <c r="A467" s="13"/>
      <c r="B467" s="18"/>
      <c r="C467" s="19"/>
      <c r="D467" s="19"/>
      <c r="E467" s="20"/>
      <c r="F467" s="22"/>
      <c r="G467" s="36"/>
      <c r="H467" s="37"/>
      <c r="I467" s="37"/>
      <c r="J467" s="13"/>
      <c r="K467" s="18"/>
      <c r="L467" s="19"/>
      <c r="M467" s="19"/>
      <c r="N467" s="20"/>
      <c r="O467" s="22"/>
      <c r="P467" s="36"/>
      <c r="Q467" s="37"/>
      <c r="R467" s="37"/>
      <c r="S467" s="13"/>
      <c r="T467" s="18"/>
      <c r="U467" s="19"/>
      <c r="V467" s="19"/>
      <c r="W467" s="20"/>
      <c r="X467" s="22"/>
      <c r="Y467" s="36"/>
      <c r="Z467" s="37"/>
      <c r="AA467" s="37"/>
    </row>
    <row r="468" spans="1:27" x14ac:dyDescent="0.2">
      <c r="A468" s="13"/>
      <c r="B468" s="18"/>
      <c r="C468" s="19"/>
      <c r="D468" s="19"/>
      <c r="E468" s="20"/>
      <c r="F468" s="22"/>
      <c r="G468" s="36"/>
      <c r="H468" s="37"/>
      <c r="I468" s="37"/>
      <c r="J468" s="13"/>
      <c r="K468" s="18"/>
      <c r="L468" s="19"/>
      <c r="M468" s="19"/>
      <c r="N468" s="20"/>
      <c r="O468" s="22"/>
      <c r="P468" s="36"/>
      <c r="Q468" s="37"/>
      <c r="R468" s="37"/>
      <c r="S468" s="13"/>
      <c r="T468" s="18"/>
      <c r="U468" s="19"/>
      <c r="V468" s="19"/>
      <c r="W468" s="20"/>
      <c r="X468" s="22"/>
      <c r="Y468" s="36"/>
      <c r="Z468" s="37"/>
      <c r="AA468" s="37"/>
    </row>
    <row r="469" spans="1:27" x14ac:dyDescent="0.2">
      <c r="A469" s="13"/>
      <c r="B469" s="18"/>
      <c r="C469" s="19"/>
      <c r="D469" s="19"/>
      <c r="E469" s="20"/>
      <c r="F469" s="22"/>
      <c r="G469" s="22"/>
      <c r="H469" s="23"/>
      <c r="I469" s="23"/>
      <c r="J469" s="13"/>
      <c r="K469" s="18"/>
      <c r="L469" s="19"/>
      <c r="M469" s="19"/>
      <c r="N469" s="20"/>
      <c r="O469" s="22"/>
      <c r="P469" s="22"/>
      <c r="Q469" s="23"/>
      <c r="R469" s="23"/>
      <c r="S469" s="13"/>
      <c r="T469" s="18"/>
      <c r="U469" s="19"/>
      <c r="V469" s="19"/>
      <c r="W469" s="20"/>
      <c r="X469" s="22"/>
      <c r="Y469" s="22"/>
      <c r="Z469" s="23"/>
      <c r="AA469" s="23"/>
    </row>
    <row r="470" spans="1:27" x14ac:dyDescent="0.2">
      <c r="A470" s="13"/>
      <c r="B470" s="248" t="s">
        <v>30</v>
      </c>
      <c r="C470" s="249"/>
      <c r="D470" s="249"/>
      <c r="E470" s="250"/>
      <c r="F470" s="22"/>
      <c r="G470" s="22"/>
      <c r="H470" s="23"/>
      <c r="I470" s="23">
        <f>SUM(I457:I469)</f>
        <v>1066.54</v>
      </c>
      <c r="J470" s="13"/>
      <c r="K470" s="248" t="s">
        <v>30</v>
      </c>
      <c r="L470" s="249"/>
      <c r="M470" s="249"/>
      <c r="N470" s="250"/>
      <c r="O470" s="22"/>
      <c r="P470" s="22"/>
      <c r="Q470" s="23"/>
      <c r="R470" s="23">
        <f>SUM(R457:R469)</f>
        <v>6554.19</v>
      </c>
      <c r="S470" s="13"/>
      <c r="T470" s="248" t="s">
        <v>30</v>
      </c>
      <c r="U470" s="249"/>
      <c r="V470" s="249"/>
      <c r="W470" s="250"/>
      <c r="X470" s="22"/>
      <c r="Y470" s="22"/>
      <c r="Z470" s="23"/>
      <c r="AA470" s="23">
        <f>SUM(AA457:AA469)</f>
        <v>18043.23</v>
      </c>
    </row>
    <row r="471" spans="1:27" x14ac:dyDescent="0.2">
      <c r="A471" s="12" t="s">
        <v>31</v>
      </c>
      <c r="B471" s="260" t="s">
        <v>32</v>
      </c>
      <c r="C471" s="261"/>
      <c r="D471" s="261"/>
      <c r="E471" s="261"/>
      <c r="F471" s="39"/>
      <c r="G471" s="39"/>
      <c r="H471" s="40"/>
      <c r="I471" s="41">
        <f>SUM(I470+I452)</f>
        <v>1252.8699999999999</v>
      </c>
      <c r="J471" s="12" t="s">
        <v>31</v>
      </c>
      <c r="K471" s="260" t="s">
        <v>32</v>
      </c>
      <c r="L471" s="261"/>
      <c r="M471" s="261"/>
      <c r="N471" s="261"/>
      <c r="O471" s="39"/>
      <c r="P471" s="39"/>
      <c r="Q471" s="40"/>
      <c r="R471" s="41">
        <f>SUM(R470+R452)</f>
        <v>7136.0899999999992</v>
      </c>
      <c r="S471" s="12" t="s">
        <v>31</v>
      </c>
      <c r="T471" s="260" t="s">
        <v>32</v>
      </c>
      <c r="U471" s="261"/>
      <c r="V471" s="261"/>
      <c r="W471" s="261"/>
      <c r="X471" s="151"/>
      <c r="Y471" s="151"/>
      <c r="Z471" s="40"/>
      <c r="AA471" s="41">
        <f>SUM(AA470+AA452)</f>
        <v>18703.07</v>
      </c>
    </row>
    <row r="472" spans="1:27" x14ac:dyDescent="0.2">
      <c r="A472" s="13" t="s">
        <v>33</v>
      </c>
      <c r="B472" s="309">
        <f>E439</f>
        <v>0.3</v>
      </c>
      <c r="C472" s="310"/>
      <c r="D472" s="310"/>
      <c r="E472" s="310"/>
      <c r="F472" s="310"/>
      <c r="G472" s="310"/>
      <c r="H472" s="40"/>
      <c r="I472" s="41"/>
      <c r="J472" s="13" t="s">
        <v>33</v>
      </c>
      <c r="K472" s="311">
        <f>N439</f>
        <v>171.3</v>
      </c>
      <c r="L472" s="312"/>
      <c r="M472" s="312"/>
      <c r="N472" s="312"/>
      <c r="O472" s="312"/>
      <c r="P472" s="312"/>
      <c r="Q472" s="40"/>
      <c r="R472" s="41"/>
      <c r="S472" s="13" t="s">
        <v>33</v>
      </c>
      <c r="T472" s="305">
        <f>W439</f>
        <v>69</v>
      </c>
      <c r="U472" s="306"/>
      <c r="V472" s="306"/>
      <c r="W472" s="306"/>
      <c r="X472" s="306"/>
      <c r="Y472" s="306"/>
      <c r="Z472" s="40"/>
      <c r="AA472" s="41"/>
    </row>
    <row r="473" spans="1:27" x14ac:dyDescent="0.2">
      <c r="A473" s="13" t="s">
        <v>34</v>
      </c>
      <c r="B473" s="42" t="s">
        <v>35</v>
      </c>
      <c r="C473" s="43"/>
      <c r="D473" s="43"/>
      <c r="E473" s="39"/>
      <c r="F473" s="44"/>
      <c r="G473" s="44"/>
      <c r="H473" s="40"/>
      <c r="I473" s="41">
        <f>I471/E439</f>
        <v>4176.2333333333336</v>
      </c>
      <c r="J473" s="13" t="s">
        <v>34</v>
      </c>
      <c r="K473" s="42" t="s">
        <v>35</v>
      </c>
      <c r="L473" s="43"/>
      <c r="M473" s="43"/>
      <c r="N473" s="39"/>
      <c r="O473" s="44"/>
      <c r="P473" s="44"/>
      <c r="Q473" s="40"/>
      <c r="R473" s="41">
        <f>R471/N439</f>
        <v>41.658435493286625</v>
      </c>
      <c r="S473" s="13" t="s">
        <v>34</v>
      </c>
      <c r="T473" s="155" t="s">
        <v>35</v>
      </c>
      <c r="U473" s="43"/>
      <c r="V473" s="43"/>
      <c r="W473" s="151"/>
      <c r="X473" s="156"/>
      <c r="Y473" s="156"/>
      <c r="Z473" s="40"/>
      <c r="AA473" s="41">
        <f>AA471/W439</f>
        <v>271.05898550724635</v>
      </c>
    </row>
    <row r="474" spans="1:27" x14ac:dyDescent="0.2">
      <c r="A474" s="12"/>
      <c r="B474" s="251" t="s">
        <v>36</v>
      </c>
      <c r="C474" s="252"/>
      <c r="D474" s="252"/>
      <c r="E474" s="253"/>
      <c r="F474" s="244" t="s">
        <v>37</v>
      </c>
      <c r="G474" s="244" t="s">
        <v>38</v>
      </c>
      <c r="H474" s="244" t="s">
        <v>39</v>
      </c>
      <c r="I474" s="246" t="s">
        <v>15</v>
      </c>
      <c r="J474" s="12"/>
      <c r="K474" s="251" t="s">
        <v>36</v>
      </c>
      <c r="L474" s="252"/>
      <c r="M474" s="252"/>
      <c r="N474" s="253"/>
      <c r="O474" s="244" t="s">
        <v>37</v>
      </c>
      <c r="P474" s="244" t="s">
        <v>38</v>
      </c>
      <c r="Q474" s="244" t="s">
        <v>39</v>
      </c>
      <c r="R474" s="246" t="s">
        <v>15</v>
      </c>
      <c r="S474" s="12"/>
      <c r="T474" s="251" t="s">
        <v>36</v>
      </c>
      <c r="U474" s="252"/>
      <c r="V474" s="252"/>
      <c r="W474" s="253"/>
      <c r="X474" s="244" t="s">
        <v>37</v>
      </c>
      <c r="Y474" s="244" t="s">
        <v>38</v>
      </c>
      <c r="Z474" s="244" t="s">
        <v>39</v>
      </c>
      <c r="AA474" s="246" t="s">
        <v>15</v>
      </c>
    </row>
    <row r="475" spans="1:27" x14ac:dyDescent="0.2">
      <c r="A475" s="13"/>
      <c r="B475" s="254"/>
      <c r="C475" s="255"/>
      <c r="D475" s="255"/>
      <c r="E475" s="256"/>
      <c r="F475" s="245"/>
      <c r="G475" s="245"/>
      <c r="H475" s="245"/>
      <c r="I475" s="247"/>
      <c r="J475" s="13"/>
      <c r="K475" s="254"/>
      <c r="L475" s="255"/>
      <c r="M475" s="255"/>
      <c r="N475" s="256"/>
      <c r="O475" s="245"/>
      <c r="P475" s="245"/>
      <c r="Q475" s="245"/>
      <c r="R475" s="247"/>
      <c r="S475" s="13"/>
      <c r="T475" s="254"/>
      <c r="U475" s="255"/>
      <c r="V475" s="255"/>
      <c r="W475" s="256"/>
      <c r="X475" s="245"/>
      <c r="Y475" s="245"/>
      <c r="Z475" s="245"/>
      <c r="AA475" s="247"/>
    </row>
    <row r="476" spans="1:27" x14ac:dyDescent="0.2">
      <c r="A476" s="13" t="s">
        <v>40</v>
      </c>
      <c r="B476" s="18" t="s">
        <v>41</v>
      </c>
      <c r="C476" s="19"/>
      <c r="D476" s="19"/>
      <c r="E476" s="20"/>
      <c r="F476" s="22"/>
      <c r="G476" s="22"/>
      <c r="H476" s="23"/>
      <c r="I476" s="23"/>
      <c r="J476" s="13" t="s">
        <v>40</v>
      </c>
      <c r="K476" s="18" t="s">
        <v>41</v>
      </c>
      <c r="L476" s="19"/>
      <c r="M476" s="19"/>
      <c r="N476" s="20"/>
      <c r="O476" s="22"/>
      <c r="P476" s="22"/>
      <c r="Q476" s="23"/>
      <c r="R476" s="23"/>
      <c r="S476" s="13" t="s">
        <v>40</v>
      </c>
      <c r="T476" s="18" t="s">
        <v>41</v>
      </c>
      <c r="U476" s="19"/>
      <c r="V476" s="19"/>
      <c r="W476" s="20"/>
      <c r="X476" s="22"/>
      <c r="Y476" s="22"/>
      <c r="Z476" s="23"/>
      <c r="AA476" s="23"/>
    </row>
    <row r="477" spans="1:27" x14ac:dyDescent="0.2">
      <c r="A477" s="13"/>
      <c r="B477" s="18"/>
      <c r="C477" s="19"/>
      <c r="D477" s="19"/>
      <c r="E477" s="20"/>
      <c r="F477" s="22"/>
      <c r="G477" s="22"/>
      <c r="H477" s="23"/>
      <c r="I477" s="23"/>
      <c r="J477" s="13"/>
      <c r="K477" s="18"/>
      <c r="L477" s="19"/>
      <c r="M477" s="19"/>
      <c r="N477" s="20"/>
      <c r="O477" s="22"/>
      <c r="P477" s="22"/>
      <c r="Q477" s="23"/>
      <c r="R477" s="23"/>
      <c r="S477" s="13"/>
      <c r="T477" s="18"/>
      <c r="U477" s="19"/>
      <c r="V477" s="19"/>
      <c r="W477" s="20"/>
      <c r="X477" s="22"/>
      <c r="Y477" s="22"/>
      <c r="Z477" s="23"/>
      <c r="AA477" s="23"/>
    </row>
    <row r="478" spans="1:27" x14ac:dyDescent="0.2">
      <c r="A478" s="13"/>
      <c r="B478" s="18" t="s">
        <v>262</v>
      </c>
      <c r="C478" s="66"/>
      <c r="D478" s="19"/>
      <c r="E478" s="20"/>
      <c r="F478" s="22" t="s">
        <v>239</v>
      </c>
      <c r="G478" s="22">
        <v>1.05</v>
      </c>
      <c r="H478" s="107">
        <v>40300</v>
      </c>
      <c r="I478" s="23">
        <f>G478*H478</f>
        <v>42315</v>
      </c>
      <c r="J478" s="13"/>
      <c r="K478" s="18" t="s">
        <v>307</v>
      </c>
      <c r="L478" s="66"/>
      <c r="M478" s="19"/>
      <c r="N478" s="20"/>
      <c r="O478" s="62" t="s">
        <v>239</v>
      </c>
      <c r="P478" s="70">
        <v>0.123</v>
      </c>
      <c r="Q478" s="107">
        <v>4500</v>
      </c>
      <c r="R478" s="23">
        <f>Q478*P478</f>
        <v>553.5</v>
      </c>
      <c r="S478" s="13"/>
      <c r="T478" s="18" t="s">
        <v>263</v>
      </c>
      <c r="U478" s="66"/>
      <c r="V478" s="19"/>
      <c r="W478" s="20"/>
      <c r="X478" s="22" t="s">
        <v>77</v>
      </c>
      <c r="Y478" s="62">
        <v>0.55000000000000004</v>
      </c>
      <c r="Z478" s="107">
        <v>40</v>
      </c>
      <c r="AA478" s="23">
        <f t="shared" ref="AA478:AA486" si="24">Y478*Z478</f>
        <v>22</v>
      </c>
    </row>
    <row r="479" spans="1:27" x14ac:dyDescent="0.2">
      <c r="A479" s="13"/>
      <c r="B479" s="18" t="s">
        <v>322</v>
      </c>
      <c r="C479" s="66"/>
      <c r="D479" s="19"/>
      <c r="E479" s="20"/>
      <c r="F479" s="22"/>
      <c r="G479" s="22"/>
      <c r="H479" s="23"/>
      <c r="I479" s="23"/>
      <c r="J479" s="13"/>
      <c r="K479" s="18" t="s">
        <v>323</v>
      </c>
      <c r="L479" s="66"/>
      <c r="M479" s="19"/>
      <c r="N479" s="20"/>
      <c r="O479" s="22"/>
      <c r="P479" s="22"/>
      <c r="Q479" s="23"/>
      <c r="R479" s="23"/>
      <c r="S479" s="13"/>
      <c r="T479" s="18" t="s">
        <v>264</v>
      </c>
      <c r="U479" s="66"/>
      <c r="V479" s="19"/>
      <c r="W479" s="20"/>
      <c r="X479" s="22" t="s">
        <v>1216</v>
      </c>
      <c r="Y479" s="22">
        <v>0.28999999999999998</v>
      </c>
      <c r="Z479" s="107">
        <v>28</v>
      </c>
      <c r="AA479" s="23">
        <f t="shared" si="24"/>
        <v>8.1199999999999992</v>
      </c>
    </row>
    <row r="480" spans="1:27" x14ac:dyDescent="0.2">
      <c r="A480" s="13"/>
      <c r="B480" s="18"/>
      <c r="C480" s="19"/>
      <c r="D480" s="19"/>
      <c r="E480" s="20"/>
      <c r="F480" s="22"/>
      <c r="G480" s="22"/>
      <c r="H480" s="38"/>
      <c r="I480" s="38"/>
      <c r="J480" s="13"/>
      <c r="K480" s="18"/>
      <c r="L480" s="19"/>
      <c r="M480" s="19"/>
      <c r="N480" s="20"/>
      <c r="O480" s="22"/>
      <c r="P480" s="22"/>
      <c r="Q480" s="38"/>
      <c r="R480" s="38"/>
      <c r="S480" s="13"/>
      <c r="T480" s="18" t="s">
        <v>266</v>
      </c>
      <c r="U480" s="19"/>
      <c r="V480" s="19"/>
      <c r="W480" s="20"/>
      <c r="X480" s="22" t="s">
        <v>1216</v>
      </c>
      <c r="Y480" s="22">
        <v>0.18</v>
      </c>
      <c r="Z480" s="107">
        <v>44</v>
      </c>
      <c r="AA480" s="23">
        <f t="shared" si="24"/>
        <v>7.92</v>
      </c>
    </row>
    <row r="481" spans="1:27" x14ac:dyDescent="0.2">
      <c r="A481" s="13"/>
      <c r="B481" s="18"/>
      <c r="C481" s="19"/>
      <c r="D481" s="19"/>
      <c r="E481" s="20"/>
      <c r="F481" s="22"/>
      <c r="G481" s="22"/>
      <c r="H481" s="38"/>
      <c r="I481" s="38"/>
      <c r="J481" s="13"/>
      <c r="K481" s="18"/>
      <c r="L481" s="19"/>
      <c r="M481" s="19"/>
      <c r="N481" s="20"/>
      <c r="O481" s="22"/>
      <c r="P481" s="22"/>
      <c r="Q481" s="38"/>
      <c r="R481" s="38"/>
      <c r="S481" s="13"/>
      <c r="T481" s="18" t="s">
        <v>374</v>
      </c>
      <c r="U481" s="19"/>
      <c r="V481" s="19"/>
      <c r="W481" s="20"/>
      <c r="X481" s="22" t="s">
        <v>9</v>
      </c>
      <c r="Y481" s="70">
        <v>0.16500000000000001</v>
      </c>
      <c r="Z481" s="107">
        <v>850</v>
      </c>
      <c r="AA481" s="23">
        <f t="shared" si="24"/>
        <v>140.25</v>
      </c>
    </row>
    <row r="482" spans="1:27" x14ac:dyDescent="0.2">
      <c r="A482" s="13"/>
      <c r="B482" s="18"/>
      <c r="C482" s="19"/>
      <c r="D482" s="19"/>
      <c r="E482" s="20"/>
      <c r="F482" s="22"/>
      <c r="G482" s="22"/>
      <c r="H482" s="45"/>
      <c r="I482" s="45"/>
      <c r="J482" s="13"/>
      <c r="K482" s="18"/>
      <c r="L482" s="19"/>
      <c r="M482" s="19"/>
      <c r="N482" s="20"/>
      <c r="O482" s="22"/>
      <c r="P482" s="22"/>
      <c r="Q482" s="45"/>
      <c r="R482" s="45"/>
      <c r="S482" s="13"/>
      <c r="T482" s="18" t="s">
        <v>375</v>
      </c>
      <c r="U482" s="19"/>
      <c r="V482" s="19"/>
      <c r="W482" s="20"/>
      <c r="X482" s="22" t="s">
        <v>9</v>
      </c>
      <c r="Y482" s="62">
        <v>0.3</v>
      </c>
      <c r="Z482" s="107">
        <v>650</v>
      </c>
      <c r="AA482" s="23">
        <f t="shared" si="24"/>
        <v>195</v>
      </c>
    </row>
    <row r="483" spans="1:27" x14ac:dyDescent="0.2">
      <c r="A483" s="13"/>
      <c r="B483" s="18"/>
      <c r="C483" s="19"/>
      <c r="D483" s="19"/>
      <c r="E483" s="20"/>
      <c r="F483" s="22"/>
      <c r="G483" s="22"/>
      <c r="H483" s="45"/>
      <c r="I483" s="45"/>
      <c r="J483" s="13"/>
      <c r="K483" s="18"/>
      <c r="L483" s="19"/>
      <c r="M483" s="19"/>
      <c r="N483" s="20"/>
      <c r="O483" s="22"/>
      <c r="P483" s="22"/>
      <c r="Q483" s="45"/>
      <c r="R483" s="45"/>
      <c r="S483" s="13"/>
      <c r="T483" s="18" t="s">
        <v>376</v>
      </c>
      <c r="U483" s="19"/>
      <c r="V483" s="19"/>
      <c r="W483" s="20"/>
      <c r="X483" s="22" t="s">
        <v>227</v>
      </c>
      <c r="Y483" s="22">
        <v>2.85</v>
      </c>
      <c r="Z483" s="107">
        <v>220</v>
      </c>
      <c r="AA483" s="23">
        <f t="shared" si="24"/>
        <v>627</v>
      </c>
    </row>
    <row r="484" spans="1:27" x14ac:dyDescent="0.2">
      <c r="A484" s="13"/>
      <c r="B484" s="18"/>
      <c r="C484" s="19"/>
      <c r="D484" s="19"/>
      <c r="E484" s="20"/>
      <c r="F484" s="22"/>
      <c r="G484" s="22"/>
      <c r="H484" s="23"/>
      <c r="I484" s="23"/>
      <c r="J484" s="13"/>
      <c r="K484" s="18"/>
      <c r="L484" s="19"/>
      <c r="M484" s="19"/>
      <c r="N484" s="20"/>
      <c r="O484" s="22"/>
      <c r="P484" s="22"/>
      <c r="Q484" s="23"/>
      <c r="R484" s="23"/>
      <c r="S484" s="13"/>
      <c r="T484" s="18" t="s">
        <v>377</v>
      </c>
      <c r="U484" s="19"/>
      <c r="V484" s="19"/>
      <c r="W484" s="20"/>
      <c r="X484" s="22" t="s">
        <v>80</v>
      </c>
      <c r="Y484" s="22">
        <v>1.4999999999999999E-4</v>
      </c>
      <c r="Z484" s="107">
        <v>8000</v>
      </c>
      <c r="AA484" s="23">
        <f t="shared" si="24"/>
        <v>1.2</v>
      </c>
    </row>
    <row r="485" spans="1:27" ht="15" customHeight="1" x14ac:dyDescent="0.2">
      <c r="A485" s="13"/>
      <c r="B485" s="18"/>
      <c r="C485" s="19"/>
      <c r="D485" s="19"/>
      <c r="E485" s="20"/>
      <c r="F485" s="22"/>
      <c r="G485" s="22"/>
      <c r="H485" s="23"/>
      <c r="I485" s="23"/>
      <c r="J485" s="13"/>
      <c r="K485" s="18"/>
      <c r="L485" s="19"/>
      <c r="M485" s="19"/>
      <c r="N485" s="20"/>
      <c r="O485" s="22"/>
      <c r="P485" s="22"/>
      <c r="Q485" s="23"/>
      <c r="R485" s="23"/>
      <c r="S485" s="13"/>
      <c r="T485" s="18" t="s">
        <v>378</v>
      </c>
      <c r="U485" s="19"/>
      <c r="V485" s="19"/>
      <c r="W485" s="20"/>
      <c r="X485" s="22" t="s">
        <v>1153</v>
      </c>
      <c r="Y485" s="22">
        <v>9.4000000000000004E-3</v>
      </c>
      <c r="Z485" s="107">
        <v>97</v>
      </c>
      <c r="AA485" s="23">
        <f t="shared" si="24"/>
        <v>0.91180000000000005</v>
      </c>
    </row>
    <row r="486" spans="1:27" x14ac:dyDescent="0.2">
      <c r="A486" s="13"/>
      <c r="B486" s="18"/>
      <c r="C486" s="19"/>
      <c r="D486" s="19"/>
      <c r="E486" s="20"/>
      <c r="F486" s="22"/>
      <c r="G486" s="22"/>
      <c r="H486" s="23"/>
      <c r="I486" s="23"/>
      <c r="J486" s="13"/>
      <c r="K486" s="18"/>
      <c r="L486" s="19"/>
      <c r="M486" s="19"/>
      <c r="N486" s="20"/>
      <c r="O486" s="22"/>
      <c r="P486" s="22"/>
      <c r="Q486" s="23"/>
      <c r="R486" s="23"/>
      <c r="S486" s="13"/>
      <c r="T486" s="18" t="s">
        <v>379</v>
      </c>
      <c r="U486" s="19"/>
      <c r="V486" s="19"/>
      <c r="W486" s="20"/>
      <c r="X486" s="22" t="s">
        <v>1216</v>
      </c>
      <c r="Y486" s="22">
        <v>9.4000000000000004E-3</v>
      </c>
      <c r="Z486" s="107">
        <v>300</v>
      </c>
      <c r="AA486" s="23">
        <f t="shared" si="24"/>
        <v>2.8200000000000003</v>
      </c>
    </row>
    <row r="487" spans="1:27" x14ac:dyDescent="0.2">
      <c r="A487" s="13"/>
      <c r="B487" s="18"/>
      <c r="C487" s="19"/>
      <c r="D487" s="19"/>
      <c r="E487" s="20"/>
      <c r="F487" s="22"/>
      <c r="G487" s="22"/>
      <c r="H487" s="23"/>
      <c r="I487" s="23"/>
      <c r="J487" s="13"/>
      <c r="K487" s="18"/>
      <c r="L487" s="19"/>
      <c r="M487" s="19"/>
      <c r="N487" s="20"/>
      <c r="O487" s="22"/>
      <c r="P487" s="22"/>
      <c r="Q487" s="23"/>
      <c r="R487" s="23"/>
      <c r="S487" s="13"/>
      <c r="T487" s="18"/>
      <c r="U487" s="19"/>
      <c r="V487" s="19"/>
      <c r="W487" s="20"/>
      <c r="X487" s="22"/>
      <c r="Y487" s="22"/>
      <c r="Z487" s="23"/>
      <c r="AA487" s="23"/>
    </row>
    <row r="488" spans="1:27" x14ac:dyDescent="0.2">
      <c r="A488" s="13"/>
      <c r="B488" s="18"/>
      <c r="C488" s="19"/>
      <c r="D488" s="19"/>
      <c r="E488" s="20"/>
      <c r="F488" s="22"/>
      <c r="G488" s="22"/>
      <c r="H488" s="23"/>
      <c r="I488" s="23"/>
      <c r="J488" s="13"/>
      <c r="K488" s="18"/>
      <c r="L488" s="19"/>
      <c r="M488" s="19"/>
      <c r="N488" s="20"/>
      <c r="O488" s="22"/>
      <c r="P488" s="22"/>
      <c r="Q488" s="23"/>
      <c r="R488" s="23"/>
      <c r="S488" s="13"/>
      <c r="T488" s="18"/>
      <c r="U488" s="19"/>
      <c r="V488" s="19"/>
      <c r="W488" s="20"/>
      <c r="X488" s="22"/>
      <c r="Y488" s="22"/>
      <c r="Z488" s="23"/>
      <c r="AA488" s="23"/>
    </row>
    <row r="489" spans="1:27" x14ac:dyDescent="0.2">
      <c r="A489" s="13"/>
      <c r="B489" s="18"/>
      <c r="C489" s="19"/>
      <c r="D489" s="19"/>
      <c r="E489" s="20"/>
      <c r="F489" s="22"/>
      <c r="G489" s="22"/>
      <c r="H489" s="23"/>
      <c r="I489" s="23"/>
      <c r="J489" s="13"/>
      <c r="K489" s="18"/>
      <c r="L489" s="19"/>
      <c r="M489" s="19"/>
      <c r="N489" s="20"/>
      <c r="O489" s="22"/>
      <c r="P489" s="22"/>
      <c r="Q489" s="23"/>
      <c r="R489" s="23"/>
      <c r="S489" s="13"/>
      <c r="T489" s="18"/>
      <c r="U489" s="19"/>
      <c r="V489" s="19"/>
      <c r="W489" s="20"/>
      <c r="X489" s="22"/>
      <c r="Y489" s="22"/>
      <c r="Z489" s="23"/>
      <c r="AA489" s="23"/>
    </row>
    <row r="490" spans="1:27" x14ac:dyDescent="0.2">
      <c r="A490" s="13"/>
      <c r="B490" s="18"/>
      <c r="C490" s="19"/>
      <c r="D490" s="19"/>
      <c r="E490" s="20"/>
      <c r="F490" s="22"/>
      <c r="G490" s="36"/>
      <c r="H490" s="37"/>
      <c r="I490" s="37"/>
      <c r="J490" s="13"/>
      <c r="K490" s="18"/>
      <c r="L490" s="19"/>
      <c r="M490" s="19"/>
      <c r="N490" s="20"/>
      <c r="O490" s="22"/>
      <c r="P490" s="36"/>
      <c r="Q490" s="37"/>
      <c r="R490" s="37"/>
      <c r="S490" s="13"/>
      <c r="T490" s="18"/>
      <c r="U490" s="19"/>
      <c r="V490" s="19"/>
      <c r="W490" s="20"/>
      <c r="X490" s="22"/>
      <c r="Y490" s="36"/>
      <c r="Z490" s="37"/>
      <c r="AA490" s="37"/>
    </row>
    <row r="491" spans="1:27" x14ac:dyDescent="0.2">
      <c r="A491" s="13"/>
      <c r="B491" s="248" t="s">
        <v>42</v>
      </c>
      <c r="C491" s="249"/>
      <c r="D491" s="249"/>
      <c r="E491" s="250"/>
      <c r="F491" s="46"/>
      <c r="G491" s="46"/>
      <c r="H491" s="47"/>
      <c r="I491" s="47">
        <f>SUM(I478:I490)</f>
        <v>42315</v>
      </c>
      <c r="J491" s="13"/>
      <c r="K491" s="248" t="s">
        <v>42</v>
      </c>
      <c r="L491" s="249"/>
      <c r="M491" s="249"/>
      <c r="N491" s="250"/>
      <c r="O491" s="46"/>
      <c r="P491" s="46"/>
      <c r="Q491" s="47"/>
      <c r="R491" s="47">
        <f>SUM(R478:R490)</f>
        <v>553.5</v>
      </c>
      <c r="S491" s="13"/>
      <c r="T491" s="248" t="s">
        <v>42</v>
      </c>
      <c r="U491" s="249"/>
      <c r="V491" s="249"/>
      <c r="W491" s="250"/>
      <c r="X491" s="46"/>
      <c r="Y491" s="46"/>
      <c r="Z491" s="47"/>
      <c r="AA491" s="47">
        <f>SUM(AA478:AA490)</f>
        <v>1005.2218</v>
      </c>
    </row>
    <row r="492" spans="1:27" x14ac:dyDescent="0.2">
      <c r="A492" s="12" t="s">
        <v>43</v>
      </c>
      <c r="B492" s="48" t="s">
        <v>44</v>
      </c>
      <c r="C492" s="43"/>
      <c r="D492" s="43"/>
      <c r="E492" s="39"/>
      <c r="F492" s="49"/>
      <c r="G492" s="49"/>
      <c r="H492" s="50"/>
      <c r="I492" s="51">
        <f>SUM(I473+I491)</f>
        <v>46491.233333333337</v>
      </c>
      <c r="J492" s="12" t="s">
        <v>43</v>
      </c>
      <c r="K492" s="48" t="s">
        <v>44</v>
      </c>
      <c r="L492" s="43"/>
      <c r="M492" s="43"/>
      <c r="N492" s="39"/>
      <c r="O492" s="49"/>
      <c r="P492" s="49"/>
      <c r="Q492" s="50"/>
      <c r="R492" s="51">
        <f>SUM(R473+R491)</f>
        <v>595.15843549328667</v>
      </c>
      <c r="S492" s="12" t="s">
        <v>43</v>
      </c>
      <c r="T492" s="48" t="s">
        <v>44</v>
      </c>
      <c r="U492" s="43"/>
      <c r="V492" s="43"/>
      <c r="W492" s="151"/>
      <c r="X492" s="49"/>
      <c r="Y492" s="49"/>
      <c r="Z492" s="50"/>
      <c r="AA492" s="51">
        <f>SUM(AA473+AA491)</f>
        <v>1276.2807855072465</v>
      </c>
    </row>
    <row r="493" spans="1:27" x14ac:dyDescent="0.2">
      <c r="A493" s="13" t="s">
        <v>45</v>
      </c>
      <c r="B493" s="48" t="s">
        <v>46</v>
      </c>
      <c r="C493" s="43"/>
      <c r="D493" s="43"/>
      <c r="E493" s="39"/>
      <c r="F493" s="49"/>
      <c r="G493" s="52">
        <v>0.09</v>
      </c>
      <c r="H493" s="53" t="s">
        <v>47</v>
      </c>
      <c r="I493" s="51">
        <f>G493*I492</f>
        <v>4184.2110000000002</v>
      </c>
      <c r="J493" s="13" t="s">
        <v>45</v>
      </c>
      <c r="K493" s="48" t="s">
        <v>46</v>
      </c>
      <c r="L493" s="43"/>
      <c r="M493" s="43"/>
      <c r="N493" s="39"/>
      <c r="O493" s="49"/>
      <c r="P493" s="52">
        <v>0.09</v>
      </c>
      <c r="Q493" s="53" t="s">
        <v>47</v>
      </c>
      <c r="R493" s="51">
        <f>P493*R492</f>
        <v>53.564259194395795</v>
      </c>
      <c r="S493" s="13" t="s">
        <v>45</v>
      </c>
      <c r="T493" s="48" t="s">
        <v>46</v>
      </c>
      <c r="U493" s="43"/>
      <c r="V493" s="43"/>
      <c r="W493" s="151"/>
      <c r="X493" s="49"/>
      <c r="Y493" s="52">
        <v>0.09</v>
      </c>
      <c r="Z493" s="53" t="s">
        <v>47</v>
      </c>
      <c r="AA493" s="51">
        <f>Y493*AA492</f>
        <v>114.86527069565219</v>
      </c>
    </row>
    <row r="494" spans="1:27" x14ac:dyDescent="0.2">
      <c r="A494" s="13" t="s">
        <v>48</v>
      </c>
      <c r="B494" s="48" t="s">
        <v>49</v>
      </c>
      <c r="C494" s="43"/>
      <c r="D494" s="43"/>
      <c r="E494" s="39"/>
      <c r="F494" s="49"/>
      <c r="G494" s="52">
        <v>0.08</v>
      </c>
      <c r="H494" s="53" t="s">
        <v>47</v>
      </c>
      <c r="I494" s="51">
        <f>G494*I492</f>
        <v>3719.298666666667</v>
      </c>
      <c r="J494" s="13" t="s">
        <v>48</v>
      </c>
      <c r="K494" s="48" t="s">
        <v>49</v>
      </c>
      <c r="L494" s="43"/>
      <c r="M494" s="43"/>
      <c r="N494" s="39"/>
      <c r="O494" s="49"/>
      <c r="P494" s="52">
        <v>0.08</v>
      </c>
      <c r="Q494" s="53" t="s">
        <v>47</v>
      </c>
      <c r="R494" s="51">
        <f>P494*R492</f>
        <v>47.612674839462933</v>
      </c>
      <c r="S494" s="13" t="s">
        <v>48</v>
      </c>
      <c r="T494" s="48" t="s">
        <v>49</v>
      </c>
      <c r="U494" s="43"/>
      <c r="V494" s="43"/>
      <c r="W494" s="151"/>
      <c r="X494" s="49"/>
      <c r="Y494" s="52">
        <v>0.08</v>
      </c>
      <c r="Z494" s="53" t="s">
        <v>47</v>
      </c>
      <c r="AA494" s="51">
        <f>Y494*AA492</f>
        <v>102.10246284057972</v>
      </c>
    </row>
    <row r="495" spans="1:27" x14ac:dyDescent="0.2">
      <c r="A495" s="13" t="s">
        <v>50</v>
      </c>
      <c r="B495" s="48" t="s">
        <v>51</v>
      </c>
      <c r="C495" s="43"/>
      <c r="D495" s="43"/>
      <c r="E495" s="39"/>
      <c r="F495" s="49"/>
      <c r="G495" s="52">
        <v>0.05</v>
      </c>
      <c r="H495" s="53" t="s">
        <v>52</v>
      </c>
      <c r="I495" s="51">
        <f>G495*(I492+I493+I494)</f>
        <v>2719.7371500000008</v>
      </c>
      <c r="J495" s="13" t="s">
        <v>50</v>
      </c>
      <c r="K495" s="48" t="s">
        <v>51</v>
      </c>
      <c r="L495" s="43"/>
      <c r="M495" s="43"/>
      <c r="N495" s="39"/>
      <c r="O495" s="49"/>
      <c r="P495" s="52">
        <f>5/100</f>
        <v>0.05</v>
      </c>
      <c r="Q495" s="53" t="s">
        <v>52</v>
      </c>
      <c r="R495" s="51">
        <f>P495*(R492+R493+R494)</f>
        <v>34.816768476357275</v>
      </c>
      <c r="S495" s="13" t="s">
        <v>50</v>
      </c>
      <c r="T495" s="48" t="s">
        <v>51</v>
      </c>
      <c r="U495" s="43"/>
      <c r="V495" s="43"/>
      <c r="W495" s="151"/>
      <c r="X495" s="49"/>
      <c r="Y495" s="52">
        <v>0.05</v>
      </c>
      <c r="Z495" s="53" t="s">
        <v>52</v>
      </c>
      <c r="AA495" s="51">
        <f>Y495*(AA492+AA493+AA494)</f>
        <v>74.662425952173919</v>
      </c>
    </row>
    <row r="496" spans="1:27" x14ac:dyDescent="0.2">
      <c r="A496" s="54" t="s">
        <v>53</v>
      </c>
      <c r="B496" s="48" t="s">
        <v>54</v>
      </c>
      <c r="C496" s="43"/>
      <c r="D496" s="43"/>
      <c r="E496" s="39"/>
      <c r="F496" s="49"/>
      <c r="G496" s="49"/>
      <c r="H496" s="55" t="s">
        <v>55</v>
      </c>
      <c r="I496" s="51">
        <f>SUM(I492+I493+I494+I495)</f>
        <v>57114.48015000001</v>
      </c>
      <c r="J496" s="54" t="s">
        <v>53</v>
      </c>
      <c r="K496" s="48" t="s">
        <v>54</v>
      </c>
      <c r="L496" s="43"/>
      <c r="M496" s="43"/>
      <c r="N496" s="39"/>
      <c r="O496" s="49"/>
      <c r="P496" s="49"/>
      <c r="Q496" s="55" t="s">
        <v>55</v>
      </c>
      <c r="R496" s="51">
        <f>SUM(R492+R493+R494+R495)</f>
        <v>731.15213800350273</v>
      </c>
      <c r="S496" s="54" t="s">
        <v>53</v>
      </c>
      <c r="T496" s="48" t="s">
        <v>54</v>
      </c>
      <c r="U496" s="43"/>
      <c r="V496" s="43"/>
      <c r="W496" s="151"/>
      <c r="X496" s="49"/>
      <c r="Y496" s="49"/>
      <c r="Z496" s="55" t="s">
        <v>55</v>
      </c>
      <c r="AA496" s="51">
        <f>SUM(AA492+AA493+AA494+AA495)</f>
        <v>1567.9109449956522</v>
      </c>
    </row>
    <row r="497" spans="1:27" s="1" customFormat="1" x14ac:dyDescent="0.2">
      <c r="A497" s="236" t="s">
        <v>0</v>
      </c>
      <c r="B497" s="236"/>
      <c r="C497" s="236"/>
      <c r="D497" s="236"/>
      <c r="E497" s="236"/>
      <c r="F497" s="236"/>
      <c r="G497" s="236"/>
      <c r="H497" s="236"/>
      <c r="I497" s="236"/>
      <c r="J497" s="236" t="s">
        <v>0</v>
      </c>
      <c r="K497" s="236"/>
      <c r="L497" s="236"/>
      <c r="M497" s="236"/>
      <c r="N497" s="236"/>
      <c r="O497" s="236"/>
      <c r="P497" s="236"/>
      <c r="Q497" s="236"/>
      <c r="R497" s="236"/>
      <c r="S497" s="236" t="s">
        <v>0</v>
      </c>
      <c r="T497" s="236"/>
      <c r="U497" s="236"/>
      <c r="V497" s="236"/>
      <c r="W497" s="236"/>
      <c r="X497" s="236"/>
      <c r="Y497" s="236"/>
      <c r="Z497" s="236"/>
      <c r="AA497" s="236"/>
    </row>
    <row r="498" spans="1:27" x14ac:dyDescent="0.2">
      <c r="S498" s="10"/>
      <c r="T498" s="3"/>
      <c r="U498" s="4"/>
      <c r="V498" s="4"/>
      <c r="W498" s="5"/>
      <c r="X498" s="3"/>
      <c r="Y498" s="3"/>
      <c r="Z498" s="3"/>
      <c r="AA498" s="3"/>
    </row>
    <row r="499" spans="1:27" x14ac:dyDescent="0.2">
      <c r="A499" s="2" t="s">
        <v>1</v>
      </c>
      <c r="C499" s="4" t="s">
        <v>2</v>
      </c>
      <c r="D499" s="5" t="s">
        <v>324</v>
      </c>
      <c r="E499" s="237" t="s">
        <v>325</v>
      </c>
      <c r="F499" s="237"/>
      <c r="G499" s="237"/>
      <c r="H499" s="237"/>
      <c r="J499" s="152" t="s">
        <v>1</v>
      </c>
      <c r="L499" s="4" t="s">
        <v>2</v>
      </c>
      <c r="M499" s="5" t="s">
        <v>326</v>
      </c>
      <c r="N499" s="237" t="s">
        <v>306</v>
      </c>
      <c r="O499" s="237"/>
      <c r="P499" s="237"/>
      <c r="Q499" s="237"/>
      <c r="S499" s="152" t="s">
        <v>1</v>
      </c>
      <c r="T499" s="3"/>
      <c r="U499" s="4" t="s">
        <v>2</v>
      </c>
      <c r="V499" s="5" t="s">
        <v>1268</v>
      </c>
      <c r="W499" s="237" t="s">
        <v>397</v>
      </c>
      <c r="X499" s="237"/>
      <c r="Y499" s="237"/>
      <c r="Z499" s="237"/>
      <c r="AA499" s="3"/>
    </row>
    <row r="500" spans="1:27" x14ac:dyDescent="0.2">
      <c r="A500" s="2" t="s">
        <v>7</v>
      </c>
      <c r="C500" s="4" t="s">
        <v>2</v>
      </c>
      <c r="E500" s="2" t="s">
        <v>239</v>
      </c>
      <c r="F500" s="8"/>
      <c r="G500" s="8"/>
      <c r="H500" s="8"/>
      <c r="J500" s="152" t="s">
        <v>7</v>
      </c>
      <c r="L500" s="4" t="s">
        <v>2</v>
      </c>
      <c r="N500" s="152" t="s">
        <v>8</v>
      </c>
      <c r="O500" s="8"/>
      <c r="P500" s="8"/>
      <c r="Q500" s="8"/>
      <c r="S500" s="152" t="s">
        <v>7</v>
      </c>
      <c r="T500" s="3"/>
      <c r="U500" s="4" t="s">
        <v>2</v>
      </c>
      <c r="V500" s="4"/>
      <c r="W500" s="152" t="s">
        <v>8</v>
      </c>
      <c r="X500" s="8"/>
      <c r="Y500" s="8"/>
      <c r="Z500" s="8"/>
      <c r="AA500" s="3"/>
    </row>
    <row r="501" spans="1:27" x14ac:dyDescent="0.2">
      <c r="A501" s="2" t="s">
        <v>10</v>
      </c>
      <c r="C501" s="4" t="s">
        <v>2</v>
      </c>
      <c r="E501" s="9">
        <v>0.3</v>
      </c>
      <c r="F501" s="8"/>
      <c r="G501" s="8"/>
      <c r="H501" s="8"/>
      <c r="J501" s="152" t="s">
        <v>10</v>
      </c>
      <c r="L501" s="4" t="s">
        <v>2</v>
      </c>
      <c r="N501" s="9">
        <v>285.51</v>
      </c>
      <c r="O501" s="8"/>
      <c r="P501" s="8"/>
      <c r="Q501" s="8"/>
      <c r="S501" s="152" t="s">
        <v>10</v>
      </c>
      <c r="T501" s="3"/>
      <c r="U501" s="4" t="s">
        <v>2</v>
      </c>
      <c r="V501" s="4"/>
      <c r="W501" s="9">
        <v>100</v>
      </c>
      <c r="X501" s="8"/>
      <c r="Y501" s="8"/>
      <c r="Z501" s="8"/>
      <c r="AA501" s="3"/>
    </row>
    <row r="502" spans="1:27" x14ac:dyDescent="0.2">
      <c r="B502" s="8"/>
      <c r="F502" s="11"/>
      <c r="G502" s="8"/>
      <c r="H502" s="8"/>
      <c r="I502" s="8"/>
      <c r="K502" s="8"/>
      <c r="O502" s="11"/>
      <c r="P502" s="8"/>
      <c r="Q502" s="8"/>
      <c r="R502" s="8"/>
      <c r="S502" s="10"/>
      <c r="T502" s="8"/>
      <c r="U502" s="4"/>
      <c r="V502" s="4"/>
      <c r="W502" s="5"/>
      <c r="X502" s="11"/>
      <c r="Y502" s="8"/>
      <c r="Z502" s="8"/>
      <c r="AA502" s="8"/>
    </row>
    <row r="503" spans="1:27" x14ac:dyDescent="0.2">
      <c r="A503" s="12"/>
      <c r="B503" s="238" t="s">
        <v>11</v>
      </c>
      <c r="C503" s="239"/>
      <c r="D503" s="239"/>
      <c r="E503" s="240"/>
      <c r="F503" s="244" t="s">
        <v>12</v>
      </c>
      <c r="G503" s="244" t="s">
        <v>13</v>
      </c>
      <c r="H503" s="244" t="s">
        <v>14</v>
      </c>
      <c r="I503" s="246" t="s">
        <v>15</v>
      </c>
      <c r="J503" s="12"/>
      <c r="K503" s="238" t="s">
        <v>11</v>
      </c>
      <c r="L503" s="239"/>
      <c r="M503" s="239"/>
      <c r="N503" s="240"/>
      <c r="O503" s="244" t="s">
        <v>12</v>
      </c>
      <c r="P503" s="244" t="s">
        <v>13</v>
      </c>
      <c r="Q503" s="244" t="s">
        <v>14</v>
      </c>
      <c r="R503" s="246" t="s">
        <v>15</v>
      </c>
      <c r="S503" s="12"/>
      <c r="T503" s="238" t="s">
        <v>11</v>
      </c>
      <c r="U503" s="239"/>
      <c r="V503" s="239"/>
      <c r="W503" s="240"/>
      <c r="X503" s="244" t="s">
        <v>12</v>
      </c>
      <c r="Y503" s="244" t="s">
        <v>13</v>
      </c>
      <c r="Z503" s="244" t="s">
        <v>14</v>
      </c>
      <c r="AA503" s="246" t="s">
        <v>15</v>
      </c>
    </row>
    <row r="504" spans="1:27" x14ac:dyDescent="0.2">
      <c r="A504" s="13"/>
      <c r="B504" s="241"/>
      <c r="C504" s="242"/>
      <c r="D504" s="242"/>
      <c r="E504" s="243"/>
      <c r="F504" s="245"/>
      <c r="G504" s="245"/>
      <c r="H504" s="245"/>
      <c r="I504" s="247"/>
      <c r="J504" s="13"/>
      <c r="K504" s="241"/>
      <c r="L504" s="242"/>
      <c r="M504" s="242"/>
      <c r="N504" s="243"/>
      <c r="O504" s="245"/>
      <c r="P504" s="245"/>
      <c r="Q504" s="245"/>
      <c r="R504" s="247"/>
      <c r="S504" s="13"/>
      <c r="T504" s="241"/>
      <c r="U504" s="242"/>
      <c r="V504" s="242"/>
      <c r="W504" s="243"/>
      <c r="X504" s="245"/>
      <c r="Y504" s="245"/>
      <c r="Z504" s="245"/>
      <c r="AA504" s="247"/>
    </row>
    <row r="505" spans="1:27" x14ac:dyDescent="0.2">
      <c r="A505" s="13" t="s">
        <v>16</v>
      </c>
      <c r="B505" s="14" t="s">
        <v>17</v>
      </c>
      <c r="C505" s="15"/>
      <c r="D505" s="15"/>
      <c r="E505" s="16"/>
      <c r="F505" s="17"/>
      <c r="G505" s="17"/>
      <c r="H505" s="17"/>
      <c r="I505" s="17"/>
      <c r="J505" s="13" t="s">
        <v>16</v>
      </c>
      <c r="K505" s="14" t="s">
        <v>17</v>
      </c>
      <c r="L505" s="15"/>
      <c r="M505" s="15"/>
      <c r="N505" s="16"/>
      <c r="O505" s="17"/>
      <c r="P505" s="17"/>
      <c r="Q505" s="17"/>
      <c r="R505" s="17"/>
      <c r="S505" s="13" t="s">
        <v>16</v>
      </c>
      <c r="T505" s="14" t="s">
        <v>17</v>
      </c>
      <c r="U505" s="15"/>
      <c r="V505" s="15"/>
      <c r="W505" s="16"/>
      <c r="X505" s="17"/>
      <c r="Y505" s="17"/>
      <c r="Z505" s="17"/>
      <c r="AA505" s="17"/>
    </row>
    <row r="506" spans="1:27" x14ac:dyDescent="0.2">
      <c r="A506" s="13"/>
      <c r="B506" s="18"/>
      <c r="C506" s="19"/>
      <c r="D506" s="19"/>
      <c r="E506" s="20"/>
      <c r="F506" s="21"/>
      <c r="G506" s="22"/>
      <c r="H506" s="21"/>
      <c r="I506" s="21"/>
      <c r="J506" s="13"/>
      <c r="K506" s="24" t="s">
        <v>18</v>
      </c>
      <c r="L506" s="25"/>
      <c r="M506" s="25"/>
      <c r="N506" s="171" t="s">
        <v>1217</v>
      </c>
      <c r="O506" s="22">
        <v>1</v>
      </c>
      <c r="P506" s="23">
        <v>1</v>
      </c>
      <c r="Q506" s="23">
        <v>69.42</v>
      </c>
      <c r="R506" s="23">
        <f t="shared" ref="R506" si="25">P506*Q506*O506</f>
        <v>69.42</v>
      </c>
      <c r="S506" s="13"/>
      <c r="T506" s="18"/>
      <c r="U506" s="19"/>
      <c r="V506" s="19"/>
      <c r="W506" s="20"/>
      <c r="X506" s="21"/>
      <c r="Y506" s="22"/>
      <c r="Z506" s="21"/>
      <c r="AA506" s="21"/>
    </row>
    <row r="507" spans="1:27" x14ac:dyDescent="0.2">
      <c r="A507" s="13"/>
      <c r="B507" s="24" t="s">
        <v>18</v>
      </c>
      <c r="C507" s="25"/>
      <c r="D507" s="25"/>
      <c r="E507" s="26"/>
      <c r="F507" s="22">
        <v>1</v>
      </c>
      <c r="G507" s="62">
        <v>1</v>
      </c>
      <c r="H507" s="23">
        <v>69.42</v>
      </c>
      <c r="I507" s="23">
        <f>F507*G507*H507</f>
        <v>69.42</v>
      </c>
      <c r="J507" s="13"/>
      <c r="K507" s="153" t="s">
        <v>1178</v>
      </c>
      <c r="L507" s="154"/>
      <c r="M507" s="25"/>
      <c r="N507" s="171" t="s">
        <v>1218</v>
      </c>
      <c r="O507" s="22">
        <v>4</v>
      </c>
      <c r="P507" s="23">
        <v>1</v>
      </c>
      <c r="Q507" s="23">
        <v>50.18</v>
      </c>
      <c r="R507" s="23">
        <f>P507*Q507*O507</f>
        <v>200.72</v>
      </c>
      <c r="S507" s="13"/>
      <c r="T507" s="24" t="s">
        <v>18</v>
      </c>
      <c r="U507" s="25"/>
      <c r="V507" s="25"/>
      <c r="W507" s="26"/>
      <c r="X507" s="22">
        <v>1</v>
      </c>
      <c r="Y507" s="23">
        <v>1</v>
      </c>
      <c r="Z507" s="23">
        <v>69.42</v>
      </c>
      <c r="AA507" s="23">
        <f>Y507*Z507*X507</f>
        <v>69.42</v>
      </c>
    </row>
    <row r="508" spans="1:27" x14ac:dyDescent="0.2">
      <c r="A508" s="13"/>
      <c r="B508" s="24" t="s">
        <v>1179</v>
      </c>
      <c r="C508" s="25"/>
      <c r="D508" s="25"/>
      <c r="E508" s="26"/>
      <c r="F508" s="22">
        <v>3</v>
      </c>
      <c r="G508" s="62">
        <v>1</v>
      </c>
      <c r="H508" s="23">
        <v>38.97</v>
      </c>
      <c r="I508" s="23">
        <f>F508*G508*H508</f>
        <v>116.91</v>
      </c>
      <c r="J508" s="13"/>
      <c r="K508" s="153" t="s">
        <v>1177</v>
      </c>
      <c r="L508" s="154"/>
      <c r="M508" s="19"/>
      <c r="N508" s="20"/>
      <c r="O508" s="22">
        <v>8</v>
      </c>
      <c r="P508" s="23">
        <v>1</v>
      </c>
      <c r="Q508" s="23">
        <v>38.97</v>
      </c>
      <c r="R508" s="23">
        <f t="shared" ref="R508:R513" si="26">P508*Q508*O508</f>
        <v>311.76</v>
      </c>
      <c r="S508" s="13"/>
      <c r="T508" s="257" t="s">
        <v>1178</v>
      </c>
      <c r="U508" s="258"/>
      <c r="V508" s="25"/>
      <c r="W508" s="26"/>
      <c r="X508" s="22">
        <v>4</v>
      </c>
      <c r="Y508" s="23">
        <v>1</v>
      </c>
      <c r="Z508" s="23">
        <v>50.18</v>
      </c>
      <c r="AA508" s="23">
        <f>Y508*Z508*X508</f>
        <v>200.72</v>
      </c>
    </row>
    <row r="509" spans="1:27" x14ac:dyDescent="0.2">
      <c r="A509" s="13"/>
      <c r="B509" s="27"/>
      <c r="C509" s="19"/>
      <c r="D509" s="19"/>
      <c r="E509" s="20"/>
      <c r="F509" s="22"/>
      <c r="G509" s="22"/>
      <c r="H509" s="28"/>
      <c r="I509" s="23"/>
      <c r="J509" s="13"/>
      <c r="K509" s="153" t="s">
        <v>1219</v>
      </c>
      <c r="L509" s="19"/>
      <c r="M509" s="19"/>
      <c r="N509" s="157" t="s">
        <v>1240</v>
      </c>
      <c r="O509" s="22">
        <v>1</v>
      </c>
      <c r="P509" s="23">
        <v>1</v>
      </c>
      <c r="Q509" s="29"/>
      <c r="R509" s="23">
        <f t="shared" si="26"/>
        <v>0</v>
      </c>
      <c r="S509" s="13"/>
      <c r="T509" s="257" t="s">
        <v>1177</v>
      </c>
      <c r="U509" s="258"/>
      <c r="V509" s="19"/>
      <c r="W509" s="20"/>
      <c r="X509" s="22">
        <v>10</v>
      </c>
      <c r="Y509" s="23">
        <v>1</v>
      </c>
      <c r="Z509" s="23">
        <v>38.97</v>
      </c>
      <c r="AA509" s="23">
        <f>Y509*Z509*X509</f>
        <v>389.7</v>
      </c>
    </row>
    <row r="510" spans="1:27" x14ac:dyDescent="0.2">
      <c r="A510" s="13"/>
      <c r="B510" s="27"/>
      <c r="C510" s="19"/>
      <c r="D510" s="19"/>
      <c r="E510" s="20"/>
      <c r="F510" s="22"/>
      <c r="G510" s="22"/>
      <c r="H510" s="29"/>
      <c r="I510" s="30"/>
      <c r="J510" s="13"/>
      <c r="K510" s="153" t="s">
        <v>1220</v>
      </c>
      <c r="L510" s="19"/>
      <c r="M510" s="19"/>
      <c r="N510" s="157" t="s">
        <v>1241</v>
      </c>
      <c r="O510" s="22">
        <v>1</v>
      </c>
      <c r="P510" s="23">
        <v>1</v>
      </c>
      <c r="Q510" s="29"/>
      <c r="R510" s="23">
        <f t="shared" si="26"/>
        <v>0</v>
      </c>
      <c r="S510" s="13"/>
      <c r="T510" s="153"/>
      <c r="U510" s="19"/>
      <c r="V510" s="19"/>
      <c r="W510" s="20"/>
      <c r="X510" s="22"/>
      <c r="Y510" s="22"/>
      <c r="Z510" s="29"/>
      <c r="AA510" s="30"/>
    </row>
    <row r="511" spans="1:27" x14ac:dyDescent="0.2">
      <c r="A511" s="13"/>
      <c r="B511" s="27"/>
      <c r="C511" s="19"/>
      <c r="D511" s="19"/>
      <c r="E511" s="20"/>
      <c r="F511" s="22"/>
      <c r="G511" s="22"/>
      <c r="H511" s="29"/>
      <c r="I511" s="30"/>
      <c r="J511" s="13"/>
      <c r="K511" s="153" t="s">
        <v>1221</v>
      </c>
      <c r="L511" s="19"/>
      <c r="M511" s="19"/>
      <c r="N511" s="157" t="s">
        <v>1242</v>
      </c>
      <c r="O511" s="22">
        <v>1</v>
      </c>
      <c r="P511" s="23">
        <v>1</v>
      </c>
      <c r="Q511" s="29"/>
      <c r="R511" s="23">
        <f t="shared" si="26"/>
        <v>0</v>
      </c>
      <c r="S511" s="13"/>
      <c r="T511" s="153"/>
      <c r="U511" s="19"/>
      <c r="V511" s="19"/>
      <c r="W511" s="20"/>
      <c r="X511" s="22"/>
      <c r="Y511" s="22"/>
      <c r="Z511" s="29"/>
      <c r="AA511" s="30"/>
    </row>
    <row r="512" spans="1:27" x14ac:dyDescent="0.2">
      <c r="A512" s="13"/>
      <c r="B512" s="18"/>
      <c r="C512" s="19"/>
      <c r="D512" s="19"/>
      <c r="E512" s="20"/>
      <c r="F512" s="22"/>
      <c r="G512" s="22"/>
      <c r="H512" s="28"/>
      <c r="I512" s="23"/>
      <c r="J512" s="13"/>
      <c r="K512" s="18" t="s">
        <v>1222</v>
      </c>
      <c r="L512" s="19"/>
      <c r="M512" s="19"/>
      <c r="N512" s="20"/>
      <c r="O512" s="22">
        <v>1</v>
      </c>
      <c r="P512" s="23">
        <v>1</v>
      </c>
      <c r="Q512" s="28"/>
      <c r="R512" s="23">
        <f t="shared" si="26"/>
        <v>0</v>
      </c>
      <c r="S512" s="13"/>
      <c r="T512" s="18"/>
      <c r="U512" s="19"/>
      <c r="V512" s="19"/>
      <c r="W512" s="20"/>
      <c r="X512" s="22"/>
      <c r="Y512" s="22"/>
      <c r="Z512" s="28"/>
      <c r="AA512" s="23"/>
    </row>
    <row r="513" spans="1:27" x14ac:dyDescent="0.2">
      <c r="A513" s="13"/>
      <c r="B513" s="18"/>
      <c r="C513" s="19"/>
      <c r="D513" s="19"/>
      <c r="E513" s="20"/>
      <c r="F513" s="22"/>
      <c r="G513" s="22"/>
      <c r="H513" s="23"/>
      <c r="I513" s="23"/>
      <c r="J513" s="13"/>
      <c r="K513" s="18" t="s">
        <v>1223</v>
      </c>
      <c r="L513" s="19"/>
      <c r="M513" s="19"/>
      <c r="N513" s="20"/>
      <c r="O513" s="22">
        <v>4</v>
      </c>
      <c r="P513" s="23">
        <v>1</v>
      </c>
      <c r="Q513" s="23"/>
      <c r="R513" s="23">
        <f t="shared" si="26"/>
        <v>0</v>
      </c>
      <c r="S513" s="13"/>
      <c r="T513" s="18"/>
      <c r="U513" s="19"/>
      <c r="V513" s="19"/>
      <c r="W513" s="20"/>
      <c r="X513" s="22"/>
      <c r="Y513" s="22"/>
      <c r="Z513" s="23"/>
      <c r="AA513" s="23"/>
    </row>
    <row r="514" spans="1:27" x14ac:dyDescent="0.2">
      <c r="A514" s="13"/>
      <c r="B514" s="248" t="s">
        <v>20</v>
      </c>
      <c r="C514" s="249"/>
      <c r="D514" s="249"/>
      <c r="E514" s="250"/>
      <c r="F514" s="31"/>
      <c r="G514" s="31"/>
      <c r="H514" s="32"/>
      <c r="I514" s="32">
        <f>SUM(I507:I513)</f>
        <v>186.32999999999998</v>
      </c>
      <c r="J514" s="13"/>
      <c r="K514" s="248" t="s">
        <v>20</v>
      </c>
      <c r="L514" s="249"/>
      <c r="M514" s="249"/>
      <c r="N514" s="250"/>
      <c r="O514" s="31"/>
      <c r="P514" s="31"/>
      <c r="Q514" s="32"/>
      <c r="R514" s="32">
        <f>SUM(R507:R513)</f>
        <v>512.48</v>
      </c>
      <c r="S514" s="13"/>
      <c r="T514" s="248" t="s">
        <v>20</v>
      </c>
      <c r="U514" s="249"/>
      <c r="V514" s="249"/>
      <c r="W514" s="250"/>
      <c r="X514" s="31"/>
      <c r="Y514" s="31"/>
      <c r="Z514" s="32"/>
      <c r="AA514" s="32">
        <f>SUM(AA507:AA513)</f>
        <v>659.83999999999992</v>
      </c>
    </row>
    <row r="515" spans="1:27" x14ac:dyDescent="0.2">
      <c r="A515" s="12"/>
      <c r="B515" s="251" t="s">
        <v>21</v>
      </c>
      <c r="C515" s="252"/>
      <c r="D515" s="252"/>
      <c r="E515" s="253"/>
      <c r="F515" s="244" t="s">
        <v>22</v>
      </c>
      <c r="G515" s="244" t="s">
        <v>13</v>
      </c>
      <c r="H515" s="244" t="s">
        <v>14</v>
      </c>
      <c r="I515" s="246" t="s">
        <v>15</v>
      </c>
      <c r="J515" s="12"/>
      <c r="K515" s="251" t="s">
        <v>21</v>
      </c>
      <c r="L515" s="252"/>
      <c r="M515" s="252"/>
      <c r="N515" s="253"/>
      <c r="O515" s="244" t="s">
        <v>22</v>
      </c>
      <c r="P515" s="244" t="s">
        <v>13</v>
      </c>
      <c r="Q515" s="244" t="s">
        <v>14</v>
      </c>
      <c r="R515" s="246" t="s">
        <v>15</v>
      </c>
      <c r="S515" s="12"/>
      <c r="T515" s="251" t="s">
        <v>21</v>
      </c>
      <c r="U515" s="252"/>
      <c r="V515" s="252"/>
      <c r="W515" s="253"/>
      <c r="X515" s="244" t="s">
        <v>22</v>
      </c>
      <c r="Y515" s="244" t="s">
        <v>13</v>
      </c>
      <c r="Z515" s="244" t="s">
        <v>14</v>
      </c>
      <c r="AA515" s="246" t="s">
        <v>15</v>
      </c>
    </row>
    <row r="516" spans="1:27" x14ac:dyDescent="0.2">
      <c r="A516" s="13"/>
      <c r="B516" s="254"/>
      <c r="C516" s="255"/>
      <c r="D516" s="255"/>
      <c r="E516" s="256"/>
      <c r="F516" s="245"/>
      <c r="G516" s="245"/>
      <c r="H516" s="245"/>
      <c r="I516" s="247"/>
      <c r="J516" s="13"/>
      <c r="K516" s="254"/>
      <c r="L516" s="255"/>
      <c r="M516" s="255"/>
      <c r="N516" s="256"/>
      <c r="O516" s="245"/>
      <c r="P516" s="245"/>
      <c r="Q516" s="245"/>
      <c r="R516" s="247"/>
      <c r="S516" s="13"/>
      <c r="T516" s="254"/>
      <c r="U516" s="255"/>
      <c r="V516" s="255"/>
      <c r="W516" s="256"/>
      <c r="X516" s="245"/>
      <c r="Y516" s="245"/>
      <c r="Z516" s="245"/>
      <c r="AA516" s="247"/>
    </row>
    <row r="517" spans="1:27" x14ac:dyDescent="0.2">
      <c r="A517" s="13" t="s">
        <v>23</v>
      </c>
      <c r="B517" s="33" t="s">
        <v>24</v>
      </c>
      <c r="C517" s="15"/>
      <c r="D517" s="15"/>
      <c r="E517" s="16"/>
      <c r="F517" s="34"/>
      <c r="G517" s="34"/>
      <c r="H517" s="35"/>
      <c r="I517" s="35"/>
      <c r="J517" s="13" t="s">
        <v>23</v>
      </c>
      <c r="K517" s="33" t="s">
        <v>24</v>
      </c>
      <c r="L517" s="15"/>
      <c r="M517" s="15"/>
      <c r="N517" s="16"/>
      <c r="O517" s="34"/>
      <c r="P517" s="34"/>
      <c r="Q517" s="35"/>
      <c r="R517" s="35"/>
      <c r="S517" s="13" t="s">
        <v>23</v>
      </c>
      <c r="T517" s="33" t="s">
        <v>24</v>
      </c>
      <c r="U517" s="15"/>
      <c r="V517" s="15"/>
      <c r="W517" s="16"/>
      <c r="X517" s="34"/>
      <c r="Y517" s="34"/>
      <c r="Z517" s="35"/>
      <c r="AA517" s="35"/>
    </row>
    <row r="518" spans="1:27" x14ac:dyDescent="0.2">
      <c r="A518" s="13"/>
      <c r="B518" s="18"/>
      <c r="C518" s="19"/>
      <c r="D518" s="19"/>
      <c r="E518" s="20"/>
      <c r="F518" s="22"/>
      <c r="G518" s="22"/>
      <c r="H518" s="23"/>
      <c r="I518" s="23"/>
      <c r="J518" s="13"/>
      <c r="K518" s="18"/>
      <c r="L518" s="19"/>
      <c r="M518" s="19"/>
      <c r="N518" s="20"/>
      <c r="O518" s="22"/>
      <c r="P518" s="22"/>
      <c r="Q518" s="23"/>
      <c r="R518" s="23"/>
      <c r="S518" s="13"/>
      <c r="T518" s="18"/>
      <c r="U518" s="19"/>
      <c r="V518" s="19"/>
      <c r="W518" s="20"/>
      <c r="X518" s="22"/>
      <c r="Y518" s="22"/>
      <c r="Z518" s="23"/>
      <c r="AA518" s="23"/>
    </row>
    <row r="519" spans="1:27" x14ac:dyDescent="0.2">
      <c r="A519" s="13"/>
      <c r="B519" s="18" t="s">
        <v>254</v>
      </c>
      <c r="C519" s="19"/>
      <c r="D519" s="19"/>
      <c r="E519" s="20"/>
      <c r="F519" s="22">
        <v>1</v>
      </c>
      <c r="G519" s="23">
        <v>1</v>
      </c>
      <c r="H519" s="37">
        <v>936</v>
      </c>
      <c r="I519" s="23">
        <f>F519*G519*H519</f>
        <v>936</v>
      </c>
      <c r="J519" s="13"/>
      <c r="K519" s="18" t="s">
        <v>275</v>
      </c>
      <c r="L519" s="19"/>
      <c r="M519" s="19"/>
      <c r="N519" s="20"/>
      <c r="O519" s="22">
        <v>1</v>
      </c>
      <c r="P519" s="23">
        <v>1</v>
      </c>
      <c r="Q519" s="37">
        <v>1833</v>
      </c>
      <c r="R519" s="37">
        <f t="shared" ref="R519:R525" si="27">P519*Q519*O519</f>
        <v>1833</v>
      </c>
      <c r="S519" s="13"/>
      <c r="T519" s="18" t="s">
        <v>1267</v>
      </c>
      <c r="U519" s="19"/>
      <c r="V519" s="19"/>
      <c r="W519" s="20"/>
      <c r="X519" s="22">
        <v>1</v>
      </c>
      <c r="Y519" s="23">
        <v>1</v>
      </c>
      <c r="Z519" s="37">
        <v>6765</v>
      </c>
      <c r="AA519" s="37">
        <f t="shared" ref="AA519:AA522" si="28">Y519*Z519*X519</f>
        <v>6765</v>
      </c>
    </row>
    <row r="520" spans="1:27" x14ac:dyDescent="0.2">
      <c r="A520" s="13"/>
      <c r="B520" s="18" t="s">
        <v>288</v>
      </c>
      <c r="C520" s="19"/>
      <c r="D520" s="19"/>
      <c r="E520" s="20"/>
      <c r="F520" s="22">
        <v>1</v>
      </c>
      <c r="G520" s="23">
        <v>1</v>
      </c>
      <c r="H520" s="37">
        <v>130.54</v>
      </c>
      <c r="I520" s="23">
        <f>F520*G520*H520</f>
        <v>130.54</v>
      </c>
      <c r="J520" s="13"/>
      <c r="K520" s="18" t="s">
        <v>276</v>
      </c>
      <c r="L520" s="19"/>
      <c r="M520" s="19"/>
      <c r="N520" s="20"/>
      <c r="O520" s="22">
        <v>1</v>
      </c>
      <c r="P520" s="23">
        <v>1</v>
      </c>
      <c r="Q520" s="37">
        <v>561</v>
      </c>
      <c r="R520" s="37">
        <f t="shared" si="27"/>
        <v>561</v>
      </c>
      <c r="S520" s="13"/>
      <c r="T520" s="18" t="s">
        <v>255</v>
      </c>
      <c r="U520" s="19"/>
      <c r="V520" s="19"/>
      <c r="W520" s="20"/>
      <c r="X520" s="22">
        <v>1</v>
      </c>
      <c r="Y520" s="23">
        <v>1</v>
      </c>
      <c r="Z520" s="37">
        <v>545</v>
      </c>
      <c r="AA520" s="37">
        <f t="shared" si="28"/>
        <v>545</v>
      </c>
    </row>
    <row r="521" spans="1:27" x14ac:dyDescent="0.2">
      <c r="A521" s="13"/>
      <c r="B521" s="18"/>
      <c r="C521" s="19"/>
      <c r="D521" s="19"/>
      <c r="E521" s="20"/>
      <c r="F521" s="22"/>
      <c r="G521" s="23"/>
      <c r="H521" s="37"/>
      <c r="I521" s="23"/>
      <c r="J521" s="13"/>
      <c r="K521" s="18" t="s">
        <v>277</v>
      </c>
      <c r="L521" s="19"/>
      <c r="M521" s="19"/>
      <c r="N521" s="20"/>
      <c r="O521" s="22">
        <v>1</v>
      </c>
      <c r="P521" s="23">
        <v>1</v>
      </c>
      <c r="Q521" s="37">
        <v>1652</v>
      </c>
      <c r="R521" s="37">
        <f t="shared" si="27"/>
        <v>1652</v>
      </c>
      <c r="S521" s="13"/>
      <c r="T521" s="18" t="s">
        <v>1266</v>
      </c>
      <c r="U521" s="19"/>
      <c r="V521" s="19"/>
      <c r="W521" s="20"/>
      <c r="X521" s="22">
        <v>1</v>
      </c>
      <c r="Y521" s="23">
        <v>0.1</v>
      </c>
      <c r="Z521" s="37">
        <v>91.25</v>
      </c>
      <c r="AA521" s="37">
        <f t="shared" si="28"/>
        <v>9.125</v>
      </c>
    </row>
    <row r="522" spans="1:27" x14ac:dyDescent="0.2">
      <c r="A522" s="13"/>
      <c r="B522" s="18"/>
      <c r="C522" s="19"/>
      <c r="D522" s="19"/>
      <c r="E522" s="20"/>
      <c r="F522" s="22"/>
      <c r="G522" s="23"/>
      <c r="H522" s="37"/>
      <c r="I522" s="23"/>
      <c r="J522" s="13"/>
      <c r="K522" s="18" t="s">
        <v>1140</v>
      </c>
      <c r="O522" s="22">
        <v>2</v>
      </c>
      <c r="P522" s="23">
        <v>1</v>
      </c>
      <c r="Q522" s="37">
        <v>1420</v>
      </c>
      <c r="R522" s="37">
        <f t="shared" si="27"/>
        <v>2840</v>
      </c>
      <c r="S522" s="13"/>
      <c r="T522" s="18" t="s">
        <v>404</v>
      </c>
      <c r="U522" s="19"/>
      <c r="V522" s="19"/>
      <c r="W522" s="20"/>
      <c r="X522" s="22">
        <v>1</v>
      </c>
      <c r="Y522" s="23">
        <v>0.1</v>
      </c>
      <c r="Z522" s="37">
        <v>219.75</v>
      </c>
      <c r="AA522" s="37">
        <f t="shared" si="28"/>
        <v>21.975000000000001</v>
      </c>
    </row>
    <row r="523" spans="1:27" x14ac:dyDescent="0.2">
      <c r="A523" s="13"/>
      <c r="B523" s="18"/>
      <c r="C523" s="19"/>
      <c r="D523" s="19"/>
      <c r="E523" s="20"/>
      <c r="F523" s="22"/>
      <c r="G523" s="36"/>
      <c r="H523" s="37"/>
      <c r="I523" s="23"/>
      <c r="J523" s="13"/>
      <c r="K523" s="18" t="s">
        <v>278</v>
      </c>
      <c r="L523" s="19"/>
      <c r="M523" s="19"/>
      <c r="N523" s="20"/>
      <c r="O523" s="22">
        <v>1</v>
      </c>
      <c r="P523" s="23">
        <v>1</v>
      </c>
      <c r="Q523" s="37">
        <v>4286.63</v>
      </c>
      <c r="R523" s="37">
        <f t="shared" si="27"/>
        <v>4286.63</v>
      </c>
      <c r="S523" s="13"/>
      <c r="T523" s="18"/>
      <c r="U523" s="19"/>
      <c r="V523" s="19"/>
      <c r="W523" s="20"/>
      <c r="X523" s="22"/>
      <c r="Y523" s="36"/>
      <c r="Z523" s="3"/>
      <c r="AA523" s="37"/>
    </row>
    <row r="524" spans="1:27" x14ac:dyDescent="0.2">
      <c r="A524" s="13"/>
      <c r="B524" s="18"/>
      <c r="C524" s="19"/>
      <c r="D524" s="19"/>
      <c r="E524" s="20"/>
      <c r="F524" s="22"/>
      <c r="G524" s="36"/>
      <c r="H524" s="38"/>
      <c r="I524" s="38"/>
      <c r="J524" s="13"/>
      <c r="K524" s="18" t="s">
        <v>1206</v>
      </c>
      <c r="L524" s="19"/>
      <c r="M524" s="19"/>
      <c r="N524" s="20"/>
      <c r="O524" s="22">
        <v>1</v>
      </c>
      <c r="P524" s="23">
        <v>1</v>
      </c>
      <c r="Q524" s="37">
        <v>2450</v>
      </c>
      <c r="R524" s="37">
        <f t="shared" si="27"/>
        <v>2450</v>
      </c>
      <c r="S524" s="13"/>
      <c r="T524" s="18"/>
      <c r="U524" s="19"/>
      <c r="V524" s="19"/>
      <c r="W524" s="20"/>
      <c r="X524" s="22"/>
      <c r="Y524" s="23"/>
      <c r="Z524" s="37"/>
      <c r="AA524" s="37"/>
    </row>
    <row r="525" spans="1:27" x14ac:dyDescent="0.2">
      <c r="A525" s="13"/>
      <c r="B525" s="18"/>
      <c r="C525" s="19"/>
      <c r="D525" s="19"/>
      <c r="E525" s="20"/>
      <c r="F525" s="22"/>
      <c r="G525" s="36"/>
      <c r="H525" s="37"/>
      <c r="I525" s="37"/>
      <c r="J525" s="13"/>
      <c r="K525" s="18" t="s">
        <v>279</v>
      </c>
      <c r="L525" s="19"/>
      <c r="M525" s="19"/>
      <c r="N525" s="20"/>
      <c r="O525" s="22">
        <v>1</v>
      </c>
      <c r="P525" s="23">
        <v>1</v>
      </c>
      <c r="Q525" s="37">
        <v>1733</v>
      </c>
      <c r="R525" s="37">
        <f t="shared" si="27"/>
        <v>1733</v>
      </c>
      <c r="S525" s="13"/>
      <c r="T525" s="18"/>
      <c r="U525" s="19"/>
      <c r="V525" s="19"/>
      <c r="W525" s="20"/>
      <c r="X525" s="22"/>
      <c r="Y525" s="23"/>
      <c r="Z525" s="37"/>
      <c r="AA525" s="37"/>
    </row>
    <row r="526" spans="1:27" x14ac:dyDescent="0.2">
      <c r="A526" s="13"/>
      <c r="B526" s="18"/>
      <c r="C526" s="19"/>
      <c r="D526" s="19"/>
      <c r="E526" s="20"/>
      <c r="F526" s="22"/>
      <c r="G526" s="36"/>
      <c r="H526" s="38"/>
      <c r="I526" s="38"/>
      <c r="J526" s="13"/>
      <c r="K526" s="18" t="s">
        <v>1192</v>
      </c>
      <c r="L526" s="19"/>
      <c r="M526" s="19"/>
      <c r="N526" s="20"/>
      <c r="O526" s="22"/>
      <c r="P526" s="36"/>
      <c r="R526" s="37">
        <f>0.1*R514</f>
        <v>51.248000000000005</v>
      </c>
      <c r="S526" s="13"/>
      <c r="T526" s="18"/>
      <c r="U526" s="19"/>
      <c r="V526" s="19"/>
      <c r="W526" s="20"/>
      <c r="X526" s="22"/>
      <c r="Y526" s="23"/>
      <c r="Z526" s="37"/>
      <c r="AA526" s="37"/>
    </row>
    <row r="527" spans="1:27" x14ac:dyDescent="0.2">
      <c r="A527" s="13"/>
      <c r="B527" s="18"/>
      <c r="C527" s="19"/>
      <c r="D527" s="19"/>
      <c r="E527" s="20"/>
      <c r="F527" s="22"/>
      <c r="G527" s="36"/>
      <c r="H527" s="38"/>
      <c r="I527" s="38"/>
      <c r="J527" s="13"/>
      <c r="K527" s="18"/>
      <c r="L527" s="19"/>
      <c r="M527" s="19"/>
      <c r="N527" s="20"/>
      <c r="O527" s="22"/>
      <c r="P527" s="36"/>
      <c r="Q527" s="38"/>
      <c r="R527" s="38"/>
      <c r="S527" s="13"/>
      <c r="X527" s="72"/>
      <c r="Y527" s="72"/>
      <c r="Z527" s="72"/>
      <c r="AA527" s="72"/>
    </row>
    <row r="528" spans="1:27" x14ac:dyDescent="0.2">
      <c r="A528" s="13"/>
      <c r="B528" s="18"/>
      <c r="C528" s="19"/>
      <c r="D528" s="19"/>
      <c r="E528" s="20"/>
      <c r="F528" s="22"/>
      <c r="G528" s="36"/>
      <c r="H528" s="37"/>
      <c r="I528" s="37"/>
      <c r="J528" s="13"/>
      <c r="K528" s="18"/>
      <c r="L528" s="19"/>
      <c r="M528" s="19"/>
      <c r="N528" s="20"/>
      <c r="O528" s="22"/>
      <c r="P528" s="36"/>
      <c r="Q528" s="37"/>
      <c r="R528" s="37"/>
      <c r="S528" s="13"/>
      <c r="X528" s="72"/>
      <c r="Y528" s="72"/>
      <c r="Z528" s="30"/>
      <c r="AA528" s="30"/>
    </row>
    <row r="529" spans="1:27" x14ac:dyDescent="0.2">
      <c r="A529" s="13"/>
      <c r="B529" s="18"/>
      <c r="C529" s="19"/>
      <c r="D529" s="19"/>
      <c r="E529" s="20"/>
      <c r="F529" s="22"/>
      <c r="G529" s="36"/>
      <c r="H529" s="37"/>
      <c r="I529" s="37"/>
      <c r="J529" s="13"/>
      <c r="K529" s="18"/>
      <c r="L529" s="19"/>
      <c r="M529" s="19"/>
      <c r="N529" s="20"/>
      <c r="O529" s="22"/>
      <c r="P529" s="36"/>
      <c r="Q529" s="37"/>
      <c r="R529" s="37"/>
      <c r="S529" s="13"/>
      <c r="T529" s="18"/>
      <c r="U529" s="19"/>
      <c r="V529" s="19"/>
      <c r="W529" s="20"/>
      <c r="X529" s="22"/>
      <c r="Y529" s="36"/>
      <c r="Z529" s="37"/>
      <c r="AA529" s="37"/>
    </row>
    <row r="530" spans="1:27" x14ac:dyDescent="0.2">
      <c r="A530" s="13"/>
      <c r="B530" s="18"/>
      <c r="C530" s="19"/>
      <c r="D530" s="19"/>
      <c r="E530" s="20"/>
      <c r="F530" s="22"/>
      <c r="G530" s="36"/>
      <c r="H530" s="37"/>
      <c r="I530" s="37"/>
      <c r="J530" s="13"/>
      <c r="K530" s="18"/>
      <c r="L530" s="19"/>
      <c r="M530" s="19"/>
      <c r="N530" s="20"/>
      <c r="O530" s="22"/>
      <c r="P530" s="36"/>
      <c r="Q530" s="37"/>
      <c r="R530" s="37"/>
      <c r="S530" s="13"/>
      <c r="T530" s="18"/>
      <c r="U530" s="19"/>
      <c r="V530" s="19"/>
      <c r="W530" s="20"/>
      <c r="X530" s="22"/>
      <c r="Y530" s="36"/>
      <c r="Z530" s="37"/>
      <c r="AA530" s="37"/>
    </row>
    <row r="531" spans="1:27" x14ac:dyDescent="0.2">
      <c r="A531" s="13"/>
      <c r="B531" s="18"/>
      <c r="C531" s="19"/>
      <c r="D531" s="19"/>
      <c r="E531" s="20"/>
      <c r="F531" s="22"/>
      <c r="G531" s="22"/>
      <c r="H531" s="23"/>
      <c r="I531" s="23"/>
      <c r="J531" s="13"/>
      <c r="K531" s="18"/>
      <c r="L531" s="19"/>
      <c r="M531" s="19"/>
      <c r="N531" s="20"/>
      <c r="O531" s="22"/>
      <c r="P531" s="22"/>
      <c r="Q531" s="23"/>
      <c r="R531" s="23"/>
      <c r="S531" s="13"/>
      <c r="T531" s="18"/>
      <c r="U531" s="19"/>
      <c r="V531" s="19"/>
      <c r="W531" s="20"/>
      <c r="X531" s="22"/>
      <c r="Y531" s="22"/>
      <c r="Z531" s="23"/>
      <c r="AA531" s="23"/>
    </row>
    <row r="532" spans="1:27" x14ac:dyDescent="0.2">
      <c r="A532" s="13"/>
      <c r="B532" s="248" t="s">
        <v>30</v>
      </c>
      <c r="C532" s="249"/>
      <c r="D532" s="249"/>
      <c r="E532" s="250"/>
      <c r="F532" s="22"/>
      <c r="G532" s="22"/>
      <c r="H532" s="23"/>
      <c r="I532" s="23">
        <f>SUM(I519:I531)</f>
        <v>1066.54</v>
      </c>
      <c r="J532" s="13"/>
      <c r="K532" s="248" t="s">
        <v>30</v>
      </c>
      <c r="L532" s="249"/>
      <c r="M532" s="249"/>
      <c r="N532" s="250"/>
      <c r="O532" s="22"/>
      <c r="P532" s="22"/>
      <c r="Q532" s="23"/>
      <c r="R532" s="23">
        <f>SUM(R519:R531)</f>
        <v>15406.878000000001</v>
      </c>
      <c r="S532" s="13"/>
      <c r="T532" s="248" t="s">
        <v>30</v>
      </c>
      <c r="U532" s="249"/>
      <c r="V532" s="249"/>
      <c r="W532" s="250"/>
      <c r="X532" s="22"/>
      <c r="Y532" s="22"/>
      <c r="Z532" s="23"/>
      <c r="AA532" s="23">
        <f>SUM(AA519:AA531)</f>
        <v>7341.1</v>
      </c>
    </row>
    <row r="533" spans="1:27" x14ac:dyDescent="0.2">
      <c r="A533" s="12" t="s">
        <v>31</v>
      </c>
      <c r="B533" s="260" t="s">
        <v>32</v>
      </c>
      <c r="C533" s="261"/>
      <c r="D533" s="261"/>
      <c r="E533" s="261"/>
      <c r="F533" s="39"/>
      <c r="G533" s="39"/>
      <c r="H533" s="40"/>
      <c r="I533" s="41">
        <f>SUM(I532+I514)</f>
        <v>1252.8699999999999</v>
      </c>
      <c r="J533" s="12" t="s">
        <v>31</v>
      </c>
      <c r="K533" s="260" t="s">
        <v>32</v>
      </c>
      <c r="L533" s="261"/>
      <c r="M533" s="261"/>
      <c r="N533" s="261"/>
      <c r="O533" s="151"/>
      <c r="P533" s="151"/>
      <c r="Q533" s="40"/>
      <c r="R533" s="41">
        <f>SUM(R532+R514)</f>
        <v>15919.358</v>
      </c>
      <c r="S533" s="12" t="s">
        <v>31</v>
      </c>
      <c r="T533" s="260" t="s">
        <v>32</v>
      </c>
      <c r="U533" s="261"/>
      <c r="V533" s="261"/>
      <c r="W533" s="261"/>
      <c r="X533" s="151"/>
      <c r="Y533" s="151"/>
      <c r="Z533" s="40"/>
      <c r="AA533" s="41">
        <f>SUM(AA532+AA514)</f>
        <v>8000.9400000000005</v>
      </c>
    </row>
    <row r="534" spans="1:27" x14ac:dyDescent="0.2">
      <c r="A534" s="13" t="s">
        <v>33</v>
      </c>
      <c r="B534" s="309">
        <f>E501</f>
        <v>0.3</v>
      </c>
      <c r="C534" s="310"/>
      <c r="D534" s="310"/>
      <c r="E534" s="310"/>
      <c r="F534" s="310"/>
      <c r="G534" s="310"/>
      <c r="H534" s="40"/>
      <c r="I534" s="41"/>
      <c r="J534" s="13" t="s">
        <v>33</v>
      </c>
      <c r="K534" s="313">
        <f>N501</f>
        <v>285.51</v>
      </c>
      <c r="L534" s="314"/>
      <c r="M534" s="314"/>
      <c r="N534" s="314"/>
      <c r="O534" s="314"/>
      <c r="P534" s="314"/>
      <c r="Q534" s="40"/>
      <c r="R534" s="41"/>
      <c r="S534" s="13" t="s">
        <v>33</v>
      </c>
      <c r="T534" s="305">
        <f>W501</f>
        <v>100</v>
      </c>
      <c r="U534" s="306"/>
      <c r="V534" s="306"/>
      <c r="W534" s="306"/>
      <c r="X534" s="306"/>
      <c r="Y534" s="306"/>
      <c r="Z534" s="40"/>
      <c r="AA534" s="41"/>
    </row>
    <row r="535" spans="1:27" x14ac:dyDescent="0.2">
      <c r="A535" s="13" t="s">
        <v>34</v>
      </c>
      <c r="B535" s="42" t="s">
        <v>35</v>
      </c>
      <c r="C535" s="43"/>
      <c r="D535" s="43"/>
      <c r="E535" s="39"/>
      <c r="F535" s="44"/>
      <c r="G535" s="44"/>
      <c r="H535" s="40"/>
      <c r="I535" s="41">
        <f>I533/E501</f>
        <v>4176.2333333333336</v>
      </c>
      <c r="J535" s="13" t="s">
        <v>34</v>
      </c>
      <c r="K535" s="155" t="s">
        <v>35</v>
      </c>
      <c r="L535" s="43"/>
      <c r="M535" s="43"/>
      <c r="N535" s="151"/>
      <c r="O535" s="156"/>
      <c r="P535" s="156"/>
      <c r="Q535" s="40"/>
      <c r="R535" s="41">
        <f>R533/N501</f>
        <v>55.757619698084135</v>
      </c>
      <c r="S535" s="13" t="s">
        <v>34</v>
      </c>
      <c r="T535" s="155" t="s">
        <v>35</v>
      </c>
      <c r="U535" s="43"/>
      <c r="V535" s="43"/>
      <c r="W535" s="151"/>
      <c r="X535" s="156"/>
      <c r="Y535" s="156"/>
      <c r="Z535" s="40"/>
      <c r="AA535" s="41">
        <f>AA533/W501</f>
        <v>80.009399999999999</v>
      </c>
    </row>
    <row r="536" spans="1:27" x14ac:dyDescent="0.2">
      <c r="A536" s="12"/>
      <c r="B536" s="251" t="s">
        <v>36</v>
      </c>
      <c r="C536" s="252"/>
      <c r="D536" s="252"/>
      <c r="E536" s="253"/>
      <c r="F536" s="244" t="s">
        <v>37</v>
      </c>
      <c r="G536" s="244" t="s">
        <v>38</v>
      </c>
      <c r="H536" s="244" t="s">
        <v>39</v>
      </c>
      <c r="I536" s="246" t="s">
        <v>15</v>
      </c>
      <c r="J536" s="12"/>
      <c r="K536" s="251" t="s">
        <v>36</v>
      </c>
      <c r="L536" s="252"/>
      <c r="M536" s="252"/>
      <c r="N536" s="253"/>
      <c r="O536" s="244" t="s">
        <v>37</v>
      </c>
      <c r="P536" s="244" t="s">
        <v>38</v>
      </c>
      <c r="Q536" s="244" t="s">
        <v>39</v>
      </c>
      <c r="R536" s="246" t="s">
        <v>15</v>
      </c>
      <c r="S536" s="12"/>
      <c r="T536" s="251" t="s">
        <v>36</v>
      </c>
      <c r="U536" s="252"/>
      <c r="V536" s="252"/>
      <c r="W536" s="253"/>
      <c r="X536" s="244" t="s">
        <v>37</v>
      </c>
      <c r="Y536" s="244" t="s">
        <v>38</v>
      </c>
      <c r="Z536" s="244" t="s">
        <v>39</v>
      </c>
      <c r="AA536" s="246" t="s">
        <v>15</v>
      </c>
    </row>
    <row r="537" spans="1:27" x14ac:dyDescent="0.2">
      <c r="A537" s="13"/>
      <c r="B537" s="254"/>
      <c r="C537" s="255"/>
      <c r="D537" s="255"/>
      <c r="E537" s="256"/>
      <c r="F537" s="245"/>
      <c r="G537" s="245"/>
      <c r="H537" s="245"/>
      <c r="I537" s="247"/>
      <c r="J537" s="13"/>
      <c r="K537" s="254"/>
      <c r="L537" s="255"/>
      <c r="M537" s="255"/>
      <c r="N537" s="256"/>
      <c r="O537" s="245"/>
      <c r="P537" s="245"/>
      <c r="Q537" s="245"/>
      <c r="R537" s="247"/>
      <c r="S537" s="13"/>
      <c r="T537" s="254"/>
      <c r="U537" s="255"/>
      <c r="V537" s="255"/>
      <c r="W537" s="256"/>
      <c r="X537" s="245"/>
      <c r="Y537" s="245"/>
      <c r="Z537" s="245"/>
      <c r="AA537" s="247"/>
    </row>
    <row r="538" spans="1:27" x14ac:dyDescent="0.2">
      <c r="A538" s="13" t="s">
        <v>40</v>
      </c>
      <c r="B538" s="18" t="s">
        <v>41</v>
      </c>
      <c r="C538" s="19"/>
      <c r="D538" s="19"/>
      <c r="E538" s="20"/>
      <c r="F538" s="22"/>
      <c r="G538" s="22"/>
      <c r="H538" s="23"/>
      <c r="I538" s="23"/>
      <c r="J538" s="13" t="s">
        <v>40</v>
      </c>
      <c r="K538" s="18" t="s">
        <v>41</v>
      </c>
      <c r="L538" s="19"/>
      <c r="M538" s="19"/>
      <c r="N538" s="20"/>
      <c r="O538" s="22"/>
      <c r="P538" s="22"/>
      <c r="Q538" s="23"/>
      <c r="R538" s="23"/>
      <c r="S538" s="13" t="s">
        <v>40</v>
      </c>
      <c r="T538" s="18" t="s">
        <v>41</v>
      </c>
      <c r="U538" s="19"/>
      <c r="V538" s="19"/>
      <c r="W538" s="20"/>
      <c r="X538" s="22"/>
      <c r="Y538" s="22"/>
      <c r="Z538" s="23"/>
      <c r="AA538" s="23"/>
    </row>
    <row r="539" spans="1:27" x14ac:dyDescent="0.2">
      <c r="A539" s="13"/>
      <c r="B539" s="18"/>
      <c r="C539" s="19"/>
      <c r="D539" s="19"/>
      <c r="E539" s="20"/>
      <c r="F539" s="22"/>
      <c r="G539" s="22"/>
      <c r="H539" s="23"/>
      <c r="I539" s="23"/>
      <c r="J539" s="13"/>
      <c r="K539" s="18"/>
      <c r="L539" s="19"/>
      <c r="M539" s="19"/>
      <c r="N539" s="20"/>
      <c r="O539" s="22"/>
      <c r="P539" s="22"/>
      <c r="Q539" s="23"/>
      <c r="R539" s="23"/>
      <c r="S539" s="13"/>
      <c r="T539" s="18"/>
      <c r="U539" s="19"/>
      <c r="V539" s="19"/>
      <c r="W539" s="20"/>
      <c r="X539" s="22"/>
      <c r="Y539" s="22"/>
      <c r="Z539" s="23"/>
      <c r="AA539" s="23"/>
    </row>
    <row r="540" spans="1:27" x14ac:dyDescent="0.2">
      <c r="A540" s="13"/>
      <c r="B540" s="18" t="s">
        <v>301</v>
      </c>
      <c r="C540" s="66"/>
      <c r="D540" s="19"/>
      <c r="E540" s="20"/>
      <c r="F540" s="22" t="s">
        <v>239</v>
      </c>
      <c r="G540" s="22">
        <v>1.05</v>
      </c>
      <c r="H540" s="107">
        <v>41575</v>
      </c>
      <c r="I540" s="23">
        <f>G540*H540</f>
        <v>43653.75</v>
      </c>
      <c r="J540" s="13"/>
      <c r="K540" s="18" t="s">
        <v>327</v>
      </c>
      <c r="L540" s="66"/>
      <c r="M540" s="19"/>
      <c r="N540" s="20"/>
      <c r="O540" s="22" t="s">
        <v>282</v>
      </c>
      <c r="P540" s="69">
        <v>5.8799999999999998E-3</v>
      </c>
      <c r="Q540" s="107">
        <v>40300</v>
      </c>
      <c r="R540" s="23">
        <f>P540*Q540</f>
        <v>236.964</v>
      </c>
      <c r="S540" s="13"/>
      <c r="T540" s="18" t="s">
        <v>263</v>
      </c>
      <c r="U540" s="66"/>
      <c r="V540" s="19"/>
      <c r="W540" s="20"/>
      <c r="X540" s="22" t="s">
        <v>77</v>
      </c>
      <c r="Y540" s="22">
        <v>0.55000000000000004</v>
      </c>
      <c r="Z540" s="107">
        <v>40</v>
      </c>
      <c r="AA540" s="23">
        <f>Y540*Z540</f>
        <v>22</v>
      </c>
    </row>
    <row r="541" spans="1:27" x14ac:dyDescent="0.2">
      <c r="A541" s="13"/>
      <c r="B541" s="18" t="s">
        <v>322</v>
      </c>
      <c r="C541" s="66"/>
      <c r="D541" s="19"/>
      <c r="E541" s="20"/>
      <c r="F541" s="22"/>
      <c r="G541" s="22"/>
      <c r="H541" s="23"/>
      <c r="I541" s="23"/>
      <c r="J541" s="13"/>
      <c r="K541" s="18" t="s">
        <v>1243</v>
      </c>
      <c r="L541" s="66"/>
      <c r="M541" s="19"/>
      <c r="N541" s="20"/>
      <c r="O541" s="22" t="s">
        <v>9</v>
      </c>
      <c r="P541" s="22">
        <v>2.5000000000000001E-2</v>
      </c>
      <c r="Q541" s="107">
        <v>650</v>
      </c>
      <c r="R541" s="23">
        <f>P541*Q541</f>
        <v>16.25</v>
      </c>
      <c r="S541" s="13"/>
      <c r="T541" s="18" t="s">
        <v>264</v>
      </c>
      <c r="U541" s="66"/>
      <c r="V541" s="19"/>
      <c r="W541" s="20"/>
      <c r="X541" s="22" t="s">
        <v>1216</v>
      </c>
      <c r="Y541" s="22">
        <v>0.28999999999999998</v>
      </c>
      <c r="Z541" s="107">
        <v>28</v>
      </c>
      <c r="AA541" s="23">
        <f t="shared" ref="AA541:AA546" si="29">Y541*Z541</f>
        <v>8.1199999999999992</v>
      </c>
    </row>
    <row r="542" spans="1:27" x14ac:dyDescent="0.2">
      <c r="A542" s="13"/>
      <c r="B542" s="18"/>
      <c r="C542" s="19"/>
      <c r="D542" s="19"/>
      <c r="E542" s="20"/>
      <c r="F542" s="22"/>
      <c r="G542" s="22"/>
      <c r="H542" s="38"/>
      <c r="I542" s="38"/>
      <c r="J542" s="13"/>
      <c r="K542" s="18" t="s">
        <v>1244</v>
      </c>
      <c r="L542" s="66"/>
      <c r="M542" s="19"/>
      <c r="N542" s="20"/>
      <c r="O542" s="22" t="s">
        <v>9</v>
      </c>
      <c r="P542" s="22">
        <v>6.0000000000000001E-3</v>
      </c>
      <c r="Q542" s="107">
        <v>650</v>
      </c>
      <c r="R542" s="23">
        <f>P542*Q542</f>
        <v>3.9</v>
      </c>
      <c r="S542" s="13"/>
      <c r="T542" s="18" t="s">
        <v>266</v>
      </c>
      <c r="U542" s="19"/>
      <c r="V542" s="19"/>
      <c r="W542" s="20"/>
      <c r="X542" s="22" t="s">
        <v>1216</v>
      </c>
      <c r="Y542" s="22">
        <v>0.18</v>
      </c>
      <c r="Z542" s="107">
        <f>44000/1000</f>
        <v>44</v>
      </c>
      <c r="AA542" s="23">
        <f t="shared" si="29"/>
        <v>7.92</v>
      </c>
    </row>
    <row r="543" spans="1:27" x14ac:dyDescent="0.2">
      <c r="A543" s="13"/>
      <c r="B543" s="18"/>
      <c r="C543" s="19"/>
      <c r="D543" s="19"/>
      <c r="E543" s="20"/>
      <c r="F543" s="22"/>
      <c r="G543" s="22"/>
      <c r="H543" s="38"/>
      <c r="I543" s="38"/>
      <c r="J543" s="13"/>
      <c r="K543" s="18" t="s">
        <v>1213</v>
      </c>
      <c r="L543" s="19"/>
      <c r="M543" s="19"/>
      <c r="N543" s="20"/>
      <c r="O543" s="22" t="s">
        <v>227</v>
      </c>
      <c r="P543" s="22">
        <v>7.8E-2</v>
      </c>
      <c r="Q543" s="107">
        <v>240.56</v>
      </c>
      <c r="R543" s="23">
        <f>P543*Q543</f>
        <v>18.763680000000001</v>
      </c>
      <c r="S543" s="13"/>
      <c r="T543" s="18" t="s">
        <v>1259</v>
      </c>
      <c r="U543" s="19"/>
      <c r="V543" s="19"/>
      <c r="W543" s="20"/>
      <c r="X543" s="22" t="s">
        <v>9</v>
      </c>
      <c r="Y543" s="22">
        <v>0.3</v>
      </c>
      <c r="Z543" s="107">
        <v>850</v>
      </c>
      <c r="AA543" s="23">
        <f t="shared" si="29"/>
        <v>255</v>
      </c>
    </row>
    <row r="544" spans="1:27" x14ac:dyDescent="0.2">
      <c r="A544" s="13"/>
      <c r="B544" s="18"/>
      <c r="C544" s="19"/>
      <c r="D544" s="19"/>
      <c r="E544" s="20"/>
      <c r="F544" s="22"/>
      <c r="G544" s="22"/>
      <c r="H544" s="45"/>
      <c r="I544" s="45"/>
      <c r="J544" s="13"/>
      <c r="K544" s="18" t="s">
        <v>1215</v>
      </c>
      <c r="L544" s="19"/>
      <c r="M544" s="19"/>
      <c r="N544" s="20"/>
      <c r="O544" s="22" t="s">
        <v>1216</v>
      </c>
      <c r="P544" s="22">
        <v>0.69899999999999995</v>
      </c>
      <c r="Q544" s="107">
        <v>240.56</v>
      </c>
      <c r="R544" s="23">
        <f>P544*Q544</f>
        <v>168.15143999999998</v>
      </c>
      <c r="S544" s="13"/>
      <c r="T544" s="18" t="s">
        <v>1260</v>
      </c>
      <c r="U544" s="19"/>
      <c r="V544" s="19"/>
      <c r="W544" s="20"/>
      <c r="X544" s="22" t="s">
        <v>80</v>
      </c>
      <c r="Y544" s="22">
        <v>1.4999999999999999E-4</v>
      </c>
      <c r="Z544" s="107">
        <v>8000</v>
      </c>
      <c r="AA544" s="23">
        <f t="shared" si="29"/>
        <v>1.2</v>
      </c>
    </row>
    <row r="545" spans="1:27" x14ac:dyDescent="0.2">
      <c r="A545" s="13"/>
      <c r="B545" s="18"/>
      <c r="C545" s="19"/>
      <c r="D545" s="19"/>
      <c r="E545" s="20"/>
      <c r="F545" s="22"/>
      <c r="G545" s="22"/>
      <c r="H545" s="45"/>
      <c r="I545" s="45"/>
      <c r="J545" s="13"/>
      <c r="K545" s="18"/>
      <c r="L545" s="19"/>
      <c r="M545" s="19"/>
      <c r="N545" s="20"/>
      <c r="O545" s="22"/>
      <c r="P545" s="22"/>
      <c r="Q545" s="45"/>
      <c r="R545" s="45"/>
      <c r="S545" s="13"/>
      <c r="T545" s="18" t="s">
        <v>1261</v>
      </c>
      <c r="U545" s="19"/>
      <c r="V545" s="19"/>
      <c r="W545" s="20"/>
      <c r="X545" s="22" t="s">
        <v>1153</v>
      </c>
      <c r="Y545" s="22">
        <v>0.94</v>
      </c>
      <c r="Z545" s="107">
        <v>34.33</v>
      </c>
      <c r="AA545" s="23">
        <f t="shared" si="29"/>
        <v>32.270199999999996</v>
      </c>
    </row>
    <row r="546" spans="1:27" x14ac:dyDescent="0.2">
      <c r="A546" s="13"/>
      <c r="B546" s="18"/>
      <c r="C546" s="19"/>
      <c r="D546" s="19"/>
      <c r="E546" s="20"/>
      <c r="F546" s="22"/>
      <c r="G546" s="22"/>
      <c r="H546" s="23"/>
      <c r="I546" s="23"/>
      <c r="J546" s="13"/>
      <c r="K546" s="18"/>
      <c r="L546" s="19"/>
      <c r="M546" s="19"/>
      <c r="N546" s="20"/>
      <c r="O546" s="22"/>
      <c r="P546" s="22"/>
      <c r="Q546" s="23"/>
      <c r="R546" s="23"/>
      <c r="S546" s="13"/>
      <c r="T546" s="18" t="s">
        <v>1262</v>
      </c>
      <c r="U546" s="19"/>
      <c r="V546" s="19"/>
      <c r="W546" s="20"/>
      <c r="X546" s="22" t="s">
        <v>1216</v>
      </c>
      <c r="Y546" s="22">
        <v>0.94</v>
      </c>
      <c r="Z546" s="107">
        <v>300</v>
      </c>
      <c r="AA546" s="23">
        <f t="shared" si="29"/>
        <v>282</v>
      </c>
    </row>
    <row r="547" spans="1:27" x14ac:dyDescent="0.2">
      <c r="A547" s="13"/>
      <c r="B547" s="18"/>
      <c r="C547" s="19"/>
      <c r="D547" s="19"/>
      <c r="E547" s="20"/>
      <c r="F547" s="22"/>
      <c r="G547" s="22"/>
      <c r="H547" s="23"/>
      <c r="I547" s="23"/>
      <c r="J547" s="13"/>
      <c r="K547" s="18"/>
      <c r="L547" s="19"/>
      <c r="M547" s="19"/>
      <c r="N547" s="20"/>
      <c r="O547" s="22"/>
      <c r="P547" s="22"/>
      <c r="Q547" s="23"/>
      <c r="R547" s="23"/>
      <c r="S547" s="13"/>
      <c r="T547" s="18"/>
      <c r="U547" s="19"/>
      <c r="V547" s="19"/>
      <c r="W547" s="20"/>
      <c r="X547" s="22"/>
      <c r="Y547" s="22"/>
      <c r="Z547" s="23"/>
      <c r="AA547" s="23"/>
    </row>
    <row r="548" spans="1:27" x14ac:dyDescent="0.2">
      <c r="A548" s="13"/>
      <c r="B548" s="18"/>
      <c r="C548" s="19"/>
      <c r="D548" s="19"/>
      <c r="E548" s="20"/>
      <c r="F548" s="22"/>
      <c r="G548" s="22"/>
      <c r="H548" s="23"/>
      <c r="I548" s="23"/>
      <c r="J548" s="13"/>
      <c r="K548" s="18"/>
      <c r="L548" s="19"/>
      <c r="M548" s="19"/>
      <c r="N548" s="20"/>
      <c r="O548" s="22"/>
      <c r="P548" s="22"/>
      <c r="Q548" s="23"/>
      <c r="R548" s="23"/>
      <c r="S548" s="13"/>
      <c r="T548" s="18"/>
      <c r="U548" s="19"/>
      <c r="V548" s="19"/>
      <c r="W548" s="20"/>
      <c r="X548" s="22"/>
      <c r="Y548" s="22"/>
      <c r="Z548" s="23"/>
      <c r="AA548" s="23"/>
    </row>
    <row r="549" spans="1:27" x14ac:dyDescent="0.2">
      <c r="A549" s="13"/>
      <c r="B549" s="18"/>
      <c r="C549" s="19"/>
      <c r="D549" s="19"/>
      <c r="E549" s="20"/>
      <c r="F549" s="22"/>
      <c r="G549" s="22"/>
      <c r="H549" s="23"/>
      <c r="I549" s="23"/>
      <c r="J549" s="13"/>
      <c r="K549" s="18"/>
      <c r="L549" s="19"/>
      <c r="M549" s="19"/>
      <c r="N549" s="20"/>
      <c r="O549" s="22"/>
      <c r="P549" s="22"/>
      <c r="Q549" s="23"/>
      <c r="R549" s="23"/>
      <c r="S549" s="13"/>
      <c r="T549" s="18"/>
      <c r="U549" s="19"/>
      <c r="V549" s="19"/>
      <c r="W549" s="20"/>
      <c r="X549" s="22"/>
      <c r="Y549" s="22"/>
      <c r="Z549" s="23"/>
      <c r="AA549" s="23"/>
    </row>
    <row r="550" spans="1:27" x14ac:dyDescent="0.2">
      <c r="A550" s="13"/>
      <c r="B550" s="18"/>
      <c r="C550" s="19"/>
      <c r="D550" s="19"/>
      <c r="E550" s="20"/>
      <c r="F550" s="22"/>
      <c r="G550" s="22"/>
      <c r="H550" s="23"/>
      <c r="I550" s="23"/>
      <c r="J550" s="13"/>
      <c r="K550" s="18"/>
      <c r="L550" s="19"/>
      <c r="M550" s="19"/>
      <c r="N550" s="20"/>
      <c r="O550" s="22"/>
      <c r="P550" s="22"/>
      <c r="Q550" s="23"/>
      <c r="R550" s="23"/>
      <c r="S550" s="13"/>
      <c r="T550" s="18"/>
      <c r="U550" s="19"/>
      <c r="V550" s="19"/>
      <c r="W550" s="20"/>
      <c r="X550" s="22"/>
      <c r="Y550" s="22"/>
      <c r="Z550" s="23"/>
      <c r="AA550" s="23"/>
    </row>
    <row r="551" spans="1:27" x14ac:dyDescent="0.2">
      <c r="A551" s="13"/>
      <c r="B551" s="18"/>
      <c r="C551" s="19"/>
      <c r="D551" s="19"/>
      <c r="E551" s="20"/>
      <c r="F551" s="22"/>
      <c r="G551" s="22"/>
      <c r="H551" s="23"/>
      <c r="I551" s="23"/>
      <c r="J551" s="13"/>
      <c r="K551" s="18"/>
      <c r="L551" s="19"/>
      <c r="M551" s="19"/>
      <c r="N551" s="20"/>
      <c r="O551" s="22"/>
      <c r="P551" s="22"/>
      <c r="Q551" s="23"/>
      <c r="R551" s="23"/>
      <c r="S551" s="13"/>
      <c r="T551" s="18"/>
      <c r="U551" s="19"/>
      <c r="V551" s="19"/>
      <c r="W551" s="20"/>
      <c r="X551" s="22"/>
      <c r="Y551" s="22"/>
      <c r="Z551" s="23"/>
      <c r="AA551" s="23"/>
    </row>
    <row r="552" spans="1:27" x14ac:dyDescent="0.2">
      <c r="A552" s="13"/>
      <c r="B552" s="18"/>
      <c r="C552" s="19"/>
      <c r="D552" s="19"/>
      <c r="E552" s="20"/>
      <c r="F552" s="22"/>
      <c r="G552" s="36"/>
      <c r="H552" s="37"/>
      <c r="I552" s="37"/>
      <c r="J552" s="13"/>
      <c r="K552" s="18"/>
      <c r="L552" s="19"/>
      <c r="M552" s="19"/>
      <c r="N552" s="20"/>
      <c r="O552" s="22"/>
      <c r="P552" s="36"/>
      <c r="Q552" s="37"/>
      <c r="R552" s="37"/>
      <c r="S552" s="13"/>
      <c r="T552" s="18"/>
      <c r="U552" s="19"/>
      <c r="V552" s="19"/>
      <c r="W552" s="20"/>
      <c r="X552" s="22"/>
      <c r="Y552" s="36"/>
      <c r="Z552" s="37"/>
      <c r="AA552" s="37"/>
    </row>
    <row r="553" spans="1:27" x14ac:dyDescent="0.2">
      <c r="A553" s="13"/>
      <c r="B553" s="248" t="s">
        <v>42</v>
      </c>
      <c r="C553" s="249"/>
      <c r="D553" s="249"/>
      <c r="E553" s="250"/>
      <c r="F553" s="46"/>
      <c r="G553" s="46"/>
      <c r="H553" s="47"/>
      <c r="I553" s="47">
        <f>SUM(I540:I552)</f>
        <v>43653.75</v>
      </c>
      <c r="J553" s="13"/>
      <c r="K553" s="248" t="s">
        <v>42</v>
      </c>
      <c r="L553" s="249"/>
      <c r="M553" s="249"/>
      <c r="N553" s="250"/>
      <c r="O553" s="46"/>
      <c r="P553" s="46"/>
      <c r="Q553" s="47"/>
      <c r="R553" s="47">
        <f>SUM(R540:R552)</f>
        <v>444.02911999999998</v>
      </c>
      <c r="S553" s="13"/>
      <c r="T553" s="248" t="s">
        <v>42</v>
      </c>
      <c r="U553" s="249"/>
      <c r="V553" s="249"/>
      <c r="W553" s="250"/>
      <c r="X553" s="46"/>
      <c r="Y553" s="46"/>
      <c r="Z553" s="47"/>
      <c r="AA553" s="47">
        <f>SUM(AA540:AA552)</f>
        <v>608.51019999999994</v>
      </c>
    </row>
    <row r="554" spans="1:27" x14ac:dyDescent="0.2">
      <c r="A554" s="12" t="s">
        <v>43</v>
      </c>
      <c r="B554" s="48" t="s">
        <v>44</v>
      </c>
      <c r="C554" s="43"/>
      <c r="D554" s="43"/>
      <c r="E554" s="39"/>
      <c r="F554" s="49"/>
      <c r="G554" s="49"/>
      <c r="H554" s="50"/>
      <c r="I554" s="51">
        <f>SUM(I535+I553)</f>
        <v>47829.983333333337</v>
      </c>
      <c r="J554" s="12" t="s">
        <v>43</v>
      </c>
      <c r="K554" s="48" t="s">
        <v>44</v>
      </c>
      <c r="L554" s="43"/>
      <c r="M554" s="43"/>
      <c r="N554" s="151"/>
      <c r="O554" s="49"/>
      <c r="P554" s="49"/>
      <c r="Q554" s="50"/>
      <c r="R554" s="51">
        <f>SUM(R535+R553)</f>
        <v>499.78673969808409</v>
      </c>
      <c r="S554" s="12" t="s">
        <v>43</v>
      </c>
      <c r="T554" s="48" t="s">
        <v>44</v>
      </c>
      <c r="U554" s="43"/>
      <c r="V554" s="43"/>
      <c r="W554" s="151"/>
      <c r="X554" s="49"/>
      <c r="Y554" s="49"/>
      <c r="Z554" s="50"/>
      <c r="AA554" s="51">
        <f>SUM(AA535+AA553)</f>
        <v>688.51959999999997</v>
      </c>
    </row>
    <row r="555" spans="1:27" x14ac:dyDescent="0.2">
      <c r="A555" s="13" t="s">
        <v>45</v>
      </c>
      <c r="B555" s="48" t="s">
        <v>46</v>
      </c>
      <c r="C555" s="43"/>
      <c r="D555" s="43"/>
      <c r="E555" s="39"/>
      <c r="F555" s="49"/>
      <c r="G555" s="52">
        <v>0.09</v>
      </c>
      <c r="H555" s="53" t="s">
        <v>47</v>
      </c>
      <c r="I555" s="51">
        <f>G555*I554</f>
        <v>4304.6985000000004</v>
      </c>
      <c r="J555" s="13" t="s">
        <v>45</v>
      </c>
      <c r="K555" s="48" t="s">
        <v>46</v>
      </c>
      <c r="L555" s="43"/>
      <c r="M555" s="43"/>
      <c r="N555" s="151"/>
      <c r="O555" s="49"/>
      <c r="P555" s="52">
        <v>0.09</v>
      </c>
      <c r="Q555" s="53" t="s">
        <v>47</v>
      </c>
      <c r="R555" s="51">
        <f>P555*R554</f>
        <v>44.980806572827568</v>
      </c>
      <c r="S555" s="13" t="s">
        <v>45</v>
      </c>
      <c r="T555" s="48" t="s">
        <v>46</v>
      </c>
      <c r="U555" s="43"/>
      <c r="V555" s="43"/>
      <c r="W555" s="151"/>
      <c r="X555" s="49"/>
      <c r="Y555" s="52">
        <v>0.09</v>
      </c>
      <c r="Z555" s="53" t="s">
        <v>47</v>
      </c>
      <c r="AA555" s="51">
        <f>Y555*AA554</f>
        <v>61.966763999999998</v>
      </c>
    </row>
    <row r="556" spans="1:27" x14ac:dyDescent="0.2">
      <c r="A556" s="13" t="s">
        <v>48</v>
      </c>
      <c r="B556" s="48" t="s">
        <v>49</v>
      </c>
      <c r="C556" s="43"/>
      <c r="D556" s="43"/>
      <c r="E556" s="39"/>
      <c r="F556" s="49"/>
      <c r="G556" s="52">
        <v>0.08</v>
      </c>
      <c r="H556" s="53" t="s">
        <v>47</v>
      </c>
      <c r="I556" s="51">
        <f>G556*I554</f>
        <v>3826.3986666666669</v>
      </c>
      <c r="J556" s="13" t="s">
        <v>48</v>
      </c>
      <c r="K556" s="48" t="s">
        <v>49</v>
      </c>
      <c r="L556" s="43"/>
      <c r="M556" s="43"/>
      <c r="N556" s="151"/>
      <c r="O556" s="49"/>
      <c r="P556" s="52">
        <v>0.08</v>
      </c>
      <c r="Q556" s="53" t="s">
        <v>47</v>
      </c>
      <c r="R556" s="51">
        <f>P556*R554</f>
        <v>39.982939175846731</v>
      </c>
      <c r="S556" s="13" t="s">
        <v>48</v>
      </c>
      <c r="T556" s="48" t="s">
        <v>49</v>
      </c>
      <c r="U556" s="43"/>
      <c r="V556" s="43"/>
      <c r="W556" s="151"/>
      <c r="X556" s="49"/>
      <c r="Y556" s="52">
        <v>0.08</v>
      </c>
      <c r="Z556" s="53" t="s">
        <v>47</v>
      </c>
      <c r="AA556" s="51">
        <f>Y556*AA554</f>
        <v>55.081567999999997</v>
      </c>
    </row>
    <row r="557" spans="1:27" x14ac:dyDescent="0.2">
      <c r="A557" s="13" t="s">
        <v>50</v>
      </c>
      <c r="B557" s="48" t="s">
        <v>51</v>
      </c>
      <c r="C557" s="43"/>
      <c r="D557" s="43"/>
      <c r="E557" s="39"/>
      <c r="F557" s="49"/>
      <c r="G557" s="52">
        <v>0.05</v>
      </c>
      <c r="H557" s="53" t="s">
        <v>52</v>
      </c>
      <c r="I557" s="51">
        <f>G557*(I554+I555+I556)</f>
        <v>2798.0540250000004</v>
      </c>
      <c r="J557" s="13" t="s">
        <v>50</v>
      </c>
      <c r="K557" s="48" t="s">
        <v>51</v>
      </c>
      <c r="L557" s="43"/>
      <c r="M557" s="43"/>
      <c r="N557" s="151"/>
      <c r="O557" s="49"/>
      <c r="P557" s="52">
        <v>0.05</v>
      </c>
      <c r="Q557" s="53" t="s">
        <v>52</v>
      </c>
      <c r="R557" s="51">
        <f>P557*(R554+R555+R556)</f>
        <v>29.237524272337922</v>
      </c>
      <c r="S557" s="13" t="s">
        <v>50</v>
      </c>
      <c r="T557" s="48" t="s">
        <v>51</v>
      </c>
      <c r="U557" s="43"/>
      <c r="V557" s="43"/>
      <c r="W557" s="151"/>
      <c r="X557" s="49"/>
      <c r="Y557" s="52">
        <v>0.05</v>
      </c>
      <c r="Z557" s="53" t="s">
        <v>52</v>
      </c>
      <c r="AA557" s="51">
        <f>Y557*(AA554+AA555+AA556)</f>
        <v>40.278396600000001</v>
      </c>
    </row>
    <row r="558" spans="1:27" x14ac:dyDescent="0.2">
      <c r="A558" s="54" t="s">
        <v>53</v>
      </c>
      <c r="B558" s="48" t="s">
        <v>54</v>
      </c>
      <c r="C558" s="43"/>
      <c r="D558" s="43"/>
      <c r="E558" s="39"/>
      <c r="F558" s="49"/>
      <c r="G558" s="49"/>
      <c r="H558" s="55" t="s">
        <v>55</v>
      </c>
      <c r="I558" s="51">
        <f>SUM(I554+I555+I556+I557)</f>
        <v>58759.134525000001</v>
      </c>
      <c r="J558" s="54" t="s">
        <v>53</v>
      </c>
      <c r="K558" s="48" t="s">
        <v>54</v>
      </c>
      <c r="L558" s="43"/>
      <c r="M558" s="43"/>
      <c r="N558" s="151"/>
      <c r="O558" s="49"/>
      <c r="P558" s="49"/>
      <c r="Q558" s="55" t="s">
        <v>55</v>
      </c>
      <c r="R558" s="51">
        <f>SUM(R554+R555+R556+R557)</f>
        <v>613.98800971909634</v>
      </c>
      <c r="S558" s="54" t="s">
        <v>53</v>
      </c>
      <c r="T558" s="48" t="s">
        <v>54</v>
      </c>
      <c r="U558" s="43"/>
      <c r="V558" s="43"/>
      <c r="W558" s="151"/>
      <c r="X558" s="49"/>
      <c r="Y558" s="49"/>
      <c r="Z558" s="55" t="s">
        <v>55</v>
      </c>
      <c r="AA558" s="51">
        <f>SUM(AA554+AA555+AA556+AA557)</f>
        <v>845.84632859999988</v>
      </c>
    </row>
    <row r="559" spans="1:27" s="1" customFormat="1" x14ac:dyDescent="0.2">
      <c r="A559" s="236" t="s">
        <v>0</v>
      </c>
      <c r="B559" s="236"/>
      <c r="C559" s="236"/>
      <c r="D559" s="236"/>
      <c r="E559" s="236"/>
      <c r="F559" s="236"/>
      <c r="G559" s="236"/>
      <c r="H559" s="236"/>
      <c r="I559" s="236"/>
      <c r="J559" s="236" t="s">
        <v>0</v>
      </c>
      <c r="K559" s="236"/>
      <c r="L559" s="236"/>
      <c r="M559" s="236"/>
      <c r="N559" s="236"/>
      <c r="O559" s="236"/>
      <c r="P559" s="236"/>
      <c r="Q559" s="236"/>
      <c r="R559" s="236"/>
      <c r="S559" s="236" t="s">
        <v>0</v>
      </c>
      <c r="T559" s="236"/>
      <c r="U559" s="236"/>
      <c r="V559" s="236"/>
      <c r="W559" s="236"/>
      <c r="X559" s="236"/>
      <c r="Y559" s="236"/>
      <c r="Z559" s="236"/>
      <c r="AA559" s="236"/>
    </row>
    <row r="560" spans="1:27" x14ac:dyDescent="0.2">
      <c r="S560" s="10"/>
      <c r="T560" s="3"/>
      <c r="U560" s="4"/>
      <c r="V560" s="4"/>
      <c r="W560" s="5"/>
      <c r="X560" s="3"/>
      <c r="Y560" s="3"/>
      <c r="Z560" s="3"/>
      <c r="AA560" s="3"/>
    </row>
    <row r="561" spans="1:27" ht="15" customHeight="1" x14ac:dyDescent="0.2">
      <c r="A561" s="2" t="s">
        <v>1</v>
      </c>
      <c r="C561" s="4" t="s">
        <v>2</v>
      </c>
      <c r="D561" s="5" t="s">
        <v>328</v>
      </c>
      <c r="E561" s="8" t="s">
        <v>329</v>
      </c>
      <c r="F561" s="8"/>
      <c r="G561" s="8"/>
      <c r="H561" s="8"/>
      <c r="J561" s="152" t="s">
        <v>1</v>
      </c>
      <c r="L561" s="4" t="s">
        <v>2</v>
      </c>
      <c r="M561" s="5" t="s">
        <v>330</v>
      </c>
      <c r="N561" s="237" t="s">
        <v>312</v>
      </c>
      <c r="O561" s="237"/>
      <c r="P561" s="237"/>
      <c r="Q561" s="237"/>
      <c r="S561" s="2" t="s">
        <v>1</v>
      </c>
      <c r="T561" s="3"/>
      <c r="U561" s="4" t="s">
        <v>2</v>
      </c>
      <c r="V561" s="5" t="s">
        <v>402</v>
      </c>
      <c r="W561" s="237" t="s">
        <v>339</v>
      </c>
      <c r="X561" s="237"/>
      <c r="Y561" s="237"/>
      <c r="Z561" s="237"/>
      <c r="AA561" s="3"/>
    </row>
    <row r="562" spans="1:27" x14ac:dyDescent="0.2">
      <c r="A562" s="2" t="s">
        <v>7</v>
      </c>
      <c r="C562" s="4" t="s">
        <v>2</v>
      </c>
      <c r="E562" s="2" t="s">
        <v>239</v>
      </c>
      <c r="F562" s="8"/>
      <c r="G562" s="8"/>
      <c r="H562" s="8"/>
      <c r="J562" s="152" t="s">
        <v>7</v>
      </c>
      <c r="L562" s="4" t="s">
        <v>2</v>
      </c>
      <c r="N562" s="152" t="s">
        <v>8</v>
      </c>
      <c r="O562" s="8"/>
      <c r="P562" s="8"/>
      <c r="Q562" s="8"/>
      <c r="S562" s="2" t="s">
        <v>7</v>
      </c>
      <c r="T562" s="3"/>
      <c r="U562" s="4" t="s">
        <v>2</v>
      </c>
      <c r="V562" s="4"/>
      <c r="W562" s="2" t="s">
        <v>8</v>
      </c>
      <c r="X562" s="8"/>
      <c r="Y562" s="8"/>
      <c r="Z562" s="8"/>
      <c r="AA562" s="3"/>
    </row>
    <row r="563" spans="1:27" x14ac:dyDescent="0.2">
      <c r="A563" s="2" t="s">
        <v>10</v>
      </c>
      <c r="C563" s="4" t="s">
        <v>2</v>
      </c>
      <c r="E563" s="9">
        <v>0.3</v>
      </c>
      <c r="F563" s="8"/>
      <c r="G563" s="8"/>
      <c r="H563" s="8"/>
      <c r="J563" s="152" t="s">
        <v>10</v>
      </c>
      <c r="L563" s="4" t="s">
        <v>2</v>
      </c>
      <c r="N563" s="9">
        <v>214.13</v>
      </c>
      <c r="O563" s="8"/>
      <c r="P563" s="8"/>
      <c r="Q563" s="8"/>
      <c r="S563" s="2" t="s">
        <v>10</v>
      </c>
      <c r="T563" s="3"/>
      <c r="U563" s="4" t="s">
        <v>2</v>
      </c>
      <c r="V563" s="4"/>
      <c r="W563" s="9">
        <v>12</v>
      </c>
      <c r="X563" s="8"/>
      <c r="Y563" s="8"/>
      <c r="Z563" s="8"/>
      <c r="AA563" s="3"/>
    </row>
    <row r="564" spans="1:27" x14ac:dyDescent="0.2">
      <c r="B564" s="8"/>
      <c r="F564" s="11"/>
      <c r="G564" s="8"/>
      <c r="H564" s="8"/>
      <c r="I564" s="8"/>
      <c r="K564" s="8"/>
      <c r="O564" s="11"/>
      <c r="P564" s="8"/>
      <c r="Q564" s="8"/>
      <c r="R564" s="8"/>
      <c r="S564" s="10"/>
      <c r="T564" s="8"/>
      <c r="U564" s="4"/>
      <c r="V564" s="4"/>
      <c r="W564" s="5"/>
      <c r="X564" s="11"/>
      <c r="Y564" s="8"/>
      <c r="Z564" s="8"/>
      <c r="AA564" s="8"/>
    </row>
    <row r="565" spans="1:27" x14ac:dyDescent="0.2">
      <c r="A565" s="12"/>
      <c r="B565" s="238" t="s">
        <v>11</v>
      </c>
      <c r="C565" s="239"/>
      <c r="D565" s="239"/>
      <c r="E565" s="240"/>
      <c r="F565" s="244" t="s">
        <v>12</v>
      </c>
      <c r="G565" s="244" t="s">
        <v>13</v>
      </c>
      <c r="H565" s="244" t="s">
        <v>14</v>
      </c>
      <c r="I565" s="246" t="s">
        <v>15</v>
      </c>
      <c r="J565" s="12"/>
      <c r="K565" s="238" t="s">
        <v>11</v>
      </c>
      <c r="L565" s="239"/>
      <c r="M565" s="239"/>
      <c r="N565" s="240"/>
      <c r="O565" s="244" t="s">
        <v>12</v>
      </c>
      <c r="P565" s="244" t="s">
        <v>13</v>
      </c>
      <c r="Q565" s="244" t="s">
        <v>14</v>
      </c>
      <c r="R565" s="246" t="s">
        <v>15</v>
      </c>
      <c r="S565" s="12"/>
      <c r="T565" s="238" t="s">
        <v>11</v>
      </c>
      <c r="U565" s="239"/>
      <c r="V565" s="239"/>
      <c r="W565" s="240"/>
      <c r="X565" s="244" t="s">
        <v>12</v>
      </c>
      <c r="Y565" s="244" t="s">
        <v>13</v>
      </c>
      <c r="Z565" s="244" t="s">
        <v>14</v>
      </c>
      <c r="AA565" s="246" t="s">
        <v>15</v>
      </c>
    </row>
    <row r="566" spans="1:27" x14ac:dyDescent="0.2">
      <c r="A566" s="13"/>
      <c r="B566" s="241"/>
      <c r="C566" s="242"/>
      <c r="D566" s="242"/>
      <c r="E566" s="243"/>
      <c r="F566" s="245"/>
      <c r="G566" s="245"/>
      <c r="H566" s="245"/>
      <c r="I566" s="247"/>
      <c r="J566" s="13"/>
      <c r="K566" s="241"/>
      <c r="L566" s="242"/>
      <c r="M566" s="242"/>
      <c r="N566" s="243"/>
      <c r="O566" s="245"/>
      <c r="P566" s="245"/>
      <c r="Q566" s="245"/>
      <c r="R566" s="247"/>
      <c r="S566" s="13"/>
      <c r="T566" s="241"/>
      <c r="U566" s="242"/>
      <c r="V566" s="242"/>
      <c r="W566" s="243"/>
      <c r="X566" s="245"/>
      <c r="Y566" s="245"/>
      <c r="Z566" s="245"/>
      <c r="AA566" s="247"/>
    </row>
    <row r="567" spans="1:27" x14ac:dyDescent="0.2">
      <c r="A567" s="13" t="s">
        <v>16</v>
      </c>
      <c r="B567" s="14" t="s">
        <v>17</v>
      </c>
      <c r="C567" s="15"/>
      <c r="D567" s="15"/>
      <c r="E567" s="16"/>
      <c r="F567" s="17"/>
      <c r="G567" s="17"/>
      <c r="H567" s="17"/>
      <c r="I567" s="17"/>
      <c r="J567" s="13" t="s">
        <v>16</v>
      </c>
      <c r="K567" s="14" t="s">
        <v>17</v>
      </c>
      <c r="L567" s="15"/>
      <c r="M567" s="15"/>
      <c r="N567" s="16"/>
      <c r="O567" s="17"/>
      <c r="P567" s="17"/>
      <c r="Q567" s="17"/>
      <c r="R567" s="17"/>
      <c r="S567" s="13" t="s">
        <v>16</v>
      </c>
      <c r="T567" s="14" t="s">
        <v>17</v>
      </c>
      <c r="U567" s="15"/>
      <c r="V567" s="15"/>
      <c r="W567" s="16"/>
      <c r="X567" s="17"/>
      <c r="Y567" s="17"/>
      <c r="Z567" s="17"/>
      <c r="AA567" s="17"/>
    </row>
    <row r="568" spans="1:27" x14ac:dyDescent="0.2">
      <c r="A568" s="13"/>
      <c r="B568" s="18"/>
      <c r="C568" s="19"/>
      <c r="D568" s="19"/>
      <c r="E568" s="20"/>
      <c r="F568" s="21"/>
      <c r="G568" s="22"/>
      <c r="H568" s="21"/>
      <c r="I568" s="21"/>
      <c r="J568" s="13"/>
      <c r="K568" s="24" t="s">
        <v>18</v>
      </c>
      <c r="L568" s="25"/>
      <c r="M568" s="25"/>
      <c r="N568" s="171" t="s">
        <v>1217</v>
      </c>
      <c r="O568" s="22">
        <v>1</v>
      </c>
      <c r="P568" s="23">
        <v>1</v>
      </c>
      <c r="Q568" s="23">
        <v>69.42</v>
      </c>
      <c r="R568" s="23">
        <f t="shared" ref="R568" si="30">P568*Q568*O568</f>
        <v>69.42</v>
      </c>
      <c r="S568" s="13"/>
      <c r="T568" s="18"/>
      <c r="U568" s="19"/>
      <c r="V568" s="19"/>
      <c r="W568" s="20"/>
      <c r="X568" s="21"/>
      <c r="Y568" s="22"/>
      <c r="Z568" s="21"/>
      <c r="AA568" s="21"/>
    </row>
    <row r="569" spans="1:27" x14ac:dyDescent="0.2">
      <c r="A569" s="13"/>
      <c r="B569" s="24" t="s">
        <v>18</v>
      </c>
      <c r="C569" s="25"/>
      <c r="D569" s="25"/>
      <c r="E569" s="26"/>
      <c r="F569" s="22">
        <v>1</v>
      </c>
      <c r="G569" s="62">
        <v>1</v>
      </c>
      <c r="H569" s="23">
        <v>69.42</v>
      </c>
      <c r="I569" s="23">
        <f>F569*G569*H569</f>
        <v>69.42</v>
      </c>
      <c r="J569" s="13"/>
      <c r="K569" s="153" t="s">
        <v>1178</v>
      </c>
      <c r="L569" s="154"/>
      <c r="M569" s="25"/>
      <c r="N569" s="171" t="s">
        <v>1218</v>
      </c>
      <c r="O569" s="22">
        <v>4</v>
      </c>
      <c r="P569" s="23">
        <v>1</v>
      </c>
      <c r="Q569" s="23">
        <v>50.18</v>
      </c>
      <c r="R569" s="23">
        <f>P569*Q569*O569</f>
        <v>200.72</v>
      </c>
      <c r="S569" s="13"/>
      <c r="T569" s="24" t="s">
        <v>18</v>
      </c>
      <c r="U569" s="25"/>
      <c r="V569" s="25"/>
      <c r="W569" s="26"/>
      <c r="X569" s="22">
        <v>1</v>
      </c>
      <c r="Y569" s="23">
        <v>1</v>
      </c>
      <c r="Z569" s="23">
        <v>69.42</v>
      </c>
      <c r="AA569" s="23">
        <f>Y569*Z569*X569</f>
        <v>69.42</v>
      </c>
    </row>
    <row r="570" spans="1:27" x14ac:dyDescent="0.2">
      <c r="A570" s="13"/>
      <c r="B570" s="24" t="s">
        <v>1179</v>
      </c>
      <c r="C570" s="25"/>
      <c r="D570" s="25"/>
      <c r="E570" s="26"/>
      <c r="F570" s="22">
        <v>3</v>
      </c>
      <c r="G570" s="62">
        <v>1</v>
      </c>
      <c r="H570" s="23">
        <v>38.97</v>
      </c>
      <c r="I570" s="23">
        <f>F570*G570*H570</f>
        <v>116.91</v>
      </c>
      <c r="J570" s="13"/>
      <c r="K570" s="153" t="s">
        <v>1177</v>
      </c>
      <c r="L570" s="154"/>
      <c r="M570" s="19"/>
      <c r="N570" s="20"/>
      <c r="O570" s="22">
        <v>8</v>
      </c>
      <c r="P570" s="23">
        <v>1</v>
      </c>
      <c r="Q570" s="23">
        <v>38.97</v>
      </c>
      <c r="R570" s="23">
        <f t="shared" ref="R570:R575" si="31">P570*Q570*O570</f>
        <v>311.76</v>
      </c>
      <c r="S570" s="13"/>
      <c r="T570" s="257" t="s">
        <v>1178</v>
      </c>
      <c r="U570" s="258"/>
      <c r="V570" s="25"/>
      <c r="W570" s="26"/>
      <c r="X570" s="22">
        <v>8</v>
      </c>
      <c r="Y570" s="23">
        <v>1</v>
      </c>
      <c r="Z570" s="23">
        <v>50.18</v>
      </c>
      <c r="AA570" s="23">
        <f>Y570*Z570*X570</f>
        <v>401.44</v>
      </c>
    </row>
    <row r="571" spans="1:27" x14ac:dyDescent="0.2">
      <c r="A571" s="13"/>
      <c r="B571" s="27"/>
      <c r="C571" s="19"/>
      <c r="D571" s="19"/>
      <c r="E571" s="20"/>
      <c r="F571" s="22"/>
      <c r="G571" s="22"/>
      <c r="H571" s="28"/>
      <c r="I571" s="23"/>
      <c r="J571" s="13"/>
      <c r="K571" s="153" t="s">
        <v>1219</v>
      </c>
      <c r="L571" s="19"/>
      <c r="M571" s="19"/>
      <c r="N571" s="157" t="s">
        <v>1240</v>
      </c>
      <c r="O571" s="22">
        <v>1</v>
      </c>
      <c r="P571" s="23">
        <v>1</v>
      </c>
      <c r="Q571" s="29"/>
      <c r="R571" s="23">
        <f t="shared" si="31"/>
        <v>0</v>
      </c>
      <c r="S571" s="13"/>
      <c r="T571" s="257" t="s">
        <v>1177</v>
      </c>
      <c r="U571" s="258"/>
      <c r="V571" s="19"/>
      <c r="W571" s="20"/>
      <c r="X571" s="22">
        <v>16</v>
      </c>
      <c r="Y571" s="23">
        <v>1</v>
      </c>
      <c r="Z571" s="23">
        <v>38.97</v>
      </c>
      <c r="AA571" s="23">
        <f>Y571*Z571*X571</f>
        <v>623.52</v>
      </c>
    </row>
    <row r="572" spans="1:27" x14ac:dyDescent="0.2">
      <c r="A572" s="13"/>
      <c r="B572" s="27"/>
      <c r="C572" s="19"/>
      <c r="D572" s="19"/>
      <c r="E572" s="20"/>
      <c r="F572" s="22"/>
      <c r="G572" s="22"/>
      <c r="H572" s="29"/>
      <c r="I572" s="30"/>
      <c r="J572" s="13"/>
      <c r="K572" s="153" t="s">
        <v>1220</v>
      </c>
      <c r="L572" s="19"/>
      <c r="M572" s="19"/>
      <c r="N572" s="157" t="s">
        <v>1241</v>
      </c>
      <c r="O572" s="22">
        <v>1</v>
      </c>
      <c r="P572" s="23">
        <v>1</v>
      </c>
      <c r="Q572" s="29"/>
      <c r="R572" s="23">
        <f t="shared" si="31"/>
        <v>0</v>
      </c>
      <c r="S572" s="13"/>
      <c r="T572" s="27"/>
      <c r="U572" s="19"/>
      <c r="V572" s="19"/>
      <c r="W572" s="20"/>
      <c r="X572" s="22"/>
      <c r="Y572" s="22"/>
      <c r="Z572" s="29"/>
      <c r="AA572" s="30"/>
    </row>
    <row r="573" spans="1:27" x14ac:dyDescent="0.2">
      <c r="A573" s="13"/>
      <c r="B573" s="27"/>
      <c r="C573" s="19"/>
      <c r="D573" s="19"/>
      <c r="E573" s="20"/>
      <c r="F573" s="22"/>
      <c r="G573" s="22"/>
      <c r="H573" s="29"/>
      <c r="I573" s="30"/>
      <c r="J573" s="13"/>
      <c r="K573" s="153" t="s">
        <v>1221</v>
      </c>
      <c r="L573" s="19"/>
      <c r="M573" s="19"/>
      <c r="N573" s="157" t="s">
        <v>1242</v>
      </c>
      <c r="O573" s="22">
        <v>1</v>
      </c>
      <c r="P573" s="23">
        <v>1</v>
      </c>
      <c r="Q573" s="29"/>
      <c r="R573" s="23">
        <f t="shared" si="31"/>
        <v>0</v>
      </c>
      <c r="S573" s="13"/>
      <c r="T573" s="27"/>
      <c r="U573" s="19"/>
      <c r="V573" s="19"/>
      <c r="W573" s="20"/>
      <c r="X573" s="22"/>
      <c r="Y573" s="22"/>
      <c r="Z573" s="23"/>
      <c r="AA573" s="23"/>
    </row>
    <row r="574" spans="1:27" x14ac:dyDescent="0.2">
      <c r="A574" s="13"/>
      <c r="B574" s="18"/>
      <c r="C574" s="19"/>
      <c r="D574" s="19"/>
      <c r="E574" s="20"/>
      <c r="F574" s="22"/>
      <c r="G574" s="22"/>
      <c r="H574" s="28"/>
      <c r="I574" s="23"/>
      <c r="J574" s="13"/>
      <c r="K574" s="18" t="s">
        <v>1222</v>
      </c>
      <c r="L574" s="19"/>
      <c r="M574" s="19"/>
      <c r="N574" s="20"/>
      <c r="O574" s="22">
        <v>1</v>
      </c>
      <c r="P574" s="23">
        <v>1</v>
      </c>
      <c r="Q574" s="28"/>
      <c r="R574" s="23">
        <f t="shared" si="31"/>
        <v>0</v>
      </c>
      <c r="S574" s="13"/>
      <c r="T574" s="18"/>
      <c r="U574" s="19"/>
      <c r="V574" s="19"/>
      <c r="W574" s="20"/>
      <c r="X574" s="22"/>
      <c r="Y574" s="22"/>
      <c r="Z574" s="23"/>
      <c r="AA574" s="23"/>
    </row>
    <row r="575" spans="1:27" x14ac:dyDescent="0.2">
      <c r="A575" s="13"/>
      <c r="B575" s="18"/>
      <c r="C575" s="19"/>
      <c r="D575" s="19"/>
      <c r="E575" s="20"/>
      <c r="F575" s="22"/>
      <c r="G575" s="22"/>
      <c r="H575" s="23"/>
      <c r="I575" s="23"/>
      <c r="J575" s="13"/>
      <c r="K575" s="18" t="s">
        <v>1223</v>
      </c>
      <c r="L575" s="19"/>
      <c r="M575" s="19"/>
      <c r="N575" s="20"/>
      <c r="O575" s="22">
        <v>4</v>
      </c>
      <c r="P575" s="23">
        <v>1</v>
      </c>
      <c r="Q575" s="23"/>
      <c r="R575" s="23">
        <f t="shared" si="31"/>
        <v>0</v>
      </c>
      <c r="S575" s="13"/>
      <c r="T575" s="18"/>
      <c r="U575" s="19"/>
      <c r="V575" s="19"/>
      <c r="W575" s="20"/>
      <c r="X575" s="22"/>
      <c r="Y575" s="22"/>
      <c r="Z575" s="23"/>
      <c r="AA575" s="23"/>
    </row>
    <row r="576" spans="1:27" x14ac:dyDescent="0.2">
      <c r="A576" s="13"/>
      <c r="B576" s="248" t="s">
        <v>20</v>
      </c>
      <c r="C576" s="249"/>
      <c r="D576" s="249"/>
      <c r="E576" s="250"/>
      <c r="F576" s="31"/>
      <c r="G576" s="31"/>
      <c r="H576" s="32"/>
      <c r="I576" s="32">
        <f>SUM(I569:I575)</f>
        <v>186.32999999999998</v>
      </c>
      <c r="J576" s="13"/>
      <c r="K576" s="248" t="s">
        <v>20</v>
      </c>
      <c r="L576" s="249"/>
      <c r="M576" s="249"/>
      <c r="N576" s="250"/>
      <c r="O576" s="31"/>
      <c r="P576" s="31"/>
      <c r="Q576" s="32"/>
      <c r="R576" s="32">
        <f>SUM(R568:R575)</f>
        <v>581.9</v>
      </c>
      <c r="S576" s="13"/>
      <c r="T576" s="248" t="s">
        <v>20</v>
      </c>
      <c r="U576" s="249"/>
      <c r="V576" s="249"/>
      <c r="W576" s="250"/>
      <c r="X576" s="31"/>
      <c r="Y576" s="31"/>
      <c r="Z576" s="32"/>
      <c r="AA576" s="32">
        <f>SUM(AA569:AA575)</f>
        <v>1094.3800000000001</v>
      </c>
    </row>
    <row r="577" spans="1:27" x14ac:dyDescent="0.2">
      <c r="A577" s="12"/>
      <c r="B577" s="251" t="s">
        <v>21</v>
      </c>
      <c r="C577" s="252"/>
      <c r="D577" s="252"/>
      <c r="E577" s="253"/>
      <c r="F577" s="244" t="s">
        <v>22</v>
      </c>
      <c r="G577" s="244" t="s">
        <v>13</v>
      </c>
      <c r="H577" s="244" t="s">
        <v>14</v>
      </c>
      <c r="I577" s="246" t="s">
        <v>15</v>
      </c>
      <c r="J577" s="12"/>
      <c r="K577" s="251" t="s">
        <v>21</v>
      </c>
      <c r="L577" s="252"/>
      <c r="M577" s="252"/>
      <c r="N577" s="253"/>
      <c r="O577" s="244" t="s">
        <v>22</v>
      </c>
      <c r="P577" s="244" t="s">
        <v>13</v>
      </c>
      <c r="Q577" s="244" t="s">
        <v>14</v>
      </c>
      <c r="R577" s="246" t="s">
        <v>15</v>
      </c>
      <c r="S577" s="12"/>
      <c r="T577" s="251" t="s">
        <v>21</v>
      </c>
      <c r="U577" s="252"/>
      <c r="V577" s="252"/>
      <c r="W577" s="253"/>
      <c r="X577" s="244" t="s">
        <v>22</v>
      </c>
      <c r="Y577" s="244" t="s">
        <v>13</v>
      </c>
      <c r="Z577" s="244" t="s">
        <v>14</v>
      </c>
      <c r="AA577" s="246" t="s">
        <v>15</v>
      </c>
    </row>
    <row r="578" spans="1:27" x14ac:dyDescent="0.2">
      <c r="A578" s="13"/>
      <c r="B578" s="254"/>
      <c r="C578" s="255"/>
      <c r="D578" s="255"/>
      <c r="E578" s="256"/>
      <c r="F578" s="245"/>
      <c r="G578" s="245"/>
      <c r="H578" s="245"/>
      <c r="I578" s="247"/>
      <c r="J578" s="13"/>
      <c r="K578" s="254"/>
      <c r="L578" s="255"/>
      <c r="M578" s="255"/>
      <c r="N578" s="256"/>
      <c r="O578" s="245"/>
      <c r="P578" s="245"/>
      <c r="Q578" s="245"/>
      <c r="R578" s="247"/>
      <c r="S578" s="13"/>
      <c r="T578" s="254"/>
      <c r="U578" s="255"/>
      <c r="V578" s="255"/>
      <c r="W578" s="256"/>
      <c r="X578" s="245"/>
      <c r="Y578" s="245"/>
      <c r="Z578" s="245"/>
      <c r="AA578" s="247"/>
    </row>
    <row r="579" spans="1:27" x14ac:dyDescent="0.2">
      <c r="A579" s="13" t="s">
        <v>23</v>
      </c>
      <c r="B579" s="33" t="s">
        <v>24</v>
      </c>
      <c r="C579" s="15"/>
      <c r="D579" s="15"/>
      <c r="E579" s="16"/>
      <c r="F579" s="34"/>
      <c r="G579" s="34"/>
      <c r="H579" s="35"/>
      <c r="I579" s="35"/>
      <c r="J579" s="13" t="s">
        <v>23</v>
      </c>
      <c r="K579" s="33" t="s">
        <v>24</v>
      </c>
      <c r="L579" s="15"/>
      <c r="M579" s="15"/>
      <c r="N579" s="16"/>
      <c r="O579" s="34"/>
      <c r="P579" s="34"/>
      <c r="Q579" s="35"/>
      <c r="R579" s="35"/>
      <c r="S579" s="13" t="s">
        <v>23</v>
      </c>
      <c r="T579" s="33" t="s">
        <v>24</v>
      </c>
      <c r="U579" s="15"/>
      <c r="V579" s="15"/>
      <c r="W579" s="16"/>
      <c r="X579" s="34"/>
      <c r="Y579" s="34"/>
      <c r="Z579" s="35"/>
      <c r="AA579" s="35"/>
    </row>
    <row r="580" spans="1:27" x14ac:dyDescent="0.2">
      <c r="A580" s="13"/>
      <c r="B580" s="18"/>
      <c r="C580" s="19"/>
      <c r="D580" s="19"/>
      <c r="E580" s="20"/>
      <c r="F580" s="22"/>
      <c r="G580" s="22"/>
      <c r="H580" s="23"/>
      <c r="I580" s="23"/>
      <c r="J580" s="13"/>
      <c r="K580" s="18"/>
      <c r="L580" s="19"/>
      <c r="M580" s="19"/>
      <c r="N580" s="20"/>
      <c r="O580" s="22"/>
      <c r="P580" s="22"/>
      <c r="Q580" s="23"/>
      <c r="R580" s="23"/>
      <c r="S580" s="13"/>
      <c r="T580" s="18"/>
      <c r="U580" s="19"/>
      <c r="V580" s="19"/>
      <c r="W580" s="20"/>
      <c r="X580" s="22"/>
      <c r="Y580" s="22"/>
      <c r="Z580" s="23"/>
      <c r="AA580" s="23"/>
    </row>
    <row r="581" spans="1:27" x14ac:dyDescent="0.2">
      <c r="A581" s="13"/>
      <c r="B581" s="18" t="s">
        <v>254</v>
      </c>
      <c r="C581" s="19"/>
      <c r="D581" s="19"/>
      <c r="E581" s="20"/>
      <c r="F581" s="22">
        <v>1</v>
      </c>
      <c r="G581" s="23">
        <v>1</v>
      </c>
      <c r="H581" s="37">
        <v>936</v>
      </c>
      <c r="I581" s="23">
        <f>F581*G581*H581</f>
        <v>936</v>
      </c>
      <c r="J581" s="13"/>
      <c r="K581" s="18" t="s">
        <v>275</v>
      </c>
      <c r="L581" s="19"/>
      <c r="M581" s="19"/>
      <c r="N581" s="20"/>
      <c r="O581" s="22">
        <v>1</v>
      </c>
      <c r="P581" s="23">
        <v>1</v>
      </c>
      <c r="Q581" s="37">
        <v>1833</v>
      </c>
      <c r="R581" s="37">
        <f t="shared" ref="R581:R587" si="32">P581*Q581*O581</f>
        <v>1833</v>
      </c>
      <c r="S581" s="13"/>
      <c r="T581" s="18" t="s">
        <v>403</v>
      </c>
      <c r="U581" s="19"/>
      <c r="V581" s="19"/>
      <c r="W581" s="20"/>
      <c r="X581" s="22">
        <v>1</v>
      </c>
      <c r="Y581" s="23">
        <v>1</v>
      </c>
      <c r="Z581" s="37">
        <v>172</v>
      </c>
      <c r="AA581" s="37">
        <f>Y581*Z581*X581</f>
        <v>172</v>
      </c>
    </row>
    <row r="582" spans="1:27" x14ac:dyDescent="0.2">
      <c r="A582" s="13"/>
      <c r="B582" s="18" t="s">
        <v>288</v>
      </c>
      <c r="C582" s="19"/>
      <c r="D582" s="19"/>
      <c r="E582" s="20"/>
      <c r="F582" s="22">
        <v>1</v>
      </c>
      <c r="G582" s="23">
        <v>1</v>
      </c>
      <c r="H582" s="37">
        <v>130.54</v>
      </c>
      <c r="I582" s="23">
        <f>F582*G582*H582</f>
        <v>130.54</v>
      </c>
      <c r="J582" s="13"/>
      <c r="K582" s="18" t="s">
        <v>276</v>
      </c>
      <c r="L582" s="19"/>
      <c r="M582" s="19"/>
      <c r="N582" s="20"/>
      <c r="O582" s="22">
        <v>1</v>
      </c>
      <c r="P582" s="23">
        <v>1</v>
      </c>
      <c r="Q582" s="37">
        <v>561</v>
      </c>
      <c r="R582" s="37">
        <f t="shared" si="32"/>
        <v>561</v>
      </c>
      <c r="S582" s="13"/>
      <c r="T582" s="18" t="s">
        <v>1169</v>
      </c>
      <c r="U582" s="19"/>
      <c r="V582" s="19"/>
      <c r="W582" s="20"/>
      <c r="X582" s="22">
        <v>1</v>
      </c>
      <c r="Y582" s="23">
        <v>0.05</v>
      </c>
      <c r="Z582" s="37">
        <v>2450</v>
      </c>
      <c r="AA582" s="37">
        <f>Y582*Z582*X582</f>
        <v>122.5</v>
      </c>
    </row>
    <row r="583" spans="1:27" x14ac:dyDescent="0.2">
      <c r="A583" s="13"/>
      <c r="B583" s="18"/>
      <c r="C583" s="19"/>
      <c r="D583" s="19"/>
      <c r="E583" s="20"/>
      <c r="F583" s="22"/>
      <c r="G583" s="23"/>
      <c r="H583" s="37"/>
      <c r="I583" s="23"/>
      <c r="J583" s="13"/>
      <c r="K583" s="18" t="s">
        <v>277</v>
      </c>
      <c r="L583" s="19"/>
      <c r="M583" s="19"/>
      <c r="N583" s="20"/>
      <c r="O583" s="22">
        <v>1</v>
      </c>
      <c r="P583" s="23">
        <v>1</v>
      </c>
      <c r="Q583" s="37">
        <v>1652</v>
      </c>
      <c r="R583" s="37">
        <f t="shared" si="32"/>
        <v>1652</v>
      </c>
      <c r="S583" s="13"/>
      <c r="T583" s="18" t="s">
        <v>495</v>
      </c>
      <c r="U583" s="19"/>
      <c r="V583" s="19"/>
      <c r="W583" s="20"/>
      <c r="X583" s="22">
        <v>2</v>
      </c>
      <c r="Y583" s="23">
        <v>1</v>
      </c>
      <c r="Z583" s="37">
        <v>91.25</v>
      </c>
      <c r="AA583" s="37">
        <f>Y583*Z583*X583</f>
        <v>182.5</v>
      </c>
    </row>
    <row r="584" spans="1:27" x14ac:dyDescent="0.2">
      <c r="A584" s="13"/>
      <c r="B584" s="18"/>
      <c r="C584" s="19"/>
      <c r="D584" s="19"/>
      <c r="E584" s="20"/>
      <c r="F584" s="22"/>
      <c r="G584" s="23"/>
      <c r="H584" s="37"/>
      <c r="I584" s="23"/>
      <c r="J584" s="13"/>
      <c r="K584" s="18" t="s">
        <v>1140</v>
      </c>
      <c r="O584" s="22">
        <v>2</v>
      </c>
      <c r="P584" s="23">
        <v>1</v>
      </c>
      <c r="Q584" s="37">
        <v>1420</v>
      </c>
      <c r="R584" s="37">
        <f t="shared" si="32"/>
        <v>2840</v>
      </c>
      <c r="S584" s="13"/>
      <c r="T584" s="18" t="s">
        <v>404</v>
      </c>
      <c r="U584" s="19"/>
      <c r="V584" s="19"/>
      <c r="W584" s="20"/>
      <c r="X584" s="22">
        <v>1</v>
      </c>
      <c r="Y584" s="23">
        <v>0.05</v>
      </c>
      <c r="Z584" s="37">
        <v>219.75</v>
      </c>
      <c r="AA584" s="37">
        <f>Y584*Z584*X584</f>
        <v>10.987500000000001</v>
      </c>
    </row>
    <row r="585" spans="1:27" x14ac:dyDescent="0.2">
      <c r="A585" s="13"/>
      <c r="B585" s="18"/>
      <c r="C585" s="19"/>
      <c r="D585" s="19"/>
      <c r="E585" s="20"/>
      <c r="F585" s="22"/>
      <c r="G585" s="36"/>
      <c r="H585" s="37"/>
      <c r="I585" s="23"/>
      <c r="J585" s="13"/>
      <c r="K585" s="18" t="s">
        <v>278</v>
      </c>
      <c r="L585" s="19"/>
      <c r="M585" s="19"/>
      <c r="N585" s="20"/>
      <c r="O585" s="22">
        <v>1</v>
      </c>
      <c r="P585" s="23">
        <v>1</v>
      </c>
      <c r="Q585" s="37">
        <v>4286.63</v>
      </c>
      <c r="R585" s="37">
        <f t="shared" si="32"/>
        <v>4286.63</v>
      </c>
      <c r="S585" s="13"/>
      <c r="T585" s="18" t="s">
        <v>1226</v>
      </c>
      <c r="U585" s="19"/>
      <c r="V585" s="19"/>
      <c r="W585" s="20"/>
      <c r="X585" s="22">
        <v>1</v>
      </c>
      <c r="Y585" s="23">
        <v>0.1</v>
      </c>
      <c r="Z585" s="37">
        <v>32.630000000000003</v>
      </c>
      <c r="AA585" s="37">
        <f>Y585*Z585*X585</f>
        <v>3.2630000000000003</v>
      </c>
    </row>
    <row r="586" spans="1:27" x14ac:dyDescent="0.2">
      <c r="A586" s="13"/>
      <c r="B586" s="18"/>
      <c r="C586" s="19"/>
      <c r="D586" s="19"/>
      <c r="E586" s="20"/>
      <c r="F586" s="22"/>
      <c r="G586" s="36"/>
      <c r="H586" s="38"/>
      <c r="I586" s="38"/>
      <c r="J586" s="13"/>
      <c r="K586" s="18" t="s">
        <v>1206</v>
      </c>
      <c r="L586" s="19"/>
      <c r="M586" s="19"/>
      <c r="N586" s="20"/>
      <c r="O586" s="22">
        <v>1</v>
      </c>
      <c r="P586" s="23">
        <v>1</v>
      </c>
      <c r="Q586" s="37">
        <v>2450</v>
      </c>
      <c r="R586" s="37">
        <f t="shared" si="32"/>
        <v>2450</v>
      </c>
      <c r="S586" s="13"/>
      <c r="T586" s="18" t="s">
        <v>1227</v>
      </c>
      <c r="U586" s="19"/>
      <c r="V586" s="19"/>
      <c r="W586" s="20"/>
      <c r="X586" s="22"/>
      <c r="Y586" s="36"/>
      <c r="Z586" s="3"/>
      <c r="AA586" s="37">
        <f>AA576*0.05</f>
        <v>54.719000000000008</v>
      </c>
    </row>
    <row r="587" spans="1:27" x14ac:dyDescent="0.2">
      <c r="A587" s="13"/>
      <c r="B587" s="18"/>
      <c r="C587" s="19"/>
      <c r="D587" s="19"/>
      <c r="E587" s="20"/>
      <c r="F587" s="22"/>
      <c r="G587" s="36"/>
      <c r="H587" s="37"/>
      <c r="I587" s="37"/>
      <c r="J587" s="13"/>
      <c r="K587" s="18" t="s">
        <v>279</v>
      </c>
      <c r="L587" s="19"/>
      <c r="M587" s="19"/>
      <c r="N587" s="20"/>
      <c r="O587" s="22">
        <v>1</v>
      </c>
      <c r="P587" s="23">
        <v>1</v>
      </c>
      <c r="Q587" s="37">
        <v>1733</v>
      </c>
      <c r="R587" s="37">
        <f t="shared" si="32"/>
        <v>1733</v>
      </c>
      <c r="S587" s="13"/>
      <c r="T587" s="18"/>
      <c r="U587" s="19"/>
      <c r="V587" s="19"/>
      <c r="W587" s="20"/>
      <c r="X587" s="22"/>
      <c r="Y587" s="23"/>
      <c r="Z587" s="37"/>
      <c r="AA587" s="37"/>
    </row>
    <row r="588" spans="1:27" x14ac:dyDescent="0.2">
      <c r="A588" s="13"/>
      <c r="B588" s="18"/>
      <c r="C588" s="19"/>
      <c r="D588" s="19"/>
      <c r="E588" s="20"/>
      <c r="F588" s="22"/>
      <c r="G588" s="36"/>
      <c r="H588" s="38"/>
      <c r="I588" s="38"/>
      <c r="J588" s="13"/>
      <c r="K588" s="18" t="s">
        <v>1192</v>
      </c>
      <c r="L588" s="19"/>
      <c r="M588" s="19"/>
      <c r="N588" s="20"/>
      <c r="O588" s="22"/>
      <c r="P588" s="36"/>
      <c r="R588" s="37">
        <f>0.1*R576</f>
        <v>58.19</v>
      </c>
      <c r="S588" s="13"/>
      <c r="T588" s="18"/>
      <c r="U588" s="19"/>
      <c r="V588" s="19"/>
      <c r="W588" s="20"/>
      <c r="X588" s="22"/>
      <c r="Y588" s="23"/>
      <c r="Z588" s="37"/>
      <c r="AA588" s="37"/>
    </row>
    <row r="589" spans="1:27" x14ac:dyDescent="0.2">
      <c r="A589" s="13"/>
      <c r="B589" s="18"/>
      <c r="C589" s="19"/>
      <c r="D589" s="19"/>
      <c r="E589" s="20"/>
      <c r="F589" s="22"/>
      <c r="G589" s="36"/>
      <c r="H589" s="38"/>
      <c r="I589" s="38"/>
      <c r="J589" s="13"/>
      <c r="K589" s="18"/>
      <c r="L589" s="19"/>
      <c r="M589" s="19"/>
      <c r="N589" s="20"/>
      <c r="O589" s="22"/>
      <c r="P589" s="36"/>
      <c r="Q589" s="38"/>
      <c r="R589" s="38"/>
      <c r="S589" s="13"/>
      <c r="T589" s="18"/>
      <c r="U589" s="19"/>
      <c r="V589" s="19"/>
      <c r="W589" s="20"/>
      <c r="X589" s="22"/>
      <c r="Y589" s="36"/>
      <c r="Z589" s="3"/>
      <c r="AA589" s="37"/>
    </row>
    <row r="590" spans="1:27" x14ac:dyDescent="0.2">
      <c r="A590" s="13"/>
      <c r="B590" s="18"/>
      <c r="C590" s="19"/>
      <c r="D590" s="19"/>
      <c r="E590" s="20"/>
      <c r="F590" s="22"/>
      <c r="G590" s="36"/>
      <c r="H590" s="37"/>
      <c r="I590" s="37"/>
      <c r="J590" s="13"/>
      <c r="K590" s="18"/>
      <c r="L590" s="19"/>
      <c r="M590" s="19"/>
      <c r="N590" s="20"/>
      <c r="O590" s="22"/>
      <c r="P590" s="36"/>
      <c r="Q590" s="37"/>
      <c r="R590" s="37"/>
      <c r="S590" s="13"/>
      <c r="X590" s="72"/>
      <c r="Y590" s="72"/>
      <c r="Z590" s="30"/>
      <c r="AA590" s="30"/>
    </row>
    <row r="591" spans="1:27" x14ac:dyDescent="0.2">
      <c r="A591" s="13"/>
      <c r="B591" s="18"/>
      <c r="C591" s="19"/>
      <c r="D591" s="19"/>
      <c r="E591" s="20"/>
      <c r="F591" s="22"/>
      <c r="G591" s="36"/>
      <c r="H591" s="37"/>
      <c r="I591" s="37"/>
      <c r="J591" s="13"/>
      <c r="K591" s="18"/>
      <c r="L591" s="19"/>
      <c r="M591" s="19"/>
      <c r="N591" s="20"/>
      <c r="O591" s="22"/>
      <c r="P591" s="36"/>
      <c r="Q591" s="37"/>
      <c r="R591" s="37"/>
      <c r="S591" s="13"/>
      <c r="T591" s="18"/>
      <c r="U591" s="19"/>
      <c r="V591" s="19"/>
      <c r="W591" s="20"/>
      <c r="X591" s="22"/>
      <c r="Y591" s="36"/>
      <c r="Z591" s="37"/>
      <c r="AA591" s="37"/>
    </row>
    <row r="592" spans="1:27" x14ac:dyDescent="0.2">
      <c r="A592" s="13"/>
      <c r="B592" s="18"/>
      <c r="C592" s="19"/>
      <c r="D592" s="19"/>
      <c r="E592" s="20"/>
      <c r="F592" s="22"/>
      <c r="G592" s="36"/>
      <c r="H592" s="37"/>
      <c r="I592" s="37"/>
      <c r="J592" s="13"/>
      <c r="K592" s="18"/>
      <c r="L592" s="19"/>
      <c r="M592" s="19"/>
      <c r="N592" s="20"/>
      <c r="O592" s="22"/>
      <c r="P592" s="36"/>
      <c r="Q592" s="37"/>
      <c r="R592" s="37"/>
      <c r="S592" s="13"/>
      <c r="T592" s="18"/>
      <c r="U592" s="19"/>
      <c r="V592" s="19"/>
      <c r="W592" s="20"/>
      <c r="X592" s="22"/>
      <c r="Y592" s="36"/>
      <c r="Z592" s="37"/>
      <c r="AA592" s="37"/>
    </row>
    <row r="593" spans="1:27" x14ac:dyDescent="0.2">
      <c r="A593" s="13"/>
      <c r="B593" s="18"/>
      <c r="C593" s="19"/>
      <c r="D593" s="19"/>
      <c r="E593" s="20"/>
      <c r="F593" s="22"/>
      <c r="G593" s="22"/>
      <c r="H593" s="23"/>
      <c r="I593" s="23"/>
      <c r="J593" s="13"/>
      <c r="K593" s="18"/>
      <c r="L593" s="19"/>
      <c r="M593" s="19"/>
      <c r="N593" s="20"/>
      <c r="O593" s="22"/>
      <c r="P593" s="22"/>
      <c r="Q593" s="23"/>
      <c r="R593" s="23"/>
      <c r="S593" s="13"/>
      <c r="T593" s="18"/>
      <c r="U593" s="19"/>
      <c r="V593" s="19"/>
      <c r="W593" s="20"/>
      <c r="X593" s="22"/>
      <c r="Y593" s="22"/>
      <c r="Z593" s="23"/>
      <c r="AA593" s="23"/>
    </row>
    <row r="594" spans="1:27" x14ac:dyDescent="0.2">
      <c r="A594" s="13"/>
      <c r="B594" s="248" t="s">
        <v>30</v>
      </c>
      <c r="C594" s="249"/>
      <c r="D594" s="249"/>
      <c r="E594" s="250"/>
      <c r="F594" s="22"/>
      <c r="G594" s="22"/>
      <c r="H594" s="23"/>
      <c r="I594" s="23">
        <f>SUM(I581:I593)</f>
        <v>1066.54</v>
      </c>
      <c r="J594" s="13"/>
      <c r="K594" s="248" t="s">
        <v>30</v>
      </c>
      <c r="L594" s="249"/>
      <c r="M594" s="249"/>
      <c r="N594" s="250"/>
      <c r="O594" s="22"/>
      <c r="P594" s="22"/>
      <c r="Q594" s="23"/>
      <c r="R594" s="23">
        <f>SUM(R581:R593)</f>
        <v>15413.820000000002</v>
      </c>
      <c r="S594" s="13"/>
      <c r="T594" s="248" t="s">
        <v>30</v>
      </c>
      <c r="U594" s="249"/>
      <c r="V594" s="249"/>
      <c r="W594" s="250"/>
      <c r="X594" s="22"/>
      <c r="Y594" s="22"/>
      <c r="Z594" s="23"/>
      <c r="AA594" s="23">
        <f>SUM(AA581:AA593)</f>
        <v>545.96950000000004</v>
      </c>
    </row>
    <row r="595" spans="1:27" x14ac:dyDescent="0.2">
      <c r="A595" s="12" t="s">
        <v>31</v>
      </c>
      <c r="B595" s="260" t="s">
        <v>32</v>
      </c>
      <c r="C595" s="261"/>
      <c r="D595" s="261"/>
      <c r="E595" s="261"/>
      <c r="F595" s="39"/>
      <c r="G595" s="39"/>
      <c r="H595" s="40"/>
      <c r="I595" s="41">
        <f>SUM(I594+I576)</f>
        <v>1252.8699999999999</v>
      </c>
      <c r="J595" s="12" t="s">
        <v>31</v>
      </c>
      <c r="K595" s="260" t="s">
        <v>32</v>
      </c>
      <c r="L595" s="261"/>
      <c r="M595" s="261"/>
      <c r="N595" s="261"/>
      <c r="O595" s="151"/>
      <c r="P595" s="151"/>
      <c r="Q595" s="40"/>
      <c r="R595" s="41">
        <f>SUM(R594+R576)</f>
        <v>15995.720000000001</v>
      </c>
      <c r="S595" s="12" t="s">
        <v>31</v>
      </c>
      <c r="T595" s="260" t="s">
        <v>32</v>
      </c>
      <c r="U595" s="261"/>
      <c r="V595" s="261"/>
      <c r="W595" s="261"/>
      <c r="X595" s="39"/>
      <c r="Y595" s="39"/>
      <c r="Z595" s="40"/>
      <c r="AA595" s="41">
        <f>SUM(AA594+AA576)</f>
        <v>1640.3495000000003</v>
      </c>
    </row>
    <row r="596" spans="1:27" x14ac:dyDescent="0.2">
      <c r="A596" s="13" t="s">
        <v>33</v>
      </c>
      <c r="B596" s="309">
        <f>E563</f>
        <v>0.3</v>
      </c>
      <c r="C596" s="310"/>
      <c r="D596" s="310"/>
      <c r="E596" s="310"/>
      <c r="F596" s="310"/>
      <c r="G596" s="310"/>
      <c r="H596" s="40"/>
      <c r="I596" s="41"/>
      <c r="J596" s="13" t="s">
        <v>33</v>
      </c>
      <c r="K596" s="313">
        <f>N563</f>
        <v>214.13</v>
      </c>
      <c r="L596" s="314"/>
      <c r="M596" s="314"/>
      <c r="N596" s="314"/>
      <c r="O596" s="314"/>
      <c r="P596" s="314"/>
      <c r="Q596" s="40"/>
      <c r="R596" s="41"/>
      <c r="S596" s="13" t="s">
        <v>33</v>
      </c>
      <c r="T596" s="305">
        <f>W563</f>
        <v>12</v>
      </c>
      <c r="U596" s="306"/>
      <c r="V596" s="306"/>
      <c r="W596" s="306"/>
      <c r="X596" s="306"/>
      <c r="Y596" s="306"/>
      <c r="Z596" s="40"/>
      <c r="AA596" s="41"/>
    </row>
    <row r="597" spans="1:27" x14ac:dyDescent="0.2">
      <c r="A597" s="13" t="s">
        <v>34</v>
      </c>
      <c r="B597" s="42" t="s">
        <v>35</v>
      </c>
      <c r="C597" s="43"/>
      <c r="D597" s="43"/>
      <c r="E597" s="39"/>
      <c r="F597" s="44"/>
      <c r="G597" s="44"/>
      <c r="H597" s="40"/>
      <c r="I597" s="41">
        <f>I595/E563</f>
        <v>4176.2333333333336</v>
      </c>
      <c r="J597" s="13" t="s">
        <v>34</v>
      </c>
      <c r="K597" s="155" t="s">
        <v>35</v>
      </c>
      <c r="L597" s="43"/>
      <c r="M597" s="43"/>
      <c r="N597" s="151"/>
      <c r="O597" s="156"/>
      <c r="P597" s="156"/>
      <c r="Q597" s="40"/>
      <c r="R597" s="41">
        <f>R595/N563</f>
        <v>74.700976042590952</v>
      </c>
      <c r="S597" s="13" t="s">
        <v>34</v>
      </c>
      <c r="T597" s="42" t="s">
        <v>35</v>
      </c>
      <c r="U597" s="43"/>
      <c r="V597" s="43"/>
      <c r="W597" s="39"/>
      <c r="X597" s="44"/>
      <c r="Y597" s="44"/>
      <c r="Z597" s="40"/>
      <c r="AA597" s="41">
        <f>AA595/W563</f>
        <v>136.69579166666668</v>
      </c>
    </row>
    <row r="598" spans="1:27" x14ac:dyDescent="0.2">
      <c r="A598" s="12"/>
      <c r="B598" s="251" t="s">
        <v>36</v>
      </c>
      <c r="C598" s="252"/>
      <c r="D598" s="252"/>
      <c r="E598" s="253"/>
      <c r="F598" s="244" t="s">
        <v>37</v>
      </c>
      <c r="G598" s="244" t="s">
        <v>38</v>
      </c>
      <c r="H598" s="244" t="s">
        <v>39</v>
      </c>
      <c r="I598" s="246" t="s">
        <v>15</v>
      </c>
      <c r="J598" s="12"/>
      <c r="K598" s="251" t="s">
        <v>36</v>
      </c>
      <c r="L598" s="252"/>
      <c r="M598" s="252"/>
      <c r="N598" s="253"/>
      <c r="O598" s="244" t="s">
        <v>37</v>
      </c>
      <c r="P598" s="244" t="s">
        <v>38</v>
      </c>
      <c r="Q598" s="244" t="s">
        <v>39</v>
      </c>
      <c r="R598" s="246" t="s">
        <v>15</v>
      </c>
      <c r="S598" s="12"/>
      <c r="T598" s="251" t="s">
        <v>36</v>
      </c>
      <c r="U598" s="252"/>
      <c r="V598" s="252"/>
      <c r="W598" s="253"/>
      <c r="X598" s="244" t="s">
        <v>37</v>
      </c>
      <c r="Y598" s="244" t="s">
        <v>38</v>
      </c>
      <c r="Z598" s="244" t="s">
        <v>39</v>
      </c>
      <c r="AA598" s="246" t="s">
        <v>15</v>
      </c>
    </row>
    <row r="599" spans="1:27" x14ac:dyDescent="0.2">
      <c r="A599" s="13"/>
      <c r="B599" s="254"/>
      <c r="C599" s="255"/>
      <c r="D599" s="255"/>
      <c r="E599" s="256"/>
      <c r="F599" s="245"/>
      <c r="G599" s="245"/>
      <c r="H599" s="245"/>
      <c r="I599" s="247"/>
      <c r="J599" s="13"/>
      <c r="K599" s="254"/>
      <c r="L599" s="255"/>
      <c r="M599" s="255"/>
      <c r="N599" s="256"/>
      <c r="O599" s="245"/>
      <c r="P599" s="245"/>
      <c r="Q599" s="245"/>
      <c r="R599" s="247"/>
      <c r="S599" s="13"/>
      <c r="T599" s="254"/>
      <c r="U599" s="255"/>
      <c r="V599" s="255"/>
      <c r="W599" s="256"/>
      <c r="X599" s="245"/>
      <c r="Y599" s="245"/>
      <c r="Z599" s="245"/>
      <c r="AA599" s="247"/>
    </row>
    <row r="600" spans="1:27" x14ac:dyDescent="0.2">
      <c r="A600" s="13" t="s">
        <v>40</v>
      </c>
      <c r="B600" s="18" t="s">
        <v>41</v>
      </c>
      <c r="C600" s="19"/>
      <c r="D600" s="19"/>
      <c r="E600" s="20"/>
      <c r="F600" s="22"/>
      <c r="G600" s="22"/>
      <c r="H600" s="23"/>
      <c r="I600" s="23"/>
      <c r="J600" s="13" t="s">
        <v>40</v>
      </c>
      <c r="K600" s="18" t="s">
        <v>41</v>
      </c>
      <c r="L600" s="19"/>
      <c r="M600" s="19"/>
      <c r="N600" s="20"/>
      <c r="O600" s="22"/>
      <c r="P600" s="22"/>
      <c r="Q600" s="23"/>
      <c r="R600" s="23"/>
      <c r="S600" s="13" t="s">
        <v>40</v>
      </c>
      <c r="T600" s="18" t="s">
        <v>41</v>
      </c>
      <c r="U600" s="19"/>
      <c r="V600" s="19"/>
      <c r="W600" s="20"/>
      <c r="X600" s="22"/>
      <c r="Y600" s="22"/>
      <c r="Z600" s="23"/>
      <c r="AA600" s="23"/>
    </row>
    <row r="601" spans="1:27" x14ac:dyDescent="0.2">
      <c r="A601" s="13"/>
      <c r="B601" s="18"/>
      <c r="C601" s="19"/>
      <c r="D601" s="19"/>
      <c r="E601" s="20"/>
      <c r="F601" s="22"/>
      <c r="G601" s="22"/>
      <c r="H601" s="23"/>
      <c r="I601" s="23"/>
      <c r="J601" s="13"/>
      <c r="K601" s="18"/>
      <c r="L601" s="19"/>
      <c r="M601" s="19"/>
      <c r="N601" s="20"/>
      <c r="O601" s="22"/>
      <c r="P601" s="22"/>
      <c r="Q601" s="23"/>
      <c r="R601" s="23"/>
      <c r="S601" s="13"/>
      <c r="T601" s="18"/>
      <c r="U601" s="19"/>
      <c r="V601" s="19"/>
      <c r="W601" s="20"/>
      <c r="X601" s="22"/>
      <c r="Y601" s="22"/>
      <c r="Z601" s="23"/>
      <c r="AA601" s="23"/>
    </row>
    <row r="602" spans="1:27" x14ac:dyDescent="0.2">
      <c r="A602" s="13"/>
      <c r="B602" s="237" t="s">
        <v>331</v>
      </c>
      <c r="C602" s="237"/>
      <c r="D602" s="237"/>
      <c r="E602" s="237"/>
      <c r="F602" s="22" t="s">
        <v>239</v>
      </c>
      <c r="G602" s="22">
        <v>1.05</v>
      </c>
      <c r="H602" s="107">
        <f>ROUND(10155.08*5,0)</f>
        <v>50775</v>
      </c>
      <c r="I602" s="23">
        <f>G602*H602</f>
        <v>53313.75</v>
      </c>
      <c r="J602" s="13"/>
      <c r="K602" s="18" t="s">
        <v>327</v>
      </c>
      <c r="L602" s="66"/>
      <c r="M602" s="19"/>
      <c r="N602" s="20"/>
      <c r="O602" s="22" t="s">
        <v>282</v>
      </c>
      <c r="P602" s="69">
        <v>7.8499999999999993E-3</v>
      </c>
      <c r="Q602" s="107">
        <v>40300</v>
      </c>
      <c r="R602" s="23">
        <f>P602*Q602</f>
        <v>316.35499999999996</v>
      </c>
      <c r="S602" s="13"/>
      <c r="T602" s="18" t="s">
        <v>263</v>
      </c>
      <c r="U602" s="66"/>
      <c r="V602" s="19"/>
      <c r="W602" s="20"/>
      <c r="X602" s="22" t="s">
        <v>77</v>
      </c>
      <c r="Y602" s="22">
        <v>0.33</v>
      </c>
      <c r="Z602" s="107">
        <v>40</v>
      </c>
      <c r="AA602" s="23">
        <f>Y602*Z602</f>
        <v>13.200000000000001</v>
      </c>
    </row>
    <row r="603" spans="1:27" x14ac:dyDescent="0.2">
      <c r="A603" s="13"/>
      <c r="B603" s="18" t="s">
        <v>322</v>
      </c>
      <c r="C603" s="66"/>
      <c r="D603" s="19"/>
      <c r="E603" s="20"/>
      <c r="F603" s="22"/>
      <c r="G603" s="22"/>
      <c r="H603" s="23"/>
      <c r="I603" s="23"/>
      <c r="J603" s="13"/>
      <c r="K603" s="18" t="s">
        <v>1243</v>
      </c>
      <c r="L603" s="66"/>
      <c r="M603" s="19"/>
      <c r="N603" s="20"/>
      <c r="O603" s="22" t="s">
        <v>9</v>
      </c>
      <c r="P603" s="22">
        <v>3.3000000000000002E-2</v>
      </c>
      <c r="Q603" s="107">
        <v>650</v>
      </c>
      <c r="R603" s="23">
        <f t="shared" ref="R603:R606" si="33">P603*Q603</f>
        <v>21.45</v>
      </c>
      <c r="S603" s="13"/>
      <c r="T603" s="18" t="s">
        <v>264</v>
      </c>
      <c r="U603" s="66"/>
      <c r="V603" s="19"/>
      <c r="W603" s="20"/>
      <c r="X603" s="22" t="s">
        <v>1216</v>
      </c>
      <c r="Y603" s="22">
        <v>0.28999999999999998</v>
      </c>
      <c r="Z603" s="107">
        <v>28</v>
      </c>
      <c r="AA603" s="23">
        <f t="shared" ref="AA603:AA611" si="34">Y603*Z603</f>
        <v>8.1199999999999992</v>
      </c>
    </row>
    <row r="604" spans="1:27" x14ac:dyDescent="0.2">
      <c r="A604" s="13"/>
      <c r="B604" s="18"/>
      <c r="C604" s="19"/>
      <c r="D604" s="19"/>
      <c r="E604" s="20"/>
      <c r="F604" s="22"/>
      <c r="G604" s="22"/>
      <c r="H604" s="38"/>
      <c r="I604" s="38"/>
      <c r="J604" s="13"/>
      <c r="K604" s="18" t="s">
        <v>1244</v>
      </c>
      <c r="L604" s="66"/>
      <c r="M604" s="19"/>
      <c r="N604" s="20"/>
      <c r="O604" s="22" t="s">
        <v>9</v>
      </c>
      <c r="P604" s="22">
        <v>8.0000000000000002E-3</v>
      </c>
      <c r="Q604" s="107">
        <v>650</v>
      </c>
      <c r="R604" s="23">
        <f t="shared" si="33"/>
        <v>5.2</v>
      </c>
      <c r="S604" s="13"/>
      <c r="T604" s="18" t="s">
        <v>266</v>
      </c>
      <c r="U604" s="19"/>
      <c r="V604" s="19"/>
      <c r="W604" s="20"/>
      <c r="X604" s="22" t="s">
        <v>1216</v>
      </c>
      <c r="Y604" s="22">
        <v>0.12</v>
      </c>
      <c r="Z604" s="107">
        <f>44000/1000</f>
        <v>44</v>
      </c>
      <c r="AA604" s="23">
        <f t="shared" si="34"/>
        <v>5.2799999999999994</v>
      </c>
    </row>
    <row r="605" spans="1:27" x14ac:dyDescent="0.2">
      <c r="A605" s="13"/>
      <c r="B605" s="18"/>
      <c r="C605" s="19"/>
      <c r="D605" s="19"/>
      <c r="E605" s="20"/>
      <c r="F605" s="22"/>
      <c r="G605" s="22"/>
      <c r="H605" s="38"/>
      <c r="I605" s="38"/>
      <c r="J605" s="13"/>
      <c r="K605" s="18" t="s">
        <v>1213</v>
      </c>
      <c r="L605" s="19"/>
      <c r="M605" s="19"/>
      <c r="N605" s="20"/>
      <c r="O605" s="22" t="s">
        <v>227</v>
      </c>
      <c r="P605" s="22">
        <v>0.104</v>
      </c>
      <c r="Q605" s="107">
        <v>240.56</v>
      </c>
      <c r="R605" s="23">
        <f t="shared" si="33"/>
        <v>25.018239999999999</v>
      </c>
      <c r="S605" s="13"/>
      <c r="T605" s="18" t="s">
        <v>267</v>
      </c>
      <c r="U605" s="19"/>
      <c r="V605" s="19"/>
      <c r="W605" s="20"/>
      <c r="X605" s="22" t="s">
        <v>1153</v>
      </c>
      <c r="Y605" s="22">
        <v>0.46</v>
      </c>
      <c r="Z605" s="107">
        <v>50</v>
      </c>
      <c r="AA605" s="23">
        <f t="shared" si="34"/>
        <v>23</v>
      </c>
    </row>
    <row r="606" spans="1:27" x14ac:dyDescent="0.2">
      <c r="A606" s="13"/>
      <c r="B606" s="18"/>
      <c r="C606" s="19"/>
      <c r="D606" s="19"/>
      <c r="E606" s="20"/>
      <c r="F606" s="22"/>
      <c r="G606" s="22"/>
      <c r="H606" s="45"/>
      <c r="I606" s="45"/>
      <c r="J606" s="13"/>
      <c r="K606" s="18" t="s">
        <v>1215</v>
      </c>
      <c r="L606" s="19"/>
      <c r="M606" s="19"/>
      <c r="N606" s="20"/>
      <c r="O606" s="22" t="s">
        <v>1216</v>
      </c>
      <c r="P606" s="22">
        <v>0.93200000000000005</v>
      </c>
      <c r="Q606" s="107">
        <v>240.56</v>
      </c>
      <c r="R606" s="23">
        <f t="shared" si="33"/>
        <v>224.20192</v>
      </c>
      <c r="S606" s="13"/>
      <c r="T606" s="18" t="s">
        <v>268</v>
      </c>
      <c r="U606" s="19"/>
      <c r="V606" s="19"/>
      <c r="W606" s="20"/>
      <c r="X606" s="22" t="s">
        <v>9</v>
      </c>
      <c r="Y606" s="22">
        <v>8.2500000000000004E-2</v>
      </c>
      <c r="Z606" s="107">
        <v>850</v>
      </c>
      <c r="AA606" s="23">
        <f t="shared" si="34"/>
        <v>70.125</v>
      </c>
    </row>
    <row r="607" spans="1:27" x14ac:dyDescent="0.2">
      <c r="A607" s="13"/>
      <c r="B607" s="18"/>
      <c r="C607" s="19"/>
      <c r="D607" s="19"/>
      <c r="E607" s="20"/>
      <c r="F607" s="22"/>
      <c r="G607" s="22"/>
      <c r="H607" s="45"/>
      <c r="I607" s="45"/>
      <c r="J607" s="13"/>
      <c r="K607" s="18"/>
      <c r="L607" s="19"/>
      <c r="M607" s="19"/>
      <c r="N607" s="20"/>
      <c r="O607" s="22"/>
      <c r="P607" s="22"/>
      <c r="Q607" s="45"/>
      <c r="R607" s="45"/>
      <c r="S607" s="13"/>
      <c r="T607" s="18" t="s">
        <v>269</v>
      </c>
      <c r="U607" s="19"/>
      <c r="V607" s="19"/>
      <c r="W607" s="20"/>
      <c r="X607" s="22" t="s">
        <v>9</v>
      </c>
      <c r="Y607" s="22">
        <v>0.15</v>
      </c>
      <c r="Z607" s="107">
        <v>650</v>
      </c>
      <c r="AA607" s="23">
        <f t="shared" si="34"/>
        <v>97.5</v>
      </c>
    </row>
    <row r="608" spans="1:27" x14ac:dyDescent="0.2">
      <c r="A608" s="13"/>
      <c r="B608" s="18"/>
      <c r="C608" s="19"/>
      <c r="D608" s="19"/>
      <c r="E608" s="20"/>
      <c r="F608" s="22"/>
      <c r="G608" s="22"/>
      <c r="H608" s="23"/>
      <c r="I608" s="23"/>
      <c r="J608" s="13"/>
      <c r="K608" s="18"/>
      <c r="L608" s="19"/>
      <c r="M608" s="19"/>
      <c r="N608" s="20"/>
      <c r="O608" s="22"/>
      <c r="P608" s="22"/>
      <c r="Q608" s="23"/>
      <c r="R608" s="23"/>
      <c r="S608" s="13"/>
      <c r="T608" s="18" t="s">
        <v>270</v>
      </c>
      <c r="U608" s="19"/>
      <c r="V608" s="19"/>
      <c r="W608" s="20"/>
      <c r="X608" s="22" t="s">
        <v>227</v>
      </c>
      <c r="Y608" s="22">
        <v>1.43</v>
      </c>
      <c r="Z608" s="107">
        <v>220</v>
      </c>
      <c r="AA608" s="23">
        <f t="shared" si="34"/>
        <v>314.59999999999997</v>
      </c>
    </row>
    <row r="609" spans="1:27" x14ac:dyDescent="0.2">
      <c r="A609" s="13"/>
      <c r="B609" s="18"/>
      <c r="C609" s="19"/>
      <c r="D609" s="19"/>
      <c r="E609" s="20"/>
      <c r="F609" s="22"/>
      <c r="G609" s="22"/>
      <c r="H609" s="23"/>
      <c r="I609" s="23"/>
      <c r="J609" s="13"/>
      <c r="K609" s="18"/>
      <c r="L609" s="19"/>
      <c r="M609" s="19"/>
      <c r="N609" s="20"/>
      <c r="O609" s="22"/>
      <c r="P609" s="22"/>
      <c r="Q609" s="23"/>
      <c r="R609" s="23"/>
      <c r="S609" s="13"/>
      <c r="T609" s="18" t="s">
        <v>344</v>
      </c>
      <c r="U609" s="19"/>
      <c r="V609" s="19"/>
      <c r="W609" s="20"/>
      <c r="X609" s="22" t="s">
        <v>80</v>
      </c>
      <c r="Y609" s="22">
        <v>1.4999999999999999E-4</v>
      </c>
      <c r="Z609" s="107">
        <v>8000</v>
      </c>
      <c r="AA609" s="23">
        <f t="shared" si="34"/>
        <v>1.2</v>
      </c>
    </row>
    <row r="610" spans="1:27" x14ac:dyDescent="0.2">
      <c r="A610" s="13"/>
      <c r="B610" s="18"/>
      <c r="C610" s="19"/>
      <c r="D610" s="19"/>
      <c r="E610" s="20"/>
      <c r="F610" s="22"/>
      <c r="G610" s="22"/>
      <c r="H610" s="23"/>
      <c r="I610" s="23"/>
      <c r="J610" s="13"/>
      <c r="K610" s="18"/>
      <c r="L610" s="19"/>
      <c r="M610" s="19"/>
      <c r="N610" s="20"/>
      <c r="O610" s="22"/>
      <c r="P610" s="22"/>
      <c r="Q610" s="23"/>
      <c r="R610" s="23"/>
      <c r="S610" s="13"/>
      <c r="T610" s="18" t="s">
        <v>345</v>
      </c>
      <c r="U610" s="19"/>
      <c r="V610" s="19"/>
      <c r="W610" s="20"/>
      <c r="X610" s="22" t="s">
        <v>1153</v>
      </c>
      <c r="Y610" s="22">
        <v>7.7999999999999996E-3</v>
      </c>
      <c r="Z610" s="107">
        <v>34.33</v>
      </c>
      <c r="AA610" s="23">
        <f t="shared" si="34"/>
        <v>0.26777399999999996</v>
      </c>
    </row>
    <row r="611" spans="1:27" x14ac:dyDescent="0.2">
      <c r="A611" s="13"/>
      <c r="B611" s="18"/>
      <c r="C611" s="19"/>
      <c r="D611" s="19"/>
      <c r="E611" s="20"/>
      <c r="F611" s="22"/>
      <c r="G611" s="22"/>
      <c r="H611" s="23"/>
      <c r="I611" s="23"/>
      <c r="J611" s="13"/>
      <c r="K611" s="18"/>
      <c r="L611" s="19"/>
      <c r="M611" s="19"/>
      <c r="N611" s="20"/>
      <c r="O611" s="22"/>
      <c r="P611" s="22"/>
      <c r="Q611" s="23"/>
      <c r="R611" s="23"/>
      <c r="S611" s="13"/>
      <c r="T611" s="18" t="s">
        <v>346</v>
      </c>
      <c r="U611" s="19"/>
      <c r="V611" s="19"/>
      <c r="W611" s="20"/>
      <c r="X611" s="22" t="s">
        <v>1216</v>
      </c>
      <c r="Y611" s="22">
        <v>1.5E-3</v>
      </c>
      <c r="Z611" s="107">
        <v>300</v>
      </c>
      <c r="AA611" s="23">
        <f t="shared" si="34"/>
        <v>0.45</v>
      </c>
    </row>
    <row r="612" spans="1:27" x14ac:dyDescent="0.2">
      <c r="A612" s="13"/>
      <c r="B612" s="18"/>
      <c r="C612" s="19"/>
      <c r="D612" s="19"/>
      <c r="E612" s="20"/>
      <c r="F612" s="22"/>
      <c r="G612" s="22"/>
      <c r="H612" s="23"/>
      <c r="I612" s="23"/>
      <c r="J612" s="13"/>
      <c r="K612" s="18"/>
      <c r="L612" s="19"/>
      <c r="M612" s="19"/>
      <c r="N612" s="20"/>
      <c r="O612" s="22"/>
      <c r="P612" s="22"/>
      <c r="Q612" s="23"/>
      <c r="R612" s="23"/>
      <c r="S612" s="13"/>
      <c r="T612" s="18"/>
      <c r="U612" s="19"/>
      <c r="V612" s="19"/>
      <c r="W612" s="20"/>
      <c r="X612" s="22"/>
      <c r="Y612" s="22"/>
      <c r="Z612" s="23"/>
      <c r="AA612" s="23"/>
    </row>
    <row r="613" spans="1:27" x14ac:dyDescent="0.2">
      <c r="A613" s="13"/>
      <c r="B613" s="18"/>
      <c r="C613" s="19"/>
      <c r="D613" s="19"/>
      <c r="E613" s="20"/>
      <c r="F613" s="22"/>
      <c r="G613" s="22"/>
      <c r="H613" s="23"/>
      <c r="I613" s="23"/>
      <c r="J613" s="13"/>
      <c r="K613" s="18"/>
      <c r="L613" s="19"/>
      <c r="M613" s="19"/>
      <c r="N613" s="20"/>
      <c r="O613" s="22"/>
      <c r="P613" s="22"/>
      <c r="Q613" s="23"/>
      <c r="R613" s="23"/>
      <c r="S613" s="13"/>
      <c r="T613" s="18"/>
      <c r="U613" s="19"/>
      <c r="V613" s="19"/>
      <c r="W613" s="20"/>
      <c r="X613" s="22"/>
      <c r="Y613" s="22"/>
      <c r="Z613" s="23"/>
      <c r="AA613" s="23"/>
    </row>
    <row r="614" spans="1:27" x14ac:dyDescent="0.2">
      <c r="A614" s="13"/>
      <c r="B614" s="18"/>
      <c r="C614" s="19"/>
      <c r="D614" s="19"/>
      <c r="E614" s="20"/>
      <c r="F614" s="22"/>
      <c r="G614" s="36"/>
      <c r="H614" s="37"/>
      <c r="I614" s="37"/>
      <c r="J614" s="13"/>
      <c r="K614" s="18"/>
      <c r="L614" s="19"/>
      <c r="M614" s="19"/>
      <c r="N614" s="20"/>
      <c r="O614" s="22"/>
      <c r="P614" s="36"/>
      <c r="Q614" s="37"/>
      <c r="R614" s="37"/>
      <c r="S614" s="13"/>
      <c r="T614" s="18"/>
      <c r="U614" s="19"/>
      <c r="V614" s="19"/>
      <c r="W614" s="20"/>
      <c r="X614" s="22"/>
      <c r="Y614" s="36"/>
      <c r="Z614" s="37"/>
      <c r="AA614" s="37"/>
    </row>
    <row r="615" spans="1:27" x14ac:dyDescent="0.2">
      <c r="A615" s="13"/>
      <c r="B615" s="248" t="s">
        <v>42</v>
      </c>
      <c r="C615" s="249"/>
      <c r="D615" s="249"/>
      <c r="E615" s="250"/>
      <c r="F615" s="46"/>
      <c r="G615" s="46"/>
      <c r="H615" s="47"/>
      <c r="I615" s="47">
        <f>SUM(I602:I614)</f>
        <v>53313.75</v>
      </c>
      <c r="J615" s="13"/>
      <c r="K615" s="248" t="s">
        <v>42</v>
      </c>
      <c r="L615" s="249"/>
      <c r="M615" s="249"/>
      <c r="N615" s="250"/>
      <c r="O615" s="46"/>
      <c r="P615" s="46"/>
      <c r="Q615" s="47"/>
      <c r="R615" s="47">
        <f>SUM(R602:R614)</f>
        <v>592.22515999999996</v>
      </c>
      <c r="S615" s="13"/>
      <c r="T615" s="248" t="s">
        <v>42</v>
      </c>
      <c r="U615" s="249"/>
      <c r="V615" s="249"/>
      <c r="W615" s="250"/>
      <c r="X615" s="46"/>
      <c r="Y615" s="46"/>
      <c r="Z615" s="47"/>
      <c r="AA615" s="47">
        <f>SUM(AA602:AA614)</f>
        <v>533.74277400000005</v>
      </c>
    </row>
    <row r="616" spans="1:27" x14ac:dyDescent="0.2">
      <c r="A616" s="12" t="s">
        <v>43</v>
      </c>
      <c r="B616" s="48" t="s">
        <v>44</v>
      </c>
      <c r="C616" s="43"/>
      <c r="D616" s="43"/>
      <c r="E616" s="39"/>
      <c r="F616" s="49"/>
      <c r="G616" s="49"/>
      <c r="H616" s="50"/>
      <c r="I616" s="51">
        <f>SUM(I597+I615)</f>
        <v>57489.983333333337</v>
      </c>
      <c r="J616" s="12" t="s">
        <v>43</v>
      </c>
      <c r="K616" s="48" t="s">
        <v>44</v>
      </c>
      <c r="L616" s="43"/>
      <c r="M616" s="43"/>
      <c r="N616" s="151"/>
      <c r="O616" s="49"/>
      <c r="P616" s="49"/>
      <c r="Q616" s="50"/>
      <c r="R616" s="51">
        <f>SUM(R597+R615)</f>
        <v>666.92613604259088</v>
      </c>
      <c r="S616" s="12" t="s">
        <v>43</v>
      </c>
      <c r="T616" s="48" t="s">
        <v>44</v>
      </c>
      <c r="U616" s="43"/>
      <c r="V616" s="43"/>
      <c r="W616" s="39"/>
      <c r="X616" s="49"/>
      <c r="Y616" s="49"/>
      <c r="Z616" s="50"/>
      <c r="AA616" s="51">
        <f>SUM(AA597+AA615)</f>
        <v>670.4385656666667</v>
      </c>
    </row>
    <row r="617" spans="1:27" x14ac:dyDescent="0.2">
      <c r="A617" s="13" t="s">
        <v>45</v>
      </c>
      <c r="B617" s="48" t="s">
        <v>46</v>
      </c>
      <c r="C617" s="43"/>
      <c r="D617" s="43"/>
      <c r="E617" s="39"/>
      <c r="F617" s="49"/>
      <c r="G617" s="52">
        <v>0.09</v>
      </c>
      <c r="H617" s="53" t="s">
        <v>47</v>
      </c>
      <c r="I617" s="51">
        <f>G617*I616</f>
        <v>5174.0985000000001</v>
      </c>
      <c r="J617" s="13" t="s">
        <v>45</v>
      </c>
      <c r="K617" s="48" t="s">
        <v>46</v>
      </c>
      <c r="L617" s="43"/>
      <c r="M617" s="43"/>
      <c r="N617" s="151"/>
      <c r="O617" s="49"/>
      <c r="P617" s="52">
        <v>0.09</v>
      </c>
      <c r="Q617" s="53" t="s">
        <v>47</v>
      </c>
      <c r="R617" s="51">
        <f>P617*R616</f>
        <v>60.02335224383318</v>
      </c>
      <c r="S617" s="13" t="s">
        <v>45</v>
      </c>
      <c r="T617" s="48" t="s">
        <v>46</v>
      </c>
      <c r="U617" s="43"/>
      <c r="V617" s="43"/>
      <c r="W617" s="39"/>
      <c r="X617" s="49"/>
      <c r="Y617" s="52">
        <v>0.09</v>
      </c>
      <c r="Z617" s="53" t="s">
        <v>47</v>
      </c>
      <c r="AA617" s="51">
        <f>Y617*AA616</f>
        <v>60.339470910000003</v>
      </c>
    </row>
    <row r="618" spans="1:27" x14ac:dyDescent="0.2">
      <c r="A618" s="13" t="s">
        <v>48</v>
      </c>
      <c r="B618" s="48" t="s">
        <v>49</v>
      </c>
      <c r="C618" s="43"/>
      <c r="D618" s="43"/>
      <c r="E618" s="39"/>
      <c r="F618" s="49"/>
      <c r="G618" s="52">
        <v>0.08</v>
      </c>
      <c r="H618" s="53" t="s">
        <v>47</v>
      </c>
      <c r="I618" s="51">
        <f>G618*I616</f>
        <v>4599.1986666666671</v>
      </c>
      <c r="J618" s="13" t="s">
        <v>48</v>
      </c>
      <c r="K618" s="48" t="s">
        <v>49</v>
      </c>
      <c r="L618" s="43"/>
      <c r="M618" s="43"/>
      <c r="N618" s="151"/>
      <c r="O618" s="49"/>
      <c r="P618" s="52">
        <v>0.08</v>
      </c>
      <c r="Q618" s="53" t="s">
        <v>47</v>
      </c>
      <c r="R618" s="51">
        <f>P618*R616</f>
        <v>53.354090883407274</v>
      </c>
      <c r="S618" s="13" t="s">
        <v>48</v>
      </c>
      <c r="T618" s="48" t="s">
        <v>49</v>
      </c>
      <c r="U618" s="43"/>
      <c r="V618" s="43"/>
      <c r="W618" s="39"/>
      <c r="X618" s="49"/>
      <c r="Y618" s="52">
        <v>0.08</v>
      </c>
      <c r="Z618" s="53" t="s">
        <v>47</v>
      </c>
      <c r="AA618" s="51">
        <f>Y618*AA616</f>
        <v>53.635085253333337</v>
      </c>
    </row>
    <row r="619" spans="1:27" x14ac:dyDescent="0.2">
      <c r="A619" s="13" t="s">
        <v>50</v>
      </c>
      <c r="B619" s="48" t="s">
        <v>51</v>
      </c>
      <c r="C619" s="43"/>
      <c r="D619" s="43"/>
      <c r="E619" s="39"/>
      <c r="F619" s="49"/>
      <c r="G619" s="52">
        <v>0.05</v>
      </c>
      <c r="H619" s="53" t="s">
        <v>52</v>
      </c>
      <c r="I619" s="51">
        <f>G619*(I616+I617+I618)</f>
        <v>3363.1640250000005</v>
      </c>
      <c r="J619" s="13" t="s">
        <v>50</v>
      </c>
      <c r="K619" s="48" t="s">
        <v>51</v>
      </c>
      <c r="L619" s="43"/>
      <c r="M619" s="43"/>
      <c r="N619" s="151"/>
      <c r="O619" s="49"/>
      <c r="P619" s="52">
        <v>0.05</v>
      </c>
      <c r="Q619" s="53" t="s">
        <v>52</v>
      </c>
      <c r="R619" s="51">
        <f>P619*(R616+R617+R618)</f>
        <v>39.015178958491568</v>
      </c>
      <c r="S619" s="13" t="s">
        <v>50</v>
      </c>
      <c r="T619" s="48" t="s">
        <v>51</v>
      </c>
      <c r="U619" s="43"/>
      <c r="V619" s="43"/>
      <c r="W619" s="39"/>
      <c r="X619" s="49"/>
      <c r="Y619" s="52">
        <f>5/100</f>
        <v>0.05</v>
      </c>
      <c r="Z619" s="53" t="s">
        <v>52</v>
      </c>
      <c r="AA619" s="51">
        <f>Y619*(AA616+AA617+AA618)</f>
        <v>39.220656091500011</v>
      </c>
    </row>
    <row r="620" spans="1:27" x14ac:dyDescent="0.2">
      <c r="A620" s="54" t="s">
        <v>53</v>
      </c>
      <c r="B620" s="48" t="s">
        <v>54</v>
      </c>
      <c r="C620" s="43"/>
      <c r="D620" s="43"/>
      <c r="E620" s="39"/>
      <c r="F620" s="49"/>
      <c r="G620" s="49"/>
      <c r="H620" s="55" t="s">
        <v>55</v>
      </c>
      <c r="I620" s="51">
        <f>SUM(I616+I617+I618+I619)</f>
        <v>70626.444525000014</v>
      </c>
      <c r="J620" s="54" t="s">
        <v>53</v>
      </c>
      <c r="K620" s="48" t="s">
        <v>54</v>
      </c>
      <c r="L620" s="43"/>
      <c r="M620" s="43"/>
      <c r="N620" s="151"/>
      <c r="O620" s="49"/>
      <c r="P620" s="49"/>
      <c r="Q620" s="55" t="s">
        <v>55</v>
      </c>
      <c r="R620" s="51">
        <f>SUM(R616+R617+R618+R619)</f>
        <v>819.31875812832288</v>
      </c>
      <c r="S620" s="54" t="s">
        <v>53</v>
      </c>
      <c r="T620" s="48" t="s">
        <v>54</v>
      </c>
      <c r="U620" s="43"/>
      <c r="V620" s="43"/>
      <c r="W620" s="39"/>
      <c r="X620" s="49"/>
      <c r="Y620" s="49"/>
      <c r="Z620" s="55" t="s">
        <v>55</v>
      </c>
      <c r="AA620" s="51">
        <f>SUM(AA616+AA617+AA618+AA619)</f>
        <v>823.63377792150015</v>
      </c>
    </row>
    <row r="621" spans="1:27" s="1" customFormat="1" x14ac:dyDescent="0.2">
      <c r="A621" s="236" t="s">
        <v>0</v>
      </c>
      <c r="B621" s="236"/>
      <c r="C621" s="236"/>
      <c r="D621" s="236"/>
      <c r="E621" s="236"/>
      <c r="F621" s="236"/>
      <c r="G621" s="236"/>
      <c r="H621" s="236"/>
      <c r="I621" s="236"/>
      <c r="J621" s="236" t="s">
        <v>0</v>
      </c>
      <c r="K621" s="236"/>
      <c r="L621" s="236"/>
      <c r="M621" s="236"/>
      <c r="N621" s="236"/>
      <c r="O621" s="236"/>
      <c r="P621" s="236"/>
      <c r="Q621" s="236"/>
      <c r="R621" s="236"/>
      <c r="S621" s="236" t="s">
        <v>0</v>
      </c>
      <c r="T621" s="236"/>
      <c r="U621" s="236"/>
      <c r="V621" s="236"/>
      <c r="W621" s="236"/>
      <c r="X621" s="236"/>
      <c r="Y621" s="236"/>
      <c r="Z621" s="236"/>
      <c r="AA621" s="236"/>
    </row>
    <row r="622" spans="1:27" x14ac:dyDescent="0.2">
      <c r="S622" s="10"/>
      <c r="T622" s="3"/>
      <c r="U622" s="4"/>
      <c r="V622" s="4"/>
      <c r="W622" s="5"/>
      <c r="X622" s="3"/>
      <c r="Y622" s="3"/>
      <c r="Z622" s="3"/>
      <c r="AA622" s="3"/>
    </row>
    <row r="623" spans="1:27" x14ac:dyDescent="0.2">
      <c r="A623" s="2" t="s">
        <v>1</v>
      </c>
      <c r="C623" s="4" t="s">
        <v>2</v>
      </c>
      <c r="D623" s="5" t="s">
        <v>332</v>
      </c>
      <c r="E623" s="8" t="s">
        <v>333</v>
      </c>
      <c r="F623" s="8"/>
      <c r="G623" s="8"/>
      <c r="H623" s="8"/>
      <c r="J623" s="152" t="s">
        <v>1</v>
      </c>
      <c r="L623" s="4" t="s">
        <v>2</v>
      </c>
      <c r="M623" s="5" t="s">
        <v>334</v>
      </c>
      <c r="N623" s="237" t="s">
        <v>321</v>
      </c>
      <c r="O623" s="237"/>
      <c r="P623" s="237"/>
      <c r="Q623" s="237"/>
      <c r="S623" s="152" t="s">
        <v>1</v>
      </c>
      <c r="T623" s="3"/>
      <c r="U623" s="4" t="s">
        <v>2</v>
      </c>
      <c r="V623" s="5" t="s">
        <v>1269</v>
      </c>
      <c r="W623" s="237" t="s">
        <v>339</v>
      </c>
      <c r="X623" s="237"/>
      <c r="Y623" s="237"/>
      <c r="Z623" s="237"/>
      <c r="AA623" s="3"/>
    </row>
    <row r="624" spans="1:27" x14ac:dyDescent="0.2">
      <c r="A624" s="2" t="s">
        <v>7</v>
      </c>
      <c r="C624" s="4" t="s">
        <v>2</v>
      </c>
      <c r="E624" s="2" t="s">
        <v>239</v>
      </c>
      <c r="F624" s="8"/>
      <c r="G624" s="8"/>
      <c r="H624" s="8"/>
      <c r="J624" s="152" t="s">
        <v>7</v>
      </c>
      <c r="L624" s="4" t="s">
        <v>2</v>
      </c>
      <c r="N624" s="152" t="s">
        <v>8</v>
      </c>
      <c r="O624" s="8"/>
      <c r="P624" s="8"/>
      <c r="Q624" s="8"/>
      <c r="S624" s="152" t="s">
        <v>7</v>
      </c>
      <c r="T624" s="3"/>
      <c r="U624" s="4" t="s">
        <v>2</v>
      </c>
      <c r="V624" s="4"/>
      <c r="W624" s="152" t="s">
        <v>8</v>
      </c>
      <c r="X624" s="8"/>
      <c r="Y624" s="8"/>
      <c r="Z624" s="8"/>
      <c r="AA624" s="3"/>
    </row>
    <row r="625" spans="1:27" x14ac:dyDescent="0.2">
      <c r="A625" s="2" t="s">
        <v>10</v>
      </c>
      <c r="C625" s="4" t="s">
        <v>2</v>
      </c>
      <c r="E625" s="9">
        <v>16</v>
      </c>
      <c r="F625" s="8"/>
      <c r="G625" s="8"/>
      <c r="H625" s="8"/>
      <c r="J625" s="152" t="s">
        <v>10</v>
      </c>
      <c r="L625" s="4" t="s">
        <v>2</v>
      </c>
      <c r="N625" s="9">
        <v>171.3</v>
      </c>
      <c r="O625" s="8"/>
      <c r="P625" s="8"/>
      <c r="Q625" s="8"/>
      <c r="S625" s="152" t="s">
        <v>10</v>
      </c>
      <c r="T625" s="3"/>
      <c r="U625" s="4" t="s">
        <v>2</v>
      </c>
      <c r="V625" s="4"/>
      <c r="W625" s="9">
        <v>12</v>
      </c>
      <c r="X625" s="8"/>
      <c r="Y625" s="8"/>
      <c r="Z625" s="8"/>
      <c r="AA625" s="3"/>
    </row>
    <row r="626" spans="1:27" x14ac:dyDescent="0.2">
      <c r="B626" s="8"/>
      <c r="F626" s="11"/>
      <c r="G626" s="8"/>
      <c r="H626" s="8"/>
      <c r="I626" s="8"/>
      <c r="K626" s="8"/>
      <c r="O626" s="11"/>
      <c r="P626" s="8"/>
      <c r="Q626" s="8"/>
      <c r="R626" s="8"/>
      <c r="S626" s="10"/>
      <c r="T626" s="8"/>
      <c r="U626" s="4"/>
      <c r="V626" s="4"/>
      <c r="W626" s="5"/>
      <c r="X626" s="11"/>
      <c r="Y626" s="8"/>
      <c r="Z626" s="8"/>
      <c r="AA626" s="8"/>
    </row>
    <row r="627" spans="1:27" x14ac:dyDescent="0.2">
      <c r="A627" s="12"/>
      <c r="B627" s="238" t="s">
        <v>11</v>
      </c>
      <c r="C627" s="239"/>
      <c r="D627" s="239"/>
      <c r="E627" s="240"/>
      <c r="F627" s="244" t="s">
        <v>12</v>
      </c>
      <c r="G627" s="244" t="s">
        <v>13</v>
      </c>
      <c r="H627" s="244" t="s">
        <v>14</v>
      </c>
      <c r="I627" s="246" t="s">
        <v>15</v>
      </c>
      <c r="J627" s="12"/>
      <c r="K627" s="238" t="s">
        <v>11</v>
      </c>
      <c r="L627" s="239"/>
      <c r="M627" s="239"/>
      <c r="N627" s="240"/>
      <c r="O627" s="244" t="s">
        <v>12</v>
      </c>
      <c r="P627" s="244" t="s">
        <v>13</v>
      </c>
      <c r="Q627" s="244" t="s">
        <v>14</v>
      </c>
      <c r="R627" s="246" t="s">
        <v>15</v>
      </c>
      <c r="S627" s="12"/>
      <c r="T627" s="238" t="s">
        <v>11</v>
      </c>
      <c r="U627" s="239"/>
      <c r="V627" s="239"/>
      <c r="W627" s="240"/>
      <c r="X627" s="244" t="s">
        <v>12</v>
      </c>
      <c r="Y627" s="244" t="s">
        <v>13</v>
      </c>
      <c r="Z627" s="244" t="s">
        <v>14</v>
      </c>
      <c r="AA627" s="246" t="s">
        <v>15</v>
      </c>
    </row>
    <row r="628" spans="1:27" x14ac:dyDescent="0.2">
      <c r="A628" s="13"/>
      <c r="B628" s="241"/>
      <c r="C628" s="242"/>
      <c r="D628" s="242"/>
      <c r="E628" s="243"/>
      <c r="F628" s="245"/>
      <c r="G628" s="245"/>
      <c r="H628" s="245"/>
      <c r="I628" s="247"/>
      <c r="J628" s="13"/>
      <c r="K628" s="241"/>
      <c r="L628" s="242"/>
      <c r="M628" s="242"/>
      <c r="N628" s="243"/>
      <c r="O628" s="245"/>
      <c r="P628" s="245"/>
      <c r="Q628" s="245"/>
      <c r="R628" s="247"/>
      <c r="S628" s="13"/>
      <c r="T628" s="241"/>
      <c r="U628" s="242"/>
      <c r="V628" s="242"/>
      <c r="W628" s="243"/>
      <c r="X628" s="245"/>
      <c r="Y628" s="245"/>
      <c r="Z628" s="245"/>
      <c r="AA628" s="247"/>
    </row>
    <row r="629" spans="1:27" x14ac:dyDescent="0.2">
      <c r="A629" s="13" t="s">
        <v>16</v>
      </c>
      <c r="B629" s="14" t="s">
        <v>17</v>
      </c>
      <c r="C629" s="15"/>
      <c r="D629" s="15"/>
      <c r="E629" s="16"/>
      <c r="F629" s="17"/>
      <c r="G629" s="17"/>
      <c r="H629" s="17"/>
      <c r="I629" s="17"/>
      <c r="J629" s="13" t="s">
        <v>16</v>
      </c>
      <c r="K629" s="14" t="s">
        <v>17</v>
      </c>
      <c r="L629" s="15"/>
      <c r="M629" s="15"/>
      <c r="N629" s="16"/>
      <c r="O629" s="17"/>
      <c r="P629" s="17"/>
      <c r="Q629" s="17"/>
      <c r="R629" s="17"/>
      <c r="S629" s="13" t="s">
        <v>16</v>
      </c>
      <c r="T629" s="14" t="s">
        <v>17</v>
      </c>
      <c r="U629" s="15"/>
      <c r="V629" s="15"/>
      <c r="W629" s="16"/>
      <c r="X629" s="17"/>
      <c r="Y629" s="17"/>
      <c r="Z629" s="17"/>
      <c r="AA629" s="17"/>
    </row>
    <row r="630" spans="1:27" x14ac:dyDescent="0.2">
      <c r="A630" s="13"/>
      <c r="B630" s="18"/>
      <c r="C630" s="19"/>
      <c r="D630" s="19"/>
      <c r="E630" s="20"/>
      <c r="F630" s="21"/>
      <c r="G630" s="22"/>
      <c r="H630" s="21"/>
      <c r="I630" s="21"/>
      <c r="J630" s="13"/>
      <c r="K630" s="24" t="s">
        <v>18</v>
      </c>
      <c r="L630" s="25"/>
      <c r="M630" s="25"/>
      <c r="N630" s="171" t="s">
        <v>1217</v>
      </c>
      <c r="O630" s="22">
        <v>1</v>
      </c>
      <c r="P630" s="23">
        <v>1</v>
      </c>
      <c r="Q630" s="23">
        <v>69.42</v>
      </c>
      <c r="R630" s="23">
        <f t="shared" ref="R630" si="35">P630*Q630*O630</f>
        <v>69.42</v>
      </c>
      <c r="S630" s="13"/>
      <c r="T630" s="18"/>
      <c r="U630" s="19"/>
      <c r="V630" s="19"/>
      <c r="W630" s="20"/>
      <c r="X630" s="21"/>
      <c r="Y630" s="22"/>
      <c r="Z630" s="21"/>
      <c r="AA630" s="21"/>
    </row>
    <row r="631" spans="1:27" x14ac:dyDescent="0.2">
      <c r="A631" s="13"/>
      <c r="B631" s="24" t="s">
        <v>18</v>
      </c>
      <c r="C631" s="25"/>
      <c r="D631" s="25"/>
      <c r="E631" s="26"/>
      <c r="F631" s="22">
        <v>1</v>
      </c>
      <c r="G631" s="62">
        <v>1</v>
      </c>
      <c r="H631" s="23">
        <v>69.42</v>
      </c>
      <c r="I631" s="23">
        <f>F631*G631*H631</f>
        <v>69.42</v>
      </c>
      <c r="J631" s="13"/>
      <c r="K631" s="153" t="s">
        <v>1178</v>
      </c>
      <c r="L631" s="154"/>
      <c r="M631" s="25"/>
      <c r="N631" s="171" t="s">
        <v>1218</v>
      </c>
      <c r="O631" s="22">
        <v>4</v>
      </c>
      <c r="P631" s="23">
        <v>1</v>
      </c>
      <c r="Q631" s="23">
        <v>50.18</v>
      </c>
      <c r="R631" s="23">
        <f>P631*Q631*O631</f>
        <v>200.72</v>
      </c>
      <c r="S631" s="13"/>
      <c r="T631" s="24" t="s">
        <v>18</v>
      </c>
      <c r="U631" s="25"/>
      <c r="V631" s="25"/>
      <c r="W631" s="26"/>
      <c r="X631" s="22">
        <v>1</v>
      </c>
      <c r="Y631" s="23">
        <v>1</v>
      </c>
      <c r="Z631" s="23">
        <v>69.42</v>
      </c>
      <c r="AA631" s="23">
        <f>Y631*Z631*X631</f>
        <v>69.42</v>
      </c>
    </row>
    <row r="632" spans="1:27" x14ac:dyDescent="0.2">
      <c r="A632" s="13"/>
      <c r="B632" s="24" t="s">
        <v>1179</v>
      </c>
      <c r="C632" s="25"/>
      <c r="D632" s="25"/>
      <c r="E632" s="26"/>
      <c r="F632" s="22">
        <v>20</v>
      </c>
      <c r="G632" s="62">
        <v>1</v>
      </c>
      <c r="H632" s="23">
        <v>38.97</v>
      </c>
      <c r="I632" s="23">
        <f>F632*G632*H632</f>
        <v>779.4</v>
      </c>
      <c r="J632" s="13"/>
      <c r="K632" s="153" t="s">
        <v>1177</v>
      </c>
      <c r="L632" s="154"/>
      <c r="M632" s="19"/>
      <c r="N632" s="20"/>
      <c r="O632" s="22">
        <v>8</v>
      </c>
      <c r="P632" s="23">
        <v>1</v>
      </c>
      <c r="Q632" s="23">
        <v>38.97</v>
      </c>
      <c r="R632" s="23">
        <f t="shared" ref="R632:R637" si="36">P632*Q632*O632</f>
        <v>311.76</v>
      </c>
      <c r="S632" s="13"/>
      <c r="T632" s="257" t="s">
        <v>1178</v>
      </c>
      <c r="U632" s="258"/>
      <c r="V632" s="25"/>
      <c r="W632" s="26"/>
      <c r="X632" s="22">
        <v>8</v>
      </c>
      <c r="Y632" s="23">
        <v>1</v>
      </c>
      <c r="Z632" s="23">
        <v>50.18</v>
      </c>
      <c r="AA632" s="23">
        <f>Y632*Z632*X632</f>
        <v>401.44</v>
      </c>
    </row>
    <row r="633" spans="1:27" x14ac:dyDescent="0.2">
      <c r="A633" s="13"/>
      <c r="B633" s="27"/>
      <c r="C633" s="19"/>
      <c r="D633" s="19"/>
      <c r="E633" s="20"/>
      <c r="F633" s="22"/>
      <c r="G633" s="22"/>
      <c r="H633" s="28"/>
      <c r="I633" s="23"/>
      <c r="J633" s="13"/>
      <c r="K633" s="153" t="s">
        <v>1219</v>
      </c>
      <c r="L633" s="19"/>
      <c r="M633" s="19"/>
      <c r="N633" s="157" t="s">
        <v>1240</v>
      </c>
      <c r="O633" s="22">
        <v>1</v>
      </c>
      <c r="P633" s="23">
        <v>1</v>
      </c>
      <c r="Q633" s="29"/>
      <c r="R633" s="23">
        <f t="shared" si="36"/>
        <v>0</v>
      </c>
      <c r="S633" s="13"/>
      <c r="T633" s="257" t="s">
        <v>1177</v>
      </c>
      <c r="U633" s="258"/>
      <c r="V633" s="19"/>
      <c r="W633" s="20"/>
      <c r="X633" s="22">
        <v>16</v>
      </c>
      <c r="Y633" s="23">
        <v>1</v>
      </c>
      <c r="Z633" s="23">
        <v>38.97</v>
      </c>
      <c r="AA633" s="23">
        <f>Y633*Z633*X633</f>
        <v>623.52</v>
      </c>
    </row>
    <row r="634" spans="1:27" x14ac:dyDescent="0.2">
      <c r="A634" s="13"/>
      <c r="B634" s="27"/>
      <c r="C634" s="19"/>
      <c r="D634" s="19"/>
      <c r="E634" s="20"/>
      <c r="F634" s="22"/>
      <c r="G634" s="22"/>
      <c r="H634" s="29"/>
      <c r="I634" s="30"/>
      <c r="J634" s="13"/>
      <c r="K634" s="153" t="s">
        <v>1220</v>
      </c>
      <c r="L634" s="19"/>
      <c r="M634" s="19"/>
      <c r="N634" s="157" t="s">
        <v>1241</v>
      </c>
      <c r="O634" s="22">
        <v>1</v>
      </c>
      <c r="P634" s="23">
        <v>1</v>
      </c>
      <c r="Q634" s="29"/>
      <c r="R634" s="23">
        <f t="shared" si="36"/>
        <v>0</v>
      </c>
      <c r="S634" s="13"/>
      <c r="T634" s="153"/>
      <c r="U634" s="19"/>
      <c r="V634" s="19"/>
      <c r="W634" s="20"/>
      <c r="X634" s="22"/>
      <c r="Y634" s="22"/>
      <c r="Z634" s="29"/>
      <c r="AA634" s="30"/>
    </row>
    <row r="635" spans="1:27" x14ac:dyDescent="0.2">
      <c r="A635" s="13"/>
      <c r="B635" s="27"/>
      <c r="C635" s="19"/>
      <c r="D635" s="19"/>
      <c r="E635" s="20"/>
      <c r="F635" s="22"/>
      <c r="G635" s="22"/>
      <c r="H635" s="29"/>
      <c r="I635" s="30"/>
      <c r="J635" s="13"/>
      <c r="K635" s="153" t="s">
        <v>1221</v>
      </c>
      <c r="L635" s="19"/>
      <c r="M635" s="19"/>
      <c r="N635" s="157" t="s">
        <v>1242</v>
      </c>
      <c r="O635" s="22">
        <v>1</v>
      </c>
      <c r="P635" s="23">
        <v>1</v>
      </c>
      <c r="Q635" s="29"/>
      <c r="R635" s="23">
        <f t="shared" si="36"/>
        <v>0</v>
      </c>
      <c r="S635" s="13"/>
      <c r="T635" s="153"/>
      <c r="U635" s="19"/>
      <c r="V635" s="19"/>
      <c r="W635" s="20"/>
      <c r="X635" s="22"/>
      <c r="Y635" s="22"/>
      <c r="Z635" s="29"/>
      <c r="AA635" s="30"/>
    </row>
    <row r="636" spans="1:27" x14ac:dyDescent="0.2">
      <c r="A636" s="13"/>
      <c r="B636" s="18"/>
      <c r="C636" s="19"/>
      <c r="D636" s="19"/>
      <c r="E636" s="20"/>
      <c r="F636" s="22"/>
      <c r="G636" s="22"/>
      <c r="H636" s="28"/>
      <c r="I636" s="23"/>
      <c r="J636" s="13"/>
      <c r="K636" s="18" t="s">
        <v>1222</v>
      </c>
      <c r="L636" s="19"/>
      <c r="M636" s="19"/>
      <c r="N636" s="20"/>
      <c r="O636" s="22">
        <v>1</v>
      </c>
      <c r="P636" s="23">
        <v>1</v>
      </c>
      <c r="Q636" s="28"/>
      <c r="R636" s="23">
        <f t="shared" si="36"/>
        <v>0</v>
      </c>
      <c r="S636" s="13"/>
      <c r="T636" s="18"/>
      <c r="U636" s="19"/>
      <c r="V636" s="19"/>
      <c r="W636" s="20"/>
      <c r="X636" s="22"/>
      <c r="Y636" s="22"/>
      <c r="Z636" s="28"/>
      <c r="AA636" s="23"/>
    </row>
    <row r="637" spans="1:27" x14ac:dyDescent="0.2">
      <c r="A637" s="13"/>
      <c r="B637" s="18"/>
      <c r="C637" s="19"/>
      <c r="D637" s="19"/>
      <c r="E637" s="20"/>
      <c r="F637" s="22"/>
      <c r="G637" s="22"/>
      <c r="H637" s="23"/>
      <c r="I637" s="23"/>
      <c r="J637" s="13"/>
      <c r="K637" s="18" t="s">
        <v>1223</v>
      </c>
      <c r="L637" s="19"/>
      <c r="M637" s="19"/>
      <c r="N637" s="20"/>
      <c r="O637" s="22">
        <v>4</v>
      </c>
      <c r="P637" s="23">
        <v>1</v>
      </c>
      <c r="Q637" s="23"/>
      <c r="R637" s="23">
        <f t="shared" si="36"/>
        <v>0</v>
      </c>
      <c r="S637" s="13"/>
      <c r="T637" s="18"/>
      <c r="U637" s="19"/>
      <c r="V637" s="19"/>
      <c r="W637" s="20"/>
      <c r="X637" s="22"/>
      <c r="Y637" s="22"/>
      <c r="Z637" s="23"/>
      <c r="AA637" s="23"/>
    </row>
    <row r="638" spans="1:27" x14ac:dyDescent="0.2">
      <c r="A638" s="13"/>
      <c r="B638" s="248" t="s">
        <v>20</v>
      </c>
      <c r="C638" s="249"/>
      <c r="D638" s="249"/>
      <c r="E638" s="250"/>
      <c r="F638" s="31"/>
      <c r="G638" s="31"/>
      <c r="H638" s="32"/>
      <c r="I638" s="32">
        <f>SUM(I631:I637)</f>
        <v>848.81999999999994</v>
      </c>
      <c r="J638" s="13"/>
      <c r="K638" s="248" t="s">
        <v>20</v>
      </c>
      <c r="L638" s="249"/>
      <c r="M638" s="249"/>
      <c r="N638" s="250"/>
      <c r="O638" s="31"/>
      <c r="P638" s="31"/>
      <c r="Q638" s="32"/>
      <c r="R638" s="32">
        <f>SUM(R630:R637)</f>
        <v>581.9</v>
      </c>
      <c r="S638" s="13"/>
      <c r="T638" s="248" t="s">
        <v>20</v>
      </c>
      <c r="U638" s="249"/>
      <c r="V638" s="249"/>
      <c r="W638" s="250"/>
      <c r="X638" s="31"/>
      <c r="Y638" s="31"/>
      <c r="Z638" s="32"/>
      <c r="AA638" s="32">
        <f>SUM(AA631:AA637)</f>
        <v>1094.3800000000001</v>
      </c>
    </row>
    <row r="639" spans="1:27" x14ac:dyDescent="0.2">
      <c r="A639" s="12"/>
      <c r="B639" s="251" t="s">
        <v>21</v>
      </c>
      <c r="C639" s="252"/>
      <c r="D639" s="252"/>
      <c r="E639" s="253"/>
      <c r="F639" s="244" t="s">
        <v>22</v>
      </c>
      <c r="G639" s="244" t="s">
        <v>13</v>
      </c>
      <c r="H639" s="244" t="s">
        <v>14</v>
      </c>
      <c r="I639" s="246" t="s">
        <v>15</v>
      </c>
      <c r="J639" s="12"/>
      <c r="K639" s="251" t="s">
        <v>21</v>
      </c>
      <c r="L639" s="252"/>
      <c r="M639" s="252"/>
      <c r="N639" s="253"/>
      <c r="O639" s="244" t="s">
        <v>22</v>
      </c>
      <c r="P639" s="244" t="s">
        <v>13</v>
      </c>
      <c r="Q639" s="244" t="s">
        <v>14</v>
      </c>
      <c r="R639" s="246" t="s">
        <v>15</v>
      </c>
      <c r="S639" s="12"/>
      <c r="T639" s="251" t="s">
        <v>21</v>
      </c>
      <c r="U639" s="252"/>
      <c r="V639" s="252"/>
      <c r="W639" s="253"/>
      <c r="X639" s="244" t="s">
        <v>22</v>
      </c>
      <c r="Y639" s="244" t="s">
        <v>13</v>
      </c>
      <c r="Z639" s="244" t="s">
        <v>14</v>
      </c>
      <c r="AA639" s="246" t="s">
        <v>15</v>
      </c>
    </row>
    <row r="640" spans="1:27" x14ac:dyDescent="0.2">
      <c r="A640" s="13"/>
      <c r="B640" s="254"/>
      <c r="C640" s="255"/>
      <c r="D640" s="255"/>
      <c r="E640" s="256"/>
      <c r="F640" s="245"/>
      <c r="G640" s="245"/>
      <c r="H640" s="245"/>
      <c r="I640" s="247"/>
      <c r="J640" s="13"/>
      <c r="K640" s="254"/>
      <c r="L640" s="255"/>
      <c r="M640" s="255"/>
      <c r="N640" s="256"/>
      <c r="O640" s="245"/>
      <c r="P640" s="245"/>
      <c r="Q640" s="245"/>
      <c r="R640" s="247"/>
      <c r="S640" s="13"/>
      <c r="T640" s="254"/>
      <c r="U640" s="255"/>
      <c r="V640" s="255"/>
      <c r="W640" s="256"/>
      <c r="X640" s="245"/>
      <c r="Y640" s="245"/>
      <c r="Z640" s="245"/>
      <c r="AA640" s="247"/>
    </row>
    <row r="641" spans="1:27" x14ac:dyDescent="0.2">
      <c r="A641" s="13" t="s">
        <v>23</v>
      </c>
      <c r="B641" s="33" t="s">
        <v>24</v>
      </c>
      <c r="C641" s="15"/>
      <c r="D641" s="15"/>
      <c r="E641" s="16"/>
      <c r="F641" s="34"/>
      <c r="G641" s="34"/>
      <c r="H641" s="35"/>
      <c r="I641" s="35"/>
      <c r="J641" s="13" t="s">
        <v>23</v>
      </c>
      <c r="K641" s="33" t="s">
        <v>24</v>
      </c>
      <c r="L641" s="15"/>
      <c r="M641" s="15"/>
      <c r="N641" s="16"/>
      <c r="O641" s="34"/>
      <c r="P641" s="34"/>
      <c r="Q641" s="35"/>
      <c r="R641" s="35"/>
      <c r="S641" s="13" t="s">
        <v>23</v>
      </c>
      <c r="T641" s="33" t="s">
        <v>24</v>
      </c>
      <c r="U641" s="15"/>
      <c r="V641" s="15"/>
      <c r="W641" s="16"/>
      <c r="X641" s="34"/>
      <c r="Y641" s="34"/>
      <c r="Z641" s="35"/>
      <c r="AA641" s="35"/>
    </row>
    <row r="642" spans="1:27" x14ac:dyDescent="0.2">
      <c r="A642" s="13"/>
      <c r="B642" s="18"/>
      <c r="C642" s="19"/>
      <c r="D642" s="19"/>
      <c r="E642" s="20"/>
      <c r="F642" s="22"/>
      <c r="G642" s="22"/>
      <c r="H642" s="23"/>
      <c r="I642" s="23"/>
      <c r="J642" s="13"/>
      <c r="K642" s="18"/>
      <c r="L642" s="19"/>
      <c r="M642" s="19"/>
      <c r="N642" s="20"/>
      <c r="O642" s="22"/>
      <c r="P642" s="22"/>
      <c r="Q642" s="23"/>
      <c r="R642" s="23"/>
      <c r="S642" s="13"/>
      <c r="T642" s="18"/>
      <c r="U642" s="19"/>
      <c r="V642" s="19"/>
      <c r="W642" s="20"/>
      <c r="X642" s="22"/>
      <c r="Y642" s="22"/>
      <c r="Z642" s="23"/>
      <c r="AA642" s="23"/>
    </row>
    <row r="643" spans="1:27" x14ac:dyDescent="0.2">
      <c r="A643" s="13"/>
      <c r="B643" s="18" t="s">
        <v>1173</v>
      </c>
      <c r="C643" s="19"/>
      <c r="D643" s="19"/>
      <c r="E643" s="20"/>
      <c r="F643" s="22">
        <v>1</v>
      </c>
      <c r="G643" s="23">
        <v>1</v>
      </c>
      <c r="H643" s="37">
        <v>1846</v>
      </c>
      <c r="I643" s="23">
        <f>F643*G643*H643</f>
        <v>1846</v>
      </c>
      <c r="J643" s="13"/>
      <c r="K643" s="18" t="s">
        <v>275</v>
      </c>
      <c r="L643" s="19"/>
      <c r="M643" s="19"/>
      <c r="N643" s="20"/>
      <c r="O643" s="22">
        <v>1</v>
      </c>
      <c r="P643" s="23">
        <v>1</v>
      </c>
      <c r="Q643" s="37">
        <v>1833</v>
      </c>
      <c r="R643" s="37">
        <f t="shared" ref="R643:R649" si="37">P643*Q643*O643</f>
        <v>1833</v>
      </c>
      <c r="S643" s="13"/>
      <c r="T643" s="18" t="s">
        <v>621</v>
      </c>
      <c r="U643" s="19"/>
      <c r="V643" s="19"/>
      <c r="W643" s="20"/>
      <c r="X643" s="22">
        <v>2</v>
      </c>
      <c r="Y643" s="23">
        <v>1</v>
      </c>
      <c r="Z643" s="37">
        <v>91.25</v>
      </c>
      <c r="AA643" s="37">
        <f t="shared" ref="AA643" si="38">Y643*Z643*X643</f>
        <v>182.5</v>
      </c>
    </row>
    <row r="644" spans="1:27" x14ac:dyDescent="0.2">
      <c r="A644" s="13"/>
      <c r="B644" s="18" t="s">
        <v>1174</v>
      </c>
      <c r="C644" s="19"/>
      <c r="D644" s="19"/>
      <c r="E644" s="20"/>
      <c r="F644" s="22">
        <v>1</v>
      </c>
      <c r="G644" s="23">
        <v>0.25</v>
      </c>
      <c r="H644" s="37">
        <v>2450</v>
      </c>
      <c r="I644" s="23">
        <f>F644*G644*H644</f>
        <v>612.5</v>
      </c>
      <c r="J644" s="13"/>
      <c r="K644" s="18" t="s">
        <v>276</v>
      </c>
      <c r="L644" s="19"/>
      <c r="M644" s="19"/>
      <c r="N644" s="20"/>
      <c r="O644" s="22">
        <v>1</v>
      </c>
      <c r="P644" s="23">
        <v>1</v>
      </c>
      <c r="Q644" s="37">
        <v>561</v>
      </c>
      <c r="R644" s="37">
        <f t="shared" si="37"/>
        <v>561</v>
      </c>
      <c r="S644" s="13"/>
      <c r="T644" s="18" t="s">
        <v>1270</v>
      </c>
      <c r="U644" s="19"/>
      <c r="V644" s="19"/>
      <c r="W644" s="20"/>
      <c r="X644" s="22">
        <v>1</v>
      </c>
      <c r="Y644" s="23">
        <v>0.05</v>
      </c>
      <c r="Z644" s="37">
        <v>32.630000000000003</v>
      </c>
      <c r="AA644" s="37">
        <f t="shared" ref="AA644:AA645" si="39">Y644*Z644*X644</f>
        <v>1.6315000000000002</v>
      </c>
    </row>
    <row r="645" spans="1:27" x14ac:dyDescent="0.2">
      <c r="A645" s="13"/>
      <c r="B645" s="18"/>
      <c r="C645" s="19"/>
      <c r="D645" s="19"/>
      <c r="E645" s="20"/>
      <c r="F645" s="22"/>
      <c r="G645" s="23"/>
      <c r="H645" s="37"/>
      <c r="I645" s="23"/>
      <c r="J645" s="13"/>
      <c r="K645" s="18" t="s">
        <v>277</v>
      </c>
      <c r="L645" s="19"/>
      <c r="M645" s="19"/>
      <c r="N645" s="20"/>
      <c r="O645" s="22">
        <v>1</v>
      </c>
      <c r="P645" s="23">
        <v>1</v>
      </c>
      <c r="Q645" s="37">
        <v>1652</v>
      </c>
      <c r="R645" s="37">
        <f t="shared" si="37"/>
        <v>1652</v>
      </c>
      <c r="S645" s="13"/>
      <c r="T645" s="18" t="s">
        <v>1271</v>
      </c>
      <c r="U645" s="19"/>
      <c r="V645" s="19"/>
      <c r="W645" s="20"/>
      <c r="X645" s="22">
        <v>1</v>
      </c>
      <c r="Y645" s="23">
        <v>0.1</v>
      </c>
      <c r="Z645" s="37">
        <v>219.75</v>
      </c>
      <c r="AA645" s="37">
        <f t="shared" si="39"/>
        <v>21.975000000000001</v>
      </c>
    </row>
    <row r="646" spans="1:27" x14ac:dyDescent="0.2">
      <c r="A646" s="13"/>
      <c r="B646" s="18"/>
      <c r="C646" s="19"/>
      <c r="D646" s="19"/>
      <c r="E646" s="20"/>
      <c r="F646" s="22"/>
      <c r="G646" s="23"/>
      <c r="H646" s="37"/>
      <c r="I646" s="23"/>
      <c r="J646" s="13"/>
      <c r="K646" s="18" t="s">
        <v>1140</v>
      </c>
      <c r="O646" s="22">
        <v>2</v>
      </c>
      <c r="P646" s="23">
        <v>1</v>
      </c>
      <c r="Q646" s="37">
        <v>1420</v>
      </c>
      <c r="R646" s="37">
        <f t="shared" si="37"/>
        <v>2840</v>
      </c>
      <c r="S646" s="13"/>
      <c r="T646" s="18" t="s">
        <v>1195</v>
      </c>
      <c r="U646" s="19"/>
      <c r="V646" s="19"/>
      <c r="W646" s="20"/>
      <c r="X646" s="22"/>
      <c r="Y646" s="36"/>
      <c r="Z646" s="3"/>
      <c r="AA646" s="37">
        <f>AA638*0.05</f>
        <v>54.719000000000008</v>
      </c>
    </row>
    <row r="647" spans="1:27" x14ac:dyDescent="0.2">
      <c r="A647" s="13"/>
      <c r="B647" s="18"/>
      <c r="C647" s="19"/>
      <c r="D647" s="19"/>
      <c r="E647" s="20"/>
      <c r="F647" s="22"/>
      <c r="G647" s="36"/>
      <c r="H647" s="37"/>
      <c r="I647" s="23"/>
      <c r="J647" s="13"/>
      <c r="K647" s="18" t="s">
        <v>278</v>
      </c>
      <c r="L647" s="19"/>
      <c r="M647" s="19"/>
      <c r="N647" s="20"/>
      <c r="O647" s="22">
        <v>1</v>
      </c>
      <c r="P647" s="23">
        <v>1</v>
      </c>
      <c r="Q647" s="37">
        <v>4286.63</v>
      </c>
      <c r="R647" s="37">
        <f t="shared" si="37"/>
        <v>4286.63</v>
      </c>
      <c r="S647" s="13"/>
      <c r="T647" s="18"/>
      <c r="U647" s="19"/>
      <c r="V647" s="19"/>
      <c r="W647" s="20"/>
      <c r="X647" s="22"/>
      <c r="Y647" s="36"/>
      <c r="Z647" s="37"/>
    </row>
    <row r="648" spans="1:27" x14ac:dyDescent="0.2">
      <c r="A648" s="13"/>
      <c r="B648" s="18"/>
      <c r="C648" s="19"/>
      <c r="D648" s="19"/>
      <c r="E648" s="20"/>
      <c r="F648" s="22"/>
      <c r="G648" s="36"/>
      <c r="H648" s="38"/>
      <c r="I648" s="38"/>
      <c r="J648" s="13"/>
      <c r="K648" s="18" t="s">
        <v>1206</v>
      </c>
      <c r="L648" s="19"/>
      <c r="M648" s="19"/>
      <c r="N648" s="20"/>
      <c r="O648" s="22">
        <v>1</v>
      </c>
      <c r="P648" s="23">
        <v>1</v>
      </c>
      <c r="Q648" s="37">
        <v>2450</v>
      </c>
      <c r="R648" s="37">
        <f t="shared" si="37"/>
        <v>2450</v>
      </c>
      <c r="S648" s="13"/>
      <c r="T648" s="18"/>
      <c r="U648" s="19"/>
      <c r="V648" s="19"/>
      <c r="W648" s="20"/>
      <c r="X648" s="22"/>
      <c r="Y648" s="23"/>
      <c r="Z648" s="37"/>
      <c r="AA648" s="37"/>
    </row>
    <row r="649" spans="1:27" x14ac:dyDescent="0.2">
      <c r="A649" s="13"/>
      <c r="B649" s="18"/>
      <c r="C649" s="19"/>
      <c r="D649" s="19"/>
      <c r="E649" s="20"/>
      <c r="F649" s="22"/>
      <c r="G649" s="36"/>
      <c r="H649" s="37"/>
      <c r="I649" s="37"/>
      <c r="J649" s="13"/>
      <c r="K649" s="18" t="s">
        <v>279</v>
      </c>
      <c r="L649" s="19"/>
      <c r="M649" s="19"/>
      <c r="N649" s="20"/>
      <c r="O649" s="22">
        <v>1</v>
      </c>
      <c r="P649" s="23">
        <v>1</v>
      </c>
      <c r="Q649" s="37">
        <v>1733</v>
      </c>
      <c r="R649" s="37">
        <f t="shared" si="37"/>
        <v>1733</v>
      </c>
      <c r="S649" s="13"/>
      <c r="T649" s="18"/>
      <c r="U649" s="19"/>
      <c r="V649" s="19"/>
      <c r="W649" s="20"/>
      <c r="X649" s="22"/>
      <c r="Y649" s="23"/>
      <c r="Z649" s="37"/>
      <c r="AA649" s="37"/>
    </row>
    <row r="650" spans="1:27" x14ac:dyDescent="0.2">
      <c r="A650" s="13"/>
      <c r="B650" s="18"/>
      <c r="C650" s="19"/>
      <c r="D650" s="19"/>
      <c r="E650" s="20"/>
      <c r="F650" s="22"/>
      <c r="G650" s="36"/>
      <c r="H650" s="38"/>
      <c r="I650" s="38"/>
      <c r="J650" s="13"/>
      <c r="K650" s="18" t="s">
        <v>1192</v>
      </c>
      <c r="L650" s="19"/>
      <c r="M650" s="19"/>
      <c r="N650" s="20"/>
      <c r="O650" s="22"/>
      <c r="P650" s="36"/>
      <c r="R650" s="37">
        <f>0.1*R638</f>
        <v>58.19</v>
      </c>
      <c r="S650" s="13"/>
      <c r="T650" s="18"/>
      <c r="U650" s="19"/>
      <c r="V650" s="19"/>
      <c r="W650" s="20"/>
      <c r="X650" s="22"/>
      <c r="Y650" s="23"/>
      <c r="Z650" s="37"/>
      <c r="AA650" s="37"/>
    </row>
    <row r="651" spans="1:27" x14ac:dyDescent="0.2">
      <c r="A651" s="13"/>
      <c r="B651" s="18"/>
      <c r="C651" s="19"/>
      <c r="D651" s="19"/>
      <c r="E651" s="20"/>
      <c r="F651" s="22"/>
      <c r="G651" s="36"/>
      <c r="H651" s="38"/>
      <c r="I651" s="38"/>
      <c r="J651" s="13"/>
      <c r="K651" s="18"/>
      <c r="L651" s="19"/>
      <c r="M651" s="19"/>
      <c r="N651" s="20"/>
      <c r="O651" s="22"/>
      <c r="P651" s="36"/>
      <c r="Q651" s="38"/>
      <c r="R651" s="38"/>
      <c r="S651" s="13"/>
      <c r="T651" s="18"/>
      <c r="U651" s="19"/>
      <c r="V651" s="19"/>
      <c r="W651" s="20"/>
      <c r="X651" s="22"/>
      <c r="Y651" s="36"/>
      <c r="Z651" s="37"/>
      <c r="AA651" s="3"/>
    </row>
    <row r="652" spans="1:27" x14ac:dyDescent="0.2">
      <c r="A652" s="13"/>
      <c r="B652" s="18"/>
      <c r="C652" s="19"/>
      <c r="D652" s="19"/>
      <c r="E652" s="20"/>
      <c r="F652" s="22"/>
      <c r="G652" s="36"/>
      <c r="H652" s="37"/>
      <c r="I652" s="37"/>
      <c r="J652" s="13"/>
      <c r="K652" s="18"/>
      <c r="L652" s="19"/>
      <c r="M652" s="19"/>
      <c r="N652" s="20"/>
      <c r="O652" s="22"/>
      <c r="P652" s="36"/>
      <c r="Q652" s="37"/>
      <c r="R652" s="37"/>
      <c r="S652" s="13"/>
      <c r="T652" s="18"/>
      <c r="U652" s="19"/>
      <c r="V652" s="19"/>
      <c r="W652" s="20"/>
      <c r="X652" s="22"/>
      <c r="Y652" s="36"/>
      <c r="Z652" s="37"/>
      <c r="AA652" s="37"/>
    </row>
    <row r="653" spans="1:27" x14ac:dyDescent="0.2">
      <c r="A653" s="13"/>
      <c r="B653" s="18"/>
      <c r="C653" s="19"/>
      <c r="D653" s="19"/>
      <c r="E653" s="20"/>
      <c r="F653" s="22"/>
      <c r="G653" s="36"/>
      <c r="H653" s="37"/>
      <c r="I653" s="37"/>
      <c r="J653" s="13"/>
      <c r="K653" s="18"/>
      <c r="L653" s="19"/>
      <c r="M653" s="19"/>
      <c r="N653" s="20"/>
      <c r="O653" s="22"/>
      <c r="P653" s="36"/>
      <c r="Q653" s="37"/>
      <c r="R653" s="37"/>
      <c r="S653" s="13"/>
      <c r="T653" s="18"/>
      <c r="U653" s="19"/>
      <c r="V653" s="19"/>
      <c r="W653" s="20"/>
      <c r="X653" s="22"/>
      <c r="Y653" s="36"/>
      <c r="Z653" s="37"/>
      <c r="AA653" s="37"/>
    </row>
    <row r="654" spans="1:27" x14ac:dyDescent="0.2">
      <c r="A654" s="13"/>
      <c r="B654" s="18"/>
      <c r="C654" s="19"/>
      <c r="D654" s="19"/>
      <c r="E654" s="20"/>
      <c r="F654" s="22"/>
      <c r="G654" s="36"/>
      <c r="H654" s="37"/>
      <c r="I654" s="37"/>
      <c r="J654" s="13"/>
      <c r="K654" s="18"/>
      <c r="L654" s="19"/>
      <c r="M654" s="19"/>
      <c r="N654" s="20"/>
      <c r="O654" s="22"/>
      <c r="P654" s="36"/>
      <c r="Q654" s="37"/>
      <c r="R654" s="37"/>
      <c r="S654" s="13"/>
      <c r="T654" s="18"/>
      <c r="U654" s="19"/>
      <c r="V654" s="19"/>
      <c r="W654" s="20"/>
      <c r="X654" s="22"/>
      <c r="Y654" s="36"/>
      <c r="Z654" s="37"/>
      <c r="AA654" s="37"/>
    </row>
    <row r="655" spans="1:27" x14ac:dyDescent="0.2">
      <c r="A655" s="13"/>
      <c r="B655" s="18"/>
      <c r="C655" s="19"/>
      <c r="D655" s="19"/>
      <c r="E655" s="20"/>
      <c r="F655" s="22"/>
      <c r="G655" s="22"/>
      <c r="H655" s="23"/>
      <c r="I655" s="23"/>
      <c r="J655" s="13"/>
      <c r="K655" s="18"/>
      <c r="L655" s="19"/>
      <c r="M655" s="19"/>
      <c r="N655" s="20"/>
      <c r="O655" s="22"/>
      <c r="P655" s="22"/>
      <c r="Q655" s="23"/>
      <c r="R655" s="23"/>
      <c r="S655" s="13"/>
      <c r="T655" s="18"/>
      <c r="U655" s="19"/>
      <c r="V655" s="19"/>
      <c r="W655" s="20"/>
      <c r="X655" s="22"/>
      <c r="Y655" s="22"/>
      <c r="Z655" s="23"/>
      <c r="AA655" s="23"/>
    </row>
    <row r="656" spans="1:27" x14ac:dyDescent="0.2">
      <c r="A656" s="13"/>
      <c r="B656" s="248" t="s">
        <v>30</v>
      </c>
      <c r="C656" s="249"/>
      <c r="D656" s="249"/>
      <c r="E656" s="250"/>
      <c r="F656" s="22"/>
      <c r="G656" s="22"/>
      <c r="H656" s="23"/>
      <c r="I656" s="23">
        <f>SUM(I643:I655)</f>
        <v>2458.5</v>
      </c>
      <c r="J656" s="13"/>
      <c r="K656" s="248" t="s">
        <v>30</v>
      </c>
      <c r="L656" s="249"/>
      <c r="M656" s="249"/>
      <c r="N656" s="250"/>
      <c r="O656" s="22"/>
      <c r="P656" s="22"/>
      <c r="Q656" s="23"/>
      <c r="R656" s="23">
        <f>SUM(R643:R655)</f>
        <v>15413.820000000002</v>
      </c>
      <c r="S656" s="13"/>
      <c r="T656" s="248" t="s">
        <v>30</v>
      </c>
      <c r="U656" s="249"/>
      <c r="V656" s="249"/>
      <c r="W656" s="250"/>
      <c r="X656" s="22"/>
      <c r="Y656" s="22"/>
      <c r="Z656" s="23"/>
      <c r="AA656" s="23">
        <f>SUM(AA643:AA655)</f>
        <v>260.82549999999998</v>
      </c>
    </row>
    <row r="657" spans="1:27" x14ac:dyDescent="0.2">
      <c r="A657" s="12" t="s">
        <v>31</v>
      </c>
      <c r="B657" s="260" t="s">
        <v>32</v>
      </c>
      <c r="C657" s="261"/>
      <c r="D657" s="261"/>
      <c r="E657" s="261"/>
      <c r="F657" s="39"/>
      <c r="G657" s="39"/>
      <c r="H657" s="40"/>
      <c r="I657" s="41">
        <f>SUM(I656+I638)</f>
        <v>3307.3199999999997</v>
      </c>
      <c r="J657" s="12" t="s">
        <v>31</v>
      </c>
      <c r="K657" s="260" t="s">
        <v>32</v>
      </c>
      <c r="L657" s="261"/>
      <c r="M657" s="261"/>
      <c r="N657" s="261"/>
      <c r="O657" s="151"/>
      <c r="P657" s="151"/>
      <c r="Q657" s="40"/>
      <c r="R657" s="41">
        <f>SUM(R656+R638)</f>
        <v>15995.720000000001</v>
      </c>
      <c r="S657" s="12" t="s">
        <v>31</v>
      </c>
      <c r="T657" s="260" t="s">
        <v>32</v>
      </c>
      <c r="U657" s="261"/>
      <c r="V657" s="261"/>
      <c r="W657" s="261"/>
      <c r="X657" s="151"/>
      <c r="Y657" s="151"/>
      <c r="Z657" s="40"/>
      <c r="AA657" s="41">
        <f>SUM(AA656+AA638)</f>
        <v>1355.2055</v>
      </c>
    </row>
    <row r="658" spans="1:27" x14ac:dyDescent="0.2">
      <c r="A658" s="13" t="s">
        <v>33</v>
      </c>
      <c r="B658" s="307">
        <f>E625</f>
        <v>16</v>
      </c>
      <c r="C658" s="308"/>
      <c r="D658" s="308"/>
      <c r="E658" s="308"/>
      <c r="F658" s="308"/>
      <c r="G658" s="308"/>
      <c r="H658" s="40"/>
      <c r="I658" s="41"/>
      <c r="J658" s="13" t="s">
        <v>33</v>
      </c>
      <c r="K658" s="311">
        <f>N625</f>
        <v>171.3</v>
      </c>
      <c r="L658" s="312"/>
      <c r="M658" s="312"/>
      <c r="N658" s="312"/>
      <c r="O658" s="312"/>
      <c r="P658" s="312"/>
      <c r="Q658" s="40"/>
      <c r="R658" s="41"/>
      <c r="S658" s="13" t="s">
        <v>33</v>
      </c>
      <c r="T658" s="313">
        <f>W625</f>
        <v>12</v>
      </c>
      <c r="U658" s="314"/>
      <c r="V658" s="314"/>
      <c r="W658" s="314"/>
      <c r="X658" s="314"/>
      <c r="Y658" s="314"/>
      <c r="Z658" s="40"/>
      <c r="AA658" s="41"/>
    </row>
    <row r="659" spans="1:27" x14ac:dyDescent="0.2">
      <c r="A659" s="13" t="s">
        <v>34</v>
      </c>
      <c r="B659" s="42" t="s">
        <v>35</v>
      </c>
      <c r="C659" s="43"/>
      <c r="D659" s="43"/>
      <c r="E659" s="39"/>
      <c r="F659" s="44"/>
      <c r="G659" s="44"/>
      <c r="H659" s="40"/>
      <c r="I659" s="41">
        <f>I657/E625</f>
        <v>206.70749999999998</v>
      </c>
      <c r="J659" s="13" t="s">
        <v>34</v>
      </c>
      <c r="K659" s="155" t="s">
        <v>35</v>
      </c>
      <c r="L659" s="43"/>
      <c r="M659" s="43"/>
      <c r="N659" s="151"/>
      <c r="O659" s="156"/>
      <c r="P659" s="156"/>
      <c r="Q659" s="40"/>
      <c r="R659" s="41">
        <f>R657/N625</f>
        <v>93.378400467016931</v>
      </c>
      <c r="S659" s="13" t="s">
        <v>34</v>
      </c>
      <c r="T659" s="155" t="s">
        <v>35</v>
      </c>
      <c r="U659" s="43"/>
      <c r="V659" s="43"/>
      <c r="W659" s="151"/>
      <c r="X659" s="156"/>
      <c r="Y659" s="156"/>
      <c r="Z659" s="40"/>
      <c r="AA659" s="41">
        <f>AA657/W625</f>
        <v>112.93379166666666</v>
      </c>
    </row>
    <row r="660" spans="1:27" x14ac:dyDescent="0.2">
      <c r="A660" s="12"/>
      <c r="B660" s="251" t="s">
        <v>36</v>
      </c>
      <c r="C660" s="252"/>
      <c r="D660" s="252"/>
      <c r="E660" s="253"/>
      <c r="F660" s="244" t="s">
        <v>37</v>
      </c>
      <c r="G660" s="244" t="s">
        <v>38</v>
      </c>
      <c r="H660" s="244" t="s">
        <v>39</v>
      </c>
      <c r="I660" s="246" t="s">
        <v>15</v>
      </c>
      <c r="J660" s="12"/>
      <c r="K660" s="251" t="s">
        <v>36</v>
      </c>
      <c r="L660" s="252"/>
      <c r="M660" s="252"/>
      <c r="N660" s="253"/>
      <c r="O660" s="244" t="s">
        <v>37</v>
      </c>
      <c r="P660" s="244" t="s">
        <v>38</v>
      </c>
      <c r="Q660" s="244" t="s">
        <v>39</v>
      </c>
      <c r="R660" s="246" t="s">
        <v>15</v>
      </c>
      <c r="S660" s="12"/>
      <c r="T660" s="251" t="s">
        <v>36</v>
      </c>
      <c r="U660" s="252"/>
      <c r="V660" s="252"/>
      <c r="W660" s="253"/>
      <c r="X660" s="244" t="s">
        <v>37</v>
      </c>
      <c r="Y660" s="244" t="s">
        <v>38</v>
      </c>
      <c r="Z660" s="244" t="s">
        <v>39</v>
      </c>
      <c r="AA660" s="246" t="s">
        <v>15</v>
      </c>
    </row>
    <row r="661" spans="1:27" x14ac:dyDescent="0.2">
      <c r="A661" s="13"/>
      <c r="B661" s="254"/>
      <c r="C661" s="255"/>
      <c r="D661" s="255"/>
      <c r="E661" s="256"/>
      <c r="F661" s="245"/>
      <c r="G661" s="245"/>
      <c r="H661" s="245"/>
      <c r="I661" s="247"/>
      <c r="J661" s="13"/>
      <c r="K661" s="254"/>
      <c r="L661" s="255"/>
      <c r="M661" s="255"/>
      <c r="N661" s="256"/>
      <c r="O661" s="245"/>
      <c r="P661" s="245"/>
      <c r="Q661" s="245"/>
      <c r="R661" s="247"/>
      <c r="S661" s="13"/>
      <c r="T661" s="254"/>
      <c r="U661" s="255"/>
      <c r="V661" s="255"/>
      <c r="W661" s="256"/>
      <c r="X661" s="245"/>
      <c r="Y661" s="245"/>
      <c r="Z661" s="245"/>
      <c r="AA661" s="247"/>
    </row>
    <row r="662" spans="1:27" x14ac:dyDescent="0.2">
      <c r="A662" s="13" t="s">
        <v>40</v>
      </c>
      <c r="B662" s="18" t="s">
        <v>41</v>
      </c>
      <c r="C662" s="19"/>
      <c r="D662" s="19"/>
      <c r="E662" s="20"/>
      <c r="F662" s="22"/>
      <c r="G662" s="22"/>
      <c r="H662" s="23"/>
      <c r="I662" s="23"/>
      <c r="J662" s="13" t="s">
        <v>40</v>
      </c>
      <c r="K662" s="18" t="s">
        <v>41</v>
      </c>
      <c r="L662" s="19"/>
      <c r="M662" s="19"/>
      <c r="N662" s="20"/>
      <c r="O662" s="22"/>
      <c r="P662" s="22"/>
      <c r="Q662" s="23"/>
      <c r="R662" s="23"/>
      <c r="S662" s="13" t="s">
        <v>40</v>
      </c>
      <c r="T662" s="18" t="s">
        <v>41</v>
      </c>
      <c r="U662" s="19"/>
      <c r="V662" s="19"/>
      <c r="W662" s="20"/>
      <c r="X662" s="22"/>
      <c r="Y662" s="22"/>
      <c r="Z662" s="23"/>
      <c r="AA662" s="23"/>
    </row>
    <row r="663" spans="1:27" x14ac:dyDescent="0.2">
      <c r="A663" s="13"/>
      <c r="B663" s="18"/>
      <c r="C663" s="19"/>
      <c r="D663" s="19"/>
      <c r="E663" s="20"/>
      <c r="F663" s="22"/>
      <c r="G663" s="22"/>
      <c r="H663" s="23"/>
      <c r="I663" s="23"/>
      <c r="J663" s="13"/>
      <c r="K663" s="18"/>
      <c r="L663" s="19"/>
      <c r="M663" s="19"/>
      <c r="N663" s="20"/>
      <c r="O663" s="22"/>
      <c r="P663" s="22"/>
      <c r="Q663" s="23"/>
      <c r="R663" s="23"/>
      <c r="S663" s="13"/>
      <c r="T663" s="18"/>
      <c r="U663" s="19"/>
      <c r="V663" s="19"/>
      <c r="W663" s="20"/>
      <c r="X663" s="22"/>
      <c r="Y663" s="22"/>
      <c r="Z663" s="23"/>
      <c r="AA663" s="23"/>
    </row>
    <row r="664" spans="1:27" x14ac:dyDescent="0.2">
      <c r="A664" s="13"/>
      <c r="B664" s="18" t="s">
        <v>335</v>
      </c>
      <c r="C664" s="66"/>
      <c r="D664" s="19"/>
      <c r="E664" s="20"/>
      <c r="F664" s="22" t="s">
        <v>239</v>
      </c>
      <c r="G664" s="22">
        <v>1.1499999999999999</v>
      </c>
      <c r="H664" s="107">
        <f>ROUND(650/1.6,2)</f>
        <v>406.25</v>
      </c>
      <c r="I664" s="23">
        <f>G664*H664</f>
        <v>467.18749999999994</v>
      </c>
      <c r="J664" s="13"/>
      <c r="K664" s="18" t="s">
        <v>327</v>
      </c>
      <c r="L664" s="66"/>
      <c r="M664" s="19"/>
      <c r="N664" s="20"/>
      <c r="O664" s="22" t="s">
        <v>282</v>
      </c>
      <c r="P664" s="69">
        <v>9.8099999999999993E-3</v>
      </c>
      <c r="Q664" s="107">
        <v>40300</v>
      </c>
      <c r="R664" s="23">
        <f>P664*Q664</f>
        <v>395.34299999999996</v>
      </c>
      <c r="S664" s="13"/>
      <c r="T664" s="18" t="s">
        <v>263</v>
      </c>
      <c r="U664" s="66"/>
      <c r="V664" s="19"/>
      <c r="W664" s="20"/>
      <c r="X664" s="22" t="s">
        <v>77</v>
      </c>
      <c r="Y664" s="22">
        <v>0.33</v>
      </c>
      <c r="Z664" s="107">
        <v>40</v>
      </c>
      <c r="AA664" s="23">
        <f>Y664*Z664</f>
        <v>13.200000000000001</v>
      </c>
    </row>
    <row r="665" spans="1:27" x14ac:dyDescent="0.2">
      <c r="A665" s="13"/>
      <c r="B665" s="18" t="s">
        <v>228</v>
      </c>
      <c r="C665" s="66"/>
      <c r="D665" s="19"/>
      <c r="E665" s="20"/>
      <c r="F665" s="22"/>
      <c r="G665" s="22"/>
      <c r="H665" s="23"/>
      <c r="I665" s="23"/>
      <c r="J665" s="13"/>
      <c r="K665" s="18" t="s">
        <v>1243</v>
      </c>
      <c r="L665" s="66"/>
      <c r="M665" s="19"/>
      <c r="N665" s="20"/>
      <c r="O665" s="22" t="s">
        <v>9</v>
      </c>
      <c r="P665" s="22">
        <v>4.1000000000000002E-2</v>
      </c>
      <c r="Q665" s="107">
        <v>650</v>
      </c>
      <c r="R665" s="23">
        <f t="shared" ref="R665:R668" si="40">P665*Q665</f>
        <v>26.650000000000002</v>
      </c>
      <c r="S665" s="13"/>
      <c r="T665" s="18" t="s">
        <v>264</v>
      </c>
      <c r="U665" s="66"/>
      <c r="V665" s="19"/>
      <c r="W665" s="20"/>
      <c r="X665" s="22" t="s">
        <v>1216</v>
      </c>
      <c r="Y665" s="22">
        <v>0.28999999999999998</v>
      </c>
      <c r="Z665" s="107">
        <v>28</v>
      </c>
      <c r="AA665" s="23">
        <f t="shared" ref="AA665:AA671" si="41">Y665*Z665</f>
        <v>8.1199999999999992</v>
      </c>
    </row>
    <row r="666" spans="1:27" x14ac:dyDescent="0.2">
      <c r="A666" s="13"/>
      <c r="B666" s="18"/>
      <c r="C666" s="19"/>
      <c r="D666" s="19"/>
      <c r="E666" s="20"/>
      <c r="F666" s="22"/>
      <c r="G666" s="22"/>
      <c r="H666" s="38"/>
      <c r="I666" s="38"/>
      <c r="J666" s="13"/>
      <c r="K666" s="18" t="s">
        <v>1244</v>
      </c>
      <c r="L666" s="66"/>
      <c r="M666" s="19"/>
      <c r="N666" s="20"/>
      <c r="O666" s="22" t="s">
        <v>9</v>
      </c>
      <c r="P666" s="22">
        <v>0.01</v>
      </c>
      <c r="Q666" s="107">
        <v>650</v>
      </c>
      <c r="R666" s="23">
        <f t="shared" si="40"/>
        <v>6.5</v>
      </c>
      <c r="S666" s="13"/>
      <c r="T666" s="18" t="s">
        <v>266</v>
      </c>
      <c r="U666" s="19"/>
      <c r="V666" s="19"/>
      <c r="W666" s="20"/>
      <c r="X666" s="22" t="s">
        <v>1216</v>
      </c>
      <c r="Y666" s="22">
        <v>0.12</v>
      </c>
      <c r="Z666" s="107">
        <f>44000/1000</f>
        <v>44</v>
      </c>
      <c r="AA666" s="23">
        <f t="shared" si="41"/>
        <v>5.2799999999999994</v>
      </c>
    </row>
    <row r="667" spans="1:27" x14ac:dyDescent="0.2">
      <c r="A667" s="13"/>
      <c r="B667" s="18"/>
      <c r="C667" s="19"/>
      <c r="D667" s="19"/>
      <c r="E667" s="20"/>
      <c r="F667" s="22"/>
      <c r="G667" s="22"/>
      <c r="H667" s="38"/>
      <c r="I667" s="38"/>
      <c r="J667" s="13"/>
      <c r="K667" s="18" t="s">
        <v>1213</v>
      </c>
      <c r="L667" s="19"/>
      <c r="M667" s="19"/>
      <c r="N667" s="20"/>
      <c r="O667" s="22" t="s">
        <v>227</v>
      </c>
      <c r="P667" s="22">
        <v>0.13</v>
      </c>
      <c r="Q667" s="107">
        <v>240.56</v>
      </c>
      <c r="R667" s="23">
        <f t="shared" si="40"/>
        <v>31.2728</v>
      </c>
      <c r="S667" s="13"/>
      <c r="T667" s="18" t="s">
        <v>267</v>
      </c>
      <c r="U667" s="19"/>
      <c r="V667" s="19"/>
      <c r="W667" s="20"/>
      <c r="X667" s="22" t="s">
        <v>1153</v>
      </c>
      <c r="Y667" s="22">
        <v>0.46</v>
      </c>
      <c r="Z667" s="107">
        <v>50</v>
      </c>
      <c r="AA667" s="23">
        <f t="shared" si="41"/>
        <v>23</v>
      </c>
    </row>
    <row r="668" spans="1:27" x14ac:dyDescent="0.2">
      <c r="A668" s="13"/>
      <c r="B668" s="18"/>
      <c r="C668" s="19"/>
      <c r="D668" s="19"/>
      <c r="E668" s="20"/>
      <c r="F668" s="22"/>
      <c r="G668" s="22"/>
      <c r="H668" s="45"/>
      <c r="I668" s="45"/>
      <c r="J668" s="13"/>
      <c r="K668" s="18" t="s">
        <v>1215</v>
      </c>
      <c r="L668" s="19"/>
      <c r="M668" s="19"/>
      <c r="N668" s="20"/>
      <c r="O668" s="22" t="s">
        <v>1216</v>
      </c>
      <c r="P668" s="22">
        <v>1.165</v>
      </c>
      <c r="Q668" s="107">
        <v>240.56</v>
      </c>
      <c r="R668" s="23">
        <f t="shared" si="40"/>
        <v>280.25240000000002</v>
      </c>
      <c r="S668" s="13"/>
      <c r="T668" s="18" t="s">
        <v>1247</v>
      </c>
      <c r="U668" s="19"/>
      <c r="V668" s="19"/>
      <c r="W668" s="20"/>
      <c r="X668" s="22" t="s">
        <v>9</v>
      </c>
      <c r="Y668" s="22">
        <v>0.15</v>
      </c>
      <c r="Z668" s="107">
        <v>850</v>
      </c>
      <c r="AA668" s="23">
        <f t="shared" si="41"/>
        <v>127.5</v>
      </c>
    </row>
    <row r="669" spans="1:27" x14ac:dyDescent="0.2">
      <c r="A669" s="13"/>
      <c r="B669" s="18"/>
      <c r="C669" s="19"/>
      <c r="D669" s="19"/>
      <c r="E669" s="20"/>
      <c r="F669" s="22"/>
      <c r="G669" s="22"/>
      <c r="H669" s="45"/>
      <c r="I669" s="45"/>
      <c r="J669" s="13"/>
      <c r="K669" s="18"/>
      <c r="L669" s="19"/>
      <c r="M669" s="19"/>
      <c r="N669" s="20"/>
      <c r="O669" s="22"/>
      <c r="P669" s="22"/>
      <c r="Q669" s="45"/>
      <c r="R669" s="45"/>
      <c r="S669" s="13"/>
      <c r="T669" s="18" t="s">
        <v>1248</v>
      </c>
      <c r="U669" s="19"/>
      <c r="V669" s="19"/>
      <c r="W669" s="20"/>
      <c r="X669" s="22" t="s">
        <v>80</v>
      </c>
      <c r="Y669" s="22">
        <v>1.4999999999999999E-4</v>
      </c>
      <c r="Z669" s="107">
        <v>8000</v>
      </c>
      <c r="AA669" s="23">
        <f t="shared" si="41"/>
        <v>1.2</v>
      </c>
    </row>
    <row r="670" spans="1:27" x14ac:dyDescent="0.2">
      <c r="A670" s="13"/>
      <c r="B670" s="18"/>
      <c r="C670" s="19"/>
      <c r="D670" s="19"/>
      <c r="E670" s="20"/>
      <c r="F670" s="22"/>
      <c r="G670" s="22"/>
      <c r="H670" s="23"/>
      <c r="I670" s="23"/>
      <c r="J670" s="13"/>
      <c r="K670" s="18"/>
      <c r="L670" s="19"/>
      <c r="M670" s="19"/>
      <c r="N670" s="20"/>
      <c r="O670" s="22"/>
      <c r="P670" s="22"/>
      <c r="Q670" s="23"/>
      <c r="R670" s="23"/>
      <c r="S670" s="13"/>
      <c r="T670" s="18" t="s">
        <v>1249</v>
      </c>
      <c r="U670" s="19"/>
      <c r="V670" s="19"/>
      <c r="W670" s="20"/>
      <c r="X670" s="22" t="s">
        <v>1153</v>
      </c>
      <c r="Y670" s="22">
        <v>7.7999999999999996E-3</v>
      </c>
      <c r="Z670" s="107">
        <v>34.33</v>
      </c>
      <c r="AA670" s="23">
        <f t="shared" si="41"/>
        <v>0.26777399999999996</v>
      </c>
    </row>
    <row r="671" spans="1:27" x14ac:dyDescent="0.2">
      <c r="A671" s="13"/>
      <c r="B671" s="18"/>
      <c r="C671" s="19"/>
      <c r="D671" s="19"/>
      <c r="E671" s="20"/>
      <c r="F671" s="22"/>
      <c r="G671" s="22"/>
      <c r="H671" s="23"/>
      <c r="I671" s="23"/>
      <c r="J671" s="13"/>
      <c r="K671" s="18"/>
      <c r="L671" s="19"/>
      <c r="M671" s="19"/>
      <c r="N671" s="20"/>
      <c r="O671" s="22"/>
      <c r="P671" s="22"/>
      <c r="Q671" s="23"/>
      <c r="R671" s="23"/>
      <c r="S671" s="13"/>
      <c r="T671" s="18" t="s">
        <v>1250</v>
      </c>
      <c r="U671" s="19"/>
      <c r="V671" s="19"/>
      <c r="W671" s="20"/>
      <c r="X671" s="22" t="s">
        <v>1216</v>
      </c>
      <c r="Y671" s="22">
        <v>1.5E-3</v>
      </c>
      <c r="Z671" s="107">
        <v>300</v>
      </c>
      <c r="AA671" s="23">
        <f t="shared" si="41"/>
        <v>0.45</v>
      </c>
    </row>
    <row r="672" spans="1:27" x14ac:dyDescent="0.2">
      <c r="A672" s="13"/>
      <c r="B672" s="18"/>
      <c r="C672" s="19"/>
      <c r="D672" s="19"/>
      <c r="E672" s="20"/>
      <c r="F672" s="22"/>
      <c r="G672" s="22"/>
      <c r="H672" s="23"/>
      <c r="I672" s="23"/>
      <c r="J672" s="13"/>
      <c r="K672" s="18"/>
      <c r="L672" s="19"/>
      <c r="M672" s="19"/>
      <c r="N672" s="20"/>
      <c r="O672" s="22"/>
      <c r="P672" s="22"/>
      <c r="Q672" s="23"/>
      <c r="R672" s="23"/>
      <c r="S672" s="13"/>
      <c r="T672" s="18"/>
      <c r="U672" s="19"/>
      <c r="V672" s="19"/>
      <c r="W672" s="20"/>
      <c r="X672" s="22"/>
      <c r="Y672" s="22"/>
      <c r="Z672" s="107"/>
      <c r="AA672" s="23"/>
    </row>
    <row r="673" spans="1:27" x14ac:dyDescent="0.2">
      <c r="A673" s="13"/>
      <c r="B673" s="18"/>
      <c r="C673" s="19"/>
      <c r="D673" s="19"/>
      <c r="E673" s="20"/>
      <c r="F673" s="22"/>
      <c r="G673" s="22"/>
      <c r="H673" s="23"/>
      <c r="I673" s="23"/>
      <c r="J673" s="13"/>
      <c r="K673" s="18"/>
      <c r="L673" s="19"/>
      <c r="M673" s="19"/>
      <c r="N673" s="20"/>
      <c r="O673" s="22"/>
      <c r="P673" s="22"/>
      <c r="Q673" s="23"/>
      <c r="R673" s="23"/>
      <c r="S673" s="13"/>
      <c r="T673" s="18"/>
      <c r="U673" s="19"/>
      <c r="V673" s="19"/>
      <c r="W673" s="20"/>
      <c r="X673" s="22"/>
      <c r="Y673" s="22"/>
      <c r="Z673" s="107"/>
      <c r="AA673" s="23"/>
    </row>
    <row r="674" spans="1:27" x14ac:dyDescent="0.2">
      <c r="A674" s="13"/>
      <c r="B674" s="18"/>
      <c r="C674" s="19"/>
      <c r="D674" s="19"/>
      <c r="E674" s="20"/>
      <c r="F674" s="22"/>
      <c r="G674" s="22"/>
      <c r="H674" s="23"/>
      <c r="I674" s="23"/>
      <c r="J674" s="13"/>
      <c r="K674" s="18"/>
      <c r="L674" s="19"/>
      <c r="M674" s="19"/>
      <c r="N674" s="20"/>
      <c r="O674" s="22"/>
      <c r="P674" s="22"/>
      <c r="Q674" s="23"/>
      <c r="R674" s="23"/>
      <c r="S674" s="13"/>
      <c r="T674" s="18"/>
      <c r="U674" s="19"/>
      <c r="V674" s="19"/>
      <c r="W674" s="20"/>
      <c r="X674" s="22"/>
      <c r="Y674" s="22"/>
      <c r="Z674" s="23"/>
      <c r="AA674" s="23"/>
    </row>
    <row r="675" spans="1:27" x14ac:dyDescent="0.2">
      <c r="A675" s="13"/>
      <c r="B675" s="18"/>
      <c r="C675" s="19"/>
      <c r="D675" s="19"/>
      <c r="E675" s="20"/>
      <c r="F675" s="22"/>
      <c r="G675" s="22"/>
      <c r="H675" s="23"/>
      <c r="I675" s="23"/>
      <c r="J675" s="13"/>
      <c r="K675" s="18"/>
      <c r="L675" s="19"/>
      <c r="M675" s="19"/>
      <c r="N675" s="20"/>
      <c r="O675" s="22"/>
      <c r="P675" s="22"/>
      <c r="Q675" s="23"/>
      <c r="R675" s="23"/>
      <c r="S675" s="13"/>
      <c r="T675" s="18"/>
      <c r="U675" s="19"/>
      <c r="V675" s="19"/>
      <c r="W675" s="20"/>
      <c r="X675" s="22"/>
      <c r="Y675" s="22"/>
      <c r="Z675" s="23"/>
      <c r="AA675" s="23"/>
    </row>
    <row r="676" spans="1:27" x14ac:dyDescent="0.2">
      <c r="A676" s="13"/>
      <c r="B676" s="18"/>
      <c r="C676" s="19"/>
      <c r="D676" s="19"/>
      <c r="E676" s="20"/>
      <c r="F676" s="22"/>
      <c r="G676" s="36"/>
      <c r="H676" s="37"/>
      <c r="I676" s="37"/>
      <c r="J676" s="13"/>
      <c r="K676" s="18"/>
      <c r="L676" s="19"/>
      <c r="M676" s="19"/>
      <c r="N676" s="20"/>
      <c r="O676" s="22"/>
      <c r="P676" s="36"/>
      <c r="Q676" s="37"/>
      <c r="R676" s="37"/>
      <c r="S676" s="13"/>
      <c r="T676" s="18"/>
      <c r="U676" s="19"/>
      <c r="V676" s="19"/>
      <c r="W676" s="20"/>
      <c r="X676" s="22"/>
      <c r="Y676" s="36"/>
      <c r="Z676" s="37"/>
      <c r="AA676" s="37"/>
    </row>
    <row r="677" spans="1:27" x14ac:dyDescent="0.2">
      <c r="A677" s="13"/>
      <c r="B677" s="248" t="s">
        <v>42</v>
      </c>
      <c r="C677" s="249"/>
      <c r="D677" s="249"/>
      <c r="E677" s="250"/>
      <c r="F677" s="46"/>
      <c r="G677" s="46"/>
      <c r="H677" s="47"/>
      <c r="I677" s="47">
        <f>SUM(I664:I676)</f>
        <v>467.18749999999994</v>
      </c>
      <c r="J677" s="13"/>
      <c r="K677" s="248" t="s">
        <v>42</v>
      </c>
      <c r="L677" s="249"/>
      <c r="M677" s="249"/>
      <c r="N677" s="250"/>
      <c r="O677" s="46"/>
      <c r="P677" s="46"/>
      <c r="Q677" s="47"/>
      <c r="R677" s="47">
        <f>SUM(R664:R676)</f>
        <v>740.01819999999998</v>
      </c>
      <c r="S677" s="13"/>
      <c r="T677" s="248" t="s">
        <v>42</v>
      </c>
      <c r="U677" s="249"/>
      <c r="V677" s="249"/>
      <c r="W677" s="250"/>
      <c r="X677" s="46"/>
      <c r="Y677" s="46"/>
      <c r="Z677" s="47"/>
      <c r="AA677" s="47">
        <f>SUM(AA664:AA676)</f>
        <v>179.01777399999997</v>
      </c>
    </row>
    <row r="678" spans="1:27" x14ac:dyDescent="0.2">
      <c r="A678" s="12" t="s">
        <v>43</v>
      </c>
      <c r="B678" s="48" t="s">
        <v>44</v>
      </c>
      <c r="C678" s="43"/>
      <c r="D678" s="43"/>
      <c r="E678" s="39"/>
      <c r="F678" s="49"/>
      <c r="G678" s="49"/>
      <c r="H678" s="50"/>
      <c r="I678" s="51">
        <f>SUM(I659+I677)</f>
        <v>673.89499999999998</v>
      </c>
      <c r="J678" s="12" t="s">
        <v>43</v>
      </c>
      <c r="K678" s="48" t="s">
        <v>44</v>
      </c>
      <c r="L678" s="43"/>
      <c r="M678" s="43"/>
      <c r="N678" s="151"/>
      <c r="O678" s="49"/>
      <c r="P678" s="49"/>
      <c r="Q678" s="50"/>
      <c r="R678" s="51">
        <f>SUM(R659+R677)</f>
        <v>833.39660046701692</v>
      </c>
      <c r="S678" s="12" t="s">
        <v>43</v>
      </c>
      <c r="T678" s="48" t="s">
        <v>44</v>
      </c>
      <c r="U678" s="43"/>
      <c r="V678" s="43"/>
      <c r="W678" s="151"/>
      <c r="X678" s="49"/>
      <c r="Y678" s="49"/>
      <c r="Z678" s="50"/>
      <c r="AA678" s="51">
        <f>SUM(AA659+AA677)</f>
        <v>291.95156566666662</v>
      </c>
    </row>
    <row r="679" spans="1:27" x14ac:dyDescent="0.2">
      <c r="A679" s="13" t="s">
        <v>45</v>
      </c>
      <c r="B679" s="48" t="s">
        <v>46</v>
      </c>
      <c r="C679" s="43"/>
      <c r="D679" s="43"/>
      <c r="E679" s="39"/>
      <c r="F679" s="49"/>
      <c r="G679" s="52">
        <v>0.09</v>
      </c>
      <c r="H679" s="53" t="s">
        <v>47</v>
      </c>
      <c r="I679" s="51">
        <f>G679*I678</f>
        <v>60.650549999999996</v>
      </c>
      <c r="J679" s="13" t="s">
        <v>45</v>
      </c>
      <c r="K679" s="48" t="s">
        <v>46</v>
      </c>
      <c r="L679" s="43"/>
      <c r="M679" s="43"/>
      <c r="N679" s="151"/>
      <c r="O679" s="49"/>
      <c r="P679" s="52">
        <v>0.09</v>
      </c>
      <c r="Q679" s="53" t="s">
        <v>47</v>
      </c>
      <c r="R679" s="51">
        <f>P679*R678</f>
        <v>75.005694042031521</v>
      </c>
      <c r="S679" s="13" t="s">
        <v>45</v>
      </c>
      <c r="T679" s="48" t="s">
        <v>46</v>
      </c>
      <c r="U679" s="43"/>
      <c r="V679" s="43"/>
      <c r="W679" s="151"/>
      <c r="X679" s="49"/>
      <c r="Y679" s="52">
        <v>0.09</v>
      </c>
      <c r="Z679" s="53" t="s">
        <v>47</v>
      </c>
      <c r="AA679" s="51">
        <f>Y679*AA678</f>
        <v>26.275640909999996</v>
      </c>
    </row>
    <row r="680" spans="1:27" x14ac:dyDescent="0.2">
      <c r="A680" s="13" t="s">
        <v>48</v>
      </c>
      <c r="B680" s="48" t="s">
        <v>49</v>
      </c>
      <c r="C680" s="43"/>
      <c r="D680" s="43"/>
      <c r="E680" s="39"/>
      <c r="F680" s="49"/>
      <c r="G680" s="52">
        <v>0.08</v>
      </c>
      <c r="H680" s="53" t="s">
        <v>47</v>
      </c>
      <c r="I680" s="51">
        <f>G680*I678</f>
        <v>53.9116</v>
      </c>
      <c r="J680" s="13" t="s">
        <v>48</v>
      </c>
      <c r="K680" s="48" t="s">
        <v>49</v>
      </c>
      <c r="L680" s="43"/>
      <c r="M680" s="43"/>
      <c r="N680" s="151"/>
      <c r="O680" s="49"/>
      <c r="P680" s="52">
        <v>0.08</v>
      </c>
      <c r="Q680" s="53" t="s">
        <v>47</v>
      </c>
      <c r="R680" s="51">
        <f>P680*R678</f>
        <v>66.671728037361362</v>
      </c>
      <c r="S680" s="13" t="s">
        <v>48</v>
      </c>
      <c r="T680" s="48" t="s">
        <v>49</v>
      </c>
      <c r="U680" s="43"/>
      <c r="V680" s="43"/>
      <c r="W680" s="151"/>
      <c r="X680" s="49"/>
      <c r="Y680" s="52">
        <v>0.08</v>
      </c>
      <c r="Z680" s="53" t="s">
        <v>47</v>
      </c>
      <c r="AA680" s="51">
        <f>Y680*AA678</f>
        <v>23.356125253333332</v>
      </c>
    </row>
    <row r="681" spans="1:27" x14ac:dyDescent="0.2">
      <c r="A681" s="13" t="s">
        <v>50</v>
      </c>
      <c r="B681" s="48" t="s">
        <v>51</v>
      </c>
      <c r="C681" s="43"/>
      <c r="D681" s="43"/>
      <c r="E681" s="39"/>
      <c r="F681" s="49"/>
      <c r="G681" s="52">
        <v>0.05</v>
      </c>
      <c r="H681" s="53" t="s">
        <v>52</v>
      </c>
      <c r="I681" s="51">
        <f>G681*(I678+I679+I680)</f>
        <v>39.422857499999999</v>
      </c>
      <c r="J681" s="13" t="s">
        <v>50</v>
      </c>
      <c r="K681" s="48" t="s">
        <v>51</v>
      </c>
      <c r="L681" s="43"/>
      <c r="M681" s="43"/>
      <c r="N681" s="151"/>
      <c r="O681" s="49"/>
      <c r="P681" s="52">
        <v>0.05</v>
      </c>
      <c r="Q681" s="53" t="s">
        <v>52</v>
      </c>
      <c r="R681" s="51">
        <f>P681*(R678+R679+R680)</f>
        <v>48.753701127320497</v>
      </c>
      <c r="S681" s="13" t="s">
        <v>50</v>
      </c>
      <c r="T681" s="48" t="s">
        <v>51</v>
      </c>
      <c r="U681" s="43"/>
      <c r="V681" s="43"/>
      <c r="W681" s="151"/>
      <c r="X681" s="49"/>
      <c r="Y681" s="52">
        <f>5/100</f>
        <v>0.05</v>
      </c>
      <c r="Z681" s="53" t="s">
        <v>52</v>
      </c>
      <c r="AA681" s="51">
        <f>Y681*(AA678+AA679+AA680)</f>
        <v>17.079166591499998</v>
      </c>
    </row>
    <row r="682" spans="1:27" x14ac:dyDescent="0.2">
      <c r="A682" s="54" t="s">
        <v>53</v>
      </c>
      <c r="B682" s="48" t="s">
        <v>54</v>
      </c>
      <c r="C682" s="43"/>
      <c r="D682" s="43"/>
      <c r="E682" s="39"/>
      <c r="F682" s="49"/>
      <c r="G682" s="49"/>
      <c r="H682" s="55" t="s">
        <v>55</v>
      </c>
      <c r="I682" s="51">
        <f>SUM(I678+I679+I680+I681)</f>
        <v>827.88000749999992</v>
      </c>
      <c r="J682" s="54" t="s">
        <v>53</v>
      </c>
      <c r="K682" s="48" t="s">
        <v>54</v>
      </c>
      <c r="L682" s="43"/>
      <c r="M682" s="43"/>
      <c r="N682" s="151"/>
      <c r="O682" s="49"/>
      <c r="P682" s="49"/>
      <c r="Q682" s="55" t="s">
        <v>55</v>
      </c>
      <c r="R682" s="51">
        <f>SUM(R678+R679+R680+R681)</f>
        <v>1023.8277236737304</v>
      </c>
      <c r="S682" s="54" t="s">
        <v>53</v>
      </c>
      <c r="T682" s="48" t="s">
        <v>54</v>
      </c>
      <c r="U682" s="43"/>
      <c r="V682" s="43"/>
      <c r="W682" s="151"/>
      <c r="X682" s="49"/>
      <c r="Y682" s="49"/>
      <c r="Z682" s="55" t="s">
        <v>55</v>
      </c>
      <c r="AA682" s="51">
        <f>SUM(AA678+AA679+AA680+AA681)</f>
        <v>358.66249842149995</v>
      </c>
    </row>
    <row r="683" spans="1:27" s="1" customFormat="1" x14ac:dyDescent="0.2">
      <c r="A683" s="236" t="s">
        <v>0</v>
      </c>
      <c r="B683" s="236"/>
      <c r="C683" s="236"/>
      <c r="D683" s="236"/>
      <c r="E683" s="236"/>
      <c r="F683" s="236"/>
      <c r="G683" s="236"/>
      <c r="H683" s="236"/>
      <c r="I683" s="236"/>
      <c r="J683" s="236" t="s">
        <v>0</v>
      </c>
      <c r="K683" s="236"/>
      <c r="L683" s="236"/>
      <c r="M683" s="236"/>
      <c r="N683" s="236"/>
      <c r="O683" s="236"/>
      <c r="P683" s="236"/>
      <c r="Q683" s="236"/>
      <c r="R683" s="236"/>
      <c r="S683" s="236" t="s">
        <v>0</v>
      </c>
      <c r="T683" s="236"/>
      <c r="U683" s="236"/>
      <c r="V683" s="236"/>
      <c r="W683" s="236"/>
      <c r="X683" s="236"/>
      <c r="Y683" s="236"/>
      <c r="Z683" s="236"/>
      <c r="AA683" s="236"/>
    </row>
    <row r="684" spans="1:27" x14ac:dyDescent="0.2">
      <c r="S684" s="10"/>
      <c r="T684" s="3"/>
      <c r="U684" s="4"/>
      <c r="V684" s="4"/>
      <c r="W684" s="5"/>
      <c r="X684" s="3"/>
      <c r="Y684" s="3"/>
      <c r="Z684" s="3"/>
      <c r="AA684" s="3"/>
    </row>
    <row r="685" spans="1:27" x14ac:dyDescent="0.2">
      <c r="A685" s="2" t="s">
        <v>1</v>
      </c>
      <c r="C685" s="4" t="s">
        <v>2</v>
      </c>
      <c r="D685" s="5" t="s">
        <v>336</v>
      </c>
      <c r="E685" s="8" t="s">
        <v>337</v>
      </c>
      <c r="F685" s="8"/>
      <c r="G685" s="8"/>
      <c r="H685" s="8"/>
      <c r="J685" s="2" t="s">
        <v>1</v>
      </c>
      <c r="L685" s="4" t="s">
        <v>2</v>
      </c>
      <c r="M685" s="5" t="s">
        <v>338</v>
      </c>
      <c r="N685" s="237" t="s">
        <v>339</v>
      </c>
      <c r="O685" s="237"/>
      <c r="P685" s="237"/>
      <c r="Q685" s="237"/>
      <c r="S685" s="152" t="s">
        <v>1</v>
      </c>
      <c r="T685" s="3"/>
      <c r="U685" s="4" t="s">
        <v>2</v>
      </c>
      <c r="V685" s="5" t="s">
        <v>252</v>
      </c>
      <c r="W685" s="237" t="s">
        <v>1276</v>
      </c>
      <c r="X685" s="237"/>
      <c r="Y685" s="237"/>
      <c r="Z685" s="237"/>
      <c r="AA685" s="3"/>
    </row>
    <row r="686" spans="1:27" x14ac:dyDescent="0.2">
      <c r="A686" s="2" t="s">
        <v>7</v>
      </c>
      <c r="C686" s="4" t="s">
        <v>2</v>
      </c>
      <c r="E686" s="2" t="s">
        <v>239</v>
      </c>
      <c r="F686" s="8"/>
      <c r="G686" s="8"/>
      <c r="H686" s="8"/>
      <c r="J686" s="2" t="s">
        <v>7</v>
      </c>
      <c r="L686" s="4" t="s">
        <v>2</v>
      </c>
      <c r="N686" s="2" t="s">
        <v>8</v>
      </c>
      <c r="O686" s="8"/>
      <c r="P686" s="8"/>
      <c r="Q686" s="8"/>
      <c r="S686" s="152" t="s">
        <v>7</v>
      </c>
      <c r="T686" s="3"/>
      <c r="U686" s="4" t="s">
        <v>2</v>
      </c>
      <c r="V686" s="4"/>
      <c r="W686" s="152" t="s">
        <v>8</v>
      </c>
      <c r="X686" s="8"/>
      <c r="Y686" s="8"/>
      <c r="Z686" s="8"/>
      <c r="AA686" s="3"/>
    </row>
    <row r="687" spans="1:27" x14ac:dyDescent="0.2">
      <c r="A687" s="2" t="s">
        <v>10</v>
      </c>
      <c r="C687" s="4" t="s">
        <v>2</v>
      </c>
      <c r="E687" s="9">
        <v>0.3</v>
      </c>
      <c r="F687" s="8"/>
      <c r="G687" s="8"/>
      <c r="H687" s="8"/>
      <c r="J687" s="2" t="s">
        <v>10</v>
      </c>
      <c r="L687" s="4" t="s">
        <v>2</v>
      </c>
      <c r="N687" s="9">
        <v>107.33</v>
      </c>
      <c r="O687" s="8"/>
      <c r="P687" s="8"/>
      <c r="Q687" s="8"/>
      <c r="S687" s="152" t="s">
        <v>10</v>
      </c>
      <c r="T687" s="3"/>
      <c r="U687" s="4" t="s">
        <v>2</v>
      </c>
      <c r="V687" s="4"/>
      <c r="W687" s="9">
        <v>6</v>
      </c>
      <c r="X687" s="8"/>
      <c r="Y687" s="8"/>
      <c r="Z687" s="8"/>
      <c r="AA687" s="3"/>
    </row>
    <row r="688" spans="1:27" x14ac:dyDescent="0.2">
      <c r="B688" s="8"/>
      <c r="F688" s="11"/>
      <c r="G688" s="8"/>
      <c r="H688" s="8"/>
      <c r="I688" s="8"/>
      <c r="K688" s="8"/>
      <c r="O688" s="11"/>
      <c r="P688" s="8"/>
      <c r="Q688" s="8"/>
      <c r="R688" s="8"/>
      <c r="S688" s="10"/>
      <c r="T688" s="8"/>
      <c r="U688" s="4"/>
      <c r="V688" s="4"/>
      <c r="W688" s="5"/>
      <c r="X688" s="11"/>
      <c r="Y688" s="8"/>
      <c r="Z688" s="8"/>
      <c r="AA688" s="8"/>
    </row>
    <row r="689" spans="1:27" x14ac:dyDescent="0.2">
      <c r="A689" s="12"/>
      <c r="B689" s="238" t="s">
        <v>11</v>
      </c>
      <c r="C689" s="239"/>
      <c r="D689" s="239"/>
      <c r="E689" s="240"/>
      <c r="F689" s="244" t="s">
        <v>12</v>
      </c>
      <c r="G689" s="244" t="s">
        <v>13</v>
      </c>
      <c r="H689" s="244" t="s">
        <v>14</v>
      </c>
      <c r="I689" s="246" t="s">
        <v>15</v>
      </c>
      <c r="J689" s="12"/>
      <c r="K689" s="238" t="s">
        <v>11</v>
      </c>
      <c r="L689" s="239"/>
      <c r="M689" s="239"/>
      <c r="N689" s="240"/>
      <c r="O689" s="244" t="s">
        <v>12</v>
      </c>
      <c r="P689" s="244" t="s">
        <v>13</v>
      </c>
      <c r="Q689" s="244" t="s">
        <v>14</v>
      </c>
      <c r="R689" s="246" t="s">
        <v>15</v>
      </c>
      <c r="S689" s="12"/>
      <c r="T689" s="238" t="s">
        <v>11</v>
      </c>
      <c r="U689" s="239"/>
      <c r="V689" s="239"/>
      <c r="W689" s="240"/>
      <c r="X689" s="244" t="s">
        <v>12</v>
      </c>
      <c r="Y689" s="244" t="s">
        <v>13</v>
      </c>
      <c r="Z689" s="244" t="s">
        <v>14</v>
      </c>
      <c r="AA689" s="246" t="s">
        <v>15</v>
      </c>
    </row>
    <row r="690" spans="1:27" x14ac:dyDescent="0.2">
      <c r="A690" s="13"/>
      <c r="B690" s="241"/>
      <c r="C690" s="242"/>
      <c r="D690" s="242"/>
      <c r="E690" s="243"/>
      <c r="F690" s="245"/>
      <c r="G690" s="245"/>
      <c r="H690" s="245"/>
      <c r="I690" s="247"/>
      <c r="J690" s="13"/>
      <c r="K690" s="241"/>
      <c r="L690" s="242"/>
      <c r="M690" s="242"/>
      <c r="N690" s="243"/>
      <c r="O690" s="245"/>
      <c r="P690" s="245"/>
      <c r="Q690" s="245"/>
      <c r="R690" s="247"/>
      <c r="S690" s="13"/>
      <c r="T690" s="241"/>
      <c r="U690" s="242"/>
      <c r="V690" s="242"/>
      <c r="W690" s="243"/>
      <c r="X690" s="245"/>
      <c r="Y690" s="245"/>
      <c r="Z690" s="245"/>
      <c r="AA690" s="247"/>
    </row>
    <row r="691" spans="1:27" x14ac:dyDescent="0.2">
      <c r="A691" s="13" t="s">
        <v>16</v>
      </c>
      <c r="B691" s="14" t="s">
        <v>17</v>
      </c>
      <c r="C691" s="15"/>
      <c r="D691" s="15"/>
      <c r="E691" s="16"/>
      <c r="F691" s="17"/>
      <c r="G691" s="17"/>
      <c r="H691" s="17"/>
      <c r="I691" s="17"/>
      <c r="J691" s="13" t="s">
        <v>16</v>
      </c>
      <c r="K691" s="14" t="s">
        <v>17</v>
      </c>
      <c r="L691" s="15"/>
      <c r="M691" s="15"/>
      <c r="N691" s="16"/>
      <c r="O691" s="17"/>
      <c r="P691" s="17"/>
      <c r="Q691" s="17"/>
      <c r="R691" s="17"/>
      <c r="S691" s="13" t="s">
        <v>16</v>
      </c>
      <c r="T691" s="14" t="s">
        <v>17</v>
      </c>
      <c r="U691" s="15"/>
      <c r="V691" s="15"/>
      <c r="W691" s="16"/>
      <c r="X691" s="17"/>
      <c r="Y691" s="17"/>
      <c r="Z691" s="17"/>
      <c r="AA691" s="17"/>
    </row>
    <row r="692" spans="1:27" x14ac:dyDescent="0.2">
      <c r="A692" s="13"/>
      <c r="B692" s="18"/>
      <c r="C692" s="19"/>
      <c r="D692" s="19"/>
      <c r="E692" s="20"/>
      <c r="F692" s="21"/>
      <c r="G692" s="22"/>
      <c r="H692" s="21"/>
      <c r="I692" s="21"/>
      <c r="J692" s="13"/>
      <c r="K692" s="18"/>
      <c r="L692" s="19"/>
      <c r="M692" s="19"/>
      <c r="N692" s="20"/>
      <c r="O692" s="21"/>
      <c r="P692" s="22"/>
      <c r="Q692" s="21"/>
      <c r="R692" s="21"/>
      <c r="S692" s="13"/>
      <c r="T692" s="18"/>
      <c r="U692" s="19"/>
      <c r="V692" s="19"/>
      <c r="W692" s="20"/>
      <c r="X692" s="21"/>
      <c r="Y692" s="22"/>
      <c r="Z692" s="21"/>
      <c r="AA692" s="21"/>
    </row>
    <row r="693" spans="1:27" x14ac:dyDescent="0.2">
      <c r="A693" s="13"/>
      <c r="B693" s="24" t="s">
        <v>18</v>
      </c>
      <c r="C693" s="25"/>
      <c r="D693" s="25"/>
      <c r="E693" s="26"/>
      <c r="F693" s="22">
        <v>1</v>
      </c>
      <c r="G693" s="62">
        <v>1</v>
      </c>
      <c r="H693" s="23">
        <v>69.42</v>
      </c>
      <c r="I693" s="23">
        <f>F693*G693*H693</f>
        <v>69.42</v>
      </c>
      <c r="J693" s="13"/>
      <c r="K693" s="24" t="s">
        <v>18</v>
      </c>
      <c r="L693" s="25"/>
      <c r="M693" s="25"/>
      <c r="N693" s="26"/>
      <c r="O693" s="22">
        <v>1</v>
      </c>
      <c r="P693" s="23">
        <v>1</v>
      </c>
      <c r="Q693" s="23">
        <v>69.42</v>
      </c>
      <c r="R693" s="23">
        <f>P693*Q693*O693</f>
        <v>69.42</v>
      </c>
      <c r="S693" s="13"/>
      <c r="T693" s="24" t="s">
        <v>18</v>
      </c>
      <c r="U693" s="25"/>
      <c r="V693" s="25"/>
      <c r="W693" s="26"/>
      <c r="X693" s="22">
        <v>1</v>
      </c>
      <c r="Y693" s="23">
        <v>1</v>
      </c>
      <c r="Z693" s="23">
        <v>69.42</v>
      </c>
      <c r="AA693" s="23">
        <f>Y693*Z693*X693</f>
        <v>69.42</v>
      </c>
    </row>
    <row r="694" spans="1:27" x14ac:dyDescent="0.2">
      <c r="A694" s="13"/>
      <c r="B694" s="24" t="s">
        <v>1179</v>
      </c>
      <c r="C694" s="25"/>
      <c r="D694" s="25"/>
      <c r="E694" s="26"/>
      <c r="F694" s="22">
        <v>3</v>
      </c>
      <c r="G694" s="62">
        <v>1</v>
      </c>
      <c r="H694" s="23">
        <v>38.97</v>
      </c>
      <c r="I694" s="23">
        <f>F694*G694*H694</f>
        <v>116.91</v>
      </c>
      <c r="J694" s="13"/>
      <c r="K694" s="257" t="s">
        <v>1178</v>
      </c>
      <c r="L694" s="258"/>
      <c r="M694" s="25"/>
      <c r="N694" s="26"/>
      <c r="O694" s="22">
        <v>4</v>
      </c>
      <c r="P694" s="23">
        <v>1</v>
      </c>
      <c r="Q694" s="23">
        <v>50.18</v>
      </c>
      <c r="R694" s="23">
        <f>P694*Q694*O694</f>
        <v>200.72</v>
      </c>
      <c r="S694" s="13"/>
      <c r="T694" s="257" t="s">
        <v>1178</v>
      </c>
      <c r="U694" s="258"/>
      <c r="V694" s="25"/>
      <c r="W694" s="26"/>
      <c r="X694" s="22">
        <v>4</v>
      </c>
      <c r="Y694" s="23">
        <v>1</v>
      </c>
      <c r="Z694" s="23">
        <v>50.18</v>
      </c>
      <c r="AA694" s="23">
        <f>Y694*Z694*X694</f>
        <v>200.72</v>
      </c>
    </row>
    <row r="695" spans="1:27" x14ac:dyDescent="0.2">
      <c r="A695" s="13"/>
      <c r="B695" s="27"/>
      <c r="C695" s="19"/>
      <c r="D695" s="19"/>
      <c r="E695" s="20"/>
      <c r="F695" s="22"/>
      <c r="G695" s="22"/>
      <c r="H695" s="28"/>
      <c r="I695" s="23"/>
      <c r="J695" s="13"/>
      <c r="K695" s="257" t="s">
        <v>1177</v>
      </c>
      <c r="L695" s="258"/>
      <c r="M695" s="19"/>
      <c r="N695" s="20"/>
      <c r="O695" s="22">
        <v>12</v>
      </c>
      <c r="P695" s="23">
        <v>1</v>
      </c>
      <c r="Q695" s="23">
        <v>38.97</v>
      </c>
      <c r="R695" s="23">
        <f>P695*Q695*O695</f>
        <v>467.64</v>
      </c>
      <c r="S695" s="13"/>
      <c r="T695" s="257" t="s">
        <v>1177</v>
      </c>
      <c r="U695" s="258"/>
      <c r="V695" s="19"/>
      <c r="W695" s="20"/>
      <c r="X695" s="22">
        <v>12</v>
      </c>
      <c r="Y695" s="23">
        <v>1</v>
      </c>
      <c r="Z695" s="23">
        <v>38.97</v>
      </c>
      <c r="AA695" s="23">
        <f>Y695*Z695*X695</f>
        <v>467.64</v>
      </c>
    </row>
    <row r="696" spans="1:27" x14ac:dyDescent="0.2">
      <c r="A696" s="13"/>
      <c r="B696" s="27"/>
      <c r="C696" s="19"/>
      <c r="D696" s="19"/>
      <c r="E696" s="20"/>
      <c r="F696" s="22"/>
      <c r="G696" s="22"/>
      <c r="H696" s="29"/>
      <c r="I696" s="30"/>
      <c r="J696" s="13"/>
      <c r="K696" s="27"/>
      <c r="L696" s="19"/>
      <c r="M696" s="19"/>
      <c r="N696" s="20"/>
      <c r="O696" s="22"/>
      <c r="P696" s="22"/>
      <c r="Q696" s="29"/>
      <c r="R696" s="30"/>
      <c r="S696" s="13"/>
      <c r="T696" s="153"/>
      <c r="U696" s="19"/>
      <c r="V696" s="19"/>
      <c r="W696" s="20"/>
      <c r="X696" s="22"/>
      <c r="Y696" s="22"/>
      <c r="Z696" s="29"/>
      <c r="AA696" s="30"/>
    </row>
    <row r="697" spans="1:27" x14ac:dyDescent="0.2">
      <c r="A697" s="13"/>
      <c r="B697" s="27"/>
      <c r="C697" s="19"/>
      <c r="D697" s="19"/>
      <c r="E697" s="20"/>
      <c r="F697" s="22"/>
      <c r="G697" s="22"/>
      <c r="H697" s="29"/>
      <c r="I697" s="30"/>
      <c r="J697" s="13"/>
      <c r="K697" s="27"/>
      <c r="L697" s="19"/>
      <c r="M697" s="19"/>
      <c r="N697" s="20"/>
      <c r="O697" s="22"/>
      <c r="P697" s="22"/>
      <c r="Q697" s="29"/>
      <c r="R697" s="30"/>
      <c r="S697" s="13"/>
      <c r="T697" s="153"/>
      <c r="U697" s="19"/>
      <c r="V697" s="19"/>
      <c r="W697" s="20"/>
      <c r="X697" s="22"/>
      <c r="Y697" s="22"/>
      <c r="Z697" s="23"/>
      <c r="AA697" s="23"/>
    </row>
    <row r="698" spans="1:27" x14ac:dyDescent="0.2">
      <c r="A698" s="13"/>
      <c r="B698" s="18"/>
      <c r="C698" s="19"/>
      <c r="D698" s="19"/>
      <c r="E698" s="20"/>
      <c r="F698" s="22"/>
      <c r="G698" s="22"/>
      <c r="H698" s="28"/>
      <c r="I698" s="23"/>
      <c r="J698" s="13"/>
      <c r="K698" s="18"/>
      <c r="L698" s="19"/>
      <c r="M698" s="19"/>
      <c r="N698" s="20"/>
      <c r="O698" s="22"/>
      <c r="P698" s="22"/>
      <c r="Q698" s="28"/>
      <c r="R698" s="23"/>
      <c r="S698" s="13"/>
      <c r="T698" s="18"/>
      <c r="U698" s="19"/>
      <c r="V698" s="19"/>
      <c r="W698" s="20"/>
      <c r="X698" s="22"/>
      <c r="Y698" s="22"/>
      <c r="Z698" s="23"/>
      <c r="AA698" s="23"/>
    </row>
    <row r="699" spans="1:27" x14ac:dyDescent="0.2">
      <c r="A699" s="13"/>
      <c r="B699" s="18"/>
      <c r="C699" s="19"/>
      <c r="D699" s="19"/>
      <c r="E699" s="20"/>
      <c r="F699" s="22"/>
      <c r="G699" s="22"/>
      <c r="H699" s="23"/>
      <c r="I699" s="23"/>
      <c r="J699" s="13"/>
      <c r="K699" s="18"/>
      <c r="L699" s="19"/>
      <c r="M699" s="19"/>
      <c r="N699" s="20"/>
      <c r="O699" s="22"/>
      <c r="P699" s="22"/>
      <c r="Q699" s="23"/>
      <c r="R699" s="23"/>
      <c r="S699" s="13"/>
      <c r="T699" s="18"/>
      <c r="U699" s="19"/>
      <c r="V699" s="19"/>
      <c r="W699" s="20"/>
      <c r="X699" s="22"/>
      <c r="Y699" s="22"/>
      <c r="Z699" s="23"/>
      <c r="AA699" s="23"/>
    </row>
    <row r="700" spans="1:27" x14ac:dyDescent="0.2">
      <c r="A700" s="13"/>
      <c r="B700" s="248" t="s">
        <v>20</v>
      </c>
      <c r="C700" s="249"/>
      <c r="D700" s="249"/>
      <c r="E700" s="250"/>
      <c r="F700" s="31"/>
      <c r="G700" s="31"/>
      <c r="H700" s="32"/>
      <c r="I700" s="32">
        <f>SUM(I693:I699)</f>
        <v>186.32999999999998</v>
      </c>
      <c r="J700" s="13"/>
      <c r="K700" s="248" t="s">
        <v>20</v>
      </c>
      <c r="L700" s="249"/>
      <c r="M700" s="249"/>
      <c r="N700" s="250"/>
      <c r="O700" s="31"/>
      <c r="P700" s="31"/>
      <c r="Q700" s="32"/>
      <c r="R700" s="32">
        <f>SUM(R693:R699)</f>
        <v>737.78</v>
      </c>
      <c r="S700" s="13"/>
      <c r="T700" s="248" t="s">
        <v>20</v>
      </c>
      <c r="U700" s="249"/>
      <c r="V700" s="249"/>
      <c r="W700" s="250"/>
      <c r="X700" s="31"/>
      <c r="Y700" s="31"/>
      <c r="Z700" s="32"/>
      <c r="AA700" s="32">
        <f>SUM(AA693:AA699)</f>
        <v>737.78</v>
      </c>
    </row>
    <row r="701" spans="1:27" x14ac:dyDescent="0.2">
      <c r="A701" s="12"/>
      <c r="B701" s="251" t="s">
        <v>21</v>
      </c>
      <c r="C701" s="252"/>
      <c r="D701" s="252"/>
      <c r="E701" s="253"/>
      <c r="F701" s="244" t="s">
        <v>22</v>
      </c>
      <c r="G701" s="244" t="s">
        <v>13</v>
      </c>
      <c r="H701" s="244" t="s">
        <v>14</v>
      </c>
      <c r="I701" s="246" t="s">
        <v>15</v>
      </c>
      <c r="J701" s="12"/>
      <c r="K701" s="251" t="s">
        <v>21</v>
      </c>
      <c r="L701" s="252"/>
      <c r="M701" s="252"/>
      <c r="N701" s="253"/>
      <c r="O701" s="244" t="s">
        <v>22</v>
      </c>
      <c r="P701" s="244" t="s">
        <v>13</v>
      </c>
      <c r="Q701" s="244" t="s">
        <v>14</v>
      </c>
      <c r="R701" s="246" t="s">
        <v>15</v>
      </c>
      <c r="S701" s="12"/>
      <c r="T701" s="251" t="s">
        <v>21</v>
      </c>
      <c r="U701" s="252"/>
      <c r="V701" s="252"/>
      <c r="W701" s="253"/>
      <c r="X701" s="244" t="s">
        <v>22</v>
      </c>
      <c r="Y701" s="244" t="s">
        <v>13</v>
      </c>
      <c r="Z701" s="244" t="s">
        <v>14</v>
      </c>
      <c r="AA701" s="246" t="s">
        <v>15</v>
      </c>
    </row>
    <row r="702" spans="1:27" x14ac:dyDescent="0.2">
      <c r="A702" s="13"/>
      <c r="B702" s="254"/>
      <c r="C702" s="255"/>
      <c r="D702" s="255"/>
      <c r="E702" s="256"/>
      <c r="F702" s="245"/>
      <c r="G702" s="245"/>
      <c r="H702" s="245"/>
      <c r="I702" s="247"/>
      <c r="J702" s="13"/>
      <c r="K702" s="254"/>
      <c r="L702" s="255"/>
      <c r="M702" s="255"/>
      <c r="N702" s="256"/>
      <c r="O702" s="245"/>
      <c r="P702" s="245"/>
      <c r="Q702" s="245"/>
      <c r="R702" s="247"/>
      <c r="S702" s="13"/>
      <c r="T702" s="254"/>
      <c r="U702" s="255"/>
      <c r="V702" s="255"/>
      <c r="W702" s="256"/>
      <c r="X702" s="245"/>
      <c r="Y702" s="245"/>
      <c r="Z702" s="245"/>
      <c r="AA702" s="247"/>
    </row>
    <row r="703" spans="1:27" x14ac:dyDescent="0.2">
      <c r="A703" s="13" t="s">
        <v>23</v>
      </c>
      <c r="B703" s="33" t="s">
        <v>24</v>
      </c>
      <c r="C703" s="15"/>
      <c r="D703" s="15"/>
      <c r="E703" s="16"/>
      <c r="F703" s="34"/>
      <c r="G703" s="34"/>
      <c r="H703" s="35"/>
      <c r="I703" s="35"/>
      <c r="J703" s="13" t="s">
        <v>23</v>
      </c>
      <c r="K703" s="33" t="s">
        <v>24</v>
      </c>
      <c r="L703" s="15"/>
      <c r="M703" s="15"/>
      <c r="N703" s="16"/>
      <c r="O703" s="34"/>
      <c r="P703" s="34"/>
      <c r="Q703" s="35"/>
      <c r="R703" s="35"/>
      <c r="S703" s="13" t="s">
        <v>23</v>
      </c>
      <c r="T703" s="33" t="s">
        <v>24</v>
      </c>
      <c r="U703" s="15"/>
      <c r="V703" s="15"/>
      <c r="W703" s="16"/>
      <c r="X703" s="34"/>
      <c r="Y703" s="34"/>
      <c r="Z703" s="35"/>
      <c r="AA703" s="35"/>
    </row>
    <row r="704" spans="1:27" x14ac:dyDescent="0.2">
      <c r="A704" s="13"/>
      <c r="B704" s="18"/>
      <c r="C704" s="19"/>
      <c r="D704" s="19"/>
      <c r="E704" s="20"/>
      <c r="F704" s="22"/>
      <c r="G704" s="22"/>
      <c r="H704" s="23"/>
      <c r="I704" s="23"/>
      <c r="J704" s="13"/>
      <c r="K704" s="18"/>
      <c r="L704" s="19"/>
      <c r="M704" s="19"/>
      <c r="N704" s="20"/>
      <c r="O704" s="22"/>
      <c r="P704" s="22"/>
      <c r="Q704" s="23"/>
      <c r="R704" s="23"/>
      <c r="S704" s="13"/>
      <c r="T704" s="18"/>
      <c r="U704" s="19"/>
      <c r="V704" s="19"/>
      <c r="W704" s="20"/>
      <c r="X704" s="22"/>
      <c r="Y704" s="22"/>
      <c r="Z704" s="23"/>
      <c r="AA704" s="23"/>
    </row>
    <row r="705" spans="1:27" x14ac:dyDescent="0.2">
      <c r="A705" s="13"/>
      <c r="B705" s="18" t="s">
        <v>254</v>
      </c>
      <c r="C705" s="19"/>
      <c r="D705" s="19"/>
      <c r="E705" s="20"/>
      <c r="F705" s="22">
        <v>1</v>
      </c>
      <c r="G705" s="23">
        <v>1</v>
      </c>
      <c r="H705" s="37">
        <v>936</v>
      </c>
      <c r="I705" s="23">
        <f>F705*G705*H705</f>
        <v>936</v>
      </c>
      <c r="J705" s="13"/>
      <c r="K705" s="18" t="s">
        <v>340</v>
      </c>
      <c r="L705" s="19"/>
      <c r="M705" s="19"/>
      <c r="N705" s="20"/>
      <c r="O705" s="22">
        <v>4</v>
      </c>
      <c r="P705" s="23">
        <v>1</v>
      </c>
      <c r="Q705" s="37">
        <v>1318</v>
      </c>
      <c r="R705" s="37">
        <f t="shared" ref="R705:R712" si="42">P705*Q705*O705</f>
        <v>5272</v>
      </c>
      <c r="S705" s="13"/>
      <c r="T705" s="18" t="s">
        <v>1208</v>
      </c>
      <c r="U705" s="19"/>
      <c r="V705" s="19"/>
      <c r="W705" s="20"/>
      <c r="X705" s="22">
        <v>1</v>
      </c>
      <c r="Y705" s="23">
        <v>0.1</v>
      </c>
      <c r="Z705" s="37">
        <v>1759.5</v>
      </c>
      <c r="AA705" s="37">
        <f t="shared" ref="AA705:AA712" si="43">Y705*Z705*X705</f>
        <v>175.95000000000002</v>
      </c>
    </row>
    <row r="706" spans="1:27" x14ac:dyDescent="0.2">
      <c r="A706" s="13"/>
      <c r="B706" s="18" t="s">
        <v>288</v>
      </c>
      <c r="C706" s="19"/>
      <c r="D706" s="19"/>
      <c r="E706" s="20"/>
      <c r="F706" s="22">
        <v>1</v>
      </c>
      <c r="G706" s="23">
        <v>1</v>
      </c>
      <c r="H706" s="37">
        <v>130.54</v>
      </c>
      <c r="I706" s="23">
        <f>F706*G706*H706</f>
        <v>130.54</v>
      </c>
      <c r="J706" s="13"/>
      <c r="K706" s="18" t="s">
        <v>341</v>
      </c>
      <c r="L706" s="19"/>
      <c r="M706" s="19"/>
      <c r="N706" s="20"/>
      <c r="O706" s="22">
        <v>2</v>
      </c>
      <c r="P706" s="23">
        <v>1</v>
      </c>
      <c r="Q706" s="37">
        <v>91.25</v>
      </c>
      <c r="R706" s="37">
        <f t="shared" si="42"/>
        <v>182.5</v>
      </c>
      <c r="S706" s="13"/>
      <c r="T706" s="18" t="s">
        <v>255</v>
      </c>
      <c r="U706" s="19"/>
      <c r="V706" s="19"/>
      <c r="W706" s="20"/>
      <c r="X706" s="22">
        <v>1</v>
      </c>
      <c r="Y706" s="23">
        <v>0.1</v>
      </c>
      <c r="Z706" s="37">
        <v>545</v>
      </c>
      <c r="AA706" s="37">
        <f t="shared" si="43"/>
        <v>54.5</v>
      </c>
    </row>
    <row r="707" spans="1:27" x14ac:dyDescent="0.2">
      <c r="A707" s="13"/>
      <c r="B707" s="18"/>
      <c r="C707" s="19"/>
      <c r="D707" s="19"/>
      <c r="E707" s="20"/>
      <c r="F707" s="22"/>
      <c r="G707" s="23"/>
      <c r="H707" s="37"/>
      <c r="I707" s="23"/>
      <c r="J707" s="13"/>
      <c r="K707" s="18" t="s">
        <v>1224</v>
      </c>
      <c r="L707" s="19"/>
      <c r="M707" s="19"/>
      <c r="N707" s="20"/>
      <c r="O707" s="22">
        <v>1</v>
      </c>
      <c r="P707" s="23">
        <v>1</v>
      </c>
      <c r="Q707" s="37">
        <v>1759.5</v>
      </c>
      <c r="R707" s="37">
        <f t="shared" si="42"/>
        <v>1759.5</v>
      </c>
      <c r="S707" s="13"/>
      <c r="T707" s="18" t="s">
        <v>256</v>
      </c>
      <c r="U707" s="19"/>
      <c r="V707" s="19"/>
      <c r="W707" s="20"/>
      <c r="X707" s="22">
        <v>2</v>
      </c>
      <c r="Y707" s="23">
        <v>0.1</v>
      </c>
      <c r="Z707" s="37">
        <v>1318</v>
      </c>
      <c r="AA707" s="37">
        <f t="shared" si="43"/>
        <v>263.60000000000002</v>
      </c>
    </row>
    <row r="708" spans="1:27" x14ac:dyDescent="0.2">
      <c r="A708" s="13"/>
      <c r="B708" s="18"/>
      <c r="C708" s="19"/>
      <c r="D708" s="19"/>
      <c r="E708" s="20"/>
      <c r="F708" s="22"/>
      <c r="G708" s="23"/>
      <c r="H708" s="37"/>
      <c r="I708" s="23"/>
      <c r="J708" s="13"/>
      <c r="K708" s="18" t="s">
        <v>257</v>
      </c>
      <c r="L708" s="66"/>
      <c r="M708" s="19"/>
      <c r="N708" s="20"/>
      <c r="O708" s="22">
        <v>1</v>
      </c>
      <c r="P708" s="23">
        <v>1</v>
      </c>
      <c r="Q708" s="37">
        <v>1733</v>
      </c>
      <c r="R708" s="37">
        <f t="shared" si="42"/>
        <v>1733</v>
      </c>
      <c r="S708" s="13"/>
      <c r="T708" s="18" t="s">
        <v>257</v>
      </c>
      <c r="U708" s="66"/>
      <c r="V708" s="19"/>
      <c r="W708" s="20"/>
      <c r="X708" s="22">
        <v>1</v>
      </c>
      <c r="Y708" s="23">
        <v>0.1</v>
      </c>
      <c r="Z708" s="37">
        <v>1733</v>
      </c>
      <c r="AA708" s="37">
        <f t="shared" si="43"/>
        <v>173.3</v>
      </c>
    </row>
    <row r="709" spans="1:27" x14ac:dyDescent="0.2">
      <c r="A709" s="13"/>
      <c r="B709" s="18"/>
      <c r="C709" s="19"/>
      <c r="D709" s="19"/>
      <c r="E709" s="20"/>
      <c r="F709" s="22"/>
      <c r="G709" s="36"/>
      <c r="H709" s="37"/>
      <c r="I709" s="23"/>
      <c r="J709" s="13"/>
      <c r="K709" s="18" t="s">
        <v>342</v>
      </c>
      <c r="L709" s="19"/>
      <c r="M709" s="19"/>
      <c r="N709" s="20"/>
      <c r="O709" s="22">
        <v>1</v>
      </c>
      <c r="P709" s="23">
        <v>1</v>
      </c>
      <c r="Q709" s="37">
        <v>545</v>
      </c>
      <c r="R709" s="37">
        <f t="shared" si="42"/>
        <v>545</v>
      </c>
      <c r="S709" s="13"/>
      <c r="T709" s="18" t="s">
        <v>1211</v>
      </c>
      <c r="U709" s="19"/>
      <c r="V709" s="19"/>
      <c r="W709" s="20"/>
      <c r="X709" s="22">
        <v>1</v>
      </c>
      <c r="Y709" s="23">
        <v>0.1</v>
      </c>
      <c r="Z709" s="37">
        <v>2450</v>
      </c>
      <c r="AA709" s="37">
        <f t="shared" si="43"/>
        <v>245</v>
      </c>
    </row>
    <row r="710" spans="1:27" x14ac:dyDescent="0.2">
      <c r="A710" s="13"/>
      <c r="B710" s="18"/>
      <c r="C710" s="19"/>
      <c r="D710" s="19"/>
      <c r="E710" s="20"/>
      <c r="F710" s="22"/>
      <c r="G710" s="36"/>
      <c r="H710" s="38"/>
      <c r="I710" s="38"/>
      <c r="J710" s="13"/>
      <c r="K710" s="18" t="s">
        <v>1206</v>
      </c>
      <c r="L710" s="19"/>
      <c r="M710" s="19"/>
      <c r="N710" s="20"/>
      <c r="O710" s="22">
        <v>1</v>
      </c>
      <c r="P710" s="23">
        <v>1</v>
      </c>
      <c r="Q710" s="37">
        <v>2450</v>
      </c>
      <c r="R710" s="37">
        <f t="shared" si="42"/>
        <v>2450</v>
      </c>
      <c r="S710" s="13"/>
      <c r="T710" s="18" t="s">
        <v>1272</v>
      </c>
      <c r="U710" s="19"/>
      <c r="V710" s="19"/>
      <c r="W710" s="20"/>
      <c r="X710" s="22">
        <v>1</v>
      </c>
      <c r="Y710" s="23">
        <v>0.1</v>
      </c>
      <c r="Z710" s="37">
        <v>91.25</v>
      </c>
      <c r="AA710" s="37">
        <f t="shared" si="43"/>
        <v>9.125</v>
      </c>
    </row>
    <row r="711" spans="1:27" x14ac:dyDescent="0.2">
      <c r="A711" s="13"/>
      <c r="B711" s="18"/>
      <c r="C711" s="19"/>
      <c r="D711" s="19"/>
      <c r="E711" s="20"/>
      <c r="F711" s="22"/>
      <c r="G711" s="36"/>
      <c r="H711" s="37"/>
      <c r="I711" s="37"/>
      <c r="J711" s="13"/>
      <c r="K711" s="18" t="s">
        <v>1236</v>
      </c>
      <c r="L711" s="19"/>
      <c r="M711" s="19"/>
      <c r="N711" s="20"/>
      <c r="O711" s="22">
        <v>1</v>
      </c>
      <c r="P711" s="23">
        <v>1</v>
      </c>
      <c r="Q711" s="37">
        <v>32.630000000000003</v>
      </c>
      <c r="R711" s="37">
        <f t="shared" si="42"/>
        <v>32.630000000000003</v>
      </c>
      <c r="S711" s="13"/>
      <c r="T711" s="18" t="s">
        <v>258</v>
      </c>
      <c r="U711" s="19"/>
      <c r="V711" s="19"/>
      <c r="W711" s="20"/>
      <c r="X711" s="22">
        <v>1</v>
      </c>
      <c r="Y711" s="23">
        <v>0.25</v>
      </c>
      <c r="Z711" s="37">
        <v>219.75</v>
      </c>
      <c r="AA711" s="37">
        <f t="shared" si="43"/>
        <v>54.9375</v>
      </c>
    </row>
    <row r="712" spans="1:27" x14ac:dyDescent="0.2">
      <c r="A712" s="13"/>
      <c r="B712" s="18"/>
      <c r="C712" s="19"/>
      <c r="D712" s="19"/>
      <c r="E712" s="20"/>
      <c r="F712" s="22"/>
      <c r="G712" s="36"/>
      <c r="H712" s="38"/>
      <c r="I712" s="38"/>
      <c r="J712" s="13"/>
      <c r="K712" s="18" t="s">
        <v>343</v>
      </c>
      <c r="L712" s="19"/>
      <c r="M712" s="19"/>
      <c r="N712" s="20"/>
      <c r="O712" s="22">
        <v>1</v>
      </c>
      <c r="P712" s="23">
        <v>0.1</v>
      </c>
      <c r="Q712" s="37">
        <v>219.75</v>
      </c>
      <c r="R712" s="37">
        <f t="shared" si="42"/>
        <v>21.975000000000001</v>
      </c>
      <c r="S712" s="13"/>
      <c r="T712" s="18" t="s">
        <v>259</v>
      </c>
      <c r="U712" s="19"/>
      <c r="V712" s="19"/>
      <c r="W712" s="20"/>
      <c r="X712" s="22">
        <v>1</v>
      </c>
      <c r="Y712" s="23">
        <v>0.25</v>
      </c>
      <c r="Z712" s="37">
        <v>351.5</v>
      </c>
      <c r="AA712" s="37">
        <f t="shared" si="43"/>
        <v>87.875</v>
      </c>
    </row>
    <row r="713" spans="1:27" x14ac:dyDescent="0.2">
      <c r="A713" s="13"/>
      <c r="B713" s="18"/>
      <c r="C713" s="19"/>
      <c r="D713" s="19"/>
      <c r="E713" s="20"/>
      <c r="F713" s="22"/>
      <c r="G713" s="36"/>
      <c r="H713" s="38"/>
      <c r="I713" s="38"/>
      <c r="J713" s="13"/>
      <c r="K713" s="18" t="s">
        <v>1195</v>
      </c>
      <c r="L713" s="19"/>
      <c r="M713" s="19"/>
      <c r="N713" s="20"/>
      <c r="O713" s="22"/>
      <c r="P713" s="36"/>
      <c r="R713" s="37">
        <f>R700*0.05</f>
        <v>36.889000000000003</v>
      </c>
      <c r="S713" s="13"/>
      <c r="T713" s="18" t="s">
        <v>260</v>
      </c>
      <c r="U713" s="19"/>
      <c r="V713" s="19"/>
      <c r="W713" s="20"/>
      <c r="X713" s="22"/>
      <c r="Y713" s="36"/>
      <c r="Z713" s="3"/>
      <c r="AA713" s="37">
        <f>AA700*0.05</f>
        <v>36.889000000000003</v>
      </c>
    </row>
    <row r="714" spans="1:27" x14ac:dyDescent="0.2">
      <c r="A714" s="13"/>
      <c r="B714" s="18"/>
      <c r="C714" s="19"/>
      <c r="D714" s="19"/>
      <c r="E714" s="20"/>
      <c r="F714" s="22"/>
      <c r="G714" s="36"/>
      <c r="H714" s="37"/>
      <c r="I714" s="37"/>
      <c r="J714" s="13"/>
      <c r="K714" s="18"/>
      <c r="L714" s="19"/>
      <c r="M714" s="19"/>
      <c r="N714" s="20"/>
      <c r="O714" s="22"/>
      <c r="P714" s="36"/>
      <c r="Q714" s="37"/>
      <c r="R714" s="37"/>
      <c r="S714" s="13"/>
      <c r="X714" s="72"/>
      <c r="Y714" s="72"/>
      <c r="Z714" s="30"/>
      <c r="AA714" s="30"/>
    </row>
    <row r="715" spans="1:27" x14ac:dyDescent="0.2">
      <c r="A715" s="13"/>
      <c r="B715" s="18"/>
      <c r="C715" s="19"/>
      <c r="D715" s="19"/>
      <c r="E715" s="20"/>
      <c r="F715" s="22"/>
      <c r="G715" s="36"/>
      <c r="H715" s="37"/>
      <c r="I715" s="37"/>
      <c r="J715" s="13"/>
      <c r="K715" s="18"/>
      <c r="L715" s="19"/>
      <c r="M715" s="19"/>
      <c r="N715" s="20"/>
      <c r="O715" s="22"/>
      <c r="P715" s="36"/>
      <c r="Q715" s="37"/>
      <c r="R715" s="37"/>
      <c r="S715" s="13"/>
      <c r="T715" s="18"/>
      <c r="U715" s="19"/>
      <c r="V715" s="19"/>
      <c r="W715" s="20"/>
      <c r="X715" s="22"/>
      <c r="Y715" s="36"/>
      <c r="Z715" s="37"/>
      <c r="AA715" s="37"/>
    </row>
    <row r="716" spans="1:27" x14ac:dyDescent="0.2">
      <c r="A716" s="13"/>
      <c r="B716" s="18"/>
      <c r="C716" s="19"/>
      <c r="D716" s="19"/>
      <c r="E716" s="20"/>
      <c r="F716" s="22"/>
      <c r="G716" s="36"/>
      <c r="H716" s="37"/>
      <c r="I716" s="37"/>
      <c r="J716" s="13"/>
      <c r="K716" s="18"/>
      <c r="L716" s="19"/>
      <c r="M716" s="19"/>
      <c r="N716" s="20"/>
      <c r="O716" s="22"/>
      <c r="P716" s="36"/>
      <c r="Q716" s="37"/>
      <c r="R716" s="37"/>
      <c r="S716" s="13"/>
      <c r="T716" s="18"/>
      <c r="U716" s="19"/>
      <c r="V716" s="19"/>
      <c r="W716" s="20"/>
      <c r="X716" s="22"/>
      <c r="Y716" s="36"/>
      <c r="Z716" s="37"/>
      <c r="AA716" s="37"/>
    </row>
    <row r="717" spans="1:27" x14ac:dyDescent="0.2">
      <c r="A717" s="13"/>
      <c r="B717" s="18"/>
      <c r="C717" s="19"/>
      <c r="D717" s="19"/>
      <c r="E717" s="20"/>
      <c r="F717" s="22"/>
      <c r="G717" s="22"/>
      <c r="H717" s="23"/>
      <c r="I717" s="23"/>
      <c r="J717" s="13"/>
      <c r="K717" s="18"/>
      <c r="L717" s="19"/>
      <c r="M717" s="19"/>
      <c r="N717" s="20"/>
      <c r="O717" s="22"/>
      <c r="P717" s="22"/>
      <c r="Q717" s="23"/>
      <c r="R717" s="23"/>
      <c r="S717" s="13"/>
      <c r="T717" s="18"/>
      <c r="U717" s="19"/>
      <c r="V717" s="19"/>
      <c r="W717" s="20"/>
      <c r="X717" s="22"/>
      <c r="Y717" s="22"/>
      <c r="Z717" s="23"/>
      <c r="AA717" s="23"/>
    </row>
    <row r="718" spans="1:27" x14ac:dyDescent="0.2">
      <c r="A718" s="13"/>
      <c r="B718" s="248" t="s">
        <v>30</v>
      </c>
      <c r="C718" s="249"/>
      <c r="D718" s="249"/>
      <c r="E718" s="250"/>
      <c r="F718" s="22"/>
      <c r="G718" s="22"/>
      <c r="H718" s="23"/>
      <c r="I718" s="23">
        <f>SUM(I705:I717)</f>
        <v>1066.54</v>
      </c>
      <c r="J718" s="13"/>
      <c r="K718" s="248" t="s">
        <v>30</v>
      </c>
      <c r="L718" s="249"/>
      <c r="M718" s="249"/>
      <c r="N718" s="250"/>
      <c r="O718" s="22"/>
      <c r="P718" s="22"/>
      <c r="Q718" s="23"/>
      <c r="R718" s="23">
        <f>SUM(R705:R717)</f>
        <v>12033.493999999999</v>
      </c>
      <c r="S718" s="13"/>
      <c r="T718" s="248" t="s">
        <v>30</v>
      </c>
      <c r="U718" s="249"/>
      <c r="V718" s="249"/>
      <c r="W718" s="250"/>
      <c r="X718" s="22"/>
      <c r="Y718" s="22"/>
      <c r="Z718" s="23"/>
      <c r="AA718" s="23">
        <f>SUM(AA705:AA717)</f>
        <v>1101.1765</v>
      </c>
    </row>
    <row r="719" spans="1:27" x14ac:dyDescent="0.2">
      <c r="A719" s="12" t="s">
        <v>31</v>
      </c>
      <c r="B719" s="260" t="s">
        <v>32</v>
      </c>
      <c r="C719" s="261"/>
      <c r="D719" s="261"/>
      <c r="E719" s="261"/>
      <c r="F719" s="39"/>
      <c r="G719" s="39"/>
      <c r="H719" s="40"/>
      <c r="I719" s="41">
        <f>SUM(I718+I700)</f>
        <v>1252.8699999999999</v>
      </c>
      <c r="J719" s="12" t="s">
        <v>31</v>
      </c>
      <c r="K719" s="260" t="s">
        <v>32</v>
      </c>
      <c r="L719" s="261"/>
      <c r="M719" s="261"/>
      <c r="N719" s="261"/>
      <c r="O719" s="39"/>
      <c r="P719" s="39"/>
      <c r="Q719" s="40"/>
      <c r="R719" s="41">
        <f>SUM(R718+R700)</f>
        <v>12771.273999999999</v>
      </c>
      <c r="S719" s="12" t="s">
        <v>31</v>
      </c>
      <c r="T719" s="260" t="s">
        <v>32</v>
      </c>
      <c r="U719" s="261"/>
      <c r="V719" s="261"/>
      <c r="W719" s="261"/>
      <c r="X719" s="151"/>
      <c r="Y719" s="151"/>
      <c r="Z719" s="40"/>
      <c r="AA719" s="41">
        <f>SUM(AA718+AA700)</f>
        <v>1838.9565</v>
      </c>
    </row>
    <row r="720" spans="1:27" x14ac:dyDescent="0.2">
      <c r="A720" s="13" t="s">
        <v>33</v>
      </c>
      <c r="B720" s="309">
        <f>E687</f>
        <v>0.3</v>
      </c>
      <c r="C720" s="310"/>
      <c r="D720" s="310"/>
      <c r="E720" s="310"/>
      <c r="F720" s="310"/>
      <c r="G720" s="310"/>
      <c r="H720" s="40"/>
      <c r="I720" s="41"/>
      <c r="J720" s="13" t="s">
        <v>33</v>
      </c>
      <c r="K720" s="313">
        <f>N687</f>
        <v>107.33</v>
      </c>
      <c r="L720" s="314"/>
      <c r="M720" s="314"/>
      <c r="N720" s="314"/>
      <c r="O720" s="314"/>
      <c r="P720" s="314"/>
      <c r="Q720" s="40"/>
      <c r="R720" s="41"/>
      <c r="S720" s="13" t="s">
        <v>33</v>
      </c>
      <c r="T720" s="305">
        <f>W687</f>
        <v>6</v>
      </c>
      <c r="U720" s="306"/>
      <c r="V720" s="306"/>
      <c r="W720" s="306"/>
      <c r="X720" s="306"/>
      <c r="Y720" s="306"/>
      <c r="Z720" s="40"/>
      <c r="AA720" s="41"/>
    </row>
    <row r="721" spans="1:27" x14ac:dyDescent="0.2">
      <c r="A721" s="13" t="s">
        <v>34</v>
      </c>
      <c r="B721" s="42" t="s">
        <v>35</v>
      </c>
      <c r="C721" s="43"/>
      <c r="D721" s="43"/>
      <c r="E721" s="39"/>
      <c r="F721" s="44"/>
      <c r="G721" s="44"/>
      <c r="H721" s="40"/>
      <c r="I721" s="41">
        <f>I719/E687</f>
        <v>4176.2333333333336</v>
      </c>
      <c r="J721" s="13" t="s">
        <v>34</v>
      </c>
      <c r="K721" s="42" t="s">
        <v>35</v>
      </c>
      <c r="L721" s="43"/>
      <c r="M721" s="43"/>
      <c r="N721" s="39"/>
      <c r="O721" s="44"/>
      <c r="P721" s="44"/>
      <c r="Q721" s="40"/>
      <c r="R721" s="41">
        <f>R719/N687</f>
        <v>118.99072020870213</v>
      </c>
      <c r="S721" s="13" t="s">
        <v>34</v>
      </c>
      <c r="T721" s="155" t="s">
        <v>35</v>
      </c>
      <c r="U721" s="43"/>
      <c r="V721" s="43"/>
      <c r="W721" s="151"/>
      <c r="X721" s="156"/>
      <c r="Y721" s="156"/>
      <c r="Z721" s="40"/>
      <c r="AA721" s="41">
        <f>AA719/W687</f>
        <v>306.49275</v>
      </c>
    </row>
    <row r="722" spans="1:27" x14ac:dyDescent="0.2">
      <c r="A722" s="12"/>
      <c r="B722" s="251" t="s">
        <v>36</v>
      </c>
      <c r="C722" s="252"/>
      <c r="D722" s="252"/>
      <c r="E722" s="253"/>
      <c r="F722" s="244" t="s">
        <v>37</v>
      </c>
      <c r="G722" s="244" t="s">
        <v>38</v>
      </c>
      <c r="H722" s="244" t="s">
        <v>39</v>
      </c>
      <c r="I722" s="246" t="s">
        <v>15</v>
      </c>
      <c r="J722" s="12"/>
      <c r="K722" s="251" t="s">
        <v>36</v>
      </c>
      <c r="L722" s="252"/>
      <c r="M722" s="252"/>
      <c r="N722" s="253"/>
      <c r="O722" s="244" t="s">
        <v>37</v>
      </c>
      <c r="P722" s="244" t="s">
        <v>38</v>
      </c>
      <c r="Q722" s="244" t="s">
        <v>39</v>
      </c>
      <c r="R722" s="246" t="s">
        <v>15</v>
      </c>
      <c r="S722" s="12"/>
      <c r="T722" s="251" t="s">
        <v>36</v>
      </c>
      <c r="U722" s="252"/>
      <c r="V722" s="252"/>
      <c r="W722" s="253"/>
      <c r="X722" s="244" t="s">
        <v>37</v>
      </c>
      <c r="Y722" s="244" t="s">
        <v>38</v>
      </c>
      <c r="Z722" s="244" t="s">
        <v>39</v>
      </c>
      <c r="AA722" s="246" t="s">
        <v>15</v>
      </c>
    </row>
    <row r="723" spans="1:27" x14ac:dyDescent="0.2">
      <c r="A723" s="13"/>
      <c r="B723" s="254"/>
      <c r="C723" s="255"/>
      <c r="D723" s="255"/>
      <c r="E723" s="256"/>
      <c r="F723" s="245"/>
      <c r="G723" s="245"/>
      <c r="H723" s="245"/>
      <c r="I723" s="247"/>
      <c r="J723" s="13"/>
      <c r="K723" s="254"/>
      <c r="L723" s="255"/>
      <c r="M723" s="255"/>
      <c r="N723" s="256"/>
      <c r="O723" s="245"/>
      <c r="P723" s="245"/>
      <c r="Q723" s="245"/>
      <c r="R723" s="247"/>
      <c r="S723" s="13"/>
      <c r="T723" s="254"/>
      <c r="U723" s="255"/>
      <c r="V723" s="255"/>
      <c r="W723" s="256"/>
      <c r="X723" s="245"/>
      <c r="Y723" s="245"/>
      <c r="Z723" s="245"/>
      <c r="AA723" s="247"/>
    </row>
    <row r="724" spans="1:27" x14ac:dyDescent="0.2">
      <c r="A724" s="13" t="s">
        <v>40</v>
      </c>
      <c r="B724" s="18" t="s">
        <v>41</v>
      </c>
      <c r="C724" s="19"/>
      <c r="D724" s="19"/>
      <c r="E724" s="20"/>
      <c r="F724" s="22"/>
      <c r="G724" s="22"/>
      <c r="H724" s="23"/>
      <c r="I724" s="23"/>
      <c r="J724" s="13" t="s">
        <v>40</v>
      </c>
      <c r="K724" s="18" t="s">
        <v>41</v>
      </c>
      <c r="L724" s="19"/>
      <c r="M724" s="19"/>
      <c r="N724" s="20"/>
      <c r="O724" s="22"/>
      <c r="P724" s="22"/>
      <c r="Q724" s="23"/>
      <c r="R724" s="23"/>
      <c r="S724" s="13" t="s">
        <v>40</v>
      </c>
      <c r="T724" s="18" t="s">
        <v>41</v>
      </c>
      <c r="U724" s="19"/>
      <c r="V724" s="19"/>
      <c r="W724" s="20"/>
      <c r="X724" s="22"/>
      <c r="Y724" s="22"/>
      <c r="Z724" s="23"/>
      <c r="AA724" s="23"/>
    </row>
    <row r="725" spans="1:27" x14ac:dyDescent="0.2">
      <c r="A725" s="13"/>
      <c r="B725" s="18"/>
      <c r="C725" s="19"/>
      <c r="D725" s="19"/>
      <c r="E725" s="20"/>
      <c r="F725" s="22"/>
      <c r="G725" s="22"/>
      <c r="H725" s="23"/>
      <c r="I725" s="23"/>
      <c r="J725" s="13"/>
      <c r="K725" s="18"/>
      <c r="L725" s="19"/>
      <c r="M725" s="19"/>
      <c r="N725" s="20"/>
      <c r="O725" s="22"/>
      <c r="P725" s="22"/>
      <c r="Q725" s="23"/>
      <c r="R725" s="23"/>
      <c r="S725" s="13"/>
      <c r="T725" s="18"/>
      <c r="U725" s="19"/>
      <c r="V725" s="19"/>
      <c r="W725" s="20"/>
      <c r="X725" s="22"/>
      <c r="Y725" s="22"/>
      <c r="Z725" s="23"/>
      <c r="AA725" s="23"/>
    </row>
    <row r="726" spans="1:27" x14ac:dyDescent="0.2">
      <c r="A726" s="13"/>
      <c r="B726" s="237" t="s">
        <v>331</v>
      </c>
      <c r="C726" s="237"/>
      <c r="D726" s="237"/>
      <c r="E726" s="237"/>
      <c r="F726" s="22" t="s">
        <v>239</v>
      </c>
      <c r="G726" s="22">
        <v>1.05</v>
      </c>
      <c r="H726" s="107">
        <f>ROUND(10155.08*5,0)</f>
        <v>50775</v>
      </c>
      <c r="I726" s="23">
        <f>G726*H726</f>
        <v>53313.75</v>
      </c>
      <c r="J726" s="13"/>
      <c r="K726" s="18" t="s">
        <v>263</v>
      </c>
      <c r="L726" s="66"/>
      <c r="M726" s="19"/>
      <c r="N726" s="20"/>
      <c r="O726" s="22" t="s">
        <v>77</v>
      </c>
      <c r="P726" s="22">
        <v>0.33</v>
      </c>
      <c r="Q726" s="107">
        <v>40</v>
      </c>
      <c r="R726" s="23">
        <f>P726*Q726</f>
        <v>13.200000000000001</v>
      </c>
      <c r="S726" s="13"/>
      <c r="T726" s="18" t="s">
        <v>263</v>
      </c>
      <c r="U726" s="66"/>
      <c r="V726" s="19"/>
      <c r="W726" s="20"/>
      <c r="X726" s="22" t="s">
        <v>77</v>
      </c>
      <c r="Y726" s="23">
        <v>54.21</v>
      </c>
      <c r="Z726" s="107">
        <v>40</v>
      </c>
      <c r="AA726" s="23">
        <f t="shared" ref="AA726:AA732" si="44">Y726*Z726</f>
        <v>2168.4</v>
      </c>
    </row>
    <row r="727" spans="1:27" x14ac:dyDescent="0.2">
      <c r="A727" s="13"/>
      <c r="B727" s="18" t="s">
        <v>322</v>
      </c>
      <c r="C727" s="66"/>
      <c r="D727" s="19"/>
      <c r="E727" s="20"/>
      <c r="F727" s="22"/>
      <c r="G727" s="22"/>
      <c r="H727" s="23"/>
      <c r="I727" s="23"/>
      <c r="J727" s="13"/>
      <c r="K727" s="18" t="s">
        <v>264</v>
      </c>
      <c r="L727" s="66"/>
      <c r="M727" s="19"/>
      <c r="N727" s="20"/>
      <c r="O727" s="22" t="s">
        <v>1216</v>
      </c>
      <c r="P727" s="22">
        <v>0.28999999999999998</v>
      </c>
      <c r="Q727" s="107">
        <v>28</v>
      </c>
      <c r="R727" s="23">
        <f t="shared" ref="R727:R735" si="45">P727*Q727</f>
        <v>8.1199999999999992</v>
      </c>
      <c r="S727" s="13"/>
      <c r="T727" s="18" t="s">
        <v>264</v>
      </c>
      <c r="U727" s="66"/>
      <c r="V727" s="19"/>
      <c r="W727" s="20"/>
      <c r="X727" s="22" t="s">
        <v>1216</v>
      </c>
      <c r="Y727" s="23">
        <v>0.28999999999999998</v>
      </c>
      <c r="Z727" s="107">
        <v>28</v>
      </c>
      <c r="AA727" s="23">
        <f t="shared" si="44"/>
        <v>8.1199999999999992</v>
      </c>
    </row>
    <row r="728" spans="1:27" x14ac:dyDescent="0.2">
      <c r="A728" s="13"/>
      <c r="B728" s="18"/>
      <c r="C728" s="19"/>
      <c r="D728" s="19"/>
      <c r="E728" s="20"/>
      <c r="F728" s="22"/>
      <c r="G728" s="22"/>
      <c r="H728" s="38"/>
      <c r="I728" s="38"/>
      <c r="J728" s="13"/>
      <c r="K728" s="18" t="s">
        <v>266</v>
      </c>
      <c r="L728" s="19"/>
      <c r="M728" s="19"/>
      <c r="N728" s="20"/>
      <c r="O728" s="22" t="s">
        <v>1216</v>
      </c>
      <c r="P728" s="22">
        <v>0.12</v>
      </c>
      <c r="Q728" s="107">
        <f>44000/1000</f>
        <v>44</v>
      </c>
      <c r="R728" s="23">
        <f t="shared" si="45"/>
        <v>5.2799999999999994</v>
      </c>
      <c r="S728" s="13"/>
      <c r="T728" s="18" t="s">
        <v>266</v>
      </c>
      <c r="U728" s="19"/>
      <c r="V728" s="19"/>
      <c r="W728" s="20"/>
      <c r="X728" s="22" t="s">
        <v>1216</v>
      </c>
      <c r="Y728" s="23">
        <v>0.18</v>
      </c>
      <c r="Z728" s="107">
        <v>44</v>
      </c>
      <c r="AA728" s="23">
        <f t="shared" si="44"/>
        <v>7.92</v>
      </c>
    </row>
    <row r="729" spans="1:27" x14ac:dyDescent="0.2">
      <c r="A729" s="13"/>
      <c r="B729" s="18"/>
      <c r="C729" s="19"/>
      <c r="D729" s="19"/>
      <c r="E729" s="20"/>
      <c r="F729" s="22"/>
      <c r="G729" s="22"/>
      <c r="H729" s="38"/>
      <c r="I729" s="38"/>
      <c r="J729" s="13"/>
      <c r="K729" s="18" t="s">
        <v>267</v>
      </c>
      <c r="L729" s="19"/>
      <c r="M729" s="19"/>
      <c r="N729" s="20"/>
      <c r="O729" s="22" t="s">
        <v>1153</v>
      </c>
      <c r="P729" s="22">
        <v>0.46</v>
      </c>
      <c r="Q729" s="107">
        <v>50</v>
      </c>
      <c r="R729" s="23">
        <f t="shared" si="45"/>
        <v>23</v>
      </c>
      <c r="S729" s="13"/>
      <c r="T729" s="18" t="s">
        <v>267</v>
      </c>
      <c r="U729" s="19"/>
      <c r="V729" s="19"/>
      <c r="W729" s="20"/>
      <c r="X729" s="22" t="s">
        <v>1153</v>
      </c>
      <c r="Y729" s="23">
        <v>0.46</v>
      </c>
      <c r="Z729" s="107">
        <v>50</v>
      </c>
      <c r="AA729" s="23">
        <f t="shared" si="44"/>
        <v>23</v>
      </c>
    </row>
    <row r="730" spans="1:27" x14ac:dyDescent="0.2">
      <c r="A730" s="13"/>
      <c r="B730" s="18"/>
      <c r="C730" s="19"/>
      <c r="D730" s="19"/>
      <c r="E730" s="20"/>
      <c r="F730" s="22"/>
      <c r="G730" s="22"/>
      <c r="H730" s="45"/>
      <c r="I730" s="45"/>
      <c r="J730" s="13"/>
      <c r="K730" s="18" t="s">
        <v>268</v>
      </c>
      <c r="L730" s="19"/>
      <c r="M730" s="19"/>
      <c r="N730" s="20"/>
      <c r="O730" s="22" t="s">
        <v>9</v>
      </c>
      <c r="P730" s="22">
        <v>8.2500000000000004E-2</v>
      </c>
      <c r="Q730" s="107">
        <v>850</v>
      </c>
      <c r="R730" s="23">
        <f t="shared" si="45"/>
        <v>70.125</v>
      </c>
      <c r="S730" s="13"/>
      <c r="T730" s="18" t="s">
        <v>268</v>
      </c>
      <c r="U730" s="19"/>
      <c r="V730" s="19"/>
      <c r="W730" s="20"/>
      <c r="X730" s="22" t="s">
        <v>9</v>
      </c>
      <c r="Y730" s="93">
        <v>0.16500000000000001</v>
      </c>
      <c r="Z730" s="107">
        <v>850</v>
      </c>
      <c r="AA730" s="23">
        <f t="shared" si="44"/>
        <v>140.25</v>
      </c>
    </row>
    <row r="731" spans="1:27" x14ac:dyDescent="0.2">
      <c r="A731" s="13"/>
      <c r="B731" s="18"/>
      <c r="C731" s="19"/>
      <c r="D731" s="19"/>
      <c r="E731" s="20"/>
      <c r="F731" s="22"/>
      <c r="G731" s="22"/>
      <c r="H731" s="45"/>
      <c r="I731" s="45"/>
      <c r="J731" s="13"/>
      <c r="K731" s="18" t="s">
        <v>269</v>
      </c>
      <c r="L731" s="19"/>
      <c r="M731" s="19"/>
      <c r="N731" s="20"/>
      <c r="O731" s="22" t="s">
        <v>9</v>
      </c>
      <c r="P731" s="22">
        <v>0.15</v>
      </c>
      <c r="Q731" s="107">
        <v>650</v>
      </c>
      <c r="R731" s="23">
        <f t="shared" si="45"/>
        <v>97.5</v>
      </c>
      <c r="S731" s="13"/>
      <c r="T731" s="18" t="s">
        <v>269</v>
      </c>
      <c r="U731" s="19"/>
      <c r="V731" s="19"/>
      <c r="W731" s="20"/>
      <c r="X731" s="22" t="s">
        <v>9</v>
      </c>
      <c r="Y731" s="23">
        <v>0.3</v>
      </c>
      <c r="Z731" s="107">
        <v>650</v>
      </c>
      <c r="AA731" s="23">
        <f t="shared" si="44"/>
        <v>195</v>
      </c>
    </row>
    <row r="732" spans="1:27" x14ac:dyDescent="0.2">
      <c r="A732" s="13"/>
      <c r="B732" s="18"/>
      <c r="C732" s="19"/>
      <c r="D732" s="19"/>
      <c r="E732" s="20"/>
      <c r="F732" s="22"/>
      <c r="G732" s="22"/>
      <c r="H732" s="23"/>
      <c r="I732" s="23"/>
      <c r="J732" s="13"/>
      <c r="K732" s="18" t="s">
        <v>270</v>
      </c>
      <c r="L732" s="19"/>
      <c r="M732" s="19"/>
      <c r="N732" s="20"/>
      <c r="O732" s="22" t="s">
        <v>227</v>
      </c>
      <c r="P732" s="22">
        <v>1.43</v>
      </c>
      <c r="Q732" s="107">
        <v>220</v>
      </c>
      <c r="R732" s="23">
        <f t="shared" si="45"/>
        <v>314.59999999999997</v>
      </c>
      <c r="S732" s="13"/>
      <c r="T732" s="18" t="s">
        <v>270</v>
      </c>
      <c r="U732" s="19"/>
      <c r="V732" s="19"/>
      <c r="W732" s="20"/>
      <c r="X732" s="22" t="s">
        <v>227</v>
      </c>
      <c r="Y732" s="23">
        <v>2.85</v>
      </c>
      <c r="Z732" s="107">
        <v>220</v>
      </c>
      <c r="AA732" s="23">
        <f t="shared" si="44"/>
        <v>627</v>
      </c>
    </row>
    <row r="733" spans="1:27" x14ac:dyDescent="0.2">
      <c r="A733" s="13"/>
      <c r="B733" s="18"/>
      <c r="C733" s="19"/>
      <c r="D733" s="19"/>
      <c r="E733" s="20"/>
      <c r="F733" s="22"/>
      <c r="G733" s="22"/>
      <c r="H733" s="23"/>
      <c r="I733" s="23"/>
      <c r="J733" s="13"/>
      <c r="K733" s="18" t="s">
        <v>1225</v>
      </c>
      <c r="L733" s="19"/>
      <c r="M733" s="19"/>
      <c r="N733" s="20"/>
      <c r="O733" s="22" t="s">
        <v>80</v>
      </c>
      <c r="P733" s="22">
        <v>1.4999999999999999E-4</v>
      </c>
      <c r="Q733" s="107">
        <v>8000</v>
      </c>
      <c r="R733" s="23">
        <f t="shared" si="45"/>
        <v>1.2</v>
      </c>
      <c r="S733" s="13"/>
      <c r="T733" s="18" t="s">
        <v>271</v>
      </c>
      <c r="U733" s="19"/>
      <c r="V733" s="19"/>
      <c r="W733" s="20"/>
      <c r="X733" s="22" t="s">
        <v>77</v>
      </c>
      <c r="Y733" s="22">
        <f>ROUND(Y726*0.02,3)</f>
        <v>1.0840000000000001</v>
      </c>
      <c r="Z733" s="107">
        <v>47</v>
      </c>
      <c r="AA733" s="23">
        <f>Y733*Z733</f>
        <v>50.948</v>
      </c>
    </row>
    <row r="734" spans="1:27" x14ac:dyDescent="0.2">
      <c r="A734" s="13"/>
      <c r="B734" s="18"/>
      <c r="C734" s="19"/>
      <c r="D734" s="19"/>
      <c r="E734" s="20"/>
      <c r="F734" s="22"/>
      <c r="G734" s="22"/>
      <c r="H734" s="23"/>
      <c r="I734" s="23"/>
      <c r="J734" s="13"/>
      <c r="K734" s="18" t="s">
        <v>345</v>
      </c>
      <c r="L734" s="19"/>
      <c r="M734" s="19"/>
      <c r="N734" s="20"/>
      <c r="O734" s="22" t="s">
        <v>1153</v>
      </c>
      <c r="P734" s="22">
        <v>7.7999999999999996E-3</v>
      </c>
      <c r="Q734" s="107">
        <v>34.33</v>
      </c>
      <c r="R734" s="23">
        <f t="shared" si="45"/>
        <v>0.26777399999999996</v>
      </c>
      <c r="S734" s="13"/>
      <c r="T734" s="18"/>
      <c r="U734" s="19"/>
      <c r="V734" s="19"/>
      <c r="W734" s="20"/>
      <c r="X734" s="22"/>
      <c r="Y734" s="22"/>
      <c r="Z734" s="23"/>
      <c r="AA734" s="23"/>
    </row>
    <row r="735" spans="1:27" x14ac:dyDescent="0.2">
      <c r="A735" s="13"/>
      <c r="B735" s="18"/>
      <c r="C735" s="19"/>
      <c r="D735" s="19"/>
      <c r="E735" s="20"/>
      <c r="F735" s="22"/>
      <c r="G735" s="22"/>
      <c r="H735" s="23"/>
      <c r="I735" s="23"/>
      <c r="J735" s="13"/>
      <c r="K735" s="18" t="s">
        <v>346</v>
      </c>
      <c r="L735" s="19"/>
      <c r="M735" s="19"/>
      <c r="N735" s="20"/>
      <c r="O735" s="22" t="s">
        <v>1216</v>
      </c>
      <c r="P735" s="22">
        <v>1.5E-3</v>
      </c>
      <c r="Q735" s="107">
        <v>300</v>
      </c>
      <c r="R735" s="23">
        <f t="shared" si="45"/>
        <v>0.45</v>
      </c>
      <c r="S735" s="13"/>
      <c r="T735" s="18"/>
      <c r="U735" s="19"/>
      <c r="V735" s="19"/>
      <c r="W735" s="20"/>
      <c r="X735" s="22"/>
      <c r="Y735" s="22"/>
      <c r="Z735" s="23"/>
      <c r="AA735" s="23"/>
    </row>
    <row r="736" spans="1:27" x14ac:dyDescent="0.2">
      <c r="A736" s="13"/>
      <c r="B736" s="18"/>
      <c r="C736" s="19"/>
      <c r="D736" s="19"/>
      <c r="E736" s="20"/>
      <c r="F736" s="22"/>
      <c r="G736" s="22"/>
      <c r="H736" s="23"/>
      <c r="I736" s="23"/>
      <c r="J736" s="13"/>
      <c r="K736" s="18"/>
      <c r="L736" s="19"/>
      <c r="M736" s="19"/>
      <c r="N736" s="20"/>
      <c r="O736" s="22"/>
      <c r="P736" s="22"/>
      <c r="Q736" s="23"/>
      <c r="R736" s="23"/>
      <c r="S736" s="13"/>
      <c r="T736" s="18"/>
      <c r="U736" s="19"/>
      <c r="V736" s="19"/>
      <c r="W736" s="20"/>
      <c r="X736" s="22"/>
      <c r="Y736" s="22"/>
      <c r="Z736" s="23"/>
      <c r="AA736" s="23"/>
    </row>
    <row r="737" spans="1:27" x14ac:dyDescent="0.2">
      <c r="A737" s="13"/>
      <c r="B737" s="18"/>
      <c r="C737" s="19"/>
      <c r="D737" s="19"/>
      <c r="E737" s="20"/>
      <c r="F737" s="22"/>
      <c r="G737" s="22"/>
      <c r="H737" s="23"/>
      <c r="I737" s="23"/>
      <c r="J737" s="13"/>
      <c r="K737" s="18"/>
      <c r="L737" s="19"/>
      <c r="M737" s="19"/>
      <c r="N737" s="20"/>
      <c r="O737" s="22"/>
      <c r="P737" s="22"/>
      <c r="Q737" s="23"/>
      <c r="R737" s="23"/>
      <c r="S737" s="13"/>
      <c r="T737" s="18"/>
      <c r="U737" s="19"/>
      <c r="V737" s="19"/>
      <c r="W737" s="20"/>
      <c r="X737" s="22"/>
      <c r="Y737" s="22"/>
      <c r="Z737" s="23"/>
      <c r="AA737" s="23"/>
    </row>
    <row r="738" spans="1:27" x14ac:dyDescent="0.2">
      <c r="A738" s="13"/>
      <c r="B738" s="18"/>
      <c r="C738" s="19"/>
      <c r="D738" s="19"/>
      <c r="E738" s="20"/>
      <c r="F738" s="22"/>
      <c r="G738" s="36"/>
      <c r="H738" s="37"/>
      <c r="I738" s="37"/>
      <c r="J738" s="13"/>
      <c r="K738" s="18"/>
      <c r="L738" s="19"/>
      <c r="M738" s="19"/>
      <c r="N738" s="20"/>
      <c r="O738" s="22"/>
      <c r="P738" s="36"/>
      <c r="Q738" s="37"/>
      <c r="R738" s="37"/>
      <c r="S738" s="13"/>
      <c r="T738" s="18"/>
      <c r="U738" s="19"/>
      <c r="V738" s="19"/>
      <c r="W738" s="20"/>
      <c r="X738" s="22"/>
      <c r="Y738" s="36"/>
      <c r="Z738" s="37"/>
      <c r="AA738" s="37"/>
    </row>
    <row r="739" spans="1:27" x14ac:dyDescent="0.2">
      <c r="A739" s="13"/>
      <c r="B739" s="248" t="s">
        <v>42</v>
      </c>
      <c r="C739" s="249"/>
      <c r="D739" s="249"/>
      <c r="E739" s="250"/>
      <c r="F739" s="46"/>
      <c r="G739" s="46"/>
      <c r="H739" s="47"/>
      <c r="I739" s="47">
        <f>SUM(I726:I738)</f>
        <v>53313.75</v>
      </c>
      <c r="J739" s="13"/>
      <c r="K739" s="248" t="s">
        <v>42</v>
      </c>
      <c r="L739" s="249"/>
      <c r="M739" s="249"/>
      <c r="N739" s="250"/>
      <c r="O739" s="46"/>
      <c r="P739" s="46"/>
      <c r="Q739" s="47"/>
      <c r="R739" s="47">
        <f>SUM(R726:R738)</f>
        <v>533.74277400000005</v>
      </c>
      <c r="S739" s="13"/>
      <c r="T739" s="248" t="s">
        <v>42</v>
      </c>
      <c r="U739" s="249"/>
      <c r="V739" s="249"/>
      <c r="W739" s="250"/>
      <c r="X739" s="46"/>
      <c r="Y739" s="46"/>
      <c r="Z739" s="47"/>
      <c r="AA739" s="47">
        <f>SUM(AA726:AA738)</f>
        <v>3220.6379999999999</v>
      </c>
    </row>
    <row r="740" spans="1:27" x14ac:dyDescent="0.2">
      <c r="A740" s="12" t="s">
        <v>43</v>
      </c>
      <c r="B740" s="48" t="s">
        <v>44</v>
      </c>
      <c r="C740" s="43"/>
      <c r="D740" s="43"/>
      <c r="E740" s="39"/>
      <c r="F740" s="49"/>
      <c r="G740" s="49"/>
      <c r="H740" s="50"/>
      <c r="I740" s="51">
        <f>SUM(I721+I739)</f>
        <v>57489.983333333337</v>
      </c>
      <c r="J740" s="12" t="s">
        <v>43</v>
      </c>
      <c r="K740" s="48" t="s">
        <v>44</v>
      </c>
      <c r="L740" s="43"/>
      <c r="M740" s="43"/>
      <c r="N740" s="39"/>
      <c r="O740" s="49"/>
      <c r="P740" s="49"/>
      <c r="Q740" s="50"/>
      <c r="R740" s="51">
        <f>SUM(R721+R739)</f>
        <v>652.73349420870215</v>
      </c>
      <c r="S740" s="12" t="s">
        <v>43</v>
      </c>
      <c r="T740" s="48" t="s">
        <v>44</v>
      </c>
      <c r="U740" s="43"/>
      <c r="V740" s="43"/>
      <c r="W740" s="151"/>
      <c r="X740" s="49"/>
      <c r="Y740" s="49"/>
      <c r="Z740" s="50"/>
      <c r="AA740" s="51">
        <f>SUM(AA721+AA739)</f>
        <v>3527.1307499999998</v>
      </c>
    </row>
    <row r="741" spans="1:27" x14ac:dyDescent="0.2">
      <c r="A741" s="13" t="s">
        <v>45</v>
      </c>
      <c r="B741" s="48" t="s">
        <v>46</v>
      </c>
      <c r="C741" s="43"/>
      <c r="D741" s="43"/>
      <c r="E741" s="39"/>
      <c r="F741" s="49"/>
      <c r="G741" s="52">
        <v>0.09</v>
      </c>
      <c r="H741" s="53" t="s">
        <v>47</v>
      </c>
      <c r="I741" s="51">
        <f>G741*I740</f>
        <v>5174.0985000000001</v>
      </c>
      <c r="J741" s="13" t="s">
        <v>45</v>
      </c>
      <c r="K741" s="48" t="s">
        <v>46</v>
      </c>
      <c r="L741" s="43"/>
      <c r="M741" s="43"/>
      <c r="N741" s="39"/>
      <c r="O741" s="49"/>
      <c r="P741" s="52">
        <v>0.09</v>
      </c>
      <c r="Q741" s="53" t="s">
        <v>47</v>
      </c>
      <c r="R741" s="51">
        <f>P741*R740</f>
        <v>58.746014478783195</v>
      </c>
      <c r="S741" s="13" t="s">
        <v>45</v>
      </c>
      <c r="T741" s="48" t="s">
        <v>46</v>
      </c>
      <c r="U741" s="43"/>
      <c r="V741" s="43"/>
      <c r="W741" s="151"/>
      <c r="X741" s="49"/>
      <c r="Y741" s="52">
        <v>0.09</v>
      </c>
      <c r="Z741" s="53" t="s">
        <v>47</v>
      </c>
      <c r="AA741" s="51">
        <f>Y741*AA740</f>
        <v>317.44176749999997</v>
      </c>
    </row>
    <row r="742" spans="1:27" x14ac:dyDescent="0.2">
      <c r="A742" s="13" t="s">
        <v>48</v>
      </c>
      <c r="B742" s="48" t="s">
        <v>49</v>
      </c>
      <c r="C742" s="43"/>
      <c r="D742" s="43"/>
      <c r="E742" s="39"/>
      <c r="F742" s="49"/>
      <c r="G742" s="52">
        <v>0.08</v>
      </c>
      <c r="H742" s="53" t="s">
        <v>47</v>
      </c>
      <c r="I742" s="51">
        <f>G742*I740</f>
        <v>4599.1986666666671</v>
      </c>
      <c r="J742" s="13" t="s">
        <v>48</v>
      </c>
      <c r="K742" s="48" t="s">
        <v>49</v>
      </c>
      <c r="L742" s="43"/>
      <c r="M742" s="43"/>
      <c r="N742" s="39"/>
      <c r="O742" s="49"/>
      <c r="P742" s="52">
        <v>0.08</v>
      </c>
      <c r="Q742" s="53" t="s">
        <v>47</v>
      </c>
      <c r="R742" s="51">
        <f>P742*R740</f>
        <v>52.218679536696172</v>
      </c>
      <c r="S742" s="13" t="s">
        <v>48</v>
      </c>
      <c r="T742" s="48" t="s">
        <v>49</v>
      </c>
      <c r="U742" s="43"/>
      <c r="V742" s="43"/>
      <c r="W742" s="151"/>
      <c r="X742" s="49"/>
      <c r="Y742" s="52">
        <v>0.08</v>
      </c>
      <c r="Z742" s="53" t="s">
        <v>47</v>
      </c>
      <c r="AA742" s="51">
        <f>Y742*AA740</f>
        <v>282.17045999999999</v>
      </c>
    </row>
    <row r="743" spans="1:27" x14ac:dyDescent="0.2">
      <c r="A743" s="13" t="s">
        <v>50</v>
      </c>
      <c r="B743" s="48" t="s">
        <v>51</v>
      </c>
      <c r="C743" s="43"/>
      <c r="D743" s="43"/>
      <c r="E743" s="39"/>
      <c r="F743" s="49"/>
      <c r="G743" s="52">
        <v>0.05</v>
      </c>
      <c r="H743" s="53" t="s">
        <v>52</v>
      </c>
      <c r="I743" s="51">
        <f>G743*(I740+I741+I742)</f>
        <v>3363.1640250000005</v>
      </c>
      <c r="J743" s="13" t="s">
        <v>50</v>
      </c>
      <c r="K743" s="48" t="s">
        <v>51</v>
      </c>
      <c r="L743" s="43"/>
      <c r="M743" s="43"/>
      <c r="N743" s="39"/>
      <c r="O743" s="49"/>
      <c r="P743" s="52">
        <f>5/100</f>
        <v>0.05</v>
      </c>
      <c r="Q743" s="53" t="s">
        <v>52</v>
      </c>
      <c r="R743" s="51">
        <f>P743*(R740+R741+R742)</f>
        <v>38.184909411209077</v>
      </c>
      <c r="S743" s="13" t="s">
        <v>50</v>
      </c>
      <c r="T743" s="48" t="s">
        <v>51</v>
      </c>
      <c r="U743" s="43"/>
      <c r="V743" s="43"/>
      <c r="W743" s="151"/>
      <c r="X743" s="49"/>
      <c r="Y743" s="52">
        <v>0.05</v>
      </c>
      <c r="Z743" s="53" t="s">
        <v>52</v>
      </c>
      <c r="AA743" s="51">
        <f>Y743*(AA740+AA741+AA742)</f>
        <v>206.33714887500003</v>
      </c>
    </row>
    <row r="744" spans="1:27" x14ac:dyDescent="0.2">
      <c r="A744" s="54" t="s">
        <v>53</v>
      </c>
      <c r="B744" s="48" t="s">
        <v>54</v>
      </c>
      <c r="C744" s="43"/>
      <c r="D744" s="43"/>
      <c r="E744" s="39"/>
      <c r="F744" s="49"/>
      <c r="G744" s="49"/>
      <c r="H744" s="55" t="s">
        <v>55</v>
      </c>
      <c r="I744" s="51">
        <f>SUM(I740+I741+I742+I743)</f>
        <v>70626.444525000014</v>
      </c>
      <c r="J744" s="54" t="s">
        <v>53</v>
      </c>
      <c r="K744" s="48" t="s">
        <v>54</v>
      </c>
      <c r="L744" s="43"/>
      <c r="M744" s="43"/>
      <c r="N744" s="39"/>
      <c r="O744" s="49"/>
      <c r="P744" s="49"/>
      <c r="Q744" s="55" t="s">
        <v>55</v>
      </c>
      <c r="R744" s="51">
        <f>SUM(R740+R741+R742+R743)</f>
        <v>801.88309763539064</v>
      </c>
      <c r="S744" s="54" t="s">
        <v>53</v>
      </c>
      <c r="T744" s="48" t="s">
        <v>54</v>
      </c>
      <c r="U744" s="43"/>
      <c r="V744" s="43"/>
      <c r="W744" s="151"/>
      <c r="X744" s="49"/>
      <c r="Y744" s="49"/>
      <c r="Z744" s="55" t="s">
        <v>55</v>
      </c>
      <c r="AA744" s="51">
        <f>SUM(AA740+AA741+AA742+AA743)</f>
        <v>4333.080126375</v>
      </c>
    </row>
    <row r="745" spans="1:27" s="1" customFormat="1" x14ac:dyDescent="0.2">
      <c r="A745" s="236" t="s">
        <v>0</v>
      </c>
      <c r="B745" s="236"/>
      <c r="C745" s="236"/>
      <c r="D745" s="236"/>
      <c r="E745" s="236"/>
      <c r="F745" s="236"/>
      <c r="G745" s="236"/>
      <c r="H745" s="236"/>
      <c r="I745" s="236"/>
      <c r="J745" s="236" t="s">
        <v>0</v>
      </c>
      <c r="K745" s="236"/>
      <c r="L745" s="236"/>
      <c r="M745" s="236"/>
      <c r="N745" s="236"/>
      <c r="O745" s="236"/>
      <c r="P745" s="236"/>
      <c r="Q745" s="236"/>
      <c r="R745" s="236"/>
      <c r="S745" s="236" t="s">
        <v>0</v>
      </c>
      <c r="T745" s="236"/>
      <c r="U745" s="236"/>
      <c r="V745" s="236"/>
      <c r="W745" s="236"/>
      <c r="X745" s="236"/>
      <c r="Y745" s="236"/>
      <c r="Z745" s="236"/>
      <c r="AA745" s="236"/>
    </row>
    <row r="746" spans="1:27" x14ac:dyDescent="0.2">
      <c r="S746" s="10"/>
      <c r="T746" s="3"/>
      <c r="U746" s="4"/>
      <c r="V746" s="4"/>
      <c r="W746" s="5"/>
      <c r="X746" s="3"/>
      <c r="Y746" s="3"/>
      <c r="Z746" s="3"/>
      <c r="AA746" s="3"/>
    </row>
    <row r="747" spans="1:27" x14ac:dyDescent="0.2">
      <c r="A747" s="2" t="s">
        <v>1</v>
      </c>
      <c r="C747" s="4" t="s">
        <v>2</v>
      </c>
      <c r="D747" s="5" t="s">
        <v>347</v>
      </c>
      <c r="E747" s="237" t="s">
        <v>348</v>
      </c>
      <c r="F747" s="237"/>
      <c r="G747" s="237"/>
      <c r="H747" s="237"/>
      <c r="J747" s="152" t="s">
        <v>1</v>
      </c>
      <c r="L747" s="4" t="s">
        <v>2</v>
      </c>
      <c r="M747" s="5" t="s">
        <v>1245</v>
      </c>
      <c r="N747" s="237" t="s">
        <v>339</v>
      </c>
      <c r="O747" s="237"/>
      <c r="P747" s="237"/>
      <c r="Q747" s="237"/>
      <c r="S747" s="152" t="s">
        <v>1</v>
      </c>
      <c r="T747" s="3"/>
      <c r="U747" s="4" t="s">
        <v>2</v>
      </c>
      <c r="V747" s="5" t="s">
        <v>1273</v>
      </c>
      <c r="W747" s="237" t="s">
        <v>1276</v>
      </c>
      <c r="X747" s="237"/>
      <c r="Y747" s="237"/>
      <c r="Z747" s="237"/>
      <c r="AA747" s="3"/>
    </row>
    <row r="748" spans="1:27" x14ac:dyDescent="0.2">
      <c r="A748" s="2" t="s">
        <v>7</v>
      </c>
      <c r="C748" s="4" t="s">
        <v>2</v>
      </c>
      <c r="E748" s="2" t="s">
        <v>239</v>
      </c>
      <c r="F748" s="8"/>
      <c r="G748" s="8"/>
      <c r="H748" s="8"/>
      <c r="J748" s="152" t="s">
        <v>7</v>
      </c>
      <c r="L748" s="4" t="s">
        <v>2</v>
      </c>
      <c r="N748" s="152" t="s">
        <v>8</v>
      </c>
      <c r="O748" s="8"/>
      <c r="P748" s="8"/>
      <c r="Q748" s="8"/>
      <c r="S748" s="152" t="s">
        <v>7</v>
      </c>
      <c r="T748" s="3"/>
      <c r="U748" s="4" t="s">
        <v>2</v>
      </c>
      <c r="V748" s="4"/>
      <c r="W748" s="152" t="s">
        <v>8</v>
      </c>
      <c r="X748" s="8"/>
      <c r="Y748" s="8"/>
      <c r="Z748" s="8"/>
      <c r="AA748" s="3"/>
    </row>
    <row r="749" spans="1:27" x14ac:dyDescent="0.2">
      <c r="A749" s="2" t="s">
        <v>10</v>
      </c>
      <c r="C749" s="4" t="s">
        <v>2</v>
      </c>
      <c r="E749" s="9">
        <v>0.3</v>
      </c>
      <c r="F749" s="8"/>
      <c r="G749" s="8"/>
      <c r="H749" s="8"/>
      <c r="J749" s="152" t="s">
        <v>10</v>
      </c>
      <c r="L749" s="4" t="s">
        <v>2</v>
      </c>
      <c r="N749" s="9">
        <v>107.33</v>
      </c>
      <c r="O749" s="8"/>
      <c r="P749" s="8"/>
      <c r="Q749" s="8"/>
      <c r="S749" s="152" t="s">
        <v>10</v>
      </c>
      <c r="T749" s="3"/>
      <c r="U749" s="4" t="s">
        <v>2</v>
      </c>
      <c r="V749" s="4"/>
      <c r="W749" s="9">
        <v>6</v>
      </c>
      <c r="X749" s="8"/>
      <c r="Y749" s="8"/>
      <c r="Z749" s="8"/>
      <c r="AA749" s="3"/>
    </row>
    <row r="750" spans="1:27" x14ac:dyDescent="0.2">
      <c r="B750" s="8"/>
      <c r="F750" s="11"/>
      <c r="G750" s="8"/>
      <c r="H750" s="8"/>
      <c r="I750" s="8"/>
      <c r="K750" s="8"/>
      <c r="O750" s="11"/>
      <c r="P750" s="8"/>
      <c r="Q750" s="8"/>
      <c r="R750" s="8"/>
      <c r="S750" s="10"/>
      <c r="T750" s="8"/>
      <c r="U750" s="4"/>
      <c r="V750" s="4"/>
      <c r="W750" s="5"/>
      <c r="X750" s="11"/>
      <c r="Y750" s="8"/>
      <c r="Z750" s="8"/>
      <c r="AA750" s="8"/>
    </row>
    <row r="751" spans="1:27" x14ac:dyDescent="0.2">
      <c r="A751" s="12"/>
      <c r="B751" s="238" t="s">
        <v>11</v>
      </c>
      <c r="C751" s="239"/>
      <c r="D751" s="239"/>
      <c r="E751" s="240"/>
      <c r="F751" s="244" t="s">
        <v>12</v>
      </c>
      <c r="G751" s="244" t="s">
        <v>13</v>
      </c>
      <c r="H751" s="244" t="s">
        <v>14</v>
      </c>
      <c r="I751" s="246" t="s">
        <v>15</v>
      </c>
      <c r="J751" s="12"/>
      <c r="K751" s="238" t="s">
        <v>11</v>
      </c>
      <c r="L751" s="239"/>
      <c r="M751" s="239"/>
      <c r="N751" s="240"/>
      <c r="O751" s="244" t="s">
        <v>12</v>
      </c>
      <c r="P751" s="244" t="s">
        <v>13</v>
      </c>
      <c r="Q751" s="244" t="s">
        <v>14</v>
      </c>
      <c r="R751" s="246" t="s">
        <v>15</v>
      </c>
      <c r="S751" s="12"/>
      <c r="T751" s="238" t="s">
        <v>11</v>
      </c>
      <c r="U751" s="239"/>
      <c r="V751" s="239"/>
      <c r="W751" s="240"/>
      <c r="X751" s="244" t="s">
        <v>12</v>
      </c>
      <c r="Y751" s="244" t="s">
        <v>13</v>
      </c>
      <c r="Z751" s="244" t="s">
        <v>14</v>
      </c>
      <c r="AA751" s="246" t="s">
        <v>15</v>
      </c>
    </row>
    <row r="752" spans="1:27" x14ac:dyDescent="0.2">
      <c r="A752" s="13"/>
      <c r="B752" s="241"/>
      <c r="C752" s="242"/>
      <c r="D752" s="242"/>
      <c r="E752" s="243"/>
      <c r="F752" s="245"/>
      <c r="G752" s="245"/>
      <c r="H752" s="245"/>
      <c r="I752" s="247"/>
      <c r="J752" s="13"/>
      <c r="K752" s="241"/>
      <c r="L752" s="242"/>
      <c r="M752" s="242"/>
      <c r="N752" s="243"/>
      <c r="O752" s="245"/>
      <c r="P752" s="245"/>
      <c r="Q752" s="245"/>
      <c r="R752" s="247"/>
      <c r="S752" s="13"/>
      <c r="T752" s="241"/>
      <c r="U752" s="242"/>
      <c r="V752" s="242"/>
      <c r="W752" s="243"/>
      <c r="X752" s="245"/>
      <c r="Y752" s="245"/>
      <c r="Z752" s="245"/>
      <c r="AA752" s="247"/>
    </row>
    <row r="753" spans="1:27" x14ac:dyDescent="0.2">
      <c r="A753" s="13" t="s">
        <v>16</v>
      </c>
      <c r="B753" s="14" t="s">
        <v>17</v>
      </c>
      <c r="C753" s="15"/>
      <c r="D753" s="15"/>
      <c r="E753" s="16"/>
      <c r="F753" s="17"/>
      <c r="G753" s="17"/>
      <c r="H753" s="17"/>
      <c r="I753" s="17"/>
      <c r="J753" s="13" t="s">
        <v>16</v>
      </c>
      <c r="K753" s="14" t="s">
        <v>17</v>
      </c>
      <c r="L753" s="15"/>
      <c r="M753" s="15"/>
      <c r="N753" s="16"/>
      <c r="O753" s="17"/>
      <c r="P753" s="17"/>
      <c r="Q753" s="17"/>
      <c r="R753" s="17"/>
      <c r="S753" s="13" t="s">
        <v>16</v>
      </c>
      <c r="T753" s="14" t="s">
        <v>17</v>
      </c>
      <c r="U753" s="15"/>
      <c r="V753" s="15"/>
      <c r="W753" s="16"/>
      <c r="X753" s="17"/>
      <c r="Y753" s="17"/>
      <c r="Z753" s="17"/>
      <c r="AA753" s="17"/>
    </row>
    <row r="754" spans="1:27" x14ac:dyDescent="0.2">
      <c r="A754" s="13"/>
      <c r="B754" s="18"/>
      <c r="C754" s="19"/>
      <c r="D754" s="19"/>
      <c r="E754" s="20"/>
      <c r="F754" s="21"/>
      <c r="G754" s="22"/>
      <c r="H754" s="21"/>
      <c r="I754" s="21"/>
      <c r="J754" s="13"/>
      <c r="K754" s="18"/>
      <c r="L754" s="19"/>
      <c r="M754" s="19"/>
      <c r="N754" s="20"/>
      <c r="O754" s="21"/>
      <c r="P754" s="22"/>
      <c r="Q754" s="21"/>
      <c r="R754" s="21"/>
      <c r="S754" s="13"/>
      <c r="T754" s="18"/>
      <c r="U754" s="19"/>
      <c r="V754" s="19"/>
      <c r="W754" s="20"/>
      <c r="X754" s="21"/>
      <c r="Y754" s="22"/>
      <c r="Z754" s="21"/>
      <c r="AA754" s="21"/>
    </row>
    <row r="755" spans="1:27" x14ac:dyDescent="0.2">
      <c r="A755" s="13"/>
      <c r="B755" s="24" t="s">
        <v>18</v>
      </c>
      <c r="C755" s="25"/>
      <c r="D755" s="25"/>
      <c r="E755" s="26"/>
      <c r="F755" s="22">
        <v>1</v>
      </c>
      <c r="G755" s="62">
        <v>1</v>
      </c>
      <c r="H755" s="23">
        <v>69.42</v>
      </c>
      <c r="I755" s="23">
        <f>F755*G755*H755</f>
        <v>69.42</v>
      </c>
      <c r="J755" s="13"/>
      <c r="K755" s="24" t="s">
        <v>18</v>
      </c>
      <c r="L755" s="25"/>
      <c r="M755" s="25"/>
      <c r="N755" s="26"/>
      <c r="O755" s="22">
        <v>1</v>
      </c>
      <c r="P755" s="23">
        <v>1</v>
      </c>
      <c r="Q755" s="23">
        <v>69.42</v>
      </c>
      <c r="R755" s="23">
        <f>P755*Q755*O755</f>
        <v>69.42</v>
      </c>
      <c r="S755" s="13"/>
      <c r="T755" s="24" t="s">
        <v>18</v>
      </c>
      <c r="U755" s="25"/>
      <c r="V755" s="25"/>
      <c r="W755" s="26"/>
      <c r="X755" s="22">
        <v>1</v>
      </c>
      <c r="Y755" s="23">
        <v>1</v>
      </c>
      <c r="Z755" s="23">
        <v>69.42</v>
      </c>
      <c r="AA755" s="23">
        <f>Y755*Z755*X755</f>
        <v>69.42</v>
      </c>
    </row>
    <row r="756" spans="1:27" x14ac:dyDescent="0.2">
      <c r="A756" s="13"/>
      <c r="B756" s="24" t="s">
        <v>1179</v>
      </c>
      <c r="C756" s="25"/>
      <c r="D756" s="25"/>
      <c r="E756" s="26"/>
      <c r="F756" s="22">
        <v>3</v>
      </c>
      <c r="G756" s="62">
        <v>1</v>
      </c>
      <c r="H756" s="23">
        <v>38.97</v>
      </c>
      <c r="I756" s="23">
        <f>F756*G756*H756</f>
        <v>116.91</v>
      </c>
      <c r="J756" s="13"/>
      <c r="K756" s="257" t="s">
        <v>1178</v>
      </c>
      <c r="L756" s="258"/>
      <c r="M756" s="25"/>
      <c r="N756" s="26"/>
      <c r="O756" s="22">
        <v>4</v>
      </c>
      <c r="P756" s="23">
        <v>1</v>
      </c>
      <c r="Q756" s="23">
        <v>50.18</v>
      </c>
      <c r="R756" s="23">
        <f>P756*Q756*O756</f>
        <v>200.72</v>
      </c>
      <c r="S756" s="13"/>
      <c r="T756" s="257" t="s">
        <v>1178</v>
      </c>
      <c r="U756" s="258"/>
      <c r="V756" s="25"/>
      <c r="W756" s="26"/>
      <c r="X756" s="22">
        <v>4</v>
      </c>
      <c r="Y756" s="23">
        <v>1</v>
      </c>
      <c r="Z756" s="23">
        <v>50.18</v>
      </c>
      <c r="AA756" s="23">
        <f>Y756*Z756*X756</f>
        <v>200.72</v>
      </c>
    </row>
    <row r="757" spans="1:27" x14ac:dyDescent="0.2">
      <c r="A757" s="13"/>
      <c r="B757" s="27"/>
      <c r="C757" s="19"/>
      <c r="D757" s="19"/>
      <c r="E757" s="20"/>
      <c r="F757" s="22"/>
      <c r="G757" s="22"/>
      <c r="H757" s="28"/>
      <c r="I757" s="23"/>
      <c r="J757" s="13"/>
      <c r="K757" s="257" t="s">
        <v>1177</v>
      </c>
      <c r="L757" s="258"/>
      <c r="M757" s="19"/>
      <c r="N757" s="20"/>
      <c r="O757" s="22">
        <v>12</v>
      </c>
      <c r="P757" s="23">
        <v>1</v>
      </c>
      <c r="Q757" s="23">
        <v>38.97</v>
      </c>
      <c r="R757" s="23">
        <f>P757*Q757*O757</f>
        <v>467.64</v>
      </c>
      <c r="S757" s="13"/>
      <c r="T757" s="257" t="s">
        <v>1177</v>
      </c>
      <c r="U757" s="258"/>
      <c r="V757" s="19"/>
      <c r="W757" s="20"/>
      <c r="X757" s="22">
        <v>12</v>
      </c>
      <c r="Y757" s="23">
        <v>1</v>
      </c>
      <c r="Z757" s="23">
        <v>38.97</v>
      </c>
      <c r="AA757" s="23">
        <f>Y757*Z757*X757</f>
        <v>467.64</v>
      </c>
    </row>
    <row r="758" spans="1:27" x14ac:dyDescent="0.2">
      <c r="A758" s="13"/>
      <c r="B758" s="27"/>
      <c r="C758" s="19"/>
      <c r="D758" s="19"/>
      <c r="E758" s="20"/>
      <c r="F758" s="22"/>
      <c r="G758" s="22"/>
      <c r="H758" s="29"/>
      <c r="I758" s="30"/>
      <c r="J758" s="13"/>
      <c r="K758" s="153"/>
      <c r="L758" s="19"/>
      <c r="M758" s="19"/>
      <c r="N758" s="20"/>
      <c r="O758" s="22"/>
      <c r="P758" s="22"/>
      <c r="Q758" s="29"/>
      <c r="R758" s="30"/>
      <c r="S758" s="13"/>
      <c r="T758" s="153"/>
      <c r="U758" s="19"/>
      <c r="V758" s="19"/>
      <c r="W758" s="20"/>
      <c r="X758" s="22"/>
      <c r="Y758" s="22"/>
      <c r="Z758" s="29"/>
      <c r="AA758" s="30"/>
    </row>
    <row r="759" spans="1:27" x14ac:dyDescent="0.2">
      <c r="A759" s="13"/>
      <c r="B759" s="27"/>
      <c r="C759" s="19"/>
      <c r="D759" s="19"/>
      <c r="E759" s="20"/>
      <c r="F759" s="22"/>
      <c r="G759" s="22"/>
      <c r="H759" s="29"/>
      <c r="I759" s="30"/>
      <c r="J759" s="13"/>
      <c r="K759" s="153"/>
      <c r="L759" s="19"/>
      <c r="M759" s="19"/>
      <c r="N759" s="20"/>
      <c r="O759" s="22"/>
      <c r="P759" s="22"/>
      <c r="Q759" s="29"/>
      <c r="R759" s="30"/>
      <c r="S759" s="13"/>
      <c r="T759" s="153"/>
      <c r="U759" s="19"/>
      <c r="V759" s="19"/>
      <c r="W759" s="20"/>
      <c r="X759" s="22"/>
      <c r="Y759" s="22"/>
      <c r="Z759" s="29"/>
      <c r="AA759" s="30"/>
    </row>
    <row r="760" spans="1:27" x14ac:dyDescent="0.2">
      <c r="A760" s="13"/>
      <c r="B760" s="18"/>
      <c r="C760" s="19"/>
      <c r="D760" s="19"/>
      <c r="E760" s="20"/>
      <c r="F760" s="22"/>
      <c r="G760" s="22"/>
      <c r="H760" s="28"/>
      <c r="I760" s="23"/>
      <c r="J760" s="13"/>
      <c r="K760" s="18"/>
      <c r="L760" s="19"/>
      <c r="M760" s="19"/>
      <c r="N760" s="20"/>
      <c r="O760" s="22"/>
      <c r="P760" s="22"/>
      <c r="Q760" s="28"/>
      <c r="R760" s="23"/>
      <c r="S760" s="13"/>
      <c r="T760" s="18"/>
      <c r="U760" s="19"/>
      <c r="V760" s="19"/>
      <c r="W760" s="20"/>
      <c r="X760" s="22"/>
      <c r="Y760" s="22"/>
      <c r="Z760" s="28"/>
      <c r="AA760" s="23"/>
    </row>
    <row r="761" spans="1:27" x14ac:dyDescent="0.2">
      <c r="A761" s="13"/>
      <c r="B761" s="18"/>
      <c r="C761" s="19"/>
      <c r="D761" s="19"/>
      <c r="E761" s="20"/>
      <c r="F761" s="22"/>
      <c r="G761" s="22"/>
      <c r="H761" s="23"/>
      <c r="I761" s="23"/>
      <c r="J761" s="13"/>
      <c r="K761" s="18"/>
      <c r="L761" s="19"/>
      <c r="M761" s="19"/>
      <c r="N761" s="20"/>
      <c r="O761" s="22"/>
      <c r="P761" s="22"/>
      <c r="Q761" s="23"/>
      <c r="R761" s="23"/>
      <c r="S761" s="13"/>
      <c r="T761" s="18"/>
      <c r="U761" s="19"/>
      <c r="V761" s="19"/>
      <c r="W761" s="20"/>
      <c r="X761" s="22"/>
      <c r="Y761" s="22"/>
      <c r="Z761" s="23"/>
      <c r="AA761" s="23"/>
    </row>
    <row r="762" spans="1:27" x14ac:dyDescent="0.2">
      <c r="A762" s="13"/>
      <c r="B762" s="248" t="s">
        <v>20</v>
      </c>
      <c r="C762" s="249"/>
      <c r="D762" s="249"/>
      <c r="E762" s="250"/>
      <c r="F762" s="31"/>
      <c r="G762" s="31"/>
      <c r="H762" s="32"/>
      <c r="I762" s="32">
        <f>SUM(I755:I761)</f>
        <v>186.32999999999998</v>
      </c>
      <c r="J762" s="13"/>
      <c r="K762" s="248" t="s">
        <v>20</v>
      </c>
      <c r="L762" s="249"/>
      <c r="M762" s="249"/>
      <c r="N762" s="250"/>
      <c r="O762" s="31"/>
      <c r="P762" s="31"/>
      <c r="Q762" s="32"/>
      <c r="R762" s="32">
        <f>SUM(R755:R761)</f>
        <v>737.78</v>
      </c>
      <c r="S762" s="13"/>
      <c r="T762" s="248" t="s">
        <v>20</v>
      </c>
      <c r="U762" s="249"/>
      <c r="V762" s="249"/>
      <c r="W762" s="250"/>
      <c r="X762" s="31"/>
      <c r="Y762" s="31"/>
      <c r="Z762" s="32"/>
      <c r="AA762" s="32">
        <f>SUM(AA755:AA761)</f>
        <v>737.78</v>
      </c>
    </row>
    <row r="763" spans="1:27" x14ac:dyDescent="0.2">
      <c r="A763" s="12"/>
      <c r="B763" s="251" t="s">
        <v>21</v>
      </c>
      <c r="C763" s="252"/>
      <c r="D763" s="252"/>
      <c r="E763" s="253"/>
      <c r="F763" s="244" t="s">
        <v>22</v>
      </c>
      <c r="G763" s="244" t="s">
        <v>13</v>
      </c>
      <c r="H763" s="244" t="s">
        <v>14</v>
      </c>
      <c r="I763" s="246" t="s">
        <v>15</v>
      </c>
      <c r="J763" s="12"/>
      <c r="K763" s="251" t="s">
        <v>21</v>
      </c>
      <c r="L763" s="252"/>
      <c r="M763" s="252"/>
      <c r="N763" s="253"/>
      <c r="O763" s="244" t="s">
        <v>22</v>
      </c>
      <c r="P763" s="244" t="s">
        <v>13</v>
      </c>
      <c r="Q763" s="244" t="s">
        <v>14</v>
      </c>
      <c r="R763" s="246" t="s">
        <v>15</v>
      </c>
      <c r="S763" s="12"/>
      <c r="T763" s="251" t="s">
        <v>21</v>
      </c>
      <c r="U763" s="252"/>
      <c r="V763" s="252"/>
      <c r="W763" s="253"/>
      <c r="X763" s="244" t="s">
        <v>22</v>
      </c>
      <c r="Y763" s="244" t="s">
        <v>13</v>
      </c>
      <c r="Z763" s="244" t="s">
        <v>14</v>
      </c>
      <c r="AA763" s="246" t="s">
        <v>15</v>
      </c>
    </row>
    <row r="764" spans="1:27" x14ac:dyDescent="0.2">
      <c r="A764" s="13"/>
      <c r="B764" s="254"/>
      <c r="C764" s="255"/>
      <c r="D764" s="255"/>
      <c r="E764" s="256"/>
      <c r="F764" s="245"/>
      <c r="G764" s="245"/>
      <c r="H764" s="245"/>
      <c r="I764" s="247"/>
      <c r="J764" s="13"/>
      <c r="K764" s="254"/>
      <c r="L764" s="255"/>
      <c r="M764" s="255"/>
      <c r="N764" s="256"/>
      <c r="O764" s="245"/>
      <c r="P764" s="245"/>
      <c r="Q764" s="245"/>
      <c r="R764" s="247"/>
      <c r="S764" s="13"/>
      <c r="T764" s="254"/>
      <c r="U764" s="255"/>
      <c r="V764" s="255"/>
      <c r="W764" s="256"/>
      <c r="X764" s="245"/>
      <c r="Y764" s="245"/>
      <c r="Z764" s="245"/>
      <c r="AA764" s="247"/>
    </row>
    <row r="765" spans="1:27" x14ac:dyDescent="0.2">
      <c r="A765" s="13" t="s">
        <v>23</v>
      </c>
      <c r="B765" s="33" t="s">
        <v>24</v>
      </c>
      <c r="C765" s="15"/>
      <c r="D765" s="15"/>
      <c r="E765" s="16"/>
      <c r="F765" s="34"/>
      <c r="G765" s="34"/>
      <c r="H765" s="35"/>
      <c r="I765" s="35"/>
      <c r="J765" s="13" t="s">
        <v>23</v>
      </c>
      <c r="K765" s="33" t="s">
        <v>24</v>
      </c>
      <c r="L765" s="15"/>
      <c r="M765" s="15"/>
      <c r="N765" s="16"/>
      <c r="O765" s="34"/>
      <c r="P765" s="34"/>
      <c r="Q765" s="35"/>
      <c r="R765" s="35"/>
      <c r="S765" s="13" t="s">
        <v>23</v>
      </c>
      <c r="T765" s="33" t="s">
        <v>24</v>
      </c>
      <c r="U765" s="15"/>
      <c r="V765" s="15"/>
      <c r="W765" s="16"/>
      <c r="X765" s="34"/>
      <c r="Y765" s="34"/>
      <c r="Z765" s="35"/>
      <c r="AA765" s="35"/>
    </row>
    <row r="766" spans="1:27" x14ac:dyDescent="0.2">
      <c r="A766" s="13"/>
      <c r="B766" s="18"/>
      <c r="C766" s="19"/>
      <c r="D766" s="19"/>
      <c r="E766" s="20"/>
      <c r="F766" s="22"/>
      <c r="G766" s="22"/>
      <c r="H766" s="23"/>
      <c r="I766" s="23"/>
      <c r="J766" s="13"/>
      <c r="K766" s="18"/>
      <c r="L766" s="19"/>
      <c r="M766" s="19"/>
      <c r="N766" s="20"/>
      <c r="O766" s="22"/>
      <c r="P766" s="22"/>
      <c r="Q766" s="23"/>
      <c r="R766" s="23"/>
      <c r="S766" s="13"/>
      <c r="T766" s="18"/>
      <c r="U766" s="19"/>
      <c r="V766" s="19"/>
      <c r="W766" s="20"/>
      <c r="X766" s="22"/>
      <c r="Y766" s="22"/>
      <c r="Z766" s="23"/>
      <c r="AA766" s="23"/>
    </row>
    <row r="767" spans="1:27" x14ac:dyDescent="0.2">
      <c r="A767" s="13"/>
      <c r="B767" s="18" t="s">
        <v>254</v>
      </c>
      <c r="C767" s="19"/>
      <c r="D767" s="19"/>
      <c r="E767" s="20"/>
      <c r="F767" s="22">
        <v>1</v>
      </c>
      <c r="G767" s="37">
        <v>1</v>
      </c>
      <c r="H767" s="37">
        <v>936</v>
      </c>
      <c r="I767" s="23">
        <f>F767*G767*H767</f>
        <v>936</v>
      </c>
      <c r="J767" s="13"/>
      <c r="K767" s="18" t="s">
        <v>621</v>
      </c>
      <c r="L767" s="19"/>
      <c r="M767" s="19"/>
      <c r="N767" s="20"/>
      <c r="O767" s="22">
        <v>2</v>
      </c>
      <c r="P767" s="23">
        <v>1</v>
      </c>
      <c r="Q767" s="37">
        <v>91.25</v>
      </c>
      <c r="R767" s="37">
        <f t="shared" ref="R767:R770" si="46">P767*Q767*O767</f>
        <v>182.5</v>
      </c>
      <c r="S767" s="13"/>
      <c r="T767" s="18" t="s">
        <v>621</v>
      </c>
      <c r="U767" s="19"/>
      <c r="V767" s="19"/>
      <c r="W767" s="20"/>
      <c r="X767" s="22">
        <v>1</v>
      </c>
      <c r="Y767" s="23">
        <v>0.1</v>
      </c>
      <c r="Z767" s="37">
        <v>91.25</v>
      </c>
      <c r="AA767" s="37">
        <f t="shared" ref="AA767:AA770" si="47">Y767*Z767*X767</f>
        <v>9.125</v>
      </c>
    </row>
    <row r="768" spans="1:27" x14ac:dyDescent="0.2">
      <c r="A768" s="13"/>
      <c r="B768" s="18" t="s">
        <v>288</v>
      </c>
      <c r="C768" s="19"/>
      <c r="D768" s="19"/>
      <c r="E768" s="20"/>
      <c r="F768" s="22">
        <v>1</v>
      </c>
      <c r="G768" s="37">
        <v>1</v>
      </c>
      <c r="H768" s="37">
        <v>130.54</v>
      </c>
      <c r="I768" s="23">
        <f>F768*G768*H768</f>
        <v>130.54</v>
      </c>
      <c r="J768" s="13"/>
      <c r="K768" s="18" t="s">
        <v>255</v>
      </c>
      <c r="L768" s="19"/>
      <c r="M768" s="19"/>
      <c r="N768" s="20"/>
      <c r="O768" s="22">
        <v>1</v>
      </c>
      <c r="P768" s="23">
        <v>1</v>
      </c>
      <c r="Q768" s="37">
        <v>545</v>
      </c>
      <c r="R768" s="37">
        <f t="shared" si="46"/>
        <v>545</v>
      </c>
      <c r="S768" s="13"/>
      <c r="T768" s="18" t="s">
        <v>1270</v>
      </c>
      <c r="U768" s="19"/>
      <c r="V768" s="19"/>
      <c r="W768" s="20"/>
      <c r="X768" s="22">
        <v>1</v>
      </c>
      <c r="Y768" s="23">
        <v>0.1</v>
      </c>
      <c r="Z768" s="37">
        <v>32.630000000000003</v>
      </c>
      <c r="AA768" s="37">
        <f t="shared" si="47"/>
        <v>3.2630000000000003</v>
      </c>
    </row>
    <row r="769" spans="1:27" x14ac:dyDescent="0.2">
      <c r="A769" s="13"/>
      <c r="B769" s="18"/>
      <c r="C769" s="19"/>
      <c r="D769" s="19"/>
      <c r="E769" s="20"/>
      <c r="F769" s="22"/>
      <c r="G769" s="23"/>
      <c r="H769" s="37"/>
      <c r="I769" s="23"/>
      <c r="J769" s="13"/>
      <c r="K769" s="18" t="s">
        <v>1246</v>
      </c>
      <c r="L769" s="19"/>
      <c r="M769" s="19"/>
      <c r="N769" s="20"/>
      <c r="O769" s="22">
        <v>1</v>
      </c>
      <c r="P769" s="23">
        <v>1</v>
      </c>
      <c r="Q769" s="37">
        <v>32.630000000000003</v>
      </c>
      <c r="R769" s="37">
        <f t="shared" si="46"/>
        <v>32.630000000000003</v>
      </c>
      <c r="S769" s="13"/>
      <c r="T769" s="18" t="s">
        <v>1271</v>
      </c>
      <c r="U769" s="19"/>
      <c r="V769" s="19"/>
      <c r="W769" s="20"/>
      <c r="X769" s="22">
        <v>1</v>
      </c>
      <c r="Y769" s="23">
        <v>0.25</v>
      </c>
      <c r="Z769" s="37">
        <v>219.75</v>
      </c>
      <c r="AA769" s="37">
        <f t="shared" si="47"/>
        <v>54.9375</v>
      </c>
    </row>
    <row r="770" spans="1:27" x14ac:dyDescent="0.2">
      <c r="A770" s="13"/>
      <c r="B770" s="18"/>
      <c r="C770" s="19"/>
      <c r="D770" s="19"/>
      <c r="E770" s="20"/>
      <c r="F770" s="22"/>
      <c r="G770" s="23"/>
      <c r="H770" s="37"/>
      <c r="I770" s="23"/>
      <c r="J770" s="13"/>
      <c r="K770" s="18" t="s">
        <v>404</v>
      </c>
      <c r="L770" s="19"/>
      <c r="M770" s="19"/>
      <c r="N770" s="20"/>
      <c r="O770" s="22">
        <v>1</v>
      </c>
      <c r="P770" s="23">
        <v>0.1</v>
      </c>
      <c r="Q770" s="37">
        <v>219.75</v>
      </c>
      <c r="R770" s="37">
        <f t="shared" si="46"/>
        <v>21.975000000000001</v>
      </c>
      <c r="S770" s="13"/>
      <c r="T770" s="18" t="s">
        <v>1275</v>
      </c>
      <c r="U770" s="19"/>
      <c r="V770" s="19"/>
      <c r="W770" s="20"/>
      <c r="X770" s="22">
        <v>1</v>
      </c>
      <c r="Y770" s="23">
        <v>0.25</v>
      </c>
      <c r="Z770" s="37">
        <v>351.5</v>
      </c>
      <c r="AA770" s="37">
        <f t="shared" si="47"/>
        <v>87.875</v>
      </c>
    </row>
    <row r="771" spans="1:27" x14ac:dyDescent="0.2">
      <c r="A771" s="13"/>
      <c r="B771" s="18"/>
      <c r="C771" s="19"/>
      <c r="D771" s="19"/>
      <c r="E771" s="20"/>
      <c r="F771" s="22"/>
      <c r="G771" s="36"/>
      <c r="H771" s="37"/>
      <c r="I771" s="23"/>
      <c r="J771" s="13"/>
      <c r="K771" s="18" t="s">
        <v>1195</v>
      </c>
      <c r="L771" s="19"/>
      <c r="M771" s="19"/>
      <c r="N771" s="20"/>
      <c r="O771" s="22"/>
      <c r="P771" s="36"/>
      <c r="R771" s="37">
        <f>R762*0.05</f>
        <v>36.889000000000003</v>
      </c>
      <c r="S771" s="13"/>
      <c r="T771" s="18" t="s">
        <v>1195</v>
      </c>
      <c r="U771" s="19"/>
      <c r="V771" s="19"/>
      <c r="W771" s="20"/>
      <c r="X771" s="22"/>
      <c r="Y771" s="36"/>
      <c r="Z771" s="3"/>
      <c r="AA771" s="37">
        <f>AA762*0.05</f>
        <v>36.889000000000003</v>
      </c>
    </row>
    <row r="772" spans="1:27" x14ac:dyDescent="0.2">
      <c r="A772" s="13"/>
      <c r="B772" s="18"/>
      <c r="C772" s="19"/>
      <c r="D772" s="19"/>
      <c r="E772" s="20"/>
      <c r="F772" s="22"/>
      <c r="G772" s="36"/>
      <c r="H772" s="38"/>
      <c r="I772" s="38"/>
      <c r="J772" s="13"/>
      <c r="K772" s="18"/>
      <c r="L772" s="19"/>
      <c r="M772" s="19"/>
      <c r="N772" s="20"/>
      <c r="O772" s="22"/>
      <c r="P772" s="23"/>
      <c r="Q772" s="37"/>
      <c r="R772" s="37"/>
      <c r="S772" s="13"/>
      <c r="T772" s="18"/>
      <c r="U772" s="19"/>
      <c r="V772" s="19"/>
      <c r="W772" s="20"/>
      <c r="X772" s="22"/>
      <c r="Y772" s="23"/>
      <c r="Z772" s="37"/>
      <c r="AA772" s="37"/>
    </row>
    <row r="773" spans="1:27" x14ac:dyDescent="0.2">
      <c r="A773" s="13"/>
      <c r="B773" s="18"/>
      <c r="C773" s="19"/>
      <c r="D773" s="19"/>
      <c r="E773" s="20"/>
      <c r="F773" s="22"/>
      <c r="G773" s="36"/>
      <c r="H773" s="37"/>
      <c r="I773" s="37"/>
      <c r="J773" s="13"/>
      <c r="K773" s="18"/>
      <c r="L773" s="19"/>
      <c r="M773" s="19"/>
      <c r="N773" s="20"/>
      <c r="O773" s="22"/>
      <c r="P773" s="23"/>
      <c r="Q773" s="37"/>
      <c r="R773" s="37"/>
      <c r="S773" s="13"/>
      <c r="T773" s="18"/>
      <c r="U773" s="19"/>
      <c r="V773" s="19"/>
      <c r="W773" s="20"/>
      <c r="X773" s="22"/>
      <c r="Y773" s="23"/>
      <c r="Z773" s="37"/>
      <c r="AA773" s="37"/>
    </row>
    <row r="774" spans="1:27" x14ac:dyDescent="0.2">
      <c r="A774" s="13"/>
      <c r="B774" s="18"/>
      <c r="C774" s="19"/>
      <c r="D774" s="19"/>
      <c r="E774" s="20"/>
      <c r="F774" s="22"/>
      <c r="G774" s="36"/>
      <c r="H774" s="38"/>
      <c r="I774" s="38"/>
      <c r="J774" s="13"/>
      <c r="K774" s="18"/>
      <c r="L774" s="19"/>
      <c r="M774" s="19"/>
      <c r="N774" s="20"/>
      <c r="O774" s="22"/>
      <c r="P774" s="23"/>
      <c r="Q774" s="37"/>
      <c r="R774" s="37"/>
      <c r="S774" s="13"/>
      <c r="T774" s="18"/>
      <c r="U774" s="19"/>
      <c r="V774" s="19"/>
      <c r="W774" s="20"/>
      <c r="X774" s="22"/>
      <c r="Y774" s="23"/>
      <c r="Z774" s="37"/>
      <c r="AA774" s="37"/>
    </row>
    <row r="775" spans="1:27" x14ac:dyDescent="0.2">
      <c r="A775" s="13"/>
      <c r="B775" s="18"/>
      <c r="C775" s="19"/>
      <c r="D775" s="19"/>
      <c r="E775" s="20"/>
      <c r="F775" s="22"/>
      <c r="G775" s="36"/>
      <c r="H775" s="38"/>
      <c r="I775" s="38"/>
      <c r="J775" s="13"/>
      <c r="K775" s="18"/>
      <c r="L775" s="19"/>
      <c r="M775" s="19"/>
      <c r="N775" s="20"/>
      <c r="O775" s="22"/>
      <c r="P775" s="36"/>
      <c r="Q775" s="37"/>
      <c r="R775" s="37"/>
      <c r="S775" s="13"/>
      <c r="T775" s="18"/>
      <c r="U775" s="19"/>
      <c r="V775" s="19"/>
      <c r="W775" s="20"/>
      <c r="X775" s="22"/>
      <c r="Y775" s="36"/>
      <c r="Z775" s="37"/>
      <c r="AA775" s="3"/>
    </row>
    <row r="776" spans="1:27" x14ac:dyDescent="0.2">
      <c r="A776" s="13"/>
      <c r="B776" s="18"/>
      <c r="C776" s="19"/>
      <c r="D776" s="19"/>
      <c r="E776" s="20"/>
      <c r="F776" s="22"/>
      <c r="G776" s="36"/>
      <c r="H776" s="37"/>
      <c r="I776" s="37"/>
      <c r="J776" s="13"/>
      <c r="K776" s="18"/>
      <c r="L776" s="19"/>
      <c r="M776" s="19"/>
      <c r="N776" s="20"/>
      <c r="O776" s="22"/>
      <c r="P776" s="36"/>
      <c r="Q776" s="37"/>
      <c r="R776" s="37"/>
      <c r="S776" s="13"/>
      <c r="T776" s="18"/>
      <c r="U776" s="19"/>
      <c r="V776" s="19"/>
      <c r="W776" s="20"/>
      <c r="X776" s="22"/>
      <c r="Y776" s="36"/>
      <c r="Z776" s="37"/>
      <c r="AA776" s="37"/>
    </row>
    <row r="777" spans="1:27" x14ac:dyDescent="0.2">
      <c r="A777" s="13"/>
      <c r="B777" s="18"/>
      <c r="C777" s="19"/>
      <c r="D777" s="19"/>
      <c r="E777" s="20"/>
      <c r="F777" s="22"/>
      <c r="G777" s="36"/>
      <c r="H777" s="37"/>
      <c r="I777" s="37"/>
      <c r="J777" s="13"/>
      <c r="K777" s="18"/>
      <c r="L777" s="19"/>
      <c r="M777" s="19"/>
      <c r="N777" s="20"/>
      <c r="O777" s="22"/>
      <c r="P777" s="36"/>
      <c r="Q777" s="37"/>
      <c r="R777" s="37"/>
      <c r="S777" s="13"/>
      <c r="T777" s="18"/>
      <c r="U777" s="19"/>
      <c r="V777" s="19"/>
      <c r="W777" s="20"/>
      <c r="X777" s="22"/>
      <c r="Y777" s="36"/>
      <c r="Z777" s="37"/>
      <c r="AA777" s="37"/>
    </row>
    <row r="778" spans="1:27" x14ac:dyDescent="0.2">
      <c r="A778" s="13"/>
      <c r="B778" s="18"/>
      <c r="C778" s="19"/>
      <c r="D778" s="19"/>
      <c r="E778" s="20"/>
      <c r="F778" s="22"/>
      <c r="G778" s="36"/>
      <c r="H778" s="37"/>
      <c r="I778" s="37"/>
      <c r="J778" s="13"/>
      <c r="K778" s="18"/>
      <c r="L778" s="19"/>
      <c r="M778" s="19"/>
      <c r="N778" s="20"/>
      <c r="O778" s="22"/>
      <c r="P778" s="36"/>
      <c r="Q778" s="37"/>
      <c r="R778" s="37"/>
      <c r="S778" s="13"/>
      <c r="T778" s="18"/>
      <c r="U778" s="19"/>
      <c r="V778" s="19"/>
      <c r="W778" s="20"/>
      <c r="X778" s="22"/>
      <c r="Y778" s="36"/>
      <c r="Z778" s="37"/>
      <c r="AA778" s="37"/>
    </row>
    <row r="779" spans="1:27" x14ac:dyDescent="0.2">
      <c r="A779" s="13"/>
      <c r="B779" s="18"/>
      <c r="C779" s="19"/>
      <c r="D779" s="19"/>
      <c r="E779" s="20"/>
      <c r="F779" s="22"/>
      <c r="G779" s="22"/>
      <c r="H779" s="23"/>
      <c r="I779" s="23"/>
      <c r="J779" s="13"/>
      <c r="K779" s="18"/>
      <c r="L779" s="19"/>
      <c r="M779" s="19"/>
      <c r="N779" s="20"/>
      <c r="O779" s="22"/>
      <c r="P779" s="22"/>
      <c r="Q779" s="23"/>
      <c r="R779" s="23"/>
      <c r="S779" s="13"/>
      <c r="T779" s="18"/>
      <c r="U779" s="19"/>
      <c r="V779" s="19"/>
      <c r="W779" s="20"/>
      <c r="X779" s="22"/>
      <c r="Y779" s="22"/>
      <c r="Z779" s="23"/>
      <c r="AA779" s="23"/>
    </row>
    <row r="780" spans="1:27" x14ac:dyDescent="0.2">
      <c r="A780" s="13"/>
      <c r="B780" s="248" t="s">
        <v>30</v>
      </c>
      <c r="C780" s="249"/>
      <c r="D780" s="249"/>
      <c r="E780" s="250"/>
      <c r="F780" s="22"/>
      <c r="G780" s="22"/>
      <c r="H780" s="23"/>
      <c r="I780" s="23">
        <f>SUM(I767:I779)</f>
        <v>1066.54</v>
      </c>
      <c r="J780" s="13"/>
      <c r="K780" s="248" t="s">
        <v>30</v>
      </c>
      <c r="L780" s="249"/>
      <c r="M780" s="249"/>
      <c r="N780" s="250"/>
      <c r="O780" s="22"/>
      <c r="P780" s="22"/>
      <c r="Q780" s="23"/>
      <c r="R780" s="23">
        <f>SUM(R767:R779)</f>
        <v>818.99400000000003</v>
      </c>
      <c r="S780" s="13"/>
      <c r="T780" s="248" t="s">
        <v>30</v>
      </c>
      <c r="U780" s="249"/>
      <c r="V780" s="249"/>
      <c r="W780" s="250"/>
      <c r="X780" s="22"/>
      <c r="Y780" s="22"/>
      <c r="Z780" s="23"/>
      <c r="AA780" s="23">
        <f>SUM(AA767:AA779)</f>
        <v>192.08950000000002</v>
      </c>
    </row>
    <row r="781" spans="1:27" x14ac:dyDescent="0.2">
      <c r="A781" s="12" t="s">
        <v>31</v>
      </c>
      <c r="B781" s="260" t="s">
        <v>32</v>
      </c>
      <c r="C781" s="261"/>
      <c r="D781" s="261"/>
      <c r="E781" s="261"/>
      <c r="F781" s="39"/>
      <c r="G781" s="39"/>
      <c r="H781" s="40"/>
      <c r="I781" s="41">
        <f>SUM(I780+I762)</f>
        <v>1252.8699999999999</v>
      </c>
      <c r="J781" s="12" t="s">
        <v>31</v>
      </c>
      <c r="K781" s="260" t="s">
        <v>32</v>
      </c>
      <c r="L781" s="261"/>
      <c r="M781" s="261"/>
      <c r="N781" s="261"/>
      <c r="O781" s="151"/>
      <c r="P781" s="151"/>
      <c r="Q781" s="40"/>
      <c r="R781" s="41">
        <f>SUM(R780+R762)</f>
        <v>1556.7739999999999</v>
      </c>
      <c r="S781" s="12" t="s">
        <v>31</v>
      </c>
      <c r="T781" s="260" t="s">
        <v>32</v>
      </c>
      <c r="U781" s="261"/>
      <c r="V781" s="261"/>
      <c r="W781" s="261"/>
      <c r="X781" s="151"/>
      <c r="Y781" s="151"/>
      <c r="Z781" s="40"/>
      <c r="AA781" s="41">
        <f>SUM(AA780+AA762)</f>
        <v>929.86950000000002</v>
      </c>
    </row>
    <row r="782" spans="1:27" x14ac:dyDescent="0.2">
      <c r="A782" s="13" t="s">
        <v>33</v>
      </c>
      <c r="B782" s="309">
        <f>E749</f>
        <v>0.3</v>
      </c>
      <c r="C782" s="310"/>
      <c r="D782" s="310"/>
      <c r="E782" s="310"/>
      <c r="F782" s="310"/>
      <c r="G782" s="310"/>
      <c r="H782" s="40"/>
      <c r="I782" s="41"/>
      <c r="J782" s="13" t="s">
        <v>33</v>
      </c>
      <c r="K782" s="313">
        <f>N749</f>
        <v>107.33</v>
      </c>
      <c r="L782" s="314"/>
      <c r="M782" s="314"/>
      <c r="N782" s="314"/>
      <c r="O782" s="314"/>
      <c r="P782" s="314"/>
      <c r="Q782" s="40"/>
      <c r="R782" s="41"/>
      <c r="S782" s="13" t="s">
        <v>33</v>
      </c>
      <c r="T782" s="313">
        <f>W749</f>
        <v>6</v>
      </c>
      <c r="U782" s="314"/>
      <c r="V782" s="314"/>
      <c r="W782" s="314"/>
      <c r="X782" s="314"/>
      <c r="Y782" s="314"/>
      <c r="Z782" s="40"/>
      <c r="AA782" s="41"/>
    </row>
    <row r="783" spans="1:27" x14ac:dyDescent="0.2">
      <c r="A783" s="13" t="s">
        <v>34</v>
      </c>
      <c r="B783" s="42" t="s">
        <v>35</v>
      </c>
      <c r="C783" s="43"/>
      <c r="D783" s="43"/>
      <c r="E783" s="39"/>
      <c r="F783" s="44"/>
      <c r="G783" s="44"/>
      <c r="H783" s="40"/>
      <c r="I783" s="41">
        <f>I781/E749</f>
        <v>4176.2333333333336</v>
      </c>
      <c r="J783" s="13" t="s">
        <v>34</v>
      </c>
      <c r="K783" s="155" t="s">
        <v>35</v>
      </c>
      <c r="L783" s="43"/>
      <c r="M783" s="43"/>
      <c r="N783" s="151"/>
      <c r="O783" s="156"/>
      <c r="P783" s="156"/>
      <c r="Q783" s="40"/>
      <c r="R783" s="41">
        <f>R781/N749</f>
        <v>14.504556042113109</v>
      </c>
      <c r="S783" s="13" t="s">
        <v>34</v>
      </c>
      <c r="T783" s="155" t="s">
        <v>35</v>
      </c>
      <c r="U783" s="43"/>
      <c r="V783" s="43"/>
      <c r="W783" s="151"/>
      <c r="X783" s="156"/>
      <c r="Y783" s="156"/>
      <c r="Z783" s="40"/>
      <c r="AA783" s="41">
        <f>AA781/W749</f>
        <v>154.97825</v>
      </c>
    </row>
    <row r="784" spans="1:27" x14ac:dyDescent="0.2">
      <c r="A784" s="12"/>
      <c r="B784" s="251" t="s">
        <v>36</v>
      </c>
      <c r="C784" s="252"/>
      <c r="D784" s="252"/>
      <c r="E784" s="253"/>
      <c r="F784" s="244" t="s">
        <v>37</v>
      </c>
      <c r="G784" s="244" t="s">
        <v>38</v>
      </c>
      <c r="H784" s="244" t="s">
        <v>39</v>
      </c>
      <c r="I784" s="246" t="s">
        <v>15</v>
      </c>
      <c r="J784" s="12"/>
      <c r="K784" s="251" t="s">
        <v>36</v>
      </c>
      <c r="L784" s="252"/>
      <c r="M784" s="252"/>
      <c r="N784" s="253"/>
      <c r="O784" s="244" t="s">
        <v>37</v>
      </c>
      <c r="P784" s="244" t="s">
        <v>38</v>
      </c>
      <c r="Q784" s="244" t="s">
        <v>39</v>
      </c>
      <c r="R784" s="246" t="s">
        <v>15</v>
      </c>
      <c r="S784" s="12"/>
      <c r="T784" s="251" t="s">
        <v>36</v>
      </c>
      <c r="U784" s="252"/>
      <c r="V784" s="252"/>
      <c r="W784" s="253"/>
      <c r="X784" s="244" t="s">
        <v>37</v>
      </c>
      <c r="Y784" s="244" t="s">
        <v>38</v>
      </c>
      <c r="Z784" s="244" t="s">
        <v>39</v>
      </c>
      <c r="AA784" s="246" t="s">
        <v>15</v>
      </c>
    </row>
    <row r="785" spans="1:27" x14ac:dyDescent="0.2">
      <c r="A785" s="13"/>
      <c r="B785" s="254"/>
      <c r="C785" s="255"/>
      <c r="D785" s="255"/>
      <c r="E785" s="256"/>
      <c r="F785" s="245"/>
      <c r="G785" s="245"/>
      <c r="H785" s="245"/>
      <c r="I785" s="247"/>
      <c r="J785" s="13"/>
      <c r="K785" s="254"/>
      <c r="L785" s="255"/>
      <c r="M785" s="255"/>
      <c r="N785" s="256"/>
      <c r="O785" s="245"/>
      <c r="P785" s="245"/>
      <c r="Q785" s="245"/>
      <c r="R785" s="247"/>
      <c r="S785" s="13"/>
      <c r="T785" s="254"/>
      <c r="U785" s="255"/>
      <c r="V785" s="255"/>
      <c r="W785" s="256"/>
      <c r="X785" s="245"/>
      <c r="Y785" s="245"/>
      <c r="Z785" s="245"/>
      <c r="AA785" s="247"/>
    </row>
    <row r="786" spans="1:27" x14ac:dyDescent="0.2">
      <c r="A786" s="13" t="s">
        <v>40</v>
      </c>
      <c r="B786" s="18" t="s">
        <v>41</v>
      </c>
      <c r="C786" s="19"/>
      <c r="D786" s="19"/>
      <c r="E786" s="20"/>
      <c r="F786" s="22"/>
      <c r="G786" s="22"/>
      <c r="H786" s="23"/>
      <c r="I786" s="23"/>
      <c r="J786" s="13" t="s">
        <v>40</v>
      </c>
      <c r="K786" s="18" t="s">
        <v>41</v>
      </c>
      <c r="L786" s="19"/>
      <c r="M786" s="19"/>
      <c r="N786" s="20"/>
      <c r="O786" s="22"/>
      <c r="P786" s="22"/>
      <c r="Q786" s="23"/>
      <c r="R786" s="23"/>
      <c r="S786" s="13" t="s">
        <v>40</v>
      </c>
      <c r="T786" s="18" t="s">
        <v>41</v>
      </c>
      <c r="U786" s="19"/>
      <c r="V786" s="19"/>
      <c r="W786" s="20"/>
      <c r="X786" s="22"/>
      <c r="Y786" s="22"/>
      <c r="Z786" s="23"/>
      <c r="AA786" s="23"/>
    </row>
    <row r="787" spans="1:27" x14ac:dyDescent="0.2">
      <c r="A787" s="13"/>
      <c r="B787" s="18"/>
      <c r="C787" s="19"/>
      <c r="D787" s="19"/>
      <c r="E787" s="20"/>
      <c r="F787" s="22"/>
      <c r="G787" s="22"/>
      <c r="H787" s="23"/>
      <c r="I787" s="23"/>
      <c r="J787" s="13"/>
      <c r="K787" s="18"/>
      <c r="L787" s="19"/>
      <c r="M787" s="19"/>
      <c r="N787" s="20"/>
      <c r="O787" s="22"/>
      <c r="P787" s="22"/>
      <c r="Q787" s="23"/>
      <c r="R787" s="23"/>
      <c r="S787" s="13"/>
      <c r="T787" s="18"/>
      <c r="U787" s="19"/>
      <c r="V787" s="19"/>
      <c r="W787" s="20"/>
      <c r="X787" s="22"/>
      <c r="Y787" s="22"/>
      <c r="Z787" s="23"/>
      <c r="AA787" s="23"/>
    </row>
    <row r="788" spans="1:27" x14ac:dyDescent="0.2">
      <c r="A788" s="13"/>
      <c r="B788" s="18" t="s">
        <v>262</v>
      </c>
      <c r="C788" s="66"/>
      <c r="D788" s="19"/>
      <c r="E788" s="20"/>
      <c r="F788" s="22" t="s">
        <v>239</v>
      </c>
      <c r="G788" s="22">
        <v>1.05</v>
      </c>
      <c r="H788" s="107">
        <v>40300</v>
      </c>
      <c r="I788" s="23">
        <f>G788*H788</f>
        <v>42315</v>
      </c>
      <c r="J788" s="13"/>
      <c r="K788" s="18" t="s">
        <v>263</v>
      </c>
      <c r="L788" s="66"/>
      <c r="M788" s="19"/>
      <c r="N788" s="20"/>
      <c r="O788" s="22" t="s">
        <v>77</v>
      </c>
      <c r="P788" s="22">
        <v>0.33</v>
      </c>
      <c r="Q788" s="107">
        <v>40</v>
      </c>
      <c r="R788" s="23">
        <f>P788*Q788</f>
        <v>13.200000000000001</v>
      </c>
      <c r="S788" s="13"/>
      <c r="T788" s="18" t="s">
        <v>263</v>
      </c>
      <c r="U788" s="66"/>
      <c r="V788" s="19"/>
      <c r="W788" s="20"/>
      <c r="X788" s="22" t="s">
        <v>77</v>
      </c>
      <c r="Y788" s="22">
        <v>54.21</v>
      </c>
      <c r="Z788" s="107">
        <v>40</v>
      </c>
      <c r="AA788" s="23">
        <f>Y788*Z788</f>
        <v>2168.4</v>
      </c>
    </row>
    <row r="789" spans="1:27" x14ac:dyDescent="0.2">
      <c r="A789" s="13"/>
      <c r="B789" s="18" t="s">
        <v>322</v>
      </c>
      <c r="C789" s="66"/>
      <c r="D789" s="19"/>
      <c r="E789" s="20"/>
      <c r="F789" s="22"/>
      <c r="G789" s="22"/>
      <c r="H789" s="23"/>
      <c r="I789" s="23"/>
      <c r="J789" s="13"/>
      <c r="K789" s="18" t="s">
        <v>264</v>
      </c>
      <c r="L789" s="66"/>
      <c r="M789" s="19"/>
      <c r="N789" s="20"/>
      <c r="O789" s="22" t="s">
        <v>1216</v>
      </c>
      <c r="P789" s="22">
        <v>0.28999999999999998</v>
      </c>
      <c r="Q789" s="107">
        <v>28</v>
      </c>
      <c r="R789" s="23">
        <f t="shared" ref="R789:R792" si="48">P789*Q789</f>
        <v>8.1199999999999992</v>
      </c>
      <c r="S789" s="13"/>
      <c r="T789" s="18" t="s">
        <v>264</v>
      </c>
      <c r="U789" s="66"/>
      <c r="V789" s="19"/>
      <c r="W789" s="20"/>
      <c r="X789" s="22" t="s">
        <v>1216</v>
      </c>
      <c r="Y789" s="22">
        <v>0.28999999999999998</v>
      </c>
      <c r="Z789" s="107">
        <v>28</v>
      </c>
      <c r="AA789" s="23">
        <f t="shared" ref="AA789:AA792" si="49">Y789*Z789</f>
        <v>8.1199999999999992</v>
      </c>
    </row>
    <row r="790" spans="1:27" x14ac:dyDescent="0.2">
      <c r="A790" s="13"/>
      <c r="B790" s="18"/>
      <c r="C790" s="19"/>
      <c r="D790" s="19"/>
      <c r="E790" s="20"/>
      <c r="F790" s="22"/>
      <c r="G790" s="22"/>
      <c r="H790" s="38"/>
      <c r="I790" s="38"/>
      <c r="J790" s="13"/>
      <c r="K790" s="18" t="s">
        <v>266</v>
      </c>
      <c r="L790" s="19"/>
      <c r="M790" s="19"/>
      <c r="N790" s="20"/>
      <c r="O790" s="22" t="s">
        <v>1216</v>
      </c>
      <c r="P790" s="22">
        <v>0.12</v>
      </c>
      <c r="Q790" s="107">
        <f>44000/1000</f>
        <v>44</v>
      </c>
      <c r="R790" s="23">
        <f t="shared" si="48"/>
        <v>5.2799999999999994</v>
      </c>
      <c r="S790" s="13"/>
      <c r="T790" s="18" t="s">
        <v>266</v>
      </c>
      <c r="U790" s="19"/>
      <c r="V790" s="19"/>
      <c r="W790" s="20"/>
      <c r="X790" s="22" t="s">
        <v>1216</v>
      </c>
      <c r="Y790" s="22">
        <v>0.18</v>
      </c>
      <c r="Z790" s="107">
        <f>44000/1000</f>
        <v>44</v>
      </c>
      <c r="AA790" s="23">
        <f t="shared" si="49"/>
        <v>7.92</v>
      </c>
    </row>
    <row r="791" spans="1:27" x14ac:dyDescent="0.2">
      <c r="A791" s="13"/>
      <c r="B791" s="18"/>
      <c r="C791" s="19"/>
      <c r="D791" s="19"/>
      <c r="E791" s="20"/>
      <c r="F791" s="22"/>
      <c r="G791" s="22"/>
      <c r="H791" s="38"/>
      <c r="I791" s="38"/>
      <c r="J791" s="13"/>
      <c r="K791" s="18" t="s">
        <v>267</v>
      </c>
      <c r="L791" s="19"/>
      <c r="M791" s="19"/>
      <c r="N791" s="20"/>
      <c r="O791" s="22" t="s">
        <v>1153</v>
      </c>
      <c r="P791" s="22">
        <v>0.46</v>
      </c>
      <c r="Q791" s="107">
        <v>50</v>
      </c>
      <c r="R791" s="23">
        <f t="shared" si="48"/>
        <v>23</v>
      </c>
      <c r="S791" s="13"/>
      <c r="T791" s="18" t="s">
        <v>267</v>
      </c>
      <c r="U791" s="19"/>
      <c r="V791" s="19"/>
      <c r="W791" s="20"/>
      <c r="X791" s="22" t="s">
        <v>1153</v>
      </c>
      <c r="Y791" s="22">
        <v>0.46</v>
      </c>
      <c r="Z791" s="107">
        <v>50</v>
      </c>
      <c r="AA791" s="23">
        <f t="shared" si="49"/>
        <v>23</v>
      </c>
    </row>
    <row r="792" spans="1:27" x14ac:dyDescent="0.2">
      <c r="A792" s="13"/>
      <c r="B792" s="18"/>
      <c r="C792" s="19"/>
      <c r="D792" s="19"/>
      <c r="E792" s="20"/>
      <c r="F792" s="22"/>
      <c r="G792" s="22"/>
      <c r="H792" s="45"/>
      <c r="I792" s="45"/>
      <c r="J792" s="13"/>
      <c r="K792" s="18" t="s">
        <v>1247</v>
      </c>
      <c r="L792" s="19"/>
      <c r="M792" s="19"/>
      <c r="N792" s="20"/>
      <c r="O792" s="22" t="s">
        <v>9</v>
      </c>
      <c r="P792" s="22">
        <v>0.15</v>
      </c>
      <c r="Q792" s="107">
        <v>850</v>
      </c>
      <c r="R792" s="23">
        <f t="shared" si="48"/>
        <v>127.5</v>
      </c>
      <c r="S792" s="13"/>
      <c r="T792" s="18" t="s">
        <v>1247</v>
      </c>
      <c r="U792" s="19"/>
      <c r="V792" s="19"/>
      <c r="W792" s="20"/>
      <c r="X792" s="22" t="s">
        <v>9</v>
      </c>
      <c r="Y792" s="62">
        <v>0.3</v>
      </c>
      <c r="Z792" s="107">
        <v>850</v>
      </c>
      <c r="AA792" s="23">
        <f t="shared" si="49"/>
        <v>255</v>
      </c>
    </row>
    <row r="793" spans="1:27" x14ac:dyDescent="0.2">
      <c r="A793" s="13"/>
      <c r="B793" s="18"/>
      <c r="C793" s="19"/>
      <c r="D793" s="19"/>
      <c r="E793" s="20"/>
      <c r="F793" s="22"/>
      <c r="G793" s="22"/>
      <c r="H793" s="45"/>
      <c r="I793" s="45"/>
      <c r="J793" s="13"/>
      <c r="K793" s="18" t="s">
        <v>1248</v>
      </c>
      <c r="L793" s="19"/>
      <c r="M793" s="19"/>
      <c r="N793" s="20"/>
      <c r="O793" s="22" t="s">
        <v>80</v>
      </c>
      <c r="P793" s="22">
        <v>1.4999999999999999E-4</v>
      </c>
      <c r="Q793" s="107">
        <v>8000</v>
      </c>
      <c r="R793" s="23">
        <f t="shared" ref="R793:R795" si="50">P793*Q793</f>
        <v>1.2</v>
      </c>
      <c r="S793" s="13"/>
      <c r="T793" s="18" t="s">
        <v>1274</v>
      </c>
      <c r="U793" s="19"/>
      <c r="V793" s="19"/>
      <c r="W793" s="20"/>
      <c r="X793" s="22" t="s">
        <v>77</v>
      </c>
      <c r="Y793" s="22">
        <v>1.0840000000000001</v>
      </c>
      <c r="Z793" s="107">
        <v>47</v>
      </c>
      <c r="AA793" s="23">
        <f>Y793*Z793</f>
        <v>50.948</v>
      </c>
    </row>
    <row r="794" spans="1:27" x14ac:dyDescent="0.2">
      <c r="A794" s="13"/>
      <c r="B794" s="18"/>
      <c r="C794" s="19"/>
      <c r="D794" s="19"/>
      <c r="E794" s="20"/>
      <c r="F794" s="22"/>
      <c r="G794" s="22"/>
      <c r="H794" s="23"/>
      <c r="I794" s="23"/>
      <c r="J794" s="13"/>
      <c r="K794" s="18" t="s">
        <v>1249</v>
      </c>
      <c r="L794" s="19"/>
      <c r="M794" s="19"/>
      <c r="N794" s="20"/>
      <c r="O794" s="22" t="s">
        <v>1153</v>
      </c>
      <c r="P794" s="22">
        <v>7.7999999999999996E-3</v>
      </c>
      <c r="Q794" s="107">
        <v>34.33</v>
      </c>
      <c r="R794" s="23">
        <f t="shared" si="50"/>
        <v>0.26777399999999996</v>
      </c>
      <c r="S794" s="13"/>
      <c r="T794" s="18"/>
      <c r="U794" s="19"/>
      <c r="V794" s="19"/>
      <c r="W794" s="20"/>
      <c r="X794" s="22"/>
      <c r="Y794" s="22"/>
      <c r="Z794" s="107"/>
      <c r="AA794" s="23"/>
    </row>
    <row r="795" spans="1:27" x14ac:dyDescent="0.2">
      <c r="A795" s="13"/>
      <c r="B795" s="18"/>
      <c r="C795" s="19"/>
      <c r="D795" s="19"/>
      <c r="E795" s="20"/>
      <c r="F795" s="22"/>
      <c r="G795" s="22"/>
      <c r="H795" s="23"/>
      <c r="I795" s="23"/>
      <c r="J795" s="13"/>
      <c r="K795" s="18" t="s">
        <v>1250</v>
      </c>
      <c r="L795" s="19"/>
      <c r="M795" s="19"/>
      <c r="N795" s="20"/>
      <c r="O795" s="22" t="s">
        <v>1216</v>
      </c>
      <c r="P795" s="22">
        <v>1.5E-3</v>
      </c>
      <c r="Q795" s="107">
        <v>300</v>
      </c>
      <c r="R795" s="23">
        <f t="shared" si="50"/>
        <v>0.45</v>
      </c>
      <c r="S795" s="13"/>
      <c r="T795" s="18"/>
      <c r="U795" s="19"/>
      <c r="V795" s="19"/>
      <c r="W795" s="20"/>
      <c r="X795" s="22"/>
      <c r="Y795" s="22"/>
      <c r="Z795" s="107"/>
      <c r="AA795" s="23"/>
    </row>
    <row r="796" spans="1:27" x14ac:dyDescent="0.2">
      <c r="A796" s="13"/>
      <c r="B796" s="18"/>
      <c r="C796" s="19"/>
      <c r="D796" s="19"/>
      <c r="E796" s="20"/>
      <c r="F796" s="22"/>
      <c r="G796" s="22"/>
      <c r="H796" s="23"/>
      <c r="I796" s="23"/>
      <c r="J796" s="13"/>
      <c r="K796" s="18"/>
      <c r="L796" s="19"/>
      <c r="M796" s="19"/>
      <c r="N796" s="20"/>
      <c r="O796" s="22"/>
      <c r="P796" s="22"/>
      <c r="Q796" s="107"/>
      <c r="R796" s="23"/>
      <c r="S796" s="13"/>
      <c r="T796" s="18"/>
      <c r="U796" s="19"/>
      <c r="V796" s="19"/>
      <c r="W796" s="20"/>
      <c r="X796" s="22"/>
      <c r="Y796" s="22"/>
      <c r="Z796" s="107"/>
      <c r="AA796" s="23"/>
    </row>
    <row r="797" spans="1:27" x14ac:dyDescent="0.2">
      <c r="A797" s="13"/>
      <c r="B797" s="18"/>
      <c r="C797" s="19"/>
      <c r="D797" s="19"/>
      <c r="E797" s="20"/>
      <c r="F797" s="22"/>
      <c r="G797" s="22"/>
      <c r="H797" s="23"/>
      <c r="I797" s="23"/>
      <c r="J797" s="13"/>
      <c r="K797" s="18"/>
      <c r="L797" s="19"/>
      <c r="M797" s="19"/>
      <c r="N797" s="20"/>
      <c r="O797" s="22"/>
      <c r="P797" s="22"/>
      <c r="Q797" s="107"/>
      <c r="R797" s="23"/>
      <c r="S797" s="13"/>
      <c r="T797" s="18"/>
      <c r="U797" s="19"/>
      <c r="V797" s="19"/>
      <c r="W797" s="20"/>
      <c r="X797" s="22"/>
      <c r="Y797" s="22"/>
      <c r="Z797" s="107"/>
      <c r="AA797" s="23"/>
    </row>
    <row r="798" spans="1:27" x14ac:dyDescent="0.2">
      <c r="A798" s="13"/>
      <c r="B798" s="18"/>
      <c r="C798" s="19"/>
      <c r="D798" s="19"/>
      <c r="E798" s="20"/>
      <c r="F798" s="22"/>
      <c r="G798" s="22"/>
      <c r="H798" s="23"/>
      <c r="I798" s="23"/>
      <c r="J798" s="13"/>
      <c r="K798" s="18"/>
      <c r="L798" s="19"/>
      <c r="M798" s="19"/>
      <c r="N798" s="20"/>
      <c r="O798" s="22"/>
      <c r="P798" s="22"/>
      <c r="Q798" s="23"/>
      <c r="R798" s="23"/>
      <c r="S798" s="13"/>
      <c r="T798" s="18"/>
      <c r="U798" s="19"/>
      <c r="V798" s="19"/>
      <c r="W798" s="20"/>
      <c r="X798" s="22"/>
      <c r="Y798" s="22"/>
      <c r="Z798" s="23"/>
      <c r="AA798" s="23"/>
    </row>
    <row r="799" spans="1:27" x14ac:dyDescent="0.2">
      <c r="A799" s="13"/>
      <c r="B799" s="18"/>
      <c r="C799" s="19"/>
      <c r="D799" s="19"/>
      <c r="E799" s="20"/>
      <c r="F799" s="22"/>
      <c r="G799" s="22"/>
      <c r="H799" s="23"/>
      <c r="I799" s="23"/>
      <c r="J799" s="13"/>
      <c r="K799" s="18"/>
      <c r="L799" s="19"/>
      <c r="M799" s="19"/>
      <c r="N799" s="20"/>
      <c r="O799" s="22"/>
      <c r="P799" s="22"/>
      <c r="Q799" s="23"/>
      <c r="R799" s="23"/>
      <c r="S799" s="13"/>
      <c r="T799" s="18"/>
      <c r="U799" s="19"/>
      <c r="V799" s="19"/>
      <c r="W799" s="20"/>
      <c r="X799" s="22"/>
      <c r="Y799" s="22"/>
      <c r="Z799" s="23"/>
      <c r="AA799" s="23"/>
    </row>
    <row r="800" spans="1:27" x14ac:dyDescent="0.2">
      <c r="A800" s="13"/>
      <c r="B800" s="18"/>
      <c r="C800" s="19"/>
      <c r="D800" s="19"/>
      <c r="E800" s="20"/>
      <c r="F800" s="22"/>
      <c r="G800" s="36"/>
      <c r="H800" s="37"/>
      <c r="I800" s="37"/>
      <c r="J800" s="13"/>
      <c r="K800" s="18"/>
      <c r="L800" s="19"/>
      <c r="M800" s="19"/>
      <c r="N800" s="20"/>
      <c r="O800" s="22"/>
      <c r="P800" s="36"/>
      <c r="Q800" s="37"/>
      <c r="R800" s="37"/>
      <c r="S800" s="13"/>
      <c r="T800" s="18"/>
      <c r="U800" s="19"/>
      <c r="V800" s="19"/>
      <c r="W800" s="20"/>
      <c r="X800" s="22"/>
      <c r="Y800" s="36"/>
      <c r="Z800" s="37"/>
      <c r="AA800" s="37"/>
    </row>
    <row r="801" spans="1:27" x14ac:dyDescent="0.2">
      <c r="A801" s="13"/>
      <c r="B801" s="248" t="s">
        <v>42</v>
      </c>
      <c r="C801" s="249"/>
      <c r="D801" s="249"/>
      <c r="E801" s="250"/>
      <c r="F801" s="46"/>
      <c r="G801" s="46"/>
      <c r="H801" s="47"/>
      <c r="I801" s="47">
        <f>SUM(I788:I800)</f>
        <v>42315</v>
      </c>
      <c r="J801" s="13"/>
      <c r="K801" s="248" t="s">
        <v>42</v>
      </c>
      <c r="L801" s="249"/>
      <c r="M801" s="249"/>
      <c r="N801" s="250"/>
      <c r="O801" s="46"/>
      <c r="P801" s="46"/>
      <c r="Q801" s="47"/>
      <c r="R801" s="47">
        <f>SUM(R788:R800)</f>
        <v>179.01777399999997</v>
      </c>
      <c r="S801" s="13"/>
      <c r="T801" s="248" t="s">
        <v>42</v>
      </c>
      <c r="U801" s="249"/>
      <c r="V801" s="249"/>
      <c r="W801" s="250"/>
      <c r="X801" s="46"/>
      <c r="Y801" s="46"/>
      <c r="Z801" s="47"/>
      <c r="AA801" s="47">
        <f>SUM(AA788:AA800)</f>
        <v>2513.3879999999999</v>
      </c>
    </row>
    <row r="802" spans="1:27" x14ac:dyDescent="0.2">
      <c r="A802" s="12" t="s">
        <v>43</v>
      </c>
      <c r="B802" s="48" t="s">
        <v>44</v>
      </c>
      <c r="C802" s="43"/>
      <c r="D802" s="43"/>
      <c r="E802" s="39"/>
      <c r="F802" s="49"/>
      <c r="G802" s="49"/>
      <c r="H802" s="50"/>
      <c r="I802" s="51">
        <f>SUM(I783+I801)</f>
        <v>46491.233333333337</v>
      </c>
      <c r="J802" s="12" t="s">
        <v>43</v>
      </c>
      <c r="K802" s="48" t="s">
        <v>44</v>
      </c>
      <c r="L802" s="43"/>
      <c r="M802" s="43"/>
      <c r="N802" s="151"/>
      <c r="O802" s="49"/>
      <c r="P802" s="49"/>
      <c r="Q802" s="50"/>
      <c r="R802" s="51">
        <f>SUM(R783+R801)</f>
        <v>193.52233004211308</v>
      </c>
      <c r="S802" s="12" t="s">
        <v>43</v>
      </c>
      <c r="T802" s="48" t="s">
        <v>44</v>
      </c>
      <c r="U802" s="43"/>
      <c r="V802" s="43"/>
      <c r="W802" s="151"/>
      <c r="X802" s="49"/>
      <c r="Y802" s="49"/>
      <c r="Z802" s="50"/>
      <c r="AA802" s="51">
        <f>SUM(AA783+AA801)</f>
        <v>2668.36625</v>
      </c>
    </row>
    <row r="803" spans="1:27" x14ac:dyDescent="0.2">
      <c r="A803" s="13" t="s">
        <v>45</v>
      </c>
      <c r="B803" s="48" t="s">
        <v>46</v>
      </c>
      <c r="C803" s="43"/>
      <c r="D803" s="43"/>
      <c r="E803" s="39"/>
      <c r="F803" s="49"/>
      <c r="G803" s="52">
        <v>0.09</v>
      </c>
      <c r="H803" s="53" t="s">
        <v>47</v>
      </c>
      <c r="I803" s="51">
        <f>G803*I802</f>
        <v>4184.2110000000002</v>
      </c>
      <c r="J803" s="13" t="s">
        <v>45</v>
      </c>
      <c r="K803" s="48" t="s">
        <v>46</v>
      </c>
      <c r="L803" s="43"/>
      <c r="M803" s="43"/>
      <c r="N803" s="151"/>
      <c r="O803" s="49"/>
      <c r="P803" s="52">
        <v>0.09</v>
      </c>
      <c r="Q803" s="53" t="s">
        <v>47</v>
      </c>
      <c r="R803" s="51">
        <f>P803*R802</f>
        <v>17.417009703790178</v>
      </c>
      <c r="S803" s="13" t="s">
        <v>45</v>
      </c>
      <c r="T803" s="48" t="s">
        <v>46</v>
      </c>
      <c r="U803" s="43"/>
      <c r="V803" s="43"/>
      <c r="W803" s="151"/>
      <c r="X803" s="49"/>
      <c r="Y803" s="52">
        <v>0.09</v>
      </c>
      <c r="Z803" s="53" t="s">
        <v>47</v>
      </c>
      <c r="AA803" s="51">
        <f>Y803*AA802</f>
        <v>240.1529625</v>
      </c>
    </row>
    <row r="804" spans="1:27" x14ac:dyDescent="0.2">
      <c r="A804" s="13" t="s">
        <v>48</v>
      </c>
      <c r="B804" s="48" t="s">
        <v>49</v>
      </c>
      <c r="C804" s="43"/>
      <c r="D804" s="43"/>
      <c r="E804" s="39"/>
      <c r="F804" s="49"/>
      <c r="G804" s="52">
        <v>0.08</v>
      </c>
      <c r="H804" s="53" t="s">
        <v>47</v>
      </c>
      <c r="I804" s="51">
        <f>G804*I802</f>
        <v>3719.298666666667</v>
      </c>
      <c r="J804" s="13" t="s">
        <v>48</v>
      </c>
      <c r="K804" s="48" t="s">
        <v>49</v>
      </c>
      <c r="L804" s="43"/>
      <c r="M804" s="43"/>
      <c r="N804" s="151"/>
      <c r="O804" s="49"/>
      <c r="P804" s="52">
        <v>0.08</v>
      </c>
      <c r="Q804" s="53" t="s">
        <v>47</v>
      </c>
      <c r="R804" s="51">
        <f>P804*R802</f>
        <v>15.481786403369046</v>
      </c>
      <c r="S804" s="13" t="s">
        <v>48</v>
      </c>
      <c r="T804" s="48" t="s">
        <v>49</v>
      </c>
      <c r="U804" s="43"/>
      <c r="V804" s="43"/>
      <c r="W804" s="151"/>
      <c r="X804" s="49"/>
      <c r="Y804" s="52">
        <v>0.08</v>
      </c>
      <c r="Z804" s="53" t="s">
        <v>47</v>
      </c>
      <c r="AA804" s="51">
        <f>Y804*AA802</f>
        <v>213.4693</v>
      </c>
    </row>
    <row r="805" spans="1:27" x14ac:dyDescent="0.2">
      <c r="A805" s="13" t="s">
        <v>50</v>
      </c>
      <c r="B805" s="48" t="s">
        <v>51</v>
      </c>
      <c r="C805" s="43"/>
      <c r="D805" s="43"/>
      <c r="E805" s="39"/>
      <c r="F805" s="49"/>
      <c r="G805" s="52">
        <v>0.05</v>
      </c>
      <c r="H805" s="53" t="s">
        <v>52</v>
      </c>
      <c r="I805" s="51">
        <f>G805*(I802+I803+I804)</f>
        <v>2719.7371500000008</v>
      </c>
      <c r="J805" s="13" t="s">
        <v>50</v>
      </c>
      <c r="K805" s="48" t="s">
        <v>51</v>
      </c>
      <c r="L805" s="43"/>
      <c r="M805" s="43"/>
      <c r="N805" s="151"/>
      <c r="O805" s="49"/>
      <c r="P805" s="52">
        <f>5/100</f>
        <v>0.05</v>
      </c>
      <c r="Q805" s="53" t="s">
        <v>52</v>
      </c>
      <c r="R805" s="51">
        <f>P805*(R802+R803+R804)</f>
        <v>11.321056307463616</v>
      </c>
      <c r="S805" s="13" t="s">
        <v>50</v>
      </c>
      <c r="T805" s="48" t="s">
        <v>51</v>
      </c>
      <c r="U805" s="43"/>
      <c r="V805" s="43"/>
      <c r="W805" s="151"/>
      <c r="X805" s="49"/>
      <c r="Y805" s="52">
        <f>5/100</f>
        <v>0.05</v>
      </c>
      <c r="Z805" s="53" t="s">
        <v>52</v>
      </c>
      <c r="AA805" s="51">
        <f>Y805*(AA802+AA803+AA804)</f>
        <v>156.09942562500001</v>
      </c>
    </row>
    <row r="806" spans="1:27" x14ac:dyDescent="0.2">
      <c r="A806" s="54" t="s">
        <v>53</v>
      </c>
      <c r="B806" s="48" t="s">
        <v>54</v>
      </c>
      <c r="C806" s="43"/>
      <c r="D806" s="43"/>
      <c r="E806" s="39"/>
      <c r="F806" s="49"/>
      <c r="G806" s="49"/>
      <c r="H806" s="55" t="s">
        <v>55</v>
      </c>
      <c r="I806" s="51">
        <f>SUM(I802+I803+I804+I805)</f>
        <v>57114.48015000001</v>
      </c>
      <c r="J806" s="54" t="s">
        <v>53</v>
      </c>
      <c r="K806" s="48" t="s">
        <v>54</v>
      </c>
      <c r="L806" s="43"/>
      <c r="M806" s="43"/>
      <c r="N806" s="151"/>
      <c r="O806" s="49"/>
      <c r="P806" s="49"/>
      <c r="Q806" s="55" t="s">
        <v>55</v>
      </c>
      <c r="R806" s="51">
        <f>SUM(R802+R803+R804+R805)</f>
        <v>237.74218245673592</v>
      </c>
      <c r="S806" s="54" t="s">
        <v>53</v>
      </c>
      <c r="T806" s="48" t="s">
        <v>54</v>
      </c>
      <c r="U806" s="43"/>
      <c r="V806" s="43"/>
      <c r="W806" s="151"/>
      <c r="X806" s="49"/>
      <c r="Y806" s="49"/>
      <c r="Z806" s="55" t="s">
        <v>55</v>
      </c>
      <c r="AA806" s="51">
        <f>SUM(AA802+AA803+AA804+AA805)</f>
        <v>3278.0879381250002</v>
      </c>
    </row>
    <row r="807" spans="1:27" s="1" customFormat="1" x14ac:dyDescent="0.2">
      <c r="A807" s="236" t="s">
        <v>0</v>
      </c>
      <c r="B807" s="236"/>
      <c r="C807" s="236"/>
      <c r="D807" s="236"/>
      <c r="E807" s="236"/>
      <c r="F807" s="236"/>
      <c r="G807" s="236"/>
      <c r="H807" s="236"/>
      <c r="I807" s="236"/>
      <c r="J807" s="236" t="s">
        <v>0</v>
      </c>
      <c r="K807" s="236"/>
      <c r="L807" s="236"/>
      <c r="M807" s="236"/>
      <c r="N807" s="236"/>
      <c r="O807" s="236"/>
      <c r="P807" s="236"/>
      <c r="Q807" s="236"/>
      <c r="R807" s="236"/>
    </row>
    <row r="809" spans="1:27" x14ac:dyDescent="0.2">
      <c r="A809" s="2" t="s">
        <v>1</v>
      </c>
      <c r="C809" s="4" t="s">
        <v>2</v>
      </c>
      <c r="D809" s="5" t="s">
        <v>352</v>
      </c>
      <c r="E809" s="237" t="s">
        <v>353</v>
      </c>
      <c r="F809" s="237"/>
      <c r="G809" s="237"/>
      <c r="H809" s="237"/>
      <c r="J809" s="2" t="s">
        <v>1</v>
      </c>
      <c r="L809" s="4" t="s">
        <v>2</v>
      </c>
      <c r="M809" s="5" t="s">
        <v>349</v>
      </c>
      <c r="N809" s="237" t="s">
        <v>350</v>
      </c>
      <c r="O809" s="237"/>
      <c r="P809" s="237"/>
      <c r="Q809" s="237"/>
    </row>
    <row r="810" spans="1:27" x14ac:dyDescent="0.2">
      <c r="A810" s="2" t="s">
        <v>7</v>
      </c>
      <c r="C810" s="4" t="s">
        <v>2</v>
      </c>
      <c r="E810" s="2" t="s">
        <v>239</v>
      </c>
      <c r="F810" s="8"/>
      <c r="G810" s="8"/>
      <c r="H810" s="8"/>
      <c r="J810" s="2" t="s">
        <v>7</v>
      </c>
      <c r="L810" s="4" t="s">
        <v>2</v>
      </c>
      <c r="N810" s="2" t="s">
        <v>8</v>
      </c>
      <c r="O810" s="8"/>
      <c r="P810" s="8"/>
      <c r="Q810" s="8"/>
    </row>
    <row r="811" spans="1:27" x14ac:dyDescent="0.2">
      <c r="A811" s="2" t="s">
        <v>10</v>
      </c>
      <c r="C811" s="4" t="s">
        <v>2</v>
      </c>
      <c r="E811" s="9">
        <v>0.3</v>
      </c>
      <c r="F811" s="8"/>
      <c r="G811" s="8"/>
      <c r="H811" s="8"/>
      <c r="J811" s="2" t="s">
        <v>10</v>
      </c>
      <c r="L811" s="4" t="s">
        <v>2</v>
      </c>
      <c r="N811" s="9">
        <v>80.5</v>
      </c>
      <c r="O811" s="8"/>
      <c r="P811" s="8"/>
      <c r="Q811" s="8"/>
    </row>
    <row r="812" spans="1:27" x14ac:dyDescent="0.2">
      <c r="B812" s="8"/>
      <c r="F812" s="11"/>
      <c r="G812" s="8"/>
      <c r="H812" s="8"/>
      <c r="I812" s="8"/>
      <c r="K812" s="8"/>
      <c r="O812" s="11"/>
      <c r="P812" s="8"/>
      <c r="Q812" s="8"/>
      <c r="R812" s="8"/>
    </row>
    <row r="813" spans="1:27" x14ac:dyDescent="0.2">
      <c r="A813" s="12"/>
      <c r="B813" s="238" t="s">
        <v>11</v>
      </c>
      <c r="C813" s="239"/>
      <c r="D813" s="239"/>
      <c r="E813" s="240"/>
      <c r="F813" s="244" t="s">
        <v>12</v>
      </c>
      <c r="G813" s="244" t="s">
        <v>13</v>
      </c>
      <c r="H813" s="244" t="s">
        <v>14</v>
      </c>
      <c r="I813" s="246" t="s">
        <v>15</v>
      </c>
      <c r="J813" s="12"/>
      <c r="K813" s="238" t="s">
        <v>11</v>
      </c>
      <c r="L813" s="239"/>
      <c r="M813" s="239"/>
      <c r="N813" s="240"/>
      <c r="O813" s="244" t="s">
        <v>12</v>
      </c>
      <c r="P813" s="244" t="s">
        <v>13</v>
      </c>
      <c r="Q813" s="244" t="s">
        <v>14</v>
      </c>
      <c r="R813" s="246" t="s">
        <v>15</v>
      </c>
    </row>
    <row r="814" spans="1:27" x14ac:dyDescent="0.2">
      <c r="A814" s="13"/>
      <c r="B814" s="241"/>
      <c r="C814" s="242"/>
      <c r="D814" s="242"/>
      <c r="E814" s="243"/>
      <c r="F814" s="245"/>
      <c r="G814" s="245"/>
      <c r="H814" s="245"/>
      <c r="I814" s="247"/>
      <c r="J814" s="13"/>
      <c r="K814" s="241"/>
      <c r="L814" s="242"/>
      <c r="M814" s="242"/>
      <c r="N814" s="243"/>
      <c r="O814" s="245"/>
      <c r="P814" s="245"/>
      <c r="Q814" s="245"/>
      <c r="R814" s="247"/>
    </row>
    <row r="815" spans="1:27" x14ac:dyDescent="0.2">
      <c r="A815" s="13" t="s">
        <v>16</v>
      </c>
      <c r="B815" s="14" t="s">
        <v>17</v>
      </c>
      <c r="C815" s="15"/>
      <c r="D815" s="15"/>
      <c r="E815" s="16"/>
      <c r="F815" s="17"/>
      <c r="G815" s="17"/>
      <c r="H815" s="17"/>
      <c r="I815" s="17"/>
      <c r="J815" s="13" t="s">
        <v>16</v>
      </c>
      <c r="K815" s="14" t="s">
        <v>17</v>
      </c>
      <c r="L815" s="15"/>
      <c r="M815" s="15"/>
      <c r="N815" s="16"/>
      <c r="O815" s="17"/>
      <c r="P815" s="17"/>
      <c r="Q815" s="17"/>
      <c r="R815" s="17"/>
    </row>
    <row r="816" spans="1:27" x14ac:dyDescent="0.2">
      <c r="A816" s="13"/>
      <c r="B816" s="18"/>
      <c r="C816" s="19"/>
      <c r="D816" s="19"/>
      <c r="E816" s="20"/>
      <c r="F816" s="21"/>
      <c r="G816" s="22"/>
      <c r="H816" s="21"/>
      <c r="I816" s="21"/>
      <c r="J816" s="13"/>
      <c r="K816" s="18"/>
      <c r="L816" s="19"/>
      <c r="M816" s="19"/>
      <c r="N816" s="20"/>
      <c r="O816" s="21"/>
      <c r="P816" s="22"/>
      <c r="Q816" s="21"/>
      <c r="R816" s="21"/>
    </row>
    <row r="817" spans="1:18" x14ac:dyDescent="0.2">
      <c r="A817" s="13"/>
      <c r="B817" s="24" t="s">
        <v>18</v>
      </c>
      <c r="C817" s="25"/>
      <c r="D817" s="25"/>
      <c r="E817" s="26"/>
      <c r="F817" s="22">
        <v>1</v>
      </c>
      <c r="G817" s="62">
        <v>1</v>
      </c>
      <c r="H817" s="23">
        <v>69.42</v>
      </c>
      <c r="I817" s="23">
        <f>F817*G817*H817</f>
        <v>69.42</v>
      </c>
      <c r="J817" s="13"/>
      <c r="K817" s="24" t="s">
        <v>18</v>
      </c>
      <c r="L817" s="25"/>
      <c r="M817" s="25"/>
      <c r="N817" s="26"/>
      <c r="O817" s="22">
        <v>1</v>
      </c>
      <c r="P817" s="23">
        <v>1</v>
      </c>
      <c r="Q817" s="23">
        <v>69.42</v>
      </c>
      <c r="R817" s="23">
        <f>P817*Q817*O817</f>
        <v>69.42</v>
      </c>
    </row>
    <row r="818" spans="1:18" x14ac:dyDescent="0.2">
      <c r="A818" s="13"/>
      <c r="B818" s="24" t="s">
        <v>1179</v>
      </c>
      <c r="C818" s="25"/>
      <c r="D818" s="25"/>
      <c r="E818" s="26"/>
      <c r="F818" s="22">
        <v>3</v>
      </c>
      <c r="G818" s="62">
        <v>1</v>
      </c>
      <c r="H818" s="23">
        <v>38.97</v>
      </c>
      <c r="I818" s="23">
        <f>F818*G818*H818</f>
        <v>116.91</v>
      </c>
      <c r="J818" s="13"/>
      <c r="K818" s="257" t="s">
        <v>1178</v>
      </c>
      <c r="L818" s="258"/>
      <c r="M818" s="25"/>
      <c r="N818" s="26"/>
      <c r="O818" s="22">
        <v>4</v>
      </c>
      <c r="P818" s="23">
        <v>1</v>
      </c>
      <c r="Q818" s="23">
        <v>50.18</v>
      </c>
      <c r="R818" s="23">
        <f>P818*Q818*O818</f>
        <v>200.72</v>
      </c>
    </row>
    <row r="819" spans="1:18" x14ac:dyDescent="0.2">
      <c r="A819" s="13"/>
      <c r="B819" s="27"/>
      <c r="C819" s="19"/>
      <c r="D819" s="19"/>
      <c r="E819" s="20"/>
      <c r="F819" s="22"/>
      <c r="G819" s="22"/>
      <c r="H819" s="28"/>
      <c r="I819" s="23"/>
      <c r="J819" s="13"/>
      <c r="K819" s="257" t="s">
        <v>1177</v>
      </c>
      <c r="L819" s="258"/>
      <c r="M819" s="19"/>
      <c r="N819" s="20"/>
      <c r="O819" s="22">
        <v>12</v>
      </c>
      <c r="P819" s="23">
        <v>1</v>
      </c>
      <c r="Q819" s="23">
        <v>38.97</v>
      </c>
      <c r="R819" s="23">
        <f>P819*Q819*O819</f>
        <v>467.64</v>
      </c>
    </row>
    <row r="820" spans="1:18" x14ac:dyDescent="0.2">
      <c r="A820" s="13"/>
      <c r="B820" s="27"/>
      <c r="C820" s="19"/>
      <c r="D820" s="19"/>
      <c r="E820" s="20"/>
      <c r="F820" s="22"/>
      <c r="G820" s="22"/>
      <c r="H820" s="29"/>
      <c r="I820" s="30"/>
      <c r="J820" s="13"/>
      <c r="K820" s="27"/>
      <c r="L820" s="19"/>
      <c r="M820" s="19"/>
      <c r="N820" s="20"/>
      <c r="O820" s="22"/>
      <c r="P820" s="22"/>
      <c r="Q820" s="29"/>
      <c r="R820" s="30"/>
    </row>
    <row r="821" spans="1:18" x14ac:dyDescent="0.2">
      <c r="A821" s="13"/>
      <c r="B821" s="27"/>
      <c r="C821" s="19"/>
      <c r="D821" s="19"/>
      <c r="E821" s="20"/>
      <c r="F821" s="22"/>
      <c r="G821" s="22"/>
      <c r="H821" s="29"/>
      <c r="I821" s="30"/>
      <c r="J821" s="13"/>
      <c r="K821" s="27"/>
      <c r="L821" s="19"/>
      <c r="M821" s="19"/>
      <c r="N821" s="20"/>
      <c r="O821" s="22"/>
      <c r="P821" s="22"/>
      <c r="Q821" s="29"/>
      <c r="R821" s="30"/>
    </row>
    <row r="822" spans="1:18" x14ac:dyDescent="0.2">
      <c r="A822" s="13"/>
      <c r="B822" s="18"/>
      <c r="C822" s="19"/>
      <c r="D822" s="19"/>
      <c r="E822" s="20"/>
      <c r="F822" s="22"/>
      <c r="G822" s="22"/>
      <c r="H822" s="28"/>
      <c r="I822" s="23"/>
      <c r="J822" s="13"/>
      <c r="K822" s="18"/>
      <c r="L822" s="19"/>
      <c r="M822" s="19"/>
      <c r="N822" s="20"/>
      <c r="O822" s="22"/>
      <c r="P822" s="22"/>
      <c r="Q822" s="28"/>
      <c r="R822" s="23"/>
    </row>
    <row r="823" spans="1:18" x14ac:dyDescent="0.2">
      <c r="A823" s="13"/>
      <c r="B823" s="18"/>
      <c r="C823" s="19"/>
      <c r="D823" s="19"/>
      <c r="E823" s="20"/>
      <c r="F823" s="22"/>
      <c r="G823" s="22"/>
      <c r="H823" s="23"/>
      <c r="I823" s="23"/>
      <c r="J823" s="13"/>
      <c r="K823" s="18"/>
      <c r="L823" s="19"/>
      <c r="M823" s="19"/>
      <c r="N823" s="20"/>
      <c r="O823" s="22"/>
      <c r="P823" s="22"/>
      <c r="Q823" s="23"/>
      <c r="R823" s="23"/>
    </row>
    <row r="824" spans="1:18" x14ac:dyDescent="0.2">
      <c r="A824" s="13"/>
      <c r="B824" s="248" t="s">
        <v>20</v>
      </c>
      <c r="C824" s="249"/>
      <c r="D824" s="249"/>
      <c r="E824" s="250"/>
      <c r="F824" s="31"/>
      <c r="G824" s="31"/>
      <c r="H824" s="32"/>
      <c r="I824" s="32">
        <f>SUM(I817:I823)</f>
        <v>186.32999999999998</v>
      </c>
      <c r="J824" s="13"/>
      <c r="K824" s="248" t="s">
        <v>20</v>
      </c>
      <c r="L824" s="249"/>
      <c r="M824" s="249"/>
      <c r="N824" s="250"/>
      <c r="O824" s="31"/>
      <c r="P824" s="31"/>
      <c r="Q824" s="32"/>
      <c r="R824" s="32">
        <f>SUM(R817:R823)</f>
        <v>737.78</v>
      </c>
    </row>
    <row r="825" spans="1:18" x14ac:dyDescent="0.2">
      <c r="A825" s="12"/>
      <c r="B825" s="251" t="s">
        <v>21</v>
      </c>
      <c r="C825" s="252"/>
      <c r="D825" s="252"/>
      <c r="E825" s="253"/>
      <c r="F825" s="244" t="s">
        <v>22</v>
      </c>
      <c r="G825" s="244" t="s">
        <v>13</v>
      </c>
      <c r="H825" s="244" t="s">
        <v>14</v>
      </c>
      <c r="I825" s="246" t="s">
        <v>15</v>
      </c>
      <c r="J825" s="12"/>
      <c r="K825" s="251" t="s">
        <v>21</v>
      </c>
      <c r="L825" s="252"/>
      <c r="M825" s="252"/>
      <c r="N825" s="253"/>
      <c r="O825" s="244" t="s">
        <v>22</v>
      </c>
      <c r="P825" s="244" t="s">
        <v>13</v>
      </c>
      <c r="Q825" s="244" t="s">
        <v>14</v>
      </c>
      <c r="R825" s="246" t="s">
        <v>15</v>
      </c>
    </row>
    <row r="826" spans="1:18" x14ac:dyDescent="0.2">
      <c r="A826" s="13"/>
      <c r="B826" s="254"/>
      <c r="C826" s="255"/>
      <c r="D826" s="255"/>
      <c r="E826" s="256"/>
      <c r="F826" s="245"/>
      <c r="G826" s="245"/>
      <c r="H826" s="245"/>
      <c r="I826" s="247"/>
      <c r="J826" s="13"/>
      <c r="K826" s="254"/>
      <c r="L826" s="255"/>
      <c r="M826" s="255"/>
      <c r="N826" s="256"/>
      <c r="O826" s="245"/>
      <c r="P826" s="245"/>
      <c r="Q826" s="245"/>
      <c r="R826" s="247"/>
    </row>
    <row r="827" spans="1:18" x14ac:dyDescent="0.2">
      <c r="A827" s="13" t="s">
        <v>23</v>
      </c>
      <c r="B827" s="33" t="s">
        <v>24</v>
      </c>
      <c r="C827" s="15"/>
      <c r="D827" s="15"/>
      <c r="E827" s="16"/>
      <c r="F827" s="34"/>
      <c r="G827" s="34"/>
      <c r="H827" s="35"/>
      <c r="I827" s="35"/>
      <c r="J827" s="13" t="s">
        <v>23</v>
      </c>
      <c r="K827" s="33" t="s">
        <v>24</v>
      </c>
      <c r="L827" s="15"/>
      <c r="M827" s="15"/>
      <c r="N827" s="16"/>
      <c r="O827" s="34"/>
      <c r="P827" s="34"/>
      <c r="Q827" s="35"/>
      <c r="R827" s="35"/>
    </row>
    <row r="828" spans="1:18" x14ac:dyDescent="0.2">
      <c r="A828" s="13"/>
      <c r="B828" s="18"/>
      <c r="C828" s="19"/>
      <c r="D828" s="19"/>
      <c r="E828" s="20"/>
      <c r="F828" s="22"/>
      <c r="G828" s="22"/>
      <c r="H828" s="23"/>
      <c r="I828" s="23"/>
      <c r="J828" s="13"/>
      <c r="K828" s="18"/>
      <c r="L828" s="19"/>
      <c r="M828" s="19"/>
      <c r="N828" s="20"/>
      <c r="O828" s="22"/>
      <c r="P828" s="22"/>
      <c r="Q828" s="23"/>
      <c r="R828" s="23"/>
    </row>
    <row r="829" spans="1:18" x14ac:dyDescent="0.2">
      <c r="A829" s="13"/>
      <c r="B829" s="18" t="s">
        <v>1209</v>
      </c>
      <c r="C829" s="19"/>
      <c r="D829" s="19"/>
      <c r="E829" s="20"/>
      <c r="F829" s="22">
        <v>1</v>
      </c>
      <c r="G829" s="23">
        <v>1</v>
      </c>
      <c r="H829" s="37">
        <v>936</v>
      </c>
      <c r="I829" s="23">
        <f>F829*G829*H829</f>
        <v>936</v>
      </c>
      <c r="J829" s="13"/>
      <c r="K829" s="18" t="s">
        <v>340</v>
      </c>
      <c r="L829" s="19"/>
      <c r="M829" s="19"/>
      <c r="N829" s="20"/>
      <c r="O829" s="22">
        <v>4</v>
      </c>
      <c r="P829" s="23">
        <v>1</v>
      </c>
      <c r="Q829" s="37">
        <v>1318</v>
      </c>
      <c r="R829" s="37">
        <f t="shared" ref="R829:R836" si="51">P829*Q829*O829</f>
        <v>5272</v>
      </c>
    </row>
    <row r="830" spans="1:18" x14ac:dyDescent="0.2">
      <c r="A830" s="13"/>
      <c r="B830" s="18" t="s">
        <v>288</v>
      </c>
      <c r="C830" s="19"/>
      <c r="D830" s="19"/>
      <c r="E830" s="20"/>
      <c r="F830" s="22">
        <v>1</v>
      </c>
      <c r="G830" s="23">
        <v>1</v>
      </c>
      <c r="H830" s="37">
        <v>130.54</v>
      </c>
      <c r="I830" s="23">
        <f>F830*G830*H830</f>
        <v>130.54</v>
      </c>
      <c r="J830" s="13"/>
      <c r="K830" s="18" t="s">
        <v>341</v>
      </c>
      <c r="L830" s="19"/>
      <c r="M830" s="19"/>
      <c r="N830" s="20"/>
      <c r="O830" s="22">
        <v>2</v>
      </c>
      <c r="P830" s="23">
        <v>1</v>
      </c>
      <c r="Q830" s="37">
        <v>91.25</v>
      </c>
      <c r="R830" s="37">
        <f t="shared" si="51"/>
        <v>182.5</v>
      </c>
    </row>
    <row r="831" spans="1:18" x14ac:dyDescent="0.2">
      <c r="A831" s="13"/>
      <c r="B831" s="18"/>
      <c r="C831" s="19"/>
      <c r="D831" s="19"/>
      <c r="E831" s="20"/>
      <c r="F831" s="22"/>
      <c r="G831" s="23"/>
      <c r="H831" s="37"/>
      <c r="I831" s="23"/>
      <c r="J831" s="13"/>
      <c r="K831" s="18" t="s">
        <v>1224</v>
      </c>
      <c r="L831" s="19"/>
      <c r="M831" s="19"/>
      <c r="N831" s="20"/>
      <c r="O831" s="22">
        <v>1</v>
      </c>
      <c r="P831" s="23">
        <v>1</v>
      </c>
      <c r="Q831" s="37">
        <v>1759.5</v>
      </c>
      <c r="R831" s="37">
        <f t="shared" si="51"/>
        <v>1759.5</v>
      </c>
    </row>
    <row r="832" spans="1:18" x14ac:dyDescent="0.2">
      <c r="A832" s="13"/>
      <c r="B832" s="18"/>
      <c r="C832" s="19"/>
      <c r="D832" s="19"/>
      <c r="E832" s="20"/>
      <c r="F832" s="22"/>
      <c r="G832" s="23"/>
      <c r="H832" s="37"/>
      <c r="I832" s="23"/>
      <c r="J832" s="13"/>
      <c r="K832" s="18" t="s">
        <v>257</v>
      </c>
      <c r="L832" s="66"/>
      <c r="M832" s="19"/>
      <c r="N832" s="20"/>
      <c r="O832" s="22">
        <v>1</v>
      </c>
      <c r="P832" s="23">
        <v>1</v>
      </c>
      <c r="Q832" s="37">
        <v>1733</v>
      </c>
      <c r="R832" s="37">
        <f t="shared" si="51"/>
        <v>1733</v>
      </c>
    </row>
    <row r="833" spans="1:18" x14ac:dyDescent="0.2">
      <c r="A833" s="13"/>
      <c r="B833" s="18"/>
      <c r="C833" s="19"/>
      <c r="D833" s="19"/>
      <c r="E833" s="20"/>
      <c r="F833" s="22"/>
      <c r="G833" s="36"/>
      <c r="H833" s="37"/>
      <c r="I833" s="23"/>
      <c r="J833" s="13"/>
      <c r="K833" s="18" t="s">
        <v>342</v>
      </c>
      <c r="L833" s="19"/>
      <c r="M833" s="19"/>
      <c r="N833" s="20"/>
      <c r="O833" s="22">
        <v>1</v>
      </c>
      <c r="P833" s="23">
        <v>1</v>
      </c>
      <c r="Q833" s="37">
        <v>545</v>
      </c>
      <c r="R833" s="37">
        <f t="shared" si="51"/>
        <v>545</v>
      </c>
    </row>
    <row r="834" spans="1:18" x14ac:dyDescent="0.2">
      <c r="A834" s="13"/>
      <c r="B834" s="18"/>
      <c r="C834" s="19"/>
      <c r="D834" s="19"/>
      <c r="E834" s="20"/>
      <c r="F834" s="22"/>
      <c r="G834" s="36"/>
      <c r="H834" s="38"/>
      <c r="I834" s="38"/>
      <c r="J834" s="13"/>
      <c r="K834" s="18" t="s">
        <v>1206</v>
      </c>
      <c r="L834" s="19"/>
      <c r="M834" s="19"/>
      <c r="N834" s="20"/>
      <c r="O834" s="22">
        <v>1</v>
      </c>
      <c r="P834" s="23">
        <v>1</v>
      </c>
      <c r="Q834" s="37">
        <v>2450</v>
      </c>
      <c r="R834" s="37">
        <f t="shared" si="51"/>
        <v>2450</v>
      </c>
    </row>
    <row r="835" spans="1:18" x14ac:dyDescent="0.2">
      <c r="A835" s="13"/>
      <c r="B835" s="18"/>
      <c r="C835" s="19"/>
      <c r="D835" s="19"/>
      <c r="E835" s="20"/>
      <c r="F835" s="22"/>
      <c r="G835" s="36"/>
      <c r="H835" s="37"/>
      <c r="I835" s="37"/>
      <c r="J835" s="13"/>
      <c r="K835" s="18" t="s">
        <v>1236</v>
      </c>
      <c r="L835" s="19"/>
      <c r="M835" s="19"/>
      <c r="N835" s="20"/>
      <c r="O835" s="22">
        <v>1</v>
      </c>
      <c r="P835" s="23">
        <v>1</v>
      </c>
      <c r="Q835" s="37">
        <v>32.630000000000003</v>
      </c>
      <c r="R835" s="37">
        <f t="shared" si="51"/>
        <v>32.630000000000003</v>
      </c>
    </row>
    <row r="836" spans="1:18" x14ac:dyDescent="0.2">
      <c r="A836" s="13"/>
      <c r="B836" s="18"/>
      <c r="C836" s="19"/>
      <c r="D836" s="19"/>
      <c r="E836" s="20"/>
      <c r="F836" s="22"/>
      <c r="G836" s="36"/>
      <c r="H836" s="38"/>
      <c r="I836" s="38"/>
      <c r="J836" s="13"/>
      <c r="K836" s="18" t="s">
        <v>343</v>
      </c>
      <c r="L836" s="19"/>
      <c r="M836" s="19"/>
      <c r="N836" s="20"/>
      <c r="O836" s="22">
        <v>1</v>
      </c>
      <c r="P836" s="23">
        <v>0.1</v>
      </c>
      <c r="Q836" s="37">
        <v>219.75</v>
      </c>
      <c r="R836" s="37">
        <f t="shared" si="51"/>
        <v>21.975000000000001</v>
      </c>
    </row>
    <row r="837" spans="1:18" x14ac:dyDescent="0.2">
      <c r="A837" s="13"/>
      <c r="B837" s="18"/>
      <c r="C837" s="19"/>
      <c r="D837" s="19"/>
      <c r="E837" s="20"/>
      <c r="F837" s="22"/>
      <c r="G837" s="36"/>
      <c r="H837" s="38"/>
      <c r="I837" s="38"/>
      <c r="J837" s="13"/>
      <c r="K837" s="18" t="s">
        <v>1195</v>
      </c>
      <c r="L837" s="19"/>
      <c r="M837" s="19"/>
      <c r="N837" s="20"/>
      <c r="O837" s="22"/>
      <c r="P837" s="36"/>
      <c r="R837" s="37">
        <f>R824*0.05</f>
        <v>36.889000000000003</v>
      </c>
    </row>
    <row r="838" spans="1:18" x14ac:dyDescent="0.2">
      <c r="A838" s="13"/>
      <c r="B838" s="18"/>
      <c r="C838" s="19"/>
      <c r="D838" s="19"/>
      <c r="E838" s="20"/>
      <c r="F838" s="22"/>
      <c r="G838" s="36"/>
      <c r="H838" s="37"/>
      <c r="I838" s="37"/>
      <c r="J838" s="13"/>
      <c r="K838" s="18"/>
      <c r="L838" s="19"/>
      <c r="M838" s="19"/>
      <c r="N838" s="20"/>
      <c r="O838" s="22"/>
      <c r="P838" s="36"/>
      <c r="Q838" s="37"/>
      <c r="R838" s="37"/>
    </row>
    <row r="839" spans="1:18" x14ac:dyDescent="0.2">
      <c r="A839" s="13"/>
      <c r="B839" s="18"/>
      <c r="C839" s="19"/>
      <c r="D839" s="19"/>
      <c r="E839" s="20"/>
      <c r="F839" s="22"/>
      <c r="G839" s="36"/>
      <c r="H839" s="37"/>
      <c r="I839" s="37"/>
      <c r="J839" s="13"/>
      <c r="K839" s="18"/>
      <c r="L839" s="19"/>
      <c r="M839" s="19"/>
      <c r="N839" s="20"/>
      <c r="O839" s="22"/>
      <c r="P839" s="36"/>
      <c r="Q839" s="37"/>
      <c r="R839" s="37"/>
    </row>
    <row r="840" spans="1:18" x14ac:dyDescent="0.2">
      <c r="A840" s="13"/>
      <c r="B840" s="18"/>
      <c r="C840" s="19"/>
      <c r="D840" s="19"/>
      <c r="E840" s="20"/>
      <c r="F840" s="22"/>
      <c r="G840" s="36"/>
      <c r="H840" s="37"/>
      <c r="I840" s="37"/>
      <c r="J840" s="13"/>
      <c r="K840" s="18"/>
      <c r="L840" s="19"/>
      <c r="M840" s="19"/>
      <c r="N840" s="20"/>
      <c r="O840" s="22"/>
      <c r="P840" s="36"/>
      <c r="Q840" s="37"/>
      <c r="R840" s="37"/>
    </row>
    <row r="841" spans="1:18" x14ac:dyDescent="0.2">
      <c r="A841" s="13"/>
      <c r="B841" s="18"/>
      <c r="C841" s="19"/>
      <c r="D841" s="19"/>
      <c r="E841" s="20"/>
      <c r="F841" s="22"/>
      <c r="G841" s="22"/>
      <c r="H841" s="23"/>
      <c r="I841" s="23"/>
      <c r="J841" s="13"/>
      <c r="K841" s="18"/>
      <c r="L841" s="19"/>
      <c r="M841" s="19"/>
      <c r="N841" s="20"/>
      <c r="O841" s="22"/>
      <c r="P841" s="22"/>
      <c r="Q841" s="23"/>
      <c r="R841" s="23"/>
    </row>
    <row r="842" spans="1:18" x14ac:dyDescent="0.2">
      <c r="A842" s="13"/>
      <c r="B842" s="248" t="s">
        <v>30</v>
      </c>
      <c r="C842" s="249"/>
      <c r="D842" s="249"/>
      <c r="E842" s="250"/>
      <c r="F842" s="22"/>
      <c r="G842" s="22"/>
      <c r="H842" s="23"/>
      <c r="I842" s="23">
        <f>SUM(I829:I841)</f>
        <v>1066.54</v>
      </c>
      <c r="J842" s="13"/>
      <c r="K842" s="248" t="s">
        <v>30</v>
      </c>
      <c r="L842" s="249"/>
      <c r="M842" s="249"/>
      <c r="N842" s="250"/>
      <c r="O842" s="22"/>
      <c r="P842" s="22"/>
      <c r="Q842" s="23"/>
      <c r="R842" s="23">
        <f>SUM(R829:R841)</f>
        <v>12033.493999999999</v>
      </c>
    </row>
    <row r="843" spans="1:18" x14ac:dyDescent="0.2">
      <c r="A843" s="12" t="s">
        <v>31</v>
      </c>
      <c r="B843" s="260" t="s">
        <v>32</v>
      </c>
      <c r="C843" s="261"/>
      <c r="D843" s="261"/>
      <c r="E843" s="261"/>
      <c r="F843" s="39"/>
      <c r="G843" s="39"/>
      <c r="H843" s="40"/>
      <c r="I843" s="41">
        <f>SUM(I842+I824)</f>
        <v>1252.8699999999999</v>
      </c>
      <c r="J843" s="12" t="s">
        <v>31</v>
      </c>
      <c r="K843" s="260" t="s">
        <v>32</v>
      </c>
      <c r="L843" s="261"/>
      <c r="M843" s="261"/>
      <c r="N843" s="261"/>
      <c r="O843" s="39"/>
      <c r="P843" s="39"/>
      <c r="Q843" s="40"/>
      <c r="R843" s="41">
        <f>SUM(R842+R824)</f>
        <v>12771.273999999999</v>
      </c>
    </row>
    <row r="844" spans="1:18" x14ac:dyDescent="0.2">
      <c r="A844" s="13" t="s">
        <v>33</v>
      </c>
      <c r="B844" s="309">
        <f>E811</f>
        <v>0.3</v>
      </c>
      <c r="C844" s="310"/>
      <c r="D844" s="310"/>
      <c r="E844" s="310"/>
      <c r="F844" s="310"/>
      <c r="G844" s="310"/>
      <c r="H844" s="40"/>
      <c r="I844" s="41"/>
      <c r="J844" s="13" t="s">
        <v>33</v>
      </c>
      <c r="K844" s="311">
        <f>N811</f>
        <v>80.5</v>
      </c>
      <c r="L844" s="312"/>
      <c r="M844" s="312"/>
      <c r="N844" s="312"/>
      <c r="O844" s="312"/>
      <c r="P844" s="312"/>
      <c r="Q844" s="40"/>
      <c r="R844" s="41"/>
    </row>
    <row r="845" spans="1:18" x14ac:dyDescent="0.2">
      <c r="A845" s="13" t="s">
        <v>34</v>
      </c>
      <c r="B845" s="42" t="s">
        <v>35</v>
      </c>
      <c r="C845" s="43"/>
      <c r="D845" s="43"/>
      <c r="E845" s="39"/>
      <c r="F845" s="44"/>
      <c r="G845" s="44"/>
      <c r="H845" s="40"/>
      <c r="I845" s="41">
        <f>I843/E811</f>
        <v>4176.2333333333336</v>
      </c>
      <c r="J845" s="13" t="s">
        <v>34</v>
      </c>
      <c r="K845" s="42" t="s">
        <v>35</v>
      </c>
      <c r="L845" s="43"/>
      <c r="M845" s="43"/>
      <c r="N845" s="39"/>
      <c r="O845" s="44"/>
      <c r="P845" s="44"/>
      <c r="Q845" s="40"/>
      <c r="R845" s="41">
        <f>R843/N811</f>
        <v>158.64936645962732</v>
      </c>
    </row>
    <row r="846" spans="1:18" x14ac:dyDescent="0.2">
      <c r="A846" s="12"/>
      <c r="B846" s="251" t="s">
        <v>36</v>
      </c>
      <c r="C846" s="252"/>
      <c r="D846" s="252"/>
      <c r="E846" s="253"/>
      <c r="F846" s="244" t="s">
        <v>37</v>
      </c>
      <c r="G846" s="244" t="s">
        <v>38</v>
      </c>
      <c r="H846" s="244" t="s">
        <v>39</v>
      </c>
      <c r="I846" s="246" t="s">
        <v>15</v>
      </c>
      <c r="J846" s="12"/>
      <c r="K846" s="251" t="s">
        <v>36</v>
      </c>
      <c r="L846" s="252"/>
      <c r="M846" s="252"/>
      <c r="N846" s="253"/>
      <c r="O846" s="244" t="s">
        <v>37</v>
      </c>
      <c r="P846" s="244" t="s">
        <v>38</v>
      </c>
      <c r="Q846" s="244" t="s">
        <v>39</v>
      </c>
      <c r="R846" s="246" t="s">
        <v>15</v>
      </c>
    </row>
    <row r="847" spans="1:18" x14ac:dyDescent="0.2">
      <c r="A847" s="13"/>
      <c r="B847" s="254"/>
      <c r="C847" s="255"/>
      <c r="D847" s="255"/>
      <c r="E847" s="256"/>
      <c r="F847" s="245"/>
      <c r="G847" s="245"/>
      <c r="H847" s="245"/>
      <c r="I847" s="247"/>
      <c r="J847" s="13"/>
      <c r="K847" s="254"/>
      <c r="L847" s="255"/>
      <c r="M847" s="255"/>
      <c r="N847" s="256"/>
      <c r="O847" s="245"/>
      <c r="P847" s="245"/>
      <c r="Q847" s="245"/>
      <c r="R847" s="247"/>
    </row>
    <row r="848" spans="1:18" x14ac:dyDescent="0.2">
      <c r="A848" s="13" t="s">
        <v>40</v>
      </c>
      <c r="B848" s="18" t="s">
        <v>41</v>
      </c>
      <c r="C848" s="19"/>
      <c r="D848" s="19"/>
      <c r="E848" s="20"/>
      <c r="F848" s="22"/>
      <c r="G848" s="22"/>
      <c r="H848" s="23"/>
      <c r="I848" s="23"/>
      <c r="J848" s="13" t="s">
        <v>40</v>
      </c>
      <c r="K848" s="18" t="s">
        <v>41</v>
      </c>
      <c r="L848" s="19"/>
      <c r="M848" s="19"/>
      <c r="N848" s="20"/>
      <c r="O848" s="22"/>
      <c r="P848" s="22"/>
      <c r="Q848" s="23"/>
      <c r="R848" s="23"/>
    </row>
    <row r="849" spans="1:18" x14ac:dyDescent="0.2">
      <c r="A849" s="13"/>
      <c r="B849" s="18"/>
      <c r="C849" s="19"/>
      <c r="D849" s="19"/>
      <c r="E849" s="20"/>
      <c r="F849" s="22"/>
      <c r="G849" s="22"/>
      <c r="H849" s="23"/>
      <c r="I849" s="23"/>
      <c r="J849" s="13"/>
      <c r="K849" s="18"/>
      <c r="L849" s="19"/>
      <c r="M849" s="19"/>
      <c r="N849" s="20"/>
      <c r="O849" s="22"/>
      <c r="P849" s="22"/>
      <c r="Q849" s="23"/>
      <c r="R849" s="23"/>
    </row>
    <row r="850" spans="1:18" x14ac:dyDescent="0.2">
      <c r="A850" s="13"/>
      <c r="B850" s="18" t="s">
        <v>301</v>
      </c>
      <c r="C850" s="66"/>
      <c r="D850" s="19"/>
      <c r="E850" s="20"/>
      <c r="F850" s="22" t="s">
        <v>239</v>
      </c>
      <c r="G850" s="22">
        <v>1.05</v>
      </c>
      <c r="H850" s="107">
        <v>41575</v>
      </c>
      <c r="I850" s="23">
        <f>G850*H850</f>
        <v>43653.75</v>
      </c>
      <c r="J850" s="13"/>
      <c r="K850" s="18" t="s">
        <v>263</v>
      </c>
      <c r="L850" s="66"/>
      <c r="M850" s="19"/>
      <c r="N850" s="20"/>
      <c r="O850" s="22" t="s">
        <v>77</v>
      </c>
      <c r="P850" s="22">
        <v>0.39</v>
      </c>
      <c r="Q850" s="23">
        <v>36</v>
      </c>
      <c r="R850" s="23">
        <f>P850*Q850</f>
        <v>14.040000000000001</v>
      </c>
    </row>
    <row r="851" spans="1:18" x14ac:dyDescent="0.2">
      <c r="A851" s="13"/>
      <c r="B851" s="18" t="s">
        <v>322</v>
      </c>
      <c r="C851" s="66"/>
      <c r="D851" s="19"/>
      <c r="E851" s="20"/>
      <c r="F851" s="22"/>
      <c r="G851" s="22"/>
      <c r="H851" s="23"/>
      <c r="I851" s="23"/>
      <c r="J851" s="13"/>
      <c r="K851" s="18" t="s">
        <v>264</v>
      </c>
      <c r="L851" s="66"/>
      <c r="M851" s="19"/>
      <c r="N851" s="20"/>
      <c r="O851" s="22" t="s">
        <v>1216</v>
      </c>
      <c r="P851" s="22">
        <v>0.28999999999999998</v>
      </c>
      <c r="Q851" s="23">
        <v>75</v>
      </c>
      <c r="R851" s="23">
        <f t="shared" ref="R851:R859" si="52">P851*Q851</f>
        <v>21.75</v>
      </c>
    </row>
    <row r="852" spans="1:18" x14ac:dyDescent="0.2">
      <c r="A852" s="13"/>
      <c r="B852" s="18"/>
      <c r="C852" s="19"/>
      <c r="D852" s="19"/>
      <c r="E852" s="20"/>
      <c r="F852" s="22"/>
      <c r="G852" s="22"/>
      <c r="H852" s="38"/>
      <c r="I852" s="38"/>
      <c r="J852" s="13"/>
      <c r="K852" s="18" t="s">
        <v>266</v>
      </c>
      <c r="L852" s="19"/>
      <c r="M852" s="19"/>
      <c r="N852" s="20"/>
      <c r="O852" s="22" t="s">
        <v>1216</v>
      </c>
      <c r="P852" s="22">
        <v>0.12</v>
      </c>
      <c r="Q852" s="23">
        <v>50</v>
      </c>
      <c r="R852" s="23">
        <f t="shared" si="52"/>
        <v>6</v>
      </c>
    </row>
    <row r="853" spans="1:18" x14ac:dyDescent="0.2">
      <c r="A853" s="13"/>
      <c r="B853" s="18"/>
      <c r="C853" s="19"/>
      <c r="D853" s="19"/>
      <c r="E853" s="20"/>
      <c r="F853" s="22"/>
      <c r="G853" s="22"/>
      <c r="H853" s="38"/>
      <c r="I853" s="38"/>
      <c r="J853" s="13"/>
      <c r="K853" s="18" t="s">
        <v>267</v>
      </c>
      <c r="L853" s="19"/>
      <c r="M853" s="19"/>
      <c r="N853" s="20"/>
      <c r="O853" s="22" t="s">
        <v>1153</v>
      </c>
      <c r="P853" s="22">
        <v>0.46</v>
      </c>
      <c r="Q853" s="60">
        <v>56</v>
      </c>
      <c r="R853" s="23">
        <f t="shared" si="52"/>
        <v>25.76</v>
      </c>
    </row>
    <row r="854" spans="1:18" x14ac:dyDescent="0.2">
      <c r="A854" s="13"/>
      <c r="B854" s="18"/>
      <c r="C854" s="19"/>
      <c r="D854" s="19"/>
      <c r="E854" s="20"/>
      <c r="F854" s="22"/>
      <c r="G854" s="22"/>
      <c r="H854" s="45"/>
      <c r="I854" s="45"/>
      <c r="J854" s="13"/>
      <c r="K854" s="18" t="s">
        <v>268</v>
      </c>
      <c r="L854" s="19"/>
      <c r="M854" s="19"/>
      <c r="N854" s="20"/>
      <c r="O854" s="22" t="s">
        <v>9</v>
      </c>
      <c r="P854" s="62">
        <v>0.11</v>
      </c>
      <c r="Q854" s="23">
        <v>500</v>
      </c>
      <c r="R854" s="23">
        <f t="shared" si="52"/>
        <v>55</v>
      </c>
    </row>
    <row r="855" spans="1:18" x14ac:dyDescent="0.2">
      <c r="A855" s="13"/>
      <c r="B855" s="18"/>
      <c r="C855" s="19"/>
      <c r="D855" s="19"/>
      <c r="E855" s="20"/>
      <c r="F855" s="22"/>
      <c r="G855" s="22"/>
      <c r="H855" s="45"/>
      <c r="I855" s="45"/>
      <c r="J855" s="13"/>
      <c r="K855" s="18" t="s">
        <v>269</v>
      </c>
      <c r="L855" s="19"/>
      <c r="M855" s="19"/>
      <c r="N855" s="20"/>
      <c r="O855" s="22" t="s">
        <v>9</v>
      </c>
      <c r="P855" s="62">
        <v>0.2</v>
      </c>
      <c r="Q855" s="23">
        <v>600</v>
      </c>
      <c r="R855" s="23">
        <f t="shared" si="52"/>
        <v>120</v>
      </c>
    </row>
    <row r="856" spans="1:18" x14ac:dyDescent="0.2">
      <c r="A856" s="13"/>
      <c r="B856" s="18"/>
      <c r="C856" s="19"/>
      <c r="D856" s="19"/>
      <c r="E856" s="20"/>
      <c r="F856" s="22"/>
      <c r="G856" s="22"/>
      <c r="H856" s="23"/>
      <c r="I856" s="23"/>
      <c r="J856" s="13"/>
      <c r="K856" s="18" t="s">
        <v>270</v>
      </c>
      <c r="L856" s="19"/>
      <c r="M856" s="19"/>
      <c r="N856" s="20"/>
      <c r="O856" s="22" t="s">
        <v>227</v>
      </c>
      <c r="P856" s="62">
        <v>1.9</v>
      </c>
      <c r="Q856" s="23">
        <v>240</v>
      </c>
      <c r="R856" s="23">
        <f t="shared" si="52"/>
        <v>456</v>
      </c>
    </row>
    <row r="857" spans="1:18" x14ac:dyDescent="0.2">
      <c r="A857" s="13"/>
      <c r="B857" s="18"/>
      <c r="C857" s="19"/>
      <c r="D857" s="19"/>
      <c r="E857" s="20"/>
      <c r="F857" s="22"/>
      <c r="G857" s="22"/>
      <c r="H857" s="23"/>
      <c r="I857" s="23"/>
      <c r="J857" s="13"/>
      <c r="K857" s="18" t="s">
        <v>1225</v>
      </c>
      <c r="L857" s="19"/>
      <c r="M857" s="19"/>
      <c r="N857" s="20"/>
      <c r="O857" s="22" t="s">
        <v>80</v>
      </c>
      <c r="P857" s="22">
        <v>1.4999999999999999E-4</v>
      </c>
      <c r="Q857" s="23">
        <v>8000</v>
      </c>
      <c r="R857" s="23">
        <f t="shared" si="52"/>
        <v>1.2</v>
      </c>
    </row>
    <row r="858" spans="1:18" x14ac:dyDescent="0.2">
      <c r="A858" s="13"/>
      <c r="B858" s="18"/>
      <c r="C858" s="19"/>
      <c r="D858" s="19"/>
      <c r="E858" s="20"/>
      <c r="F858" s="22"/>
      <c r="G858" s="22"/>
      <c r="H858" s="23"/>
      <c r="I858" s="23"/>
      <c r="J858" s="13"/>
      <c r="K858" s="18" t="s">
        <v>351</v>
      </c>
      <c r="L858" s="19"/>
      <c r="M858" s="19"/>
      <c r="N858" s="20"/>
      <c r="O858" s="22" t="s">
        <v>1153</v>
      </c>
      <c r="P858" s="22">
        <v>8.6E-3</v>
      </c>
      <c r="Q858" s="23">
        <v>97</v>
      </c>
      <c r="R858" s="23">
        <f t="shared" si="52"/>
        <v>0.83420000000000005</v>
      </c>
    </row>
    <row r="859" spans="1:18" x14ac:dyDescent="0.2">
      <c r="A859" s="13"/>
      <c r="B859" s="18"/>
      <c r="C859" s="19"/>
      <c r="D859" s="19"/>
      <c r="E859" s="20"/>
      <c r="F859" s="22"/>
      <c r="G859" s="22"/>
      <c r="H859" s="23"/>
      <c r="I859" s="23"/>
      <c r="J859" s="13"/>
      <c r="K859" s="18" t="s">
        <v>346</v>
      </c>
      <c r="L859" s="19"/>
      <c r="M859" s="19"/>
      <c r="N859" s="20"/>
      <c r="O859" s="22" t="s">
        <v>1216</v>
      </c>
      <c r="P859" s="22">
        <v>5.5999999999999999E-3</v>
      </c>
      <c r="Q859" s="23">
        <v>210</v>
      </c>
      <c r="R859" s="23">
        <f t="shared" si="52"/>
        <v>1.1759999999999999</v>
      </c>
    </row>
    <row r="860" spans="1:18" x14ac:dyDescent="0.2">
      <c r="A860" s="13"/>
      <c r="B860" s="18"/>
      <c r="C860" s="19"/>
      <c r="D860" s="19"/>
      <c r="E860" s="20"/>
      <c r="F860" s="22"/>
      <c r="G860" s="22"/>
      <c r="H860" s="23"/>
      <c r="I860" s="23"/>
      <c r="J860" s="13"/>
      <c r="K860" s="18"/>
      <c r="L860" s="19"/>
      <c r="M860" s="19"/>
      <c r="N860" s="20"/>
      <c r="O860" s="22"/>
      <c r="P860" s="22"/>
      <c r="Q860" s="23"/>
      <c r="R860" s="23"/>
    </row>
    <row r="861" spans="1:18" x14ac:dyDescent="0.2">
      <c r="A861" s="13"/>
      <c r="B861" s="18"/>
      <c r="C861" s="19"/>
      <c r="D861" s="19"/>
      <c r="E861" s="20"/>
      <c r="F861" s="22"/>
      <c r="G861" s="22"/>
      <c r="H861" s="23"/>
      <c r="I861" s="23"/>
      <c r="J861" s="13"/>
      <c r="K861" s="18"/>
      <c r="L861" s="19"/>
      <c r="M861" s="19"/>
      <c r="N861" s="20"/>
      <c r="O861" s="22"/>
      <c r="P861" s="22"/>
      <c r="Q861" s="23"/>
      <c r="R861" s="23"/>
    </row>
    <row r="862" spans="1:18" x14ac:dyDescent="0.2">
      <c r="A862" s="13"/>
      <c r="B862" s="18"/>
      <c r="C862" s="19"/>
      <c r="D862" s="19"/>
      <c r="E862" s="20"/>
      <c r="F862" s="22"/>
      <c r="G862" s="36"/>
      <c r="H862" s="37"/>
      <c r="I862" s="37"/>
      <c r="J862" s="13"/>
      <c r="K862" s="18"/>
      <c r="L862" s="19"/>
      <c r="M862" s="19"/>
      <c r="N862" s="20"/>
      <c r="O862" s="22"/>
      <c r="P862" s="36"/>
      <c r="Q862" s="37"/>
      <c r="R862" s="37"/>
    </row>
    <row r="863" spans="1:18" x14ac:dyDescent="0.2">
      <c r="A863" s="13"/>
      <c r="B863" s="248" t="s">
        <v>42</v>
      </c>
      <c r="C863" s="249"/>
      <c r="D863" s="249"/>
      <c r="E863" s="250"/>
      <c r="F863" s="46"/>
      <c r="G863" s="46"/>
      <c r="H863" s="47"/>
      <c r="I863" s="47">
        <f>SUM(I850:I862)</f>
        <v>43653.75</v>
      </c>
      <c r="J863" s="13"/>
      <c r="K863" s="248" t="s">
        <v>42</v>
      </c>
      <c r="L863" s="249"/>
      <c r="M863" s="249"/>
      <c r="N863" s="250"/>
      <c r="O863" s="46"/>
      <c r="P863" s="46"/>
      <c r="Q863" s="47"/>
      <c r="R863" s="47">
        <f>SUM(R850:R862)</f>
        <v>701.76020000000005</v>
      </c>
    </row>
    <row r="864" spans="1:18" x14ac:dyDescent="0.2">
      <c r="A864" s="12" t="s">
        <v>43</v>
      </c>
      <c r="B864" s="48" t="s">
        <v>44</v>
      </c>
      <c r="C864" s="43"/>
      <c r="D864" s="43"/>
      <c r="E864" s="39"/>
      <c r="F864" s="49"/>
      <c r="G864" s="49"/>
      <c r="H864" s="50"/>
      <c r="I864" s="51">
        <f>SUM(I845+I863)</f>
        <v>47829.983333333337</v>
      </c>
      <c r="J864" s="12" t="s">
        <v>43</v>
      </c>
      <c r="K864" s="48" t="s">
        <v>44</v>
      </c>
      <c r="L864" s="43"/>
      <c r="M864" s="43"/>
      <c r="N864" s="39"/>
      <c r="O864" s="49"/>
      <c r="P864" s="49"/>
      <c r="Q864" s="50"/>
      <c r="R864" s="51">
        <f>SUM(R845+R863)</f>
        <v>860.4095664596274</v>
      </c>
    </row>
    <row r="865" spans="1:18" x14ac:dyDescent="0.2">
      <c r="A865" s="13" t="s">
        <v>45</v>
      </c>
      <c r="B865" s="48" t="s">
        <v>46</v>
      </c>
      <c r="C865" s="43"/>
      <c r="D865" s="43"/>
      <c r="E865" s="39"/>
      <c r="F865" s="49"/>
      <c r="G865" s="52">
        <v>0.09</v>
      </c>
      <c r="H865" s="53" t="s">
        <v>47</v>
      </c>
      <c r="I865" s="51">
        <f>G865*I864</f>
        <v>4304.6985000000004</v>
      </c>
      <c r="J865" s="13" t="s">
        <v>45</v>
      </c>
      <c r="K865" s="48" t="s">
        <v>46</v>
      </c>
      <c r="L865" s="43"/>
      <c r="M865" s="43"/>
      <c r="N865" s="39"/>
      <c r="O865" s="49"/>
      <c r="P865" s="52">
        <v>0.09</v>
      </c>
      <c r="Q865" s="53" t="s">
        <v>47</v>
      </c>
      <c r="R865" s="51">
        <f>P865*R864</f>
        <v>77.436860981366465</v>
      </c>
    </row>
    <row r="866" spans="1:18" x14ac:dyDescent="0.2">
      <c r="A866" s="13" t="s">
        <v>48</v>
      </c>
      <c r="B866" s="48" t="s">
        <v>49</v>
      </c>
      <c r="C866" s="43"/>
      <c r="D866" s="43"/>
      <c r="E866" s="39"/>
      <c r="F866" s="49"/>
      <c r="G866" s="52">
        <v>0.08</v>
      </c>
      <c r="H866" s="53" t="s">
        <v>47</v>
      </c>
      <c r="I866" s="51">
        <f>G866*I864</f>
        <v>3826.3986666666669</v>
      </c>
      <c r="J866" s="13" t="s">
        <v>48</v>
      </c>
      <c r="K866" s="48" t="s">
        <v>49</v>
      </c>
      <c r="L866" s="43"/>
      <c r="M866" s="43"/>
      <c r="N866" s="39"/>
      <c r="O866" s="49"/>
      <c r="P866" s="52">
        <v>0.08</v>
      </c>
      <c r="Q866" s="53" t="s">
        <v>47</v>
      </c>
      <c r="R866" s="51">
        <f>P866*R864</f>
        <v>68.832765316770192</v>
      </c>
    </row>
    <row r="867" spans="1:18" x14ac:dyDescent="0.2">
      <c r="A867" s="13" t="s">
        <v>50</v>
      </c>
      <c r="B867" s="48" t="s">
        <v>51</v>
      </c>
      <c r="C867" s="43"/>
      <c r="D867" s="43"/>
      <c r="E867" s="39"/>
      <c r="F867" s="49"/>
      <c r="G867" s="52">
        <v>0.05</v>
      </c>
      <c r="H867" s="53" t="s">
        <v>52</v>
      </c>
      <c r="I867" s="51">
        <f>G867*(I864+I865+I866)</f>
        <v>2798.0540250000004</v>
      </c>
      <c r="J867" s="13" t="s">
        <v>50</v>
      </c>
      <c r="K867" s="48" t="s">
        <v>51</v>
      </c>
      <c r="L867" s="43"/>
      <c r="M867" s="43"/>
      <c r="N867" s="39"/>
      <c r="O867" s="49"/>
      <c r="P867" s="52">
        <f>5/100</f>
        <v>0.05</v>
      </c>
      <c r="Q867" s="53" t="s">
        <v>52</v>
      </c>
      <c r="R867" s="51">
        <f>P867*(R864+R865+R866)</f>
        <v>50.333959637888206</v>
      </c>
    </row>
    <row r="868" spans="1:18" x14ac:dyDescent="0.2">
      <c r="A868" s="54" t="s">
        <v>53</v>
      </c>
      <c r="B868" s="48" t="s">
        <v>54</v>
      </c>
      <c r="C868" s="43"/>
      <c r="D868" s="43"/>
      <c r="E868" s="39"/>
      <c r="F868" s="49"/>
      <c r="G868" s="49"/>
      <c r="H868" s="55" t="s">
        <v>55</v>
      </c>
      <c r="I868" s="51">
        <f>SUM(I864+I865+I866+I867)</f>
        <v>58759.134525000001</v>
      </c>
      <c r="J868" s="54" t="s">
        <v>53</v>
      </c>
      <c r="K868" s="48" t="s">
        <v>54</v>
      </c>
      <c r="L868" s="43"/>
      <c r="M868" s="43"/>
      <c r="N868" s="39"/>
      <c r="O868" s="49"/>
      <c r="P868" s="49"/>
      <c r="Q868" s="55" t="s">
        <v>55</v>
      </c>
      <c r="R868" s="51">
        <f>SUM(R864+R865+R866+R867)</f>
        <v>1057.0131523956522</v>
      </c>
    </row>
    <row r="869" spans="1:18" s="1" customFormat="1" x14ac:dyDescent="0.2">
      <c r="A869" s="236" t="s">
        <v>0</v>
      </c>
      <c r="B869" s="236"/>
      <c r="C869" s="236"/>
      <c r="D869" s="236"/>
      <c r="E869" s="236"/>
      <c r="F869" s="236"/>
      <c r="G869" s="236"/>
      <c r="H869" s="236"/>
      <c r="I869" s="236"/>
      <c r="J869" s="236" t="s">
        <v>0</v>
      </c>
      <c r="K869" s="236"/>
      <c r="L869" s="236"/>
      <c r="M869" s="236"/>
      <c r="N869" s="236"/>
      <c r="O869" s="236"/>
      <c r="P869" s="236"/>
      <c r="Q869" s="236"/>
      <c r="R869" s="236"/>
    </row>
    <row r="871" spans="1:18" x14ac:dyDescent="0.2">
      <c r="A871" s="2" t="s">
        <v>1</v>
      </c>
      <c r="C871" s="4" t="s">
        <v>2</v>
      </c>
      <c r="D871" s="5" t="s">
        <v>357</v>
      </c>
      <c r="E871" s="237" t="s">
        <v>358</v>
      </c>
      <c r="F871" s="237"/>
      <c r="G871" s="237"/>
      <c r="H871" s="237"/>
      <c r="J871" s="152" t="s">
        <v>1</v>
      </c>
      <c r="L871" s="4" t="s">
        <v>2</v>
      </c>
      <c r="M871" s="5" t="s">
        <v>1251</v>
      </c>
      <c r="N871" s="237" t="s">
        <v>350</v>
      </c>
      <c r="O871" s="237"/>
      <c r="P871" s="237"/>
      <c r="Q871" s="237"/>
    </row>
    <row r="872" spans="1:18" x14ac:dyDescent="0.2">
      <c r="A872" s="2" t="s">
        <v>7</v>
      </c>
      <c r="C872" s="4" t="s">
        <v>2</v>
      </c>
      <c r="E872" s="2" t="s">
        <v>239</v>
      </c>
      <c r="F872" s="8"/>
      <c r="G872" s="8"/>
      <c r="H872" s="8"/>
      <c r="J872" s="152" t="s">
        <v>7</v>
      </c>
      <c r="L872" s="4" t="s">
        <v>2</v>
      </c>
      <c r="N872" s="152" t="s">
        <v>8</v>
      </c>
      <c r="O872" s="8"/>
      <c r="P872" s="8"/>
      <c r="Q872" s="8"/>
    </row>
    <row r="873" spans="1:18" x14ac:dyDescent="0.2">
      <c r="A873" s="2" t="s">
        <v>10</v>
      </c>
      <c r="C873" s="4" t="s">
        <v>2</v>
      </c>
      <c r="E873" s="9">
        <v>0.3</v>
      </c>
      <c r="F873" s="8"/>
      <c r="G873" s="8"/>
      <c r="H873" s="8"/>
      <c r="J873" s="152" t="s">
        <v>10</v>
      </c>
      <c r="L873" s="4" t="s">
        <v>2</v>
      </c>
      <c r="N873" s="9">
        <v>80.5</v>
      </c>
      <c r="O873" s="8"/>
      <c r="P873" s="8"/>
      <c r="Q873" s="8"/>
    </row>
    <row r="874" spans="1:18" x14ac:dyDescent="0.2">
      <c r="B874" s="8"/>
      <c r="F874" s="11"/>
      <c r="G874" s="8"/>
      <c r="H874" s="8"/>
      <c r="I874" s="8"/>
      <c r="K874" s="8"/>
      <c r="O874" s="11"/>
      <c r="P874" s="8"/>
      <c r="Q874" s="8"/>
      <c r="R874" s="8"/>
    </row>
    <row r="875" spans="1:18" x14ac:dyDescent="0.2">
      <c r="A875" s="12"/>
      <c r="B875" s="238" t="s">
        <v>11</v>
      </c>
      <c r="C875" s="239"/>
      <c r="D875" s="239"/>
      <c r="E875" s="240"/>
      <c r="F875" s="244" t="s">
        <v>12</v>
      </c>
      <c r="G875" s="244" t="s">
        <v>13</v>
      </c>
      <c r="H875" s="244" t="s">
        <v>14</v>
      </c>
      <c r="I875" s="246" t="s">
        <v>15</v>
      </c>
      <c r="J875" s="12"/>
      <c r="K875" s="238" t="s">
        <v>11</v>
      </c>
      <c r="L875" s="239"/>
      <c r="M875" s="239"/>
      <c r="N875" s="240"/>
      <c r="O875" s="244" t="s">
        <v>12</v>
      </c>
      <c r="P875" s="244" t="s">
        <v>13</v>
      </c>
      <c r="Q875" s="244" t="s">
        <v>14</v>
      </c>
      <c r="R875" s="246" t="s">
        <v>15</v>
      </c>
    </row>
    <row r="876" spans="1:18" x14ac:dyDescent="0.2">
      <c r="A876" s="13"/>
      <c r="B876" s="241"/>
      <c r="C876" s="242"/>
      <c r="D876" s="242"/>
      <c r="E876" s="243"/>
      <c r="F876" s="245"/>
      <c r="G876" s="245"/>
      <c r="H876" s="245"/>
      <c r="I876" s="247"/>
      <c r="J876" s="13"/>
      <c r="K876" s="241"/>
      <c r="L876" s="242"/>
      <c r="M876" s="242"/>
      <c r="N876" s="243"/>
      <c r="O876" s="245"/>
      <c r="P876" s="245"/>
      <c r="Q876" s="245"/>
      <c r="R876" s="247"/>
    </row>
    <row r="877" spans="1:18" x14ac:dyDescent="0.2">
      <c r="A877" s="13" t="s">
        <v>16</v>
      </c>
      <c r="B877" s="14" t="s">
        <v>17</v>
      </c>
      <c r="C877" s="15"/>
      <c r="D877" s="15"/>
      <c r="E877" s="16"/>
      <c r="F877" s="17"/>
      <c r="G877" s="17"/>
      <c r="H877" s="17"/>
      <c r="I877" s="17"/>
      <c r="J877" s="13" t="s">
        <v>16</v>
      </c>
      <c r="K877" s="14" t="s">
        <v>17</v>
      </c>
      <c r="L877" s="15"/>
      <c r="M877" s="15"/>
      <c r="N877" s="16"/>
      <c r="O877" s="17"/>
      <c r="P877" s="17"/>
      <c r="Q877" s="17"/>
      <c r="R877" s="17"/>
    </row>
    <row r="878" spans="1:18" x14ac:dyDescent="0.2">
      <c r="A878" s="13"/>
      <c r="B878" s="18"/>
      <c r="C878" s="19"/>
      <c r="D878" s="19"/>
      <c r="E878" s="20"/>
      <c r="F878" s="21"/>
      <c r="G878" s="22"/>
      <c r="H878" s="21"/>
      <c r="I878" s="21"/>
      <c r="J878" s="13"/>
      <c r="K878" s="18"/>
      <c r="L878" s="19"/>
      <c r="M878" s="19"/>
      <c r="N878" s="20"/>
      <c r="O878" s="21"/>
      <c r="P878" s="22"/>
      <c r="Q878" s="21"/>
      <c r="R878" s="21"/>
    </row>
    <row r="879" spans="1:18" x14ac:dyDescent="0.2">
      <c r="A879" s="13"/>
      <c r="B879" s="24" t="s">
        <v>18</v>
      </c>
      <c r="C879" s="25"/>
      <c r="D879" s="25"/>
      <c r="E879" s="26"/>
      <c r="F879" s="22">
        <v>1</v>
      </c>
      <c r="G879" s="23">
        <v>1</v>
      </c>
      <c r="H879" s="23">
        <v>69.42</v>
      </c>
      <c r="I879" s="23">
        <f>G879*H879*F879</f>
        <v>69.42</v>
      </c>
      <c r="J879" s="13"/>
      <c r="K879" s="24" t="s">
        <v>18</v>
      </c>
      <c r="L879" s="25"/>
      <c r="M879" s="25"/>
      <c r="N879" s="26"/>
      <c r="O879" s="22">
        <v>1</v>
      </c>
      <c r="P879" s="23">
        <v>1</v>
      </c>
      <c r="Q879" s="23">
        <v>69.42</v>
      </c>
      <c r="R879" s="23">
        <f>P879*Q879*O879</f>
        <v>69.42</v>
      </c>
    </row>
    <row r="880" spans="1:18" x14ac:dyDescent="0.2">
      <c r="A880" s="13"/>
      <c r="B880" s="257" t="s">
        <v>1179</v>
      </c>
      <c r="C880" s="258"/>
      <c r="D880" s="19"/>
      <c r="E880" s="20"/>
      <c r="F880" s="22">
        <v>3</v>
      </c>
      <c r="G880" s="23">
        <v>1</v>
      </c>
      <c r="H880" s="23">
        <v>38.97</v>
      </c>
      <c r="I880" s="23">
        <f>G880*H880*F880</f>
        <v>116.91</v>
      </c>
      <c r="J880" s="13"/>
      <c r="K880" s="257" t="s">
        <v>1178</v>
      </c>
      <c r="L880" s="258"/>
      <c r="M880" s="25"/>
      <c r="N880" s="26"/>
      <c r="O880" s="22">
        <v>4</v>
      </c>
      <c r="P880" s="23">
        <v>1</v>
      </c>
      <c r="Q880" s="23">
        <v>50.18</v>
      </c>
      <c r="R880" s="23">
        <f>P880*Q880*O880</f>
        <v>200.72</v>
      </c>
    </row>
    <row r="881" spans="1:18" x14ac:dyDescent="0.2">
      <c r="A881" s="13"/>
      <c r="B881" s="27"/>
      <c r="C881" s="19"/>
      <c r="D881" s="19"/>
      <c r="E881" s="20"/>
      <c r="F881" s="22"/>
      <c r="G881" s="22"/>
      <c r="H881" s="28"/>
      <c r="I881" s="23"/>
      <c r="J881" s="13"/>
      <c r="K881" s="257" t="s">
        <v>1177</v>
      </c>
      <c r="L881" s="258"/>
      <c r="M881" s="19"/>
      <c r="N881" s="20"/>
      <c r="O881" s="22">
        <v>12</v>
      </c>
      <c r="P881" s="23">
        <v>1</v>
      </c>
      <c r="Q881" s="23">
        <v>38.97</v>
      </c>
      <c r="R881" s="23">
        <f>P881*Q881*O881</f>
        <v>467.64</v>
      </c>
    </row>
    <row r="882" spans="1:18" x14ac:dyDescent="0.2">
      <c r="A882" s="13"/>
      <c r="B882" s="27"/>
      <c r="C882" s="19"/>
      <c r="D882" s="19"/>
      <c r="E882" s="20"/>
      <c r="F882" s="22"/>
      <c r="G882" s="22"/>
      <c r="H882" s="29"/>
      <c r="I882" s="30"/>
      <c r="J882" s="13"/>
      <c r="K882" s="153"/>
      <c r="L882" s="19"/>
      <c r="M882" s="19"/>
      <c r="N882" s="20"/>
      <c r="O882" s="22"/>
      <c r="P882" s="22"/>
      <c r="Q882" s="29"/>
      <c r="R882" s="30"/>
    </row>
    <row r="883" spans="1:18" x14ac:dyDescent="0.2">
      <c r="A883" s="13"/>
      <c r="B883" s="27"/>
      <c r="C883" s="19"/>
      <c r="D883" s="19"/>
      <c r="E883" s="20"/>
      <c r="F883" s="22"/>
      <c r="G883" s="22"/>
      <c r="H883" s="29"/>
      <c r="I883" s="30"/>
      <c r="J883" s="13"/>
      <c r="K883" s="153"/>
      <c r="L883" s="19"/>
      <c r="M883" s="19"/>
      <c r="N883" s="20"/>
      <c r="O883" s="22"/>
      <c r="P883" s="22"/>
      <c r="Q883" s="29"/>
      <c r="R883" s="30"/>
    </row>
    <row r="884" spans="1:18" x14ac:dyDescent="0.2">
      <c r="A884" s="13"/>
      <c r="B884" s="18"/>
      <c r="C884" s="19"/>
      <c r="D884" s="19"/>
      <c r="E884" s="20"/>
      <c r="F884" s="22"/>
      <c r="G884" s="22"/>
      <c r="H884" s="28"/>
      <c r="I884" s="23"/>
      <c r="J884" s="13"/>
      <c r="K884" s="18"/>
      <c r="L884" s="19"/>
      <c r="M884" s="19"/>
      <c r="N884" s="20"/>
      <c r="O884" s="22"/>
      <c r="P884" s="22"/>
      <c r="Q884" s="28"/>
      <c r="R884" s="23"/>
    </row>
    <row r="885" spans="1:18" x14ac:dyDescent="0.2">
      <c r="A885" s="13"/>
      <c r="B885" s="18"/>
      <c r="C885" s="19"/>
      <c r="D885" s="19"/>
      <c r="E885" s="20"/>
      <c r="F885" s="22"/>
      <c r="G885" s="22"/>
      <c r="H885" s="23"/>
      <c r="I885" s="23"/>
      <c r="J885" s="13"/>
      <c r="K885" s="18"/>
      <c r="L885" s="19"/>
      <c r="M885" s="19"/>
      <c r="N885" s="20"/>
      <c r="O885" s="22"/>
      <c r="P885" s="22"/>
      <c r="Q885" s="23"/>
      <c r="R885" s="23"/>
    </row>
    <row r="886" spans="1:18" x14ac:dyDescent="0.2">
      <c r="A886" s="13"/>
      <c r="B886" s="248" t="s">
        <v>20</v>
      </c>
      <c r="C886" s="249"/>
      <c r="D886" s="249"/>
      <c r="E886" s="250"/>
      <c r="F886" s="31"/>
      <c r="G886" s="31"/>
      <c r="H886" s="32"/>
      <c r="I886" s="32">
        <f>SUM(I879:I885)</f>
        <v>186.32999999999998</v>
      </c>
      <c r="J886" s="13"/>
      <c r="K886" s="248" t="s">
        <v>20</v>
      </c>
      <c r="L886" s="249"/>
      <c r="M886" s="249"/>
      <c r="N886" s="250"/>
      <c r="O886" s="31"/>
      <c r="P886" s="31"/>
      <c r="Q886" s="32"/>
      <c r="R886" s="32">
        <f>SUM(R879:R885)</f>
        <v>737.78</v>
      </c>
    </row>
    <row r="887" spans="1:18" x14ac:dyDescent="0.2">
      <c r="A887" s="12"/>
      <c r="B887" s="251" t="s">
        <v>21</v>
      </c>
      <c r="C887" s="252"/>
      <c r="D887" s="252"/>
      <c r="E887" s="253"/>
      <c r="F887" s="244" t="s">
        <v>22</v>
      </c>
      <c r="G887" s="244" t="s">
        <v>13</v>
      </c>
      <c r="H887" s="244" t="s">
        <v>14</v>
      </c>
      <c r="I887" s="246" t="s">
        <v>15</v>
      </c>
      <c r="J887" s="12"/>
      <c r="K887" s="251" t="s">
        <v>21</v>
      </c>
      <c r="L887" s="252"/>
      <c r="M887" s="252"/>
      <c r="N887" s="253"/>
      <c r="O887" s="244" t="s">
        <v>22</v>
      </c>
      <c r="P887" s="244" t="s">
        <v>13</v>
      </c>
      <c r="Q887" s="244" t="s">
        <v>14</v>
      </c>
      <c r="R887" s="246" t="s">
        <v>15</v>
      </c>
    </row>
    <row r="888" spans="1:18" x14ac:dyDescent="0.2">
      <c r="A888" s="13"/>
      <c r="B888" s="254"/>
      <c r="C888" s="255"/>
      <c r="D888" s="255"/>
      <c r="E888" s="256"/>
      <c r="F888" s="245"/>
      <c r="G888" s="245"/>
      <c r="H888" s="245"/>
      <c r="I888" s="247"/>
      <c r="J888" s="13"/>
      <c r="K888" s="254"/>
      <c r="L888" s="255"/>
      <c r="M888" s="255"/>
      <c r="N888" s="256"/>
      <c r="O888" s="245"/>
      <c r="P888" s="245"/>
      <c r="Q888" s="245"/>
      <c r="R888" s="247"/>
    </row>
    <row r="889" spans="1:18" x14ac:dyDescent="0.2">
      <c r="A889" s="13" t="s">
        <v>23</v>
      </c>
      <c r="B889" s="33" t="s">
        <v>24</v>
      </c>
      <c r="C889" s="15"/>
      <c r="D889" s="15"/>
      <c r="E889" s="16"/>
      <c r="F889" s="34"/>
      <c r="G889" s="34"/>
      <c r="H889" s="35"/>
      <c r="I889" s="35"/>
      <c r="J889" s="13" t="s">
        <v>23</v>
      </c>
      <c r="K889" s="33" t="s">
        <v>24</v>
      </c>
      <c r="L889" s="15"/>
      <c r="M889" s="15"/>
      <c r="N889" s="16"/>
      <c r="O889" s="34"/>
      <c r="P889" s="34"/>
      <c r="Q889" s="35"/>
      <c r="R889" s="35"/>
    </row>
    <row r="890" spans="1:18" x14ac:dyDescent="0.2">
      <c r="A890" s="13"/>
      <c r="B890" s="18"/>
      <c r="C890" s="19"/>
      <c r="D890" s="19"/>
      <c r="E890" s="20"/>
      <c r="F890" s="22"/>
      <c r="G890" s="22"/>
      <c r="H890" s="23"/>
      <c r="I890" s="23"/>
      <c r="J890" s="13"/>
      <c r="K890" s="18"/>
      <c r="L890" s="19"/>
      <c r="M890" s="19"/>
      <c r="N890" s="20"/>
      <c r="O890" s="22"/>
      <c r="P890" s="22"/>
      <c r="Q890" s="23"/>
      <c r="R890" s="23"/>
    </row>
    <row r="891" spans="1:18" x14ac:dyDescent="0.2">
      <c r="A891" s="13"/>
      <c r="B891" s="18" t="s">
        <v>1209</v>
      </c>
      <c r="C891" s="19"/>
      <c r="D891" s="19"/>
      <c r="E891" s="20"/>
      <c r="F891" s="22">
        <v>1</v>
      </c>
      <c r="G891" s="23">
        <v>1</v>
      </c>
      <c r="H891" s="37">
        <v>936</v>
      </c>
      <c r="I891" s="37">
        <f>G891*H891*F891</f>
        <v>936</v>
      </c>
      <c r="J891" s="13"/>
      <c r="K891" s="18" t="s">
        <v>621</v>
      </c>
      <c r="L891" s="19"/>
      <c r="M891" s="19"/>
      <c r="N891" s="20"/>
      <c r="O891" s="22">
        <v>2</v>
      </c>
      <c r="P891" s="23">
        <v>1</v>
      </c>
      <c r="Q891" s="37">
        <v>91.25</v>
      </c>
      <c r="R891" s="37">
        <f t="shared" ref="R891:R894" si="53">P891*Q891*O891</f>
        <v>182.5</v>
      </c>
    </row>
    <row r="892" spans="1:18" x14ac:dyDescent="0.2">
      <c r="A892" s="13"/>
      <c r="B892" s="18" t="s">
        <v>288</v>
      </c>
      <c r="C892" s="19"/>
      <c r="D892" s="19"/>
      <c r="E892" s="20"/>
      <c r="F892" s="22">
        <v>1</v>
      </c>
      <c r="G892" s="23">
        <v>1</v>
      </c>
      <c r="H892" s="37">
        <v>130.54</v>
      </c>
      <c r="I892" s="37">
        <f>G892*H892*F892</f>
        <v>130.54</v>
      </c>
      <c r="J892" s="13"/>
      <c r="K892" s="18" t="s">
        <v>255</v>
      </c>
      <c r="L892" s="19"/>
      <c r="M892" s="19"/>
      <c r="N892" s="20"/>
      <c r="O892" s="22">
        <v>1</v>
      </c>
      <c r="P892" s="23">
        <v>1</v>
      </c>
      <c r="Q892" s="37">
        <v>545</v>
      </c>
      <c r="R892" s="37">
        <f t="shared" si="53"/>
        <v>545</v>
      </c>
    </row>
    <row r="893" spans="1:18" x14ac:dyDescent="0.2">
      <c r="A893" s="13"/>
      <c r="B893" s="18"/>
      <c r="C893" s="19"/>
      <c r="D893" s="19"/>
      <c r="E893" s="20"/>
      <c r="F893" s="22"/>
      <c r="G893" s="23"/>
      <c r="H893" s="37"/>
      <c r="I893" s="37"/>
      <c r="J893" s="13"/>
      <c r="K893" s="18" t="s">
        <v>1246</v>
      </c>
      <c r="L893" s="19"/>
      <c r="M893" s="19"/>
      <c r="N893" s="20"/>
      <c r="O893" s="22">
        <v>1</v>
      </c>
      <c r="P893" s="23">
        <v>1</v>
      </c>
      <c r="Q893" s="37">
        <v>32.630000000000003</v>
      </c>
      <c r="R893" s="37">
        <f t="shared" si="53"/>
        <v>32.630000000000003</v>
      </c>
    </row>
    <row r="894" spans="1:18" x14ac:dyDescent="0.2">
      <c r="A894" s="13"/>
      <c r="B894" s="18"/>
      <c r="F894" s="22"/>
      <c r="G894" s="36"/>
      <c r="H894" s="37"/>
      <c r="I894" s="37"/>
      <c r="J894" s="13"/>
      <c r="K894" s="18" t="s">
        <v>404</v>
      </c>
      <c r="L894" s="19"/>
      <c r="M894" s="19"/>
      <c r="N894" s="20"/>
      <c r="O894" s="22">
        <v>1</v>
      </c>
      <c r="P894" s="23">
        <v>0.1</v>
      </c>
      <c r="Q894" s="37">
        <v>219.75</v>
      </c>
      <c r="R894" s="37">
        <f t="shared" si="53"/>
        <v>21.975000000000001</v>
      </c>
    </row>
    <row r="895" spans="1:18" x14ac:dyDescent="0.2">
      <c r="A895" s="13"/>
      <c r="B895" s="18"/>
      <c r="C895" s="19"/>
      <c r="D895" s="19"/>
      <c r="E895" s="20"/>
      <c r="F895" s="22"/>
      <c r="G895" s="36"/>
      <c r="H895" s="37"/>
      <c r="I895" s="37"/>
      <c r="J895" s="13"/>
      <c r="K895" s="18" t="s">
        <v>1195</v>
      </c>
      <c r="L895" s="19"/>
      <c r="M895" s="19"/>
      <c r="N895" s="20"/>
      <c r="O895" s="22"/>
      <c r="P895" s="36"/>
      <c r="R895" s="37">
        <f>R886*0.05</f>
        <v>36.889000000000003</v>
      </c>
    </row>
    <row r="896" spans="1:18" x14ac:dyDescent="0.2">
      <c r="A896" s="13"/>
      <c r="B896" s="18"/>
      <c r="C896" s="19"/>
      <c r="D896" s="19"/>
      <c r="E896" s="20"/>
      <c r="F896" s="22"/>
      <c r="G896" s="36"/>
      <c r="H896" s="38"/>
      <c r="I896" s="38"/>
      <c r="J896" s="13"/>
      <c r="K896" s="18"/>
      <c r="L896" s="19"/>
      <c r="M896" s="19"/>
      <c r="N896" s="20"/>
      <c r="O896" s="22"/>
      <c r="P896" s="23"/>
      <c r="Q896" s="37"/>
      <c r="R896" s="37"/>
    </row>
    <row r="897" spans="1:18" x14ac:dyDescent="0.2">
      <c r="A897" s="13"/>
      <c r="B897" s="18"/>
      <c r="C897" s="19"/>
      <c r="D897" s="19"/>
      <c r="E897" s="20"/>
      <c r="F897" s="22"/>
      <c r="G897" s="36"/>
      <c r="H897" s="38"/>
      <c r="I897" s="38"/>
      <c r="J897" s="13"/>
      <c r="K897" s="18"/>
      <c r="L897" s="19"/>
      <c r="M897" s="19"/>
      <c r="N897" s="20"/>
      <c r="O897" s="22"/>
      <c r="P897" s="23"/>
      <c r="Q897" s="37"/>
      <c r="R897" s="37"/>
    </row>
    <row r="898" spans="1:18" x14ac:dyDescent="0.2">
      <c r="A898" s="13"/>
      <c r="B898" s="18"/>
      <c r="C898" s="19"/>
      <c r="D898" s="19"/>
      <c r="E898" s="20"/>
      <c r="F898" s="22"/>
      <c r="G898" s="36"/>
      <c r="H898" s="38"/>
      <c r="I898" s="38"/>
      <c r="J898" s="13"/>
      <c r="K898" s="18"/>
      <c r="L898" s="19"/>
      <c r="M898" s="19"/>
      <c r="N898" s="20"/>
      <c r="O898" s="22"/>
      <c r="P898" s="23"/>
      <c r="Q898" s="37"/>
      <c r="R898" s="37"/>
    </row>
    <row r="899" spans="1:18" x14ac:dyDescent="0.2">
      <c r="A899" s="13"/>
      <c r="B899" s="18"/>
      <c r="C899" s="19"/>
      <c r="D899" s="19"/>
      <c r="E899" s="20"/>
      <c r="F899" s="22"/>
      <c r="G899" s="36"/>
      <c r="H899" s="38"/>
      <c r="I899" s="38"/>
      <c r="J899" s="13"/>
      <c r="K899" s="18"/>
      <c r="L899" s="19"/>
      <c r="M899" s="19"/>
      <c r="N899" s="20"/>
      <c r="O899" s="22"/>
      <c r="P899" s="36"/>
    </row>
    <row r="900" spans="1:18" x14ac:dyDescent="0.2">
      <c r="A900" s="13"/>
      <c r="B900" s="18"/>
      <c r="C900" s="19"/>
      <c r="D900" s="19"/>
      <c r="E900" s="20"/>
      <c r="F900" s="22"/>
      <c r="G900" s="36"/>
      <c r="H900" s="37"/>
      <c r="I900" s="37"/>
      <c r="J900" s="13"/>
      <c r="K900" s="18"/>
      <c r="L900" s="19"/>
      <c r="M900" s="19"/>
      <c r="N900" s="20"/>
      <c r="O900" s="22"/>
      <c r="P900" s="36"/>
      <c r="Q900" s="37"/>
      <c r="R900" s="37"/>
    </row>
    <row r="901" spans="1:18" x14ac:dyDescent="0.2">
      <c r="A901" s="13"/>
      <c r="B901" s="18"/>
      <c r="C901" s="19"/>
      <c r="D901" s="19"/>
      <c r="E901" s="20"/>
      <c r="F901" s="22"/>
      <c r="G901" s="36"/>
      <c r="H901" s="37"/>
      <c r="I901" s="37"/>
      <c r="J901" s="13"/>
      <c r="K901" s="18"/>
      <c r="L901" s="19"/>
      <c r="M901" s="19"/>
      <c r="N901" s="20"/>
      <c r="O901" s="22"/>
      <c r="P901" s="36"/>
      <c r="Q901" s="37"/>
      <c r="R901" s="37"/>
    </row>
    <row r="902" spans="1:18" x14ac:dyDescent="0.2">
      <c r="A902" s="13"/>
      <c r="B902" s="18"/>
      <c r="C902" s="19"/>
      <c r="D902" s="19"/>
      <c r="E902" s="20"/>
      <c r="F902" s="22"/>
      <c r="G902" s="36"/>
      <c r="H902" s="37"/>
      <c r="I902" s="37"/>
      <c r="J902" s="13"/>
      <c r="K902" s="18"/>
      <c r="L902" s="19"/>
      <c r="M902" s="19"/>
      <c r="N902" s="20"/>
      <c r="O902" s="22"/>
      <c r="P902" s="36"/>
      <c r="Q902" s="37"/>
      <c r="R902" s="37"/>
    </row>
    <row r="903" spans="1:18" x14ac:dyDescent="0.2">
      <c r="A903" s="13"/>
      <c r="B903" s="18"/>
      <c r="C903" s="19"/>
      <c r="D903" s="19"/>
      <c r="E903" s="20"/>
      <c r="F903" s="22"/>
      <c r="G903" s="22"/>
      <c r="H903" s="23"/>
      <c r="I903" s="23"/>
      <c r="J903" s="13"/>
      <c r="K903" s="18"/>
      <c r="L903" s="19"/>
      <c r="M903" s="19"/>
      <c r="N903" s="20"/>
      <c r="O903" s="22"/>
      <c r="P903" s="22"/>
      <c r="Q903" s="23"/>
      <c r="R903" s="23"/>
    </row>
    <row r="904" spans="1:18" x14ac:dyDescent="0.2">
      <c r="A904" s="13"/>
      <c r="B904" s="248" t="s">
        <v>30</v>
      </c>
      <c r="C904" s="249"/>
      <c r="D904" s="249"/>
      <c r="E904" s="250"/>
      <c r="F904" s="22"/>
      <c r="G904" s="22"/>
      <c r="H904" s="23"/>
      <c r="I904" s="23">
        <f>SUM(I891:I903)</f>
        <v>1066.54</v>
      </c>
      <c r="J904" s="13"/>
      <c r="K904" s="248" t="s">
        <v>30</v>
      </c>
      <c r="L904" s="249"/>
      <c r="M904" s="249"/>
      <c r="N904" s="250"/>
      <c r="O904" s="22"/>
      <c r="P904" s="22"/>
      <c r="Q904" s="23"/>
      <c r="R904" s="23">
        <f>SUM(R891:R903)</f>
        <v>818.99400000000003</v>
      </c>
    </row>
    <row r="905" spans="1:18" x14ac:dyDescent="0.2">
      <c r="A905" s="12" t="s">
        <v>31</v>
      </c>
      <c r="B905" s="260" t="s">
        <v>32</v>
      </c>
      <c r="C905" s="261"/>
      <c r="D905" s="261"/>
      <c r="E905" s="261"/>
      <c r="F905" s="39"/>
      <c r="G905" s="39"/>
      <c r="H905" s="40"/>
      <c r="I905" s="41">
        <f>SUM(I904+I886)</f>
        <v>1252.8699999999999</v>
      </c>
      <c r="J905" s="12" t="s">
        <v>31</v>
      </c>
      <c r="K905" s="260" t="s">
        <v>32</v>
      </c>
      <c r="L905" s="261"/>
      <c r="M905" s="261"/>
      <c r="N905" s="261"/>
      <c r="O905" s="151"/>
      <c r="P905" s="151"/>
      <c r="Q905" s="40"/>
      <c r="R905" s="41">
        <f>SUM(R904+R886)</f>
        <v>1556.7739999999999</v>
      </c>
    </row>
    <row r="906" spans="1:18" x14ac:dyDescent="0.2">
      <c r="A906" s="13" t="s">
        <v>33</v>
      </c>
      <c r="B906" s="309">
        <f>E873</f>
        <v>0.3</v>
      </c>
      <c r="C906" s="310"/>
      <c r="D906" s="310"/>
      <c r="E906" s="310"/>
      <c r="F906" s="310"/>
      <c r="G906" s="310"/>
      <c r="H906" s="40"/>
      <c r="I906" s="41"/>
      <c r="J906" s="13" t="s">
        <v>33</v>
      </c>
      <c r="K906" s="313">
        <f>N873</f>
        <v>80.5</v>
      </c>
      <c r="L906" s="314"/>
      <c r="M906" s="314"/>
      <c r="N906" s="314"/>
      <c r="O906" s="314"/>
      <c r="P906" s="314"/>
      <c r="Q906" s="40"/>
      <c r="R906" s="41"/>
    </row>
    <row r="907" spans="1:18" x14ac:dyDescent="0.2">
      <c r="A907" s="13" t="s">
        <v>34</v>
      </c>
      <c r="B907" s="42" t="s">
        <v>35</v>
      </c>
      <c r="C907" s="43"/>
      <c r="D907" s="43"/>
      <c r="E907" s="39"/>
      <c r="F907" s="44"/>
      <c r="G907" s="44"/>
      <c r="H907" s="40"/>
      <c r="I907" s="41">
        <f>I905/E873</f>
        <v>4176.2333333333336</v>
      </c>
      <c r="J907" s="13" t="s">
        <v>34</v>
      </c>
      <c r="K907" s="155" t="s">
        <v>35</v>
      </c>
      <c r="L907" s="43"/>
      <c r="M907" s="43"/>
      <c r="N907" s="151"/>
      <c r="O907" s="156"/>
      <c r="P907" s="156"/>
      <c r="Q907" s="40"/>
      <c r="R907" s="41">
        <f>R905/N873</f>
        <v>19.338807453416148</v>
      </c>
    </row>
    <row r="908" spans="1:18" x14ac:dyDescent="0.2">
      <c r="A908" s="12"/>
      <c r="B908" s="251" t="s">
        <v>36</v>
      </c>
      <c r="C908" s="252"/>
      <c r="D908" s="252"/>
      <c r="E908" s="253"/>
      <c r="F908" s="244" t="s">
        <v>37</v>
      </c>
      <c r="G908" s="244" t="s">
        <v>38</v>
      </c>
      <c r="H908" s="244" t="s">
        <v>39</v>
      </c>
      <c r="I908" s="246" t="s">
        <v>15</v>
      </c>
      <c r="J908" s="12"/>
      <c r="K908" s="251" t="s">
        <v>36</v>
      </c>
      <c r="L908" s="252"/>
      <c r="M908" s="252"/>
      <c r="N908" s="253"/>
      <c r="O908" s="244" t="s">
        <v>37</v>
      </c>
      <c r="P908" s="244" t="s">
        <v>38</v>
      </c>
      <c r="Q908" s="244" t="s">
        <v>39</v>
      </c>
      <c r="R908" s="246" t="s">
        <v>15</v>
      </c>
    </row>
    <row r="909" spans="1:18" x14ac:dyDescent="0.2">
      <c r="A909" s="13"/>
      <c r="B909" s="254"/>
      <c r="C909" s="255"/>
      <c r="D909" s="255"/>
      <c r="E909" s="256"/>
      <c r="F909" s="245"/>
      <c r="G909" s="245"/>
      <c r="H909" s="245"/>
      <c r="I909" s="247"/>
      <c r="J909" s="13"/>
      <c r="K909" s="254"/>
      <c r="L909" s="255"/>
      <c r="M909" s="255"/>
      <c r="N909" s="256"/>
      <c r="O909" s="245"/>
      <c r="P909" s="245"/>
      <c r="Q909" s="245"/>
      <c r="R909" s="247"/>
    </row>
    <row r="910" spans="1:18" x14ac:dyDescent="0.2">
      <c r="A910" s="13" t="s">
        <v>40</v>
      </c>
      <c r="B910" s="18" t="s">
        <v>41</v>
      </c>
      <c r="C910" s="19"/>
      <c r="D910" s="19"/>
      <c r="E910" s="20"/>
      <c r="F910" s="22"/>
      <c r="G910" s="22"/>
      <c r="H910" s="23"/>
      <c r="I910" s="23"/>
      <c r="J910" s="13" t="s">
        <v>40</v>
      </c>
      <c r="K910" s="18" t="s">
        <v>41</v>
      </c>
      <c r="L910" s="19"/>
      <c r="M910" s="19"/>
      <c r="N910" s="20"/>
      <c r="O910" s="22"/>
      <c r="P910" s="22"/>
      <c r="Q910" s="23"/>
      <c r="R910" s="23"/>
    </row>
    <row r="911" spans="1:18" x14ac:dyDescent="0.2">
      <c r="A911" s="13"/>
      <c r="B911" s="18"/>
      <c r="C911" s="19"/>
      <c r="D911" s="19"/>
      <c r="E911" s="20"/>
      <c r="F911" s="22"/>
      <c r="G911" s="22"/>
      <c r="H911" s="23"/>
      <c r="I911" s="23"/>
      <c r="J911" s="13"/>
      <c r="K911" s="18"/>
      <c r="L911" s="19"/>
      <c r="M911" s="19"/>
      <c r="N911" s="20"/>
      <c r="O911" s="22"/>
      <c r="P911" s="22"/>
      <c r="Q911" s="23"/>
      <c r="R911" s="23"/>
    </row>
    <row r="912" spans="1:18" x14ac:dyDescent="0.2">
      <c r="A912" s="13"/>
      <c r="B912" s="18" t="s">
        <v>238</v>
      </c>
      <c r="C912" s="66"/>
      <c r="D912" s="19"/>
      <c r="E912" s="20"/>
      <c r="F912" s="62" t="s">
        <v>239</v>
      </c>
      <c r="G912" s="62">
        <v>1.05</v>
      </c>
      <c r="H912" s="107">
        <v>44000</v>
      </c>
      <c r="I912" s="23">
        <f>H912*G912</f>
        <v>46200</v>
      </c>
      <c r="J912" s="13"/>
      <c r="K912" s="18" t="s">
        <v>263</v>
      </c>
      <c r="L912" s="66"/>
      <c r="M912" s="19"/>
      <c r="N912" s="20"/>
      <c r="O912" s="22" t="s">
        <v>77</v>
      </c>
      <c r="P912" s="22">
        <v>0.39</v>
      </c>
      <c r="Q912" s="107">
        <v>40</v>
      </c>
      <c r="R912" s="23">
        <f>P912*Q912</f>
        <v>15.600000000000001</v>
      </c>
    </row>
    <row r="913" spans="1:18" x14ac:dyDescent="0.2">
      <c r="A913" s="13"/>
      <c r="B913" s="18" t="s">
        <v>283</v>
      </c>
      <c r="C913" s="66"/>
      <c r="D913" s="19"/>
      <c r="E913" s="20"/>
      <c r="F913" s="22"/>
      <c r="G913" s="22"/>
      <c r="H913" s="23"/>
      <c r="I913" s="23"/>
      <c r="J913" s="13"/>
      <c r="K913" s="18" t="s">
        <v>264</v>
      </c>
      <c r="L913" s="66"/>
      <c r="M913" s="19"/>
      <c r="N913" s="20"/>
      <c r="O913" s="22" t="s">
        <v>1216</v>
      </c>
      <c r="P913" s="22">
        <v>0.28999999999999998</v>
      </c>
      <c r="Q913" s="107">
        <v>28</v>
      </c>
      <c r="R913" s="23">
        <f t="shared" ref="R913:R919" si="54">P913*Q913</f>
        <v>8.1199999999999992</v>
      </c>
    </row>
    <row r="914" spans="1:18" x14ac:dyDescent="0.2">
      <c r="A914" s="13"/>
      <c r="B914" s="18"/>
      <c r="C914" s="19"/>
      <c r="D914" s="19"/>
      <c r="E914" s="20"/>
      <c r="F914" s="22"/>
      <c r="G914" s="22"/>
      <c r="H914" s="38"/>
      <c r="I914" s="38"/>
      <c r="J914" s="13"/>
      <c r="K914" s="18" t="s">
        <v>266</v>
      </c>
      <c r="L914" s="19"/>
      <c r="M914" s="19"/>
      <c r="N914" s="20"/>
      <c r="O914" s="22" t="s">
        <v>1216</v>
      </c>
      <c r="P914" s="22">
        <v>0.12</v>
      </c>
      <c r="Q914" s="107">
        <f>44000/1000</f>
        <v>44</v>
      </c>
      <c r="R914" s="23">
        <f t="shared" si="54"/>
        <v>5.2799999999999994</v>
      </c>
    </row>
    <row r="915" spans="1:18" x14ac:dyDescent="0.2">
      <c r="A915" s="13"/>
      <c r="B915" s="18"/>
      <c r="C915" s="19"/>
      <c r="D915" s="19"/>
      <c r="E915" s="20"/>
      <c r="F915" s="22"/>
      <c r="G915" s="22"/>
      <c r="H915" s="38"/>
      <c r="I915" s="38"/>
      <c r="J915" s="13"/>
      <c r="K915" s="18" t="s">
        <v>267</v>
      </c>
      <c r="L915" s="19"/>
      <c r="M915" s="19"/>
      <c r="N915" s="20"/>
      <c r="O915" s="22" t="s">
        <v>1153</v>
      </c>
      <c r="P915" s="22">
        <v>0.46</v>
      </c>
      <c r="Q915" s="107">
        <v>50</v>
      </c>
      <c r="R915" s="23">
        <f t="shared" si="54"/>
        <v>23</v>
      </c>
    </row>
    <row r="916" spans="1:18" x14ac:dyDescent="0.2">
      <c r="A916" s="13"/>
      <c r="B916" s="18"/>
      <c r="C916" s="19"/>
      <c r="D916" s="19"/>
      <c r="E916" s="20"/>
      <c r="F916" s="22"/>
      <c r="G916" s="22"/>
      <c r="H916" s="45"/>
      <c r="I916" s="45"/>
      <c r="J916" s="13"/>
      <c r="K916" s="18" t="s">
        <v>1247</v>
      </c>
      <c r="L916" s="19"/>
      <c r="M916" s="19"/>
      <c r="N916" s="20"/>
      <c r="O916" s="22" t="s">
        <v>9</v>
      </c>
      <c r="P916" s="22">
        <v>0.2</v>
      </c>
      <c r="Q916" s="107">
        <v>850</v>
      </c>
      <c r="R916" s="23">
        <f t="shared" si="54"/>
        <v>170</v>
      </c>
    </row>
    <row r="917" spans="1:18" x14ac:dyDescent="0.2">
      <c r="A917" s="13"/>
      <c r="B917" s="18"/>
      <c r="C917" s="19"/>
      <c r="D917" s="19"/>
      <c r="E917" s="20"/>
      <c r="F917" s="22"/>
      <c r="G917" s="22"/>
      <c r="H917" s="45"/>
      <c r="I917" s="45"/>
      <c r="J917" s="13"/>
      <c r="K917" s="18" t="s">
        <v>1248</v>
      </c>
      <c r="L917" s="19"/>
      <c r="M917" s="19"/>
      <c r="N917" s="20"/>
      <c r="O917" s="22" t="s">
        <v>80</v>
      </c>
      <c r="P917" s="22">
        <v>1.4999999999999999E-4</v>
      </c>
      <c r="Q917" s="107">
        <v>8000</v>
      </c>
      <c r="R917" s="23">
        <f t="shared" si="54"/>
        <v>1.2</v>
      </c>
    </row>
    <row r="918" spans="1:18" x14ac:dyDescent="0.2">
      <c r="A918" s="13"/>
      <c r="B918" s="18"/>
      <c r="C918" s="19"/>
      <c r="D918" s="19"/>
      <c r="E918" s="20"/>
      <c r="F918" s="22"/>
      <c r="G918" s="22"/>
      <c r="H918" s="23"/>
      <c r="I918" s="23"/>
      <c r="J918" s="13"/>
      <c r="K918" s="18" t="s">
        <v>1249</v>
      </c>
      <c r="L918" s="19"/>
      <c r="M918" s="19"/>
      <c r="N918" s="20"/>
      <c r="O918" s="22" t="s">
        <v>1153</v>
      </c>
      <c r="P918" s="22">
        <v>8.6E-3</v>
      </c>
      <c r="Q918" s="107">
        <v>34.33</v>
      </c>
      <c r="R918" s="23">
        <f t="shared" si="54"/>
        <v>0.295238</v>
      </c>
    </row>
    <row r="919" spans="1:18" x14ac:dyDescent="0.2">
      <c r="A919" s="13"/>
      <c r="B919" s="18"/>
      <c r="C919" s="19"/>
      <c r="D919" s="19"/>
      <c r="E919" s="20"/>
      <c r="F919" s="22"/>
      <c r="G919" s="22"/>
      <c r="H919" s="23"/>
      <c r="I919" s="23"/>
      <c r="J919" s="13"/>
      <c r="K919" s="18" t="s">
        <v>1250</v>
      </c>
      <c r="L919" s="19"/>
      <c r="M919" s="19"/>
      <c r="N919" s="20"/>
      <c r="O919" s="22" t="s">
        <v>1216</v>
      </c>
      <c r="P919" s="22">
        <v>5.5999999999999999E-3</v>
      </c>
      <c r="Q919" s="107">
        <v>300</v>
      </c>
      <c r="R919" s="23">
        <f t="shared" si="54"/>
        <v>1.68</v>
      </c>
    </row>
    <row r="920" spans="1:18" x14ac:dyDescent="0.2">
      <c r="A920" s="13"/>
      <c r="B920" s="18"/>
      <c r="C920" s="19"/>
      <c r="D920" s="19"/>
      <c r="E920" s="20"/>
      <c r="F920" s="22"/>
      <c r="G920" s="22"/>
      <c r="H920" s="23"/>
      <c r="I920" s="23"/>
      <c r="J920" s="13"/>
      <c r="K920" s="18"/>
      <c r="L920" s="19"/>
      <c r="M920" s="19"/>
      <c r="N920" s="20"/>
      <c r="O920" s="22"/>
      <c r="P920" s="22"/>
      <c r="Q920" s="107"/>
      <c r="R920" s="23"/>
    </row>
    <row r="921" spans="1:18" x14ac:dyDescent="0.2">
      <c r="A921" s="13"/>
      <c r="B921" s="18"/>
      <c r="C921" s="19"/>
      <c r="D921" s="19"/>
      <c r="E921" s="20"/>
      <c r="F921" s="22"/>
      <c r="G921" s="22"/>
      <c r="H921" s="23"/>
      <c r="I921" s="23"/>
      <c r="J921" s="13"/>
      <c r="K921" s="18"/>
      <c r="L921" s="19"/>
      <c r="M921" s="19"/>
      <c r="N921" s="20"/>
      <c r="O921" s="22"/>
      <c r="P921" s="22"/>
      <c r="Q921" s="107"/>
      <c r="R921" s="23"/>
    </row>
    <row r="922" spans="1:18" x14ac:dyDescent="0.2">
      <c r="A922" s="13"/>
      <c r="B922" s="18"/>
      <c r="C922" s="19"/>
      <c r="D922" s="19"/>
      <c r="E922" s="20"/>
      <c r="F922" s="22"/>
      <c r="G922" s="22"/>
      <c r="H922" s="23"/>
      <c r="I922" s="23"/>
      <c r="J922" s="13"/>
      <c r="K922" s="18"/>
      <c r="L922" s="19"/>
      <c r="M922" s="19"/>
      <c r="N922" s="20"/>
      <c r="O922" s="22"/>
      <c r="P922" s="22"/>
      <c r="Q922" s="23"/>
      <c r="R922" s="23"/>
    </row>
    <row r="923" spans="1:18" x14ac:dyDescent="0.2">
      <c r="A923" s="13"/>
      <c r="B923" s="18"/>
      <c r="C923" s="19"/>
      <c r="D923" s="19"/>
      <c r="E923" s="20"/>
      <c r="F923" s="22"/>
      <c r="G923" s="22"/>
      <c r="H923" s="23"/>
      <c r="I923" s="23"/>
      <c r="J923" s="13"/>
      <c r="K923" s="18"/>
      <c r="L923" s="19"/>
      <c r="M923" s="19"/>
      <c r="N923" s="20"/>
      <c r="O923" s="22"/>
      <c r="P923" s="22"/>
      <c r="Q923" s="23"/>
      <c r="R923" s="23"/>
    </row>
    <row r="924" spans="1:18" x14ac:dyDescent="0.2">
      <c r="A924" s="13"/>
      <c r="B924" s="18"/>
      <c r="C924" s="19"/>
      <c r="D924" s="19"/>
      <c r="E924" s="20"/>
      <c r="F924" s="22"/>
      <c r="G924" s="36"/>
      <c r="H924" s="37"/>
      <c r="I924" s="37"/>
      <c r="J924" s="13"/>
      <c r="K924" s="18"/>
      <c r="L924" s="19"/>
      <c r="M924" s="19"/>
      <c r="N924" s="20"/>
      <c r="O924" s="22"/>
      <c r="P924" s="36"/>
      <c r="Q924" s="37"/>
      <c r="R924" s="37"/>
    </row>
    <row r="925" spans="1:18" x14ac:dyDescent="0.2">
      <c r="A925" s="13"/>
      <c r="B925" s="248" t="s">
        <v>42</v>
      </c>
      <c r="C925" s="249"/>
      <c r="D925" s="249"/>
      <c r="E925" s="250"/>
      <c r="F925" s="46"/>
      <c r="G925" s="46"/>
      <c r="H925" s="47"/>
      <c r="I925" s="47">
        <f>SUM(I912:I924)</f>
        <v>46200</v>
      </c>
      <c r="J925" s="13"/>
      <c r="K925" s="248" t="s">
        <v>42</v>
      </c>
      <c r="L925" s="249"/>
      <c r="M925" s="249"/>
      <c r="N925" s="250"/>
      <c r="O925" s="46"/>
      <c r="P925" s="46"/>
      <c r="Q925" s="47"/>
      <c r="R925" s="47">
        <f>SUM(R912:R924)</f>
        <v>225.17523800000001</v>
      </c>
    </row>
    <row r="926" spans="1:18" x14ac:dyDescent="0.2">
      <c r="A926" s="12" t="s">
        <v>43</v>
      </c>
      <c r="B926" s="48" t="s">
        <v>44</v>
      </c>
      <c r="C926" s="43"/>
      <c r="D926" s="43"/>
      <c r="E926" s="39"/>
      <c r="F926" s="49"/>
      <c r="G926" s="49"/>
      <c r="H926" s="50"/>
      <c r="I926" s="51">
        <f>SUM(I907+I925)</f>
        <v>50376.233333333337</v>
      </c>
      <c r="J926" s="12" t="s">
        <v>43</v>
      </c>
      <c r="K926" s="48" t="s">
        <v>44</v>
      </c>
      <c r="L926" s="43"/>
      <c r="M926" s="43"/>
      <c r="N926" s="151"/>
      <c r="O926" s="49"/>
      <c r="P926" s="49"/>
      <c r="Q926" s="50"/>
      <c r="R926" s="51">
        <f>SUM(R907+R925)</f>
        <v>244.51404545341614</v>
      </c>
    </row>
    <row r="927" spans="1:18" x14ac:dyDescent="0.2">
      <c r="A927" s="13" t="s">
        <v>45</v>
      </c>
      <c r="B927" s="48" t="s">
        <v>46</v>
      </c>
      <c r="C927" s="43"/>
      <c r="D927" s="43"/>
      <c r="E927" s="39"/>
      <c r="F927" s="49"/>
      <c r="G927" s="52">
        <v>0.09</v>
      </c>
      <c r="H927" s="53" t="s">
        <v>47</v>
      </c>
      <c r="I927" s="51">
        <f>G927*I926</f>
        <v>4533.8609999999999</v>
      </c>
      <c r="J927" s="13" t="s">
        <v>45</v>
      </c>
      <c r="K927" s="48" t="s">
        <v>46</v>
      </c>
      <c r="L927" s="43"/>
      <c r="M927" s="43"/>
      <c r="N927" s="151"/>
      <c r="O927" s="49"/>
      <c r="P927" s="52">
        <v>0.09</v>
      </c>
      <c r="Q927" s="53" t="s">
        <v>47</v>
      </c>
      <c r="R927" s="51">
        <f>P927*R926</f>
        <v>22.006264090807452</v>
      </c>
    </row>
    <row r="928" spans="1:18" x14ac:dyDescent="0.2">
      <c r="A928" s="13" t="s">
        <v>48</v>
      </c>
      <c r="B928" s="48" t="s">
        <v>49</v>
      </c>
      <c r="C928" s="43"/>
      <c r="D928" s="43"/>
      <c r="E928" s="39"/>
      <c r="F928" s="49"/>
      <c r="G928" s="52">
        <v>0.08</v>
      </c>
      <c r="H928" s="53" t="s">
        <v>47</v>
      </c>
      <c r="I928" s="51">
        <f>G928*I926</f>
        <v>4030.0986666666672</v>
      </c>
      <c r="J928" s="13" t="s">
        <v>48</v>
      </c>
      <c r="K928" s="48" t="s">
        <v>49</v>
      </c>
      <c r="L928" s="43"/>
      <c r="M928" s="43"/>
      <c r="N928" s="151"/>
      <c r="O928" s="49"/>
      <c r="P928" s="52">
        <v>0.08</v>
      </c>
      <c r="Q928" s="53" t="s">
        <v>47</v>
      </c>
      <c r="R928" s="51">
        <f>P928*R926</f>
        <v>19.56112363627329</v>
      </c>
    </row>
    <row r="929" spans="1:18" x14ac:dyDescent="0.2">
      <c r="A929" s="13" t="s">
        <v>50</v>
      </c>
      <c r="B929" s="48" t="s">
        <v>51</v>
      </c>
      <c r="C929" s="43"/>
      <c r="D929" s="43"/>
      <c r="E929" s="39"/>
      <c r="F929" s="49"/>
      <c r="G929" s="52">
        <f>5/100</f>
        <v>0.05</v>
      </c>
      <c r="H929" s="53" t="s">
        <v>52</v>
      </c>
      <c r="I929" s="51">
        <f>G929*(I926+I927+I928)</f>
        <v>2947.00965</v>
      </c>
      <c r="J929" s="13" t="s">
        <v>50</v>
      </c>
      <c r="K929" s="48" t="s">
        <v>51</v>
      </c>
      <c r="L929" s="43"/>
      <c r="M929" s="43"/>
      <c r="N929" s="151"/>
      <c r="O929" s="49"/>
      <c r="P929" s="52">
        <f>5/100</f>
        <v>0.05</v>
      </c>
      <c r="Q929" s="53" t="s">
        <v>52</v>
      </c>
      <c r="R929" s="51">
        <f>P929*(R926+R927+R928)</f>
        <v>14.304071659024846</v>
      </c>
    </row>
    <row r="930" spans="1:18" x14ac:dyDescent="0.2">
      <c r="A930" s="54" t="s">
        <v>53</v>
      </c>
      <c r="B930" s="48" t="s">
        <v>54</v>
      </c>
      <c r="C930" s="43"/>
      <c r="D930" s="43"/>
      <c r="E930" s="39"/>
      <c r="F930" s="49"/>
      <c r="G930" s="49"/>
      <c r="H930" s="55" t="s">
        <v>55</v>
      </c>
      <c r="I930" s="51">
        <f>SUM(I926+I927+I928+I929)</f>
        <v>61887.202649999999</v>
      </c>
      <c r="J930" s="54" t="s">
        <v>53</v>
      </c>
      <c r="K930" s="48" t="s">
        <v>54</v>
      </c>
      <c r="L930" s="43"/>
      <c r="M930" s="43"/>
      <c r="N930" s="151"/>
      <c r="O930" s="49"/>
      <c r="P930" s="49"/>
      <c r="Q930" s="55" t="s">
        <v>55</v>
      </c>
      <c r="R930" s="51">
        <f>SUM(R926+R927+R928+R929)</f>
        <v>300.38550483952173</v>
      </c>
    </row>
    <row r="931" spans="1:18" s="1" customFormat="1" x14ac:dyDescent="0.2">
      <c r="A931" s="236" t="s">
        <v>0</v>
      </c>
      <c r="B931" s="236"/>
      <c r="C931" s="236"/>
      <c r="D931" s="236"/>
      <c r="E931" s="236"/>
      <c r="F931" s="236"/>
      <c r="G931" s="236"/>
      <c r="H931" s="236"/>
      <c r="I931" s="236"/>
      <c r="J931" s="236" t="s">
        <v>0</v>
      </c>
      <c r="K931" s="236"/>
      <c r="L931" s="236"/>
      <c r="M931" s="236"/>
      <c r="N931" s="236"/>
      <c r="O931" s="236"/>
      <c r="P931" s="236"/>
      <c r="Q931" s="236"/>
      <c r="R931" s="236"/>
    </row>
    <row r="933" spans="1:18" x14ac:dyDescent="0.2">
      <c r="A933" s="2" t="s">
        <v>1</v>
      </c>
      <c r="C933" s="4" t="s">
        <v>2</v>
      </c>
      <c r="D933" s="5" t="s">
        <v>361</v>
      </c>
      <c r="E933" s="237" t="s">
        <v>362</v>
      </c>
      <c r="F933" s="237"/>
      <c r="G933" s="237"/>
      <c r="H933" s="237"/>
      <c r="J933" s="2" t="s">
        <v>1</v>
      </c>
      <c r="L933" s="4" t="s">
        <v>2</v>
      </c>
      <c r="M933" s="5" t="s">
        <v>354</v>
      </c>
      <c r="N933" s="237" t="s">
        <v>355</v>
      </c>
      <c r="O933" s="237"/>
      <c r="P933" s="237"/>
      <c r="Q933" s="237"/>
    </row>
    <row r="934" spans="1:18" x14ac:dyDescent="0.2">
      <c r="A934" s="2" t="s">
        <v>7</v>
      </c>
      <c r="C934" s="4" t="s">
        <v>2</v>
      </c>
      <c r="E934" s="2" t="s">
        <v>239</v>
      </c>
      <c r="F934" s="8"/>
      <c r="G934" s="8"/>
      <c r="H934" s="8"/>
      <c r="J934" s="2" t="s">
        <v>7</v>
      </c>
      <c r="L934" s="4" t="s">
        <v>2</v>
      </c>
      <c r="N934" s="2" t="s">
        <v>8</v>
      </c>
      <c r="O934" s="8"/>
      <c r="P934" s="8"/>
      <c r="Q934" s="8"/>
    </row>
    <row r="935" spans="1:18" x14ac:dyDescent="0.2">
      <c r="A935" s="2" t="s">
        <v>10</v>
      </c>
      <c r="C935" s="4" t="s">
        <v>2</v>
      </c>
      <c r="E935" s="9">
        <v>16</v>
      </c>
      <c r="F935" s="8"/>
      <c r="G935" s="8"/>
      <c r="H935" s="8"/>
      <c r="J935" s="2" t="s">
        <v>10</v>
      </c>
      <c r="L935" s="4" t="s">
        <v>2</v>
      </c>
      <c r="N935" s="9">
        <v>70</v>
      </c>
      <c r="O935" s="8"/>
      <c r="P935" s="8"/>
      <c r="Q935" s="8"/>
    </row>
    <row r="936" spans="1:18" x14ac:dyDescent="0.2">
      <c r="B936" s="8"/>
      <c r="F936" s="11"/>
      <c r="G936" s="8"/>
      <c r="H936" s="8"/>
      <c r="I936" s="8"/>
      <c r="K936" s="8"/>
      <c r="O936" s="11"/>
      <c r="P936" s="8"/>
      <c r="Q936" s="8"/>
      <c r="R936" s="8"/>
    </row>
    <row r="937" spans="1:18" x14ac:dyDescent="0.2">
      <c r="A937" s="12"/>
      <c r="B937" s="238" t="s">
        <v>11</v>
      </c>
      <c r="C937" s="239"/>
      <c r="D937" s="239"/>
      <c r="E937" s="240"/>
      <c r="F937" s="244" t="s">
        <v>12</v>
      </c>
      <c r="G937" s="244" t="s">
        <v>13</v>
      </c>
      <c r="H937" s="244" t="s">
        <v>14</v>
      </c>
      <c r="I937" s="246" t="s">
        <v>15</v>
      </c>
      <c r="J937" s="12"/>
      <c r="K937" s="238" t="s">
        <v>11</v>
      </c>
      <c r="L937" s="239"/>
      <c r="M937" s="239"/>
      <c r="N937" s="240"/>
      <c r="O937" s="244" t="s">
        <v>12</v>
      </c>
      <c r="P937" s="244" t="s">
        <v>13</v>
      </c>
      <c r="Q937" s="244" t="s">
        <v>14</v>
      </c>
      <c r="R937" s="246" t="s">
        <v>15</v>
      </c>
    </row>
    <row r="938" spans="1:18" x14ac:dyDescent="0.2">
      <c r="A938" s="13"/>
      <c r="B938" s="241"/>
      <c r="C938" s="242"/>
      <c r="D938" s="242"/>
      <c r="E938" s="243"/>
      <c r="F938" s="245"/>
      <c r="G938" s="245"/>
      <c r="H938" s="245"/>
      <c r="I938" s="247"/>
      <c r="J938" s="13"/>
      <c r="K938" s="241"/>
      <c r="L938" s="242"/>
      <c r="M938" s="242"/>
      <c r="N938" s="243"/>
      <c r="O938" s="245"/>
      <c r="P938" s="245"/>
      <c r="Q938" s="245"/>
      <c r="R938" s="247"/>
    </row>
    <row r="939" spans="1:18" x14ac:dyDescent="0.2">
      <c r="A939" s="13" t="s">
        <v>16</v>
      </c>
      <c r="B939" s="14" t="s">
        <v>17</v>
      </c>
      <c r="C939" s="15"/>
      <c r="D939" s="15"/>
      <c r="E939" s="16"/>
      <c r="F939" s="17"/>
      <c r="G939" s="17"/>
      <c r="H939" s="17"/>
      <c r="I939" s="17"/>
      <c r="J939" s="13" t="s">
        <v>16</v>
      </c>
      <c r="K939" s="14" t="s">
        <v>17</v>
      </c>
      <c r="L939" s="15"/>
      <c r="M939" s="15"/>
      <c r="N939" s="16"/>
      <c r="O939" s="17"/>
      <c r="P939" s="17"/>
      <c r="Q939" s="17"/>
      <c r="R939" s="17"/>
    </row>
    <row r="940" spans="1:18" x14ac:dyDescent="0.2">
      <c r="A940" s="13"/>
      <c r="B940" s="18"/>
      <c r="C940" s="19"/>
      <c r="D940" s="19"/>
      <c r="E940" s="20"/>
      <c r="F940" s="21"/>
      <c r="G940" s="22"/>
      <c r="H940" s="21"/>
      <c r="I940" s="21"/>
      <c r="J940" s="13"/>
      <c r="K940" s="18"/>
      <c r="L940" s="19"/>
      <c r="M940" s="19"/>
      <c r="N940" s="20"/>
      <c r="O940" s="21"/>
      <c r="P940" s="22"/>
      <c r="Q940" s="21"/>
      <c r="R940" s="21"/>
    </row>
    <row r="941" spans="1:18" x14ac:dyDescent="0.2">
      <c r="A941" s="13"/>
      <c r="B941" s="24" t="s">
        <v>18</v>
      </c>
      <c r="C941" s="25"/>
      <c r="D941" s="25"/>
      <c r="E941" s="26"/>
      <c r="F941" s="22">
        <v>1</v>
      </c>
      <c r="G941" s="23">
        <v>1</v>
      </c>
      <c r="H941" s="23">
        <v>69.42</v>
      </c>
      <c r="I941" s="23">
        <f>F941*G941*H941</f>
        <v>69.42</v>
      </c>
      <c r="J941" s="13"/>
      <c r="K941" s="24" t="s">
        <v>18</v>
      </c>
      <c r="L941" s="25"/>
      <c r="M941" s="25"/>
      <c r="N941" s="26"/>
      <c r="O941" s="22">
        <v>1</v>
      </c>
      <c r="P941" s="23">
        <v>1</v>
      </c>
      <c r="Q941" s="23">
        <v>69.42</v>
      </c>
      <c r="R941" s="23">
        <f>P941*Q941*O941</f>
        <v>69.42</v>
      </c>
    </row>
    <row r="942" spans="1:18" x14ac:dyDescent="0.2">
      <c r="A942" s="13"/>
      <c r="B942" s="257" t="s">
        <v>1179</v>
      </c>
      <c r="C942" s="258"/>
      <c r="D942" s="19"/>
      <c r="E942" s="20"/>
      <c r="F942" s="22">
        <v>20</v>
      </c>
      <c r="G942" s="23">
        <v>1</v>
      </c>
      <c r="H942" s="23">
        <v>38.97</v>
      </c>
      <c r="I942" s="23">
        <f>F942*G942*H942</f>
        <v>779.4</v>
      </c>
      <c r="J942" s="13"/>
      <c r="K942" s="257" t="s">
        <v>1178</v>
      </c>
      <c r="L942" s="258"/>
      <c r="M942" s="25"/>
      <c r="N942" s="26"/>
      <c r="O942" s="22">
        <v>4</v>
      </c>
      <c r="P942" s="23">
        <v>1</v>
      </c>
      <c r="Q942" s="23">
        <v>50.18</v>
      </c>
      <c r="R942" s="23">
        <f>P942*Q942*O942</f>
        <v>200.72</v>
      </c>
    </row>
    <row r="943" spans="1:18" x14ac:dyDescent="0.2">
      <c r="A943" s="13"/>
      <c r="B943" s="27"/>
      <c r="C943" s="19"/>
      <c r="D943" s="19"/>
      <c r="E943" s="20"/>
      <c r="F943" s="22"/>
      <c r="G943" s="22"/>
      <c r="H943" s="28"/>
      <c r="I943" s="23"/>
      <c r="J943" s="13"/>
      <c r="K943" s="257" t="s">
        <v>1177</v>
      </c>
      <c r="L943" s="258"/>
      <c r="M943" s="19"/>
      <c r="N943" s="20"/>
      <c r="O943" s="22">
        <v>12</v>
      </c>
      <c r="P943" s="23">
        <v>1</v>
      </c>
      <c r="Q943" s="23">
        <v>38.97</v>
      </c>
      <c r="R943" s="23">
        <f>P943*Q943*O943</f>
        <v>467.64</v>
      </c>
    </row>
    <row r="944" spans="1:18" x14ac:dyDescent="0.2">
      <c r="A944" s="13"/>
      <c r="B944" s="27"/>
      <c r="C944" s="19"/>
      <c r="D944" s="19"/>
      <c r="E944" s="20"/>
      <c r="F944" s="22"/>
      <c r="G944" s="22"/>
      <c r="H944" s="29"/>
      <c r="I944" s="30"/>
      <c r="J944" s="13"/>
      <c r="K944" s="27"/>
      <c r="L944" s="19"/>
      <c r="M944" s="19"/>
      <c r="N944" s="20"/>
      <c r="O944" s="22"/>
      <c r="P944" s="22"/>
      <c r="Q944" s="29"/>
      <c r="R944" s="30"/>
    </row>
    <row r="945" spans="1:18" x14ac:dyDescent="0.2">
      <c r="A945" s="13"/>
      <c r="B945" s="27"/>
      <c r="C945" s="19"/>
      <c r="D945" s="19"/>
      <c r="E945" s="20"/>
      <c r="F945" s="22"/>
      <c r="G945" s="22"/>
      <c r="H945" s="29"/>
      <c r="I945" s="30"/>
      <c r="J945" s="13"/>
      <c r="K945" s="27"/>
      <c r="L945" s="19"/>
      <c r="M945" s="19"/>
      <c r="N945" s="20"/>
      <c r="O945" s="22"/>
      <c r="P945" s="22"/>
      <c r="Q945" s="29"/>
      <c r="R945" s="30"/>
    </row>
    <row r="946" spans="1:18" x14ac:dyDescent="0.2">
      <c r="A946" s="13"/>
      <c r="B946" s="18"/>
      <c r="C946" s="19"/>
      <c r="D946" s="19"/>
      <c r="E946" s="20"/>
      <c r="F946" s="22"/>
      <c r="G946" s="22"/>
      <c r="H946" s="28"/>
      <c r="I946" s="23"/>
      <c r="J946" s="13"/>
      <c r="K946" s="18"/>
      <c r="L946" s="19"/>
      <c r="M946" s="19"/>
      <c r="N946" s="20"/>
      <c r="O946" s="22"/>
      <c r="P946" s="22"/>
      <c r="Q946" s="28"/>
      <c r="R946" s="23"/>
    </row>
    <row r="947" spans="1:18" x14ac:dyDescent="0.2">
      <c r="A947" s="13"/>
      <c r="B947" s="18"/>
      <c r="C947" s="19"/>
      <c r="D947" s="19"/>
      <c r="E947" s="20"/>
      <c r="F947" s="22"/>
      <c r="G947" s="22"/>
      <c r="H947" s="23"/>
      <c r="I947" s="23"/>
      <c r="J947" s="13"/>
      <c r="K947" s="18"/>
      <c r="L947" s="19"/>
      <c r="M947" s="19"/>
      <c r="N947" s="20"/>
      <c r="O947" s="22"/>
      <c r="P947" s="22"/>
      <c r="Q947" s="23"/>
      <c r="R947" s="23"/>
    </row>
    <row r="948" spans="1:18" x14ac:dyDescent="0.2">
      <c r="A948" s="13"/>
      <c r="B948" s="248" t="s">
        <v>20</v>
      </c>
      <c r="C948" s="249"/>
      <c r="D948" s="249"/>
      <c r="E948" s="250"/>
      <c r="F948" s="31"/>
      <c r="G948" s="31"/>
      <c r="H948" s="32"/>
      <c r="I948" s="32">
        <f>SUM(I941:I947)</f>
        <v>848.81999999999994</v>
      </c>
      <c r="J948" s="13"/>
      <c r="K948" s="248" t="s">
        <v>20</v>
      </c>
      <c r="L948" s="249"/>
      <c r="M948" s="249"/>
      <c r="N948" s="250"/>
      <c r="O948" s="31"/>
      <c r="P948" s="31"/>
      <c r="Q948" s="32"/>
      <c r="R948" s="32">
        <f>SUM(R941:R947)</f>
        <v>737.78</v>
      </c>
    </row>
    <row r="949" spans="1:18" x14ac:dyDescent="0.2">
      <c r="A949" s="12"/>
      <c r="B949" s="251" t="s">
        <v>21</v>
      </c>
      <c r="C949" s="252"/>
      <c r="D949" s="252"/>
      <c r="E949" s="253"/>
      <c r="F949" s="244" t="s">
        <v>22</v>
      </c>
      <c r="G949" s="244" t="s">
        <v>13</v>
      </c>
      <c r="H949" s="244" t="s">
        <v>14</v>
      </c>
      <c r="I949" s="246" t="s">
        <v>15</v>
      </c>
      <c r="J949" s="12"/>
      <c r="K949" s="251" t="s">
        <v>21</v>
      </c>
      <c r="L949" s="252"/>
      <c r="M949" s="252"/>
      <c r="N949" s="253"/>
      <c r="O949" s="244" t="s">
        <v>22</v>
      </c>
      <c r="P949" s="244" t="s">
        <v>13</v>
      </c>
      <c r="Q949" s="244" t="s">
        <v>14</v>
      </c>
      <c r="R949" s="246" t="s">
        <v>15</v>
      </c>
    </row>
    <row r="950" spans="1:18" x14ac:dyDescent="0.2">
      <c r="A950" s="13"/>
      <c r="B950" s="254"/>
      <c r="C950" s="255"/>
      <c r="D950" s="255"/>
      <c r="E950" s="256"/>
      <c r="F950" s="245"/>
      <c r="G950" s="245"/>
      <c r="H950" s="245"/>
      <c r="I950" s="247"/>
      <c r="J950" s="13"/>
      <c r="K950" s="254"/>
      <c r="L950" s="255"/>
      <c r="M950" s="255"/>
      <c r="N950" s="256"/>
      <c r="O950" s="245"/>
      <c r="P950" s="245"/>
      <c r="Q950" s="245"/>
      <c r="R950" s="247"/>
    </row>
    <row r="951" spans="1:18" x14ac:dyDescent="0.2">
      <c r="A951" s="13" t="s">
        <v>23</v>
      </c>
      <c r="B951" s="33" t="s">
        <v>24</v>
      </c>
      <c r="C951" s="15"/>
      <c r="D951" s="15"/>
      <c r="E951" s="16"/>
      <c r="F951" s="34"/>
      <c r="G951" s="34"/>
      <c r="H951" s="35"/>
      <c r="I951" s="35"/>
      <c r="J951" s="13" t="s">
        <v>23</v>
      </c>
      <c r="K951" s="33" t="s">
        <v>24</v>
      </c>
      <c r="L951" s="15"/>
      <c r="M951" s="15"/>
      <c r="N951" s="16"/>
      <c r="O951" s="34"/>
      <c r="P951" s="34"/>
      <c r="Q951" s="35"/>
      <c r="R951" s="35"/>
    </row>
    <row r="952" spans="1:18" x14ac:dyDescent="0.2">
      <c r="A952" s="13"/>
      <c r="B952" s="18"/>
      <c r="C952" s="19"/>
      <c r="D952" s="19"/>
      <c r="E952" s="20"/>
      <c r="F952" s="22"/>
      <c r="G952" s="22"/>
      <c r="H952" s="23"/>
      <c r="I952" s="23"/>
      <c r="J952" s="13"/>
      <c r="K952" s="18"/>
      <c r="L952" s="19"/>
      <c r="M952" s="19"/>
      <c r="N952" s="20"/>
      <c r="O952" s="22"/>
      <c r="P952" s="22"/>
      <c r="Q952" s="23"/>
      <c r="R952" s="23"/>
    </row>
    <row r="953" spans="1:18" x14ac:dyDescent="0.2">
      <c r="A953" s="13"/>
      <c r="B953" s="18" t="s">
        <v>1173</v>
      </c>
      <c r="C953" s="19"/>
      <c r="D953" s="19"/>
      <c r="E953" s="20"/>
      <c r="F953" s="22">
        <v>1</v>
      </c>
      <c r="G953" s="23">
        <v>1</v>
      </c>
      <c r="H953" s="37">
        <v>1846</v>
      </c>
      <c r="I953" s="23">
        <f>F953*G953*H953</f>
        <v>1846</v>
      </c>
      <c r="J953" s="13"/>
      <c r="K953" s="18" t="s">
        <v>340</v>
      </c>
      <c r="L953" s="19"/>
      <c r="M953" s="19"/>
      <c r="N953" s="20"/>
      <c r="O953" s="22">
        <v>4</v>
      </c>
      <c r="P953" s="23">
        <v>1</v>
      </c>
      <c r="Q953" s="37">
        <v>1318</v>
      </c>
      <c r="R953" s="37">
        <f>P953*Q953*O953</f>
        <v>5272</v>
      </c>
    </row>
    <row r="954" spans="1:18" x14ac:dyDescent="0.2">
      <c r="A954" s="13"/>
      <c r="B954" s="18" t="s">
        <v>1174</v>
      </c>
      <c r="C954" s="19"/>
      <c r="D954" s="19"/>
      <c r="E954" s="20"/>
      <c r="F954" s="22">
        <v>1</v>
      </c>
      <c r="G954" s="23">
        <v>0.25</v>
      </c>
      <c r="H954" s="37">
        <v>2450</v>
      </c>
      <c r="I954" s="23">
        <f>F954*G954*H954</f>
        <v>612.5</v>
      </c>
      <c r="J954" s="13"/>
      <c r="K954" s="18" t="s">
        <v>341</v>
      </c>
      <c r="L954" s="19"/>
      <c r="M954" s="19"/>
      <c r="N954" s="20"/>
      <c r="O954" s="22">
        <v>2</v>
      </c>
      <c r="P954" s="23">
        <v>1</v>
      </c>
      <c r="Q954" s="37">
        <v>91.25</v>
      </c>
      <c r="R954" s="37">
        <f t="shared" ref="R954:R960" si="55">P954*Q954*O954</f>
        <v>182.5</v>
      </c>
    </row>
    <row r="955" spans="1:18" x14ac:dyDescent="0.2">
      <c r="A955" s="13"/>
      <c r="B955" s="18"/>
      <c r="C955" s="19"/>
      <c r="D955" s="19"/>
      <c r="E955" s="20"/>
      <c r="F955" s="22"/>
      <c r="G955" s="23"/>
      <c r="H955" s="37"/>
      <c r="I955" s="23"/>
      <c r="J955" s="13"/>
      <c r="K955" s="18" t="s">
        <v>1224</v>
      </c>
      <c r="L955" s="19"/>
      <c r="M955" s="19"/>
      <c r="N955" s="20"/>
      <c r="O955" s="22">
        <v>1</v>
      </c>
      <c r="P955" s="23">
        <v>1</v>
      </c>
      <c r="Q955" s="37">
        <v>1759.5</v>
      </c>
      <c r="R955" s="37">
        <f t="shared" si="55"/>
        <v>1759.5</v>
      </c>
    </row>
    <row r="956" spans="1:18" x14ac:dyDescent="0.2">
      <c r="A956" s="13"/>
      <c r="B956" s="18"/>
      <c r="C956" s="19"/>
      <c r="D956" s="19"/>
      <c r="E956" s="20"/>
      <c r="F956" s="22"/>
      <c r="G956" s="23"/>
      <c r="H956" s="37"/>
      <c r="I956" s="23"/>
      <c r="J956" s="13"/>
      <c r="K956" s="18" t="s">
        <v>257</v>
      </c>
      <c r="L956" s="66"/>
      <c r="M956" s="19"/>
      <c r="N956" s="20"/>
      <c r="O956" s="22">
        <v>1</v>
      </c>
      <c r="P956" s="23">
        <v>1</v>
      </c>
      <c r="Q956" s="37">
        <v>1733</v>
      </c>
      <c r="R956" s="37">
        <f t="shared" si="55"/>
        <v>1733</v>
      </c>
    </row>
    <row r="957" spans="1:18" x14ac:dyDescent="0.2">
      <c r="A957" s="13"/>
      <c r="B957" s="18"/>
      <c r="C957" s="19"/>
      <c r="D957" s="19"/>
      <c r="E957" s="20"/>
      <c r="F957" s="22"/>
      <c r="G957" s="36"/>
      <c r="H957" s="37"/>
      <c r="I957" s="23"/>
      <c r="J957" s="13"/>
      <c r="K957" s="18" t="s">
        <v>342</v>
      </c>
      <c r="L957" s="19"/>
      <c r="M957" s="19"/>
      <c r="N957" s="20"/>
      <c r="O957" s="22">
        <v>1</v>
      </c>
      <c r="P957" s="23">
        <v>1</v>
      </c>
      <c r="Q957" s="37">
        <v>545</v>
      </c>
      <c r="R957" s="37">
        <f t="shared" si="55"/>
        <v>545</v>
      </c>
    </row>
    <row r="958" spans="1:18" x14ac:dyDescent="0.2">
      <c r="A958" s="13"/>
      <c r="B958" s="18"/>
      <c r="C958" s="19"/>
      <c r="D958" s="19"/>
      <c r="E958" s="20"/>
      <c r="F958" s="22"/>
      <c r="G958" s="36"/>
      <c r="H958" s="38"/>
      <c r="I958" s="38"/>
      <c r="J958" s="13"/>
      <c r="K958" s="18" t="s">
        <v>1206</v>
      </c>
      <c r="L958" s="19"/>
      <c r="M958" s="19"/>
      <c r="N958" s="20"/>
      <c r="O958" s="22">
        <v>1</v>
      </c>
      <c r="P958" s="23">
        <v>1</v>
      </c>
      <c r="Q958" s="37">
        <v>2450</v>
      </c>
      <c r="R958" s="37">
        <f t="shared" si="55"/>
        <v>2450</v>
      </c>
    </row>
    <row r="959" spans="1:18" x14ac:dyDescent="0.2">
      <c r="A959" s="13"/>
      <c r="B959" s="18"/>
      <c r="C959" s="19"/>
      <c r="D959" s="19"/>
      <c r="E959" s="20"/>
      <c r="F959" s="22"/>
      <c r="G959" s="36"/>
      <c r="H959" s="37"/>
      <c r="I959" s="37"/>
      <c r="J959" s="13"/>
      <c r="K959" s="18" t="s">
        <v>1236</v>
      </c>
      <c r="L959" s="19"/>
      <c r="M959" s="19"/>
      <c r="N959" s="20"/>
      <c r="O959" s="22">
        <v>1</v>
      </c>
      <c r="P959" s="23">
        <v>1</v>
      </c>
      <c r="Q959" s="37">
        <v>32.630000000000003</v>
      </c>
      <c r="R959" s="37">
        <f t="shared" si="55"/>
        <v>32.630000000000003</v>
      </c>
    </row>
    <row r="960" spans="1:18" x14ac:dyDescent="0.2">
      <c r="A960" s="13"/>
      <c r="B960" s="18"/>
      <c r="C960" s="19"/>
      <c r="D960" s="19"/>
      <c r="E960" s="20"/>
      <c r="F960" s="22"/>
      <c r="G960" s="36"/>
      <c r="H960" s="38"/>
      <c r="I960" s="38"/>
      <c r="J960" s="13"/>
      <c r="K960" s="18" t="s">
        <v>343</v>
      </c>
      <c r="L960" s="19"/>
      <c r="M960" s="19"/>
      <c r="N960" s="20"/>
      <c r="O960" s="22">
        <v>1</v>
      </c>
      <c r="P960" s="23">
        <v>0.1</v>
      </c>
      <c r="Q960" s="37">
        <v>219.75</v>
      </c>
      <c r="R960" s="37">
        <f t="shared" si="55"/>
        <v>21.975000000000001</v>
      </c>
    </row>
    <row r="961" spans="1:18" x14ac:dyDescent="0.2">
      <c r="A961" s="13"/>
      <c r="B961" s="18"/>
      <c r="C961" s="19"/>
      <c r="D961" s="19"/>
      <c r="E961" s="20"/>
      <c r="F961" s="22"/>
      <c r="G961" s="36"/>
      <c r="H961" s="38"/>
      <c r="I961" s="38"/>
      <c r="J961" s="13"/>
      <c r="K961" s="18" t="s">
        <v>1195</v>
      </c>
      <c r="L961" s="19"/>
      <c r="M961" s="19"/>
      <c r="N961" s="20"/>
      <c r="O961" s="22"/>
      <c r="P961" s="36"/>
      <c r="R961" s="37">
        <f>R948*0.05</f>
        <v>36.889000000000003</v>
      </c>
    </row>
    <row r="962" spans="1:18" x14ac:dyDescent="0.2">
      <c r="A962" s="13"/>
      <c r="B962" s="18"/>
      <c r="C962" s="19"/>
      <c r="D962" s="19"/>
      <c r="E962" s="20"/>
      <c r="F962" s="22"/>
      <c r="G962" s="36"/>
      <c r="H962" s="37"/>
      <c r="I962" s="37"/>
      <c r="J962" s="13"/>
      <c r="K962" s="18"/>
      <c r="L962" s="19"/>
      <c r="M962" s="19"/>
      <c r="N962" s="20"/>
      <c r="O962" s="22"/>
      <c r="P962" s="36"/>
      <c r="Q962" s="37"/>
      <c r="R962" s="37"/>
    </row>
    <row r="963" spans="1:18" x14ac:dyDescent="0.2">
      <c r="A963" s="13"/>
      <c r="B963" s="18"/>
      <c r="C963" s="19"/>
      <c r="D963" s="19"/>
      <c r="E963" s="20"/>
      <c r="F963" s="22"/>
      <c r="G963" s="36"/>
      <c r="H963" s="37"/>
      <c r="I963" s="37"/>
      <c r="J963" s="13"/>
      <c r="K963" s="18"/>
      <c r="L963" s="19"/>
      <c r="M963" s="19"/>
      <c r="N963" s="20"/>
      <c r="O963" s="22"/>
      <c r="P963" s="36"/>
      <c r="Q963" s="37"/>
      <c r="R963" s="37"/>
    </row>
    <row r="964" spans="1:18" x14ac:dyDescent="0.2">
      <c r="A964" s="13"/>
      <c r="B964" s="18"/>
      <c r="C964" s="19"/>
      <c r="D964" s="19"/>
      <c r="E964" s="20"/>
      <c r="F964" s="22"/>
      <c r="G964" s="36"/>
      <c r="H964" s="37"/>
      <c r="I964" s="37"/>
      <c r="J964" s="13"/>
      <c r="K964" s="18"/>
      <c r="L964" s="19"/>
      <c r="M964" s="19"/>
      <c r="N964" s="20"/>
      <c r="O964" s="22"/>
      <c r="P964" s="36"/>
      <c r="Q964" s="37"/>
      <c r="R964" s="37"/>
    </row>
    <row r="965" spans="1:18" x14ac:dyDescent="0.2">
      <c r="A965" s="13"/>
      <c r="B965" s="18"/>
      <c r="C965" s="19"/>
      <c r="D965" s="19"/>
      <c r="E965" s="20"/>
      <c r="F965" s="22"/>
      <c r="G965" s="22"/>
      <c r="H965" s="23"/>
      <c r="I965" s="23"/>
      <c r="J965" s="13"/>
      <c r="K965" s="18"/>
      <c r="L965" s="19"/>
      <c r="M965" s="19"/>
      <c r="N965" s="20"/>
      <c r="O965" s="22"/>
      <c r="P965" s="22"/>
      <c r="Q965" s="23"/>
      <c r="R965" s="23"/>
    </row>
    <row r="966" spans="1:18" x14ac:dyDescent="0.2">
      <c r="A966" s="13"/>
      <c r="B966" s="248" t="s">
        <v>30</v>
      </c>
      <c r="C966" s="249"/>
      <c r="D966" s="249"/>
      <c r="E966" s="250"/>
      <c r="F966" s="22"/>
      <c r="G966" s="22"/>
      <c r="H966" s="23"/>
      <c r="I966" s="23">
        <f>SUM(I953:I965)</f>
        <v>2458.5</v>
      </c>
      <c r="J966" s="13"/>
      <c r="K966" s="248" t="s">
        <v>30</v>
      </c>
      <c r="L966" s="249"/>
      <c r="M966" s="249"/>
      <c r="N966" s="250"/>
      <c r="O966" s="22"/>
      <c r="P966" s="22"/>
      <c r="Q966" s="23"/>
      <c r="R966" s="23">
        <f>SUM(R953:R965)</f>
        <v>12033.493999999999</v>
      </c>
    </row>
    <row r="967" spans="1:18" x14ac:dyDescent="0.2">
      <c r="A967" s="12" t="s">
        <v>31</v>
      </c>
      <c r="B967" s="260" t="s">
        <v>32</v>
      </c>
      <c r="C967" s="261"/>
      <c r="D967" s="261"/>
      <c r="E967" s="261"/>
      <c r="F967" s="39"/>
      <c r="G967" s="39"/>
      <c r="H967" s="40"/>
      <c r="I967" s="41">
        <f>SUM(I966+I948)</f>
        <v>3307.3199999999997</v>
      </c>
      <c r="J967" s="12" t="s">
        <v>31</v>
      </c>
      <c r="K967" s="260" t="s">
        <v>32</v>
      </c>
      <c r="L967" s="261"/>
      <c r="M967" s="261"/>
      <c r="N967" s="261"/>
      <c r="O967" s="39"/>
      <c r="P967" s="39"/>
      <c r="Q967" s="40"/>
      <c r="R967" s="41">
        <f>SUM(R966+R948)</f>
        <v>12771.273999999999</v>
      </c>
    </row>
    <row r="968" spans="1:18" x14ac:dyDescent="0.2">
      <c r="A968" s="13" t="s">
        <v>33</v>
      </c>
      <c r="B968" s="307">
        <f>E935</f>
        <v>16</v>
      </c>
      <c r="C968" s="308"/>
      <c r="D968" s="308"/>
      <c r="E968" s="308"/>
      <c r="F968" s="308"/>
      <c r="G968" s="308"/>
      <c r="H968" s="40"/>
      <c r="I968" s="41"/>
      <c r="J968" s="13" t="s">
        <v>33</v>
      </c>
      <c r="K968" s="305">
        <f>N935</f>
        <v>70</v>
      </c>
      <c r="L968" s="306"/>
      <c r="M968" s="306"/>
      <c r="N968" s="306"/>
      <c r="O968" s="306"/>
      <c r="P968" s="306"/>
      <c r="Q968" s="40"/>
      <c r="R968" s="41"/>
    </row>
    <row r="969" spans="1:18" x14ac:dyDescent="0.2">
      <c r="A969" s="13" t="s">
        <v>34</v>
      </c>
      <c r="B969" s="42" t="s">
        <v>35</v>
      </c>
      <c r="C969" s="43"/>
      <c r="D969" s="43"/>
      <c r="E969" s="39"/>
      <c r="F969" s="44"/>
      <c r="G969" s="44"/>
      <c r="H969" s="40"/>
      <c r="I969" s="41">
        <f>I967/E935</f>
        <v>206.70749999999998</v>
      </c>
      <c r="J969" s="13" t="s">
        <v>34</v>
      </c>
      <c r="K969" s="42" t="s">
        <v>35</v>
      </c>
      <c r="L969" s="43"/>
      <c r="M969" s="43"/>
      <c r="N969" s="39"/>
      <c r="O969" s="44"/>
      <c r="P969" s="44"/>
      <c r="Q969" s="40"/>
      <c r="R969" s="41">
        <f>R967/N935</f>
        <v>182.44677142857142</v>
      </c>
    </row>
    <row r="970" spans="1:18" x14ac:dyDescent="0.2">
      <c r="A970" s="12"/>
      <c r="B970" s="251" t="s">
        <v>36</v>
      </c>
      <c r="C970" s="252"/>
      <c r="D970" s="252"/>
      <c r="E970" s="253"/>
      <c r="F970" s="244" t="s">
        <v>37</v>
      </c>
      <c r="G970" s="244" t="s">
        <v>38</v>
      </c>
      <c r="H970" s="244" t="s">
        <v>39</v>
      </c>
      <c r="I970" s="246" t="s">
        <v>15</v>
      </c>
      <c r="J970" s="12"/>
      <c r="K970" s="251" t="s">
        <v>36</v>
      </c>
      <c r="L970" s="252"/>
      <c r="M970" s="252"/>
      <c r="N970" s="253"/>
      <c r="O970" s="244" t="s">
        <v>37</v>
      </c>
      <c r="P970" s="244" t="s">
        <v>38</v>
      </c>
      <c r="Q970" s="244" t="s">
        <v>39</v>
      </c>
      <c r="R970" s="246" t="s">
        <v>15</v>
      </c>
    </row>
    <row r="971" spans="1:18" x14ac:dyDescent="0.2">
      <c r="A971" s="13"/>
      <c r="B971" s="254"/>
      <c r="C971" s="255"/>
      <c r="D971" s="255"/>
      <c r="E971" s="256"/>
      <c r="F971" s="245"/>
      <c r="G971" s="245"/>
      <c r="H971" s="245"/>
      <c r="I971" s="247"/>
      <c r="J971" s="13"/>
      <c r="K971" s="254"/>
      <c r="L971" s="255"/>
      <c r="M971" s="255"/>
      <c r="N971" s="256"/>
      <c r="O971" s="245"/>
      <c r="P971" s="245"/>
      <c r="Q971" s="245"/>
      <c r="R971" s="247"/>
    </row>
    <row r="972" spans="1:18" x14ac:dyDescent="0.2">
      <c r="A972" s="13" t="s">
        <v>40</v>
      </c>
      <c r="B972" s="18" t="s">
        <v>41</v>
      </c>
      <c r="C972" s="19"/>
      <c r="D972" s="19"/>
      <c r="E972" s="20"/>
      <c r="F972" s="22"/>
      <c r="G972" s="22"/>
      <c r="H972" s="23"/>
      <c r="I972" s="23"/>
      <c r="J972" s="13" t="s">
        <v>40</v>
      </c>
      <c r="K972" s="18" t="s">
        <v>41</v>
      </c>
      <c r="L972" s="19"/>
      <c r="M972" s="19"/>
      <c r="N972" s="20"/>
      <c r="O972" s="22"/>
      <c r="P972" s="22"/>
      <c r="Q972" s="23"/>
      <c r="R972" s="23"/>
    </row>
    <row r="973" spans="1:18" x14ac:dyDescent="0.2">
      <c r="A973" s="13"/>
      <c r="B973" s="18"/>
      <c r="C973" s="19"/>
      <c r="D973" s="19"/>
      <c r="E973" s="20"/>
      <c r="F973" s="22"/>
      <c r="G973" s="22"/>
      <c r="H973" s="23"/>
      <c r="I973" s="23"/>
      <c r="J973" s="13"/>
      <c r="K973" s="18"/>
      <c r="L973" s="19"/>
      <c r="M973" s="19"/>
      <c r="N973" s="20"/>
      <c r="O973" s="22"/>
      <c r="P973" s="22"/>
      <c r="Q973" s="23"/>
      <c r="R973" s="23"/>
    </row>
    <row r="974" spans="1:18" x14ac:dyDescent="0.2">
      <c r="A974" s="13"/>
      <c r="B974" s="18" t="s">
        <v>335</v>
      </c>
      <c r="C974" s="66"/>
      <c r="D974" s="19"/>
      <c r="E974" s="20"/>
      <c r="F974" s="22" t="s">
        <v>239</v>
      </c>
      <c r="G974" s="22">
        <v>1.1499999999999999</v>
      </c>
      <c r="H974" s="107">
        <f>ROUND(650/1.6,2)</f>
        <v>406.25</v>
      </c>
      <c r="I974" s="23">
        <f>G974*H974</f>
        <v>467.18749999999994</v>
      </c>
      <c r="J974" s="13"/>
      <c r="K974" s="18" t="s">
        <v>263</v>
      </c>
      <c r="L974" s="66"/>
      <c r="M974" s="19"/>
      <c r="N974" s="20"/>
      <c r="O974" s="22" t="s">
        <v>77</v>
      </c>
      <c r="P974" s="22">
        <v>0.43</v>
      </c>
      <c r="Q974" s="107">
        <v>40</v>
      </c>
      <c r="R974" s="23">
        <f>P974*Q974</f>
        <v>17.2</v>
      </c>
    </row>
    <row r="975" spans="1:18" x14ac:dyDescent="0.2">
      <c r="A975" s="13"/>
      <c r="B975" s="18" t="s">
        <v>228</v>
      </c>
      <c r="C975" s="66"/>
      <c r="D975" s="19"/>
      <c r="E975" s="20"/>
      <c r="F975" s="22"/>
      <c r="G975" s="22"/>
      <c r="H975" s="23"/>
      <c r="I975" s="23"/>
      <c r="J975" s="13"/>
      <c r="K975" s="18" t="s">
        <v>264</v>
      </c>
      <c r="L975" s="66"/>
      <c r="M975" s="19"/>
      <c r="N975" s="20"/>
      <c r="O975" s="22" t="s">
        <v>1216</v>
      </c>
      <c r="P975" s="22">
        <v>0.28999999999999998</v>
      </c>
      <c r="Q975" s="107">
        <v>28</v>
      </c>
      <c r="R975" s="23">
        <f t="shared" ref="R975:R983" si="56">P975*Q975</f>
        <v>8.1199999999999992</v>
      </c>
    </row>
    <row r="976" spans="1:18" x14ac:dyDescent="0.2">
      <c r="A976" s="13"/>
      <c r="B976" s="18"/>
      <c r="C976" s="19"/>
      <c r="D976" s="19"/>
      <c r="E976" s="20"/>
      <c r="F976" s="22"/>
      <c r="G976" s="22"/>
      <c r="H976" s="38"/>
      <c r="I976" s="38"/>
      <c r="J976" s="13"/>
      <c r="K976" s="18" t="s">
        <v>266</v>
      </c>
      <c r="L976" s="19"/>
      <c r="M976" s="19"/>
      <c r="N976" s="20"/>
      <c r="O976" s="22" t="s">
        <v>1216</v>
      </c>
      <c r="P976" s="22">
        <v>0.12</v>
      </c>
      <c r="Q976" s="107">
        <f>44000/1000</f>
        <v>44</v>
      </c>
      <c r="R976" s="23">
        <f t="shared" si="56"/>
        <v>5.2799999999999994</v>
      </c>
    </row>
    <row r="977" spans="1:18" x14ac:dyDescent="0.2">
      <c r="A977" s="13"/>
      <c r="B977" s="18"/>
      <c r="C977" s="19"/>
      <c r="D977" s="19"/>
      <c r="E977" s="20"/>
      <c r="F977" s="22"/>
      <c r="G977" s="22"/>
      <c r="H977" s="38"/>
      <c r="I977" s="38"/>
      <c r="J977" s="13"/>
      <c r="K977" s="18" t="s">
        <v>267</v>
      </c>
      <c r="L977" s="19"/>
      <c r="M977" s="19"/>
      <c r="N977" s="20"/>
      <c r="O977" s="22" t="s">
        <v>1153</v>
      </c>
      <c r="P977" s="22">
        <v>0.46</v>
      </c>
      <c r="Q977" s="107">
        <v>50</v>
      </c>
      <c r="R977" s="23">
        <f t="shared" si="56"/>
        <v>23</v>
      </c>
    </row>
    <row r="978" spans="1:18" x14ac:dyDescent="0.2">
      <c r="A978" s="13"/>
      <c r="B978" s="18"/>
      <c r="C978" s="19"/>
      <c r="D978" s="19"/>
      <c r="E978" s="20"/>
      <c r="F978" s="22"/>
      <c r="G978" s="22"/>
      <c r="H978" s="45"/>
      <c r="I978" s="45"/>
      <c r="J978" s="13"/>
      <c r="K978" s="18" t="s">
        <v>268</v>
      </c>
      <c r="L978" s="19"/>
      <c r="M978" s="19"/>
      <c r="N978" s="20"/>
      <c r="O978" s="22" t="s">
        <v>9</v>
      </c>
      <c r="P978" s="22">
        <v>0.1265</v>
      </c>
      <c r="Q978" s="107">
        <v>850</v>
      </c>
      <c r="R978" s="23">
        <f t="shared" si="56"/>
        <v>107.52500000000001</v>
      </c>
    </row>
    <row r="979" spans="1:18" x14ac:dyDescent="0.2">
      <c r="A979" s="13"/>
      <c r="B979" s="18"/>
      <c r="C979" s="19"/>
      <c r="D979" s="19"/>
      <c r="E979" s="20"/>
      <c r="F979" s="22"/>
      <c r="G979" s="22"/>
      <c r="H979" s="45"/>
      <c r="I979" s="45"/>
      <c r="J979" s="13"/>
      <c r="K979" s="18" t="s">
        <v>269</v>
      </c>
      <c r="L979" s="19"/>
      <c r="M979" s="19"/>
      <c r="N979" s="20"/>
      <c r="O979" s="22" t="s">
        <v>9</v>
      </c>
      <c r="P979" s="22">
        <v>0.23</v>
      </c>
      <c r="Q979" s="107">
        <v>650</v>
      </c>
      <c r="R979" s="23">
        <f t="shared" si="56"/>
        <v>149.5</v>
      </c>
    </row>
    <row r="980" spans="1:18" x14ac:dyDescent="0.2">
      <c r="A980" s="13"/>
      <c r="B980" s="18"/>
      <c r="C980" s="19"/>
      <c r="D980" s="19"/>
      <c r="E980" s="20"/>
      <c r="F980" s="22"/>
      <c r="G980" s="22"/>
      <c r="H980" s="23"/>
      <c r="I980" s="23"/>
      <c r="J980" s="13"/>
      <c r="K980" s="18" t="s">
        <v>270</v>
      </c>
      <c r="L980" s="19"/>
      <c r="M980" s="19"/>
      <c r="N980" s="20"/>
      <c r="O980" s="22" t="s">
        <v>227</v>
      </c>
      <c r="P980" s="22">
        <v>2.19</v>
      </c>
      <c r="Q980" s="107">
        <v>220</v>
      </c>
      <c r="R980" s="23">
        <f t="shared" si="56"/>
        <v>481.8</v>
      </c>
    </row>
    <row r="981" spans="1:18" x14ac:dyDescent="0.2">
      <c r="A981" s="13"/>
      <c r="B981" s="18"/>
      <c r="C981" s="19"/>
      <c r="D981" s="19"/>
      <c r="E981" s="20"/>
      <c r="F981" s="22"/>
      <c r="G981" s="22"/>
      <c r="H981" s="23"/>
      <c r="I981" s="23"/>
      <c r="J981" s="13"/>
      <c r="K981" s="18" t="s">
        <v>344</v>
      </c>
      <c r="L981" s="19"/>
      <c r="M981" s="19"/>
      <c r="N981" s="20"/>
      <c r="O981" s="22" t="s">
        <v>80</v>
      </c>
      <c r="P981" s="22">
        <v>1.4999999999999999E-4</v>
      </c>
      <c r="Q981" s="107">
        <v>8000</v>
      </c>
      <c r="R981" s="23">
        <f t="shared" si="56"/>
        <v>1.2</v>
      </c>
    </row>
    <row r="982" spans="1:18" x14ac:dyDescent="0.2">
      <c r="A982" s="13"/>
      <c r="B982" s="18"/>
      <c r="C982" s="19"/>
      <c r="D982" s="19"/>
      <c r="E982" s="20"/>
      <c r="F982" s="22"/>
      <c r="G982" s="22"/>
      <c r="H982" s="23"/>
      <c r="I982" s="23"/>
      <c r="J982" s="13"/>
      <c r="K982" s="18" t="s">
        <v>356</v>
      </c>
      <c r="L982" s="19"/>
      <c r="M982" s="19"/>
      <c r="N982" s="20"/>
      <c r="O982" s="22" t="s">
        <v>1153</v>
      </c>
      <c r="P982" s="22">
        <v>7.1000000000000004E-3</v>
      </c>
      <c r="Q982" s="107">
        <v>97</v>
      </c>
      <c r="R982" s="23">
        <f t="shared" si="56"/>
        <v>0.68870000000000009</v>
      </c>
    </row>
    <row r="983" spans="1:18" x14ac:dyDescent="0.2">
      <c r="A983" s="13"/>
      <c r="B983" s="18"/>
      <c r="C983" s="19"/>
      <c r="D983" s="19"/>
      <c r="E983" s="20"/>
      <c r="F983" s="22"/>
      <c r="G983" s="22"/>
      <c r="H983" s="23"/>
      <c r="I983" s="23"/>
      <c r="J983" s="13"/>
      <c r="K983" s="18" t="s">
        <v>346</v>
      </c>
      <c r="L983" s="19"/>
      <c r="M983" s="19"/>
      <c r="N983" s="20"/>
      <c r="O983" s="22" t="s">
        <v>1216</v>
      </c>
      <c r="P983" s="22">
        <v>8.6999999999999994E-3</v>
      </c>
      <c r="Q983" s="107">
        <v>300</v>
      </c>
      <c r="R983" s="23">
        <f t="shared" si="56"/>
        <v>2.61</v>
      </c>
    </row>
    <row r="984" spans="1:18" x14ac:dyDescent="0.2">
      <c r="A984" s="13"/>
      <c r="B984" s="18"/>
      <c r="C984" s="19"/>
      <c r="D984" s="19"/>
      <c r="E984" s="20"/>
      <c r="F984" s="22"/>
      <c r="G984" s="22"/>
      <c r="H984" s="23"/>
      <c r="I984" s="23"/>
      <c r="J984" s="13"/>
      <c r="K984" s="18"/>
      <c r="L984" s="19"/>
      <c r="M984" s="19"/>
      <c r="N984" s="20"/>
      <c r="O984" s="22"/>
      <c r="P984" s="22"/>
      <c r="Q984" s="23"/>
      <c r="R984" s="23"/>
    </row>
    <row r="985" spans="1:18" x14ac:dyDescent="0.2">
      <c r="A985" s="13"/>
      <c r="B985" s="18"/>
      <c r="C985" s="19"/>
      <c r="D985" s="19"/>
      <c r="E985" s="20"/>
      <c r="F985" s="22"/>
      <c r="G985" s="22"/>
      <c r="H985" s="23"/>
      <c r="I985" s="23"/>
      <c r="J985" s="13"/>
      <c r="K985" s="18"/>
      <c r="L985" s="19"/>
      <c r="M985" s="19"/>
      <c r="N985" s="20"/>
      <c r="O985" s="22"/>
      <c r="P985" s="22"/>
      <c r="Q985" s="23"/>
      <c r="R985" s="23"/>
    </row>
    <row r="986" spans="1:18" x14ac:dyDescent="0.2">
      <c r="A986" s="13"/>
      <c r="B986" s="18"/>
      <c r="C986" s="19"/>
      <c r="D986" s="19"/>
      <c r="E986" s="20"/>
      <c r="F986" s="22"/>
      <c r="G986" s="36"/>
      <c r="H986" s="37"/>
      <c r="I986" s="37"/>
      <c r="J986" s="13"/>
      <c r="K986" s="18"/>
      <c r="L986" s="19"/>
      <c r="M986" s="19"/>
      <c r="N986" s="20"/>
      <c r="O986" s="22"/>
      <c r="P986" s="36"/>
      <c r="Q986" s="37"/>
      <c r="R986" s="37"/>
    </row>
    <row r="987" spans="1:18" x14ac:dyDescent="0.2">
      <c r="A987" s="13"/>
      <c r="B987" s="248" t="s">
        <v>42</v>
      </c>
      <c r="C987" s="249"/>
      <c r="D987" s="249"/>
      <c r="E987" s="250"/>
      <c r="F987" s="46"/>
      <c r="G987" s="46"/>
      <c r="H987" s="47"/>
      <c r="I987" s="47">
        <f>SUM(I974:I986)</f>
        <v>467.18749999999994</v>
      </c>
      <c r="J987" s="13"/>
      <c r="K987" s="248" t="s">
        <v>42</v>
      </c>
      <c r="L987" s="249"/>
      <c r="M987" s="249"/>
      <c r="N987" s="250"/>
      <c r="O987" s="46"/>
      <c r="P987" s="46"/>
      <c r="Q987" s="47"/>
      <c r="R987" s="47">
        <f>SUM(R974:R986)</f>
        <v>796.92370000000005</v>
      </c>
    </row>
    <row r="988" spans="1:18" x14ac:dyDescent="0.2">
      <c r="A988" s="12" t="s">
        <v>43</v>
      </c>
      <c r="B988" s="48" t="s">
        <v>44</v>
      </c>
      <c r="C988" s="43"/>
      <c r="D988" s="43"/>
      <c r="E988" s="39"/>
      <c r="F988" s="49"/>
      <c r="G988" s="49"/>
      <c r="H988" s="50"/>
      <c r="I988" s="51">
        <f>SUM(I969+I987)</f>
        <v>673.89499999999998</v>
      </c>
      <c r="J988" s="12" t="s">
        <v>43</v>
      </c>
      <c r="K988" s="48" t="s">
        <v>44</v>
      </c>
      <c r="L988" s="43"/>
      <c r="M988" s="43"/>
      <c r="N988" s="39"/>
      <c r="O988" s="49"/>
      <c r="P988" s="49"/>
      <c r="Q988" s="50"/>
      <c r="R988" s="51">
        <f>SUM(R969+R987)</f>
        <v>979.37047142857148</v>
      </c>
    </row>
    <row r="989" spans="1:18" x14ac:dyDescent="0.2">
      <c r="A989" s="13" t="s">
        <v>45</v>
      </c>
      <c r="B989" s="48" t="s">
        <v>46</v>
      </c>
      <c r="C989" s="43"/>
      <c r="D989" s="43"/>
      <c r="E989" s="39"/>
      <c r="F989" s="49"/>
      <c r="G989" s="52">
        <v>0.09</v>
      </c>
      <c r="H989" s="53" t="s">
        <v>47</v>
      </c>
      <c r="I989" s="51">
        <f>G989*I988</f>
        <v>60.650549999999996</v>
      </c>
      <c r="J989" s="13" t="s">
        <v>45</v>
      </c>
      <c r="K989" s="48" t="s">
        <v>46</v>
      </c>
      <c r="L989" s="43"/>
      <c r="M989" s="43"/>
      <c r="N989" s="39"/>
      <c r="O989" s="49"/>
      <c r="P989" s="52">
        <v>0.09</v>
      </c>
      <c r="Q989" s="53" t="s">
        <v>47</v>
      </c>
      <c r="R989" s="51">
        <f>P989*R988</f>
        <v>88.14334242857143</v>
      </c>
    </row>
    <row r="990" spans="1:18" x14ac:dyDescent="0.2">
      <c r="A990" s="13" t="s">
        <v>48</v>
      </c>
      <c r="B990" s="48" t="s">
        <v>49</v>
      </c>
      <c r="C990" s="43"/>
      <c r="D990" s="43"/>
      <c r="E990" s="39"/>
      <c r="F990" s="49"/>
      <c r="G990" s="52">
        <v>0.08</v>
      </c>
      <c r="H990" s="53" t="s">
        <v>47</v>
      </c>
      <c r="I990" s="51">
        <f>G990*I988</f>
        <v>53.9116</v>
      </c>
      <c r="J990" s="13" t="s">
        <v>48</v>
      </c>
      <c r="K990" s="48" t="s">
        <v>49</v>
      </c>
      <c r="L990" s="43"/>
      <c r="M990" s="43"/>
      <c r="N990" s="39"/>
      <c r="O990" s="49"/>
      <c r="P990" s="52">
        <v>0.08</v>
      </c>
      <c r="Q990" s="53" t="s">
        <v>47</v>
      </c>
      <c r="R990" s="51">
        <f>P990*R988</f>
        <v>78.34963771428572</v>
      </c>
    </row>
    <row r="991" spans="1:18" x14ac:dyDescent="0.2">
      <c r="A991" s="13" t="s">
        <v>50</v>
      </c>
      <c r="B991" s="48" t="s">
        <v>51</v>
      </c>
      <c r="C991" s="43"/>
      <c r="D991" s="43"/>
      <c r="E991" s="39"/>
      <c r="F991" s="49"/>
      <c r="G991" s="52">
        <v>0.05</v>
      </c>
      <c r="H991" s="53" t="s">
        <v>52</v>
      </c>
      <c r="I991" s="51">
        <f>G991*(I988+I989+I990)</f>
        <v>39.422857499999999</v>
      </c>
      <c r="J991" s="13" t="s">
        <v>50</v>
      </c>
      <c r="K991" s="48" t="s">
        <v>51</v>
      </c>
      <c r="L991" s="43"/>
      <c r="M991" s="43"/>
      <c r="N991" s="39"/>
      <c r="O991" s="49"/>
      <c r="P991" s="52">
        <f>5/100</f>
        <v>0.05</v>
      </c>
      <c r="Q991" s="53" t="s">
        <v>52</v>
      </c>
      <c r="R991" s="51">
        <f>P991*(R988+R989+R990)</f>
        <v>57.293172578571436</v>
      </c>
    </row>
    <row r="992" spans="1:18" x14ac:dyDescent="0.2">
      <c r="A992" s="54" t="s">
        <v>53</v>
      </c>
      <c r="B992" s="48" t="s">
        <v>54</v>
      </c>
      <c r="C992" s="43"/>
      <c r="D992" s="43"/>
      <c r="E992" s="39"/>
      <c r="F992" s="49"/>
      <c r="G992" s="49"/>
      <c r="H992" s="55" t="s">
        <v>55</v>
      </c>
      <c r="I992" s="51">
        <f>SUM(I988+I989+I990+I991)</f>
        <v>827.88000749999992</v>
      </c>
      <c r="J992" s="54" t="s">
        <v>53</v>
      </c>
      <c r="K992" s="48" t="s">
        <v>54</v>
      </c>
      <c r="L992" s="43"/>
      <c r="M992" s="43"/>
      <c r="N992" s="39"/>
      <c r="O992" s="49"/>
      <c r="P992" s="49"/>
      <c r="Q992" s="55" t="s">
        <v>55</v>
      </c>
      <c r="R992" s="51">
        <f>SUM(R988+R989+R990+R991)</f>
        <v>1203.15662415</v>
      </c>
    </row>
    <row r="993" spans="1:18" s="1" customFormat="1" x14ac:dyDescent="0.2">
      <c r="A993" s="236" t="s">
        <v>0</v>
      </c>
      <c r="B993" s="236"/>
      <c r="C993" s="236"/>
      <c r="D993" s="236"/>
      <c r="E993" s="236"/>
      <c r="F993" s="236"/>
      <c r="G993" s="236"/>
      <c r="H993" s="236"/>
      <c r="I993" s="236"/>
      <c r="J993" s="236" t="s">
        <v>0</v>
      </c>
      <c r="K993" s="236"/>
      <c r="L993" s="236"/>
      <c r="M993" s="236"/>
      <c r="N993" s="236"/>
      <c r="O993" s="236"/>
      <c r="P993" s="236"/>
      <c r="Q993" s="236"/>
      <c r="R993" s="236"/>
    </row>
    <row r="995" spans="1:18" x14ac:dyDescent="0.2">
      <c r="A995" s="2" t="s">
        <v>1</v>
      </c>
      <c r="C995" s="4" t="s">
        <v>2</v>
      </c>
      <c r="D995" s="5" t="s">
        <v>365</v>
      </c>
      <c r="E995" s="8" t="s">
        <v>366</v>
      </c>
      <c r="F995" s="8"/>
      <c r="G995" s="8"/>
      <c r="H995" s="8"/>
      <c r="J995" s="152" t="s">
        <v>1</v>
      </c>
      <c r="L995" s="4" t="s">
        <v>2</v>
      </c>
      <c r="M995" s="5" t="s">
        <v>1252</v>
      </c>
      <c r="N995" s="237" t="s">
        <v>355</v>
      </c>
      <c r="O995" s="237"/>
      <c r="P995" s="237"/>
      <c r="Q995" s="237"/>
    </row>
    <row r="996" spans="1:18" x14ac:dyDescent="0.2">
      <c r="A996" s="2" t="s">
        <v>7</v>
      </c>
      <c r="C996" s="4" t="s">
        <v>2</v>
      </c>
      <c r="E996" s="2" t="s">
        <v>239</v>
      </c>
      <c r="F996" s="8"/>
      <c r="G996" s="8"/>
      <c r="H996" s="8"/>
      <c r="J996" s="152" t="s">
        <v>7</v>
      </c>
      <c r="L996" s="4" t="s">
        <v>2</v>
      </c>
      <c r="N996" s="152" t="s">
        <v>8</v>
      </c>
      <c r="O996" s="8"/>
      <c r="P996" s="8"/>
      <c r="Q996" s="8"/>
    </row>
    <row r="997" spans="1:18" x14ac:dyDescent="0.2">
      <c r="A997" s="2" t="s">
        <v>10</v>
      </c>
      <c r="C997" s="4" t="s">
        <v>2</v>
      </c>
      <c r="E997" s="9">
        <v>0.3</v>
      </c>
      <c r="F997" s="8"/>
      <c r="G997" s="8"/>
      <c r="H997" s="8"/>
      <c r="J997" s="152" t="s">
        <v>10</v>
      </c>
      <c r="L997" s="4" t="s">
        <v>2</v>
      </c>
      <c r="N997" s="9">
        <v>70</v>
      </c>
      <c r="O997" s="8"/>
      <c r="P997" s="8"/>
      <c r="Q997" s="8"/>
    </row>
    <row r="998" spans="1:18" x14ac:dyDescent="0.2">
      <c r="B998" s="8"/>
      <c r="F998" s="11"/>
      <c r="G998" s="8"/>
      <c r="H998" s="8"/>
      <c r="I998" s="8"/>
      <c r="K998" s="8"/>
      <c r="O998" s="11"/>
      <c r="P998" s="8"/>
      <c r="Q998" s="8"/>
      <c r="R998" s="8"/>
    </row>
    <row r="999" spans="1:18" x14ac:dyDescent="0.2">
      <c r="A999" s="12"/>
      <c r="B999" s="238" t="s">
        <v>11</v>
      </c>
      <c r="C999" s="239"/>
      <c r="D999" s="239"/>
      <c r="E999" s="240"/>
      <c r="F999" s="244" t="s">
        <v>12</v>
      </c>
      <c r="G999" s="244" t="s">
        <v>13</v>
      </c>
      <c r="H999" s="244" t="s">
        <v>14</v>
      </c>
      <c r="I999" s="246" t="s">
        <v>15</v>
      </c>
      <c r="J999" s="12"/>
      <c r="K999" s="238" t="s">
        <v>11</v>
      </c>
      <c r="L999" s="239"/>
      <c r="M999" s="239"/>
      <c r="N999" s="240"/>
      <c r="O999" s="244" t="s">
        <v>12</v>
      </c>
      <c r="P999" s="244" t="s">
        <v>13</v>
      </c>
      <c r="Q999" s="244" t="s">
        <v>14</v>
      </c>
      <c r="R999" s="246" t="s">
        <v>15</v>
      </c>
    </row>
    <row r="1000" spans="1:18" x14ac:dyDescent="0.2">
      <c r="A1000" s="13"/>
      <c r="B1000" s="241"/>
      <c r="C1000" s="242"/>
      <c r="D1000" s="242"/>
      <c r="E1000" s="243"/>
      <c r="F1000" s="245"/>
      <c r="G1000" s="245"/>
      <c r="H1000" s="245"/>
      <c r="I1000" s="247"/>
      <c r="J1000" s="13"/>
      <c r="K1000" s="241"/>
      <c r="L1000" s="242"/>
      <c r="M1000" s="242"/>
      <c r="N1000" s="243"/>
      <c r="O1000" s="245"/>
      <c r="P1000" s="245"/>
      <c r="Q1000" s="245"/>
      <c r="R1000" s="247"/>
    </row>
    <row r="1001" spans="1:18" x14ac:dyDescent="0.2">
      <c r="A1001" s="13" t="s">
        <v>16</v>
      </c>
      <c r="B1001" s="14" t="s">
        <v>17</v>
      </c>
      <c r="C1001" s="15"/>
      <c r="D1001" s="15"/>
      <c r="E1001" s="16"/>
      <c r="F1001" s="17"/>
      <c r="G1001" s="17"/>
      <c r="H1001" s="17"/>
      <c r="I1001" s="17"/>
      <c r="J1001" s="13" t="s">
        <v>16</v>
      </c>
      <c r="K1001" s="14" t="s">
        <v>17</v>
      </c>
      <c r="L1001" s="15"/>
      <c r="M1001" s="15"/>
      <c r="N1001" s="16"/>
      <c r="O1001" s="17"/>
      <c r="P1001" s="17"/>
      <c r="Q1001" s="17"/>
      <c r="R1001" s="17"/>
    </row>
    <row r="1002" spans="1:18" x14ac:dyDescent="0.2">
      <c r="A1002" s="13"/>
      <c r="B1002" s="18"/>
      <c r="C1002" s="19"/>
      <c r="D1002" s="19"/>
      <c r="E1002" s="20"/>
      <c r="F1002" s="21"/>
      <c r="G1002" s="22"/>
      <c r="H1002" s="21"/>
      <c r="I1002" s="21"/>
      <c r="J1002" s="13"/>
      <c r="K1002" s="18"/>
      <c r="L1002" s="19"/>
      <c r="M1002" s="19"/>
      <c r="N1002" s="20"/>
      <c r="O1002" s="21"/>
      <c r="P1002" s="22"/>
      <c r="Q1002" s="21"/>
      <c r="R1002" s="21"/>
    </row>
    <row r="1003" spans="1:18" x14ac:dyDescent="0.2">
      <c r="A1003" s="13"/>
      <c r="B1003" s="24" t="s">
        <v>18</v>
      </c>
      <c r="C1003" s="25"/>
      <c r="D1003" s="25"/>
      <c r="E1003" s="26"/>
      <c r="F1003" s="22">
        <v>1</v>
      </c>
      <c r="G1003" s="23">
        <v>1</v>
      </c>
      <c r="H1003" s="23">
        <v>69.42</v>
      </c>
      <c r="I1003" s="23">
        <f>F1003*G1003*H1003</f>
        <v>69.42</v>
      </c>
      <c r="J1003" s="13"/>
      <c r="K1003" s="24" t="s">
        <v>18</v>
      </c>
      <c r="L1003" s="25"/>
      <c r="M1003" s="25"/>
      <c r="N1003" s="26"/>
      <c r="O1003" s="22">
        <v>1</v>
      </c>
      <c r="P1003" s="23">
        <v>1</v>
      </c>
      <c r="Q1003" s="23">
        <v>69.42</v>
      </c>
      <c r="R1003" s="23">
        <f>P1003*Q1003*O1003</f>
        <v>69.42</v>
      </c>
    </row>
    <row r="1004" spans="1:18" x14ac:dyDescent="0.2">
      <c r="A1004" s="13"/>
      <c r="B1004" s="257" t="s">
        <v>1179</v>
      </c>
      <c r="C1004" s="258"/>
      <c r="D1004" s="19"/>
      <c r="E1004" s="20"/>
      <c r="F1004" s="22">
        <v>3</v>
      </c>
      <c r="G1004" s="23">
        <v>1</v>
      </c>
      <c r="H1004" s="23">
        <v>38.97</v>
      </c>
      <c r="I1004" s="23">
        <f>F1004*G1004*H1004</f>
        <v>116.91</v>
      </c>
      <c r="J1004" s="13"/>
      <c r="K1004" s="257" t="s">
        <v>1178</v>
      </c>
      <c r="L1004" s="258"/>
      <c r="M1004" s="25"/>
      <c r="N1004" s="26"/>
      <c r="O1004" s="22">
        <v>4</v>
      </c>
      <c r="P1004" s="23">
        <v>1</v>
      </c>
      <c r="Q1004" s="23">
        <v>50.18</v>
      </c>
      <c r="R1004" s="23">
        <f>P1004*Q1004*O1004</f>
        <v>200.72</v>
      </c>
    </row>
    <row r="1005" spans="1:18" x14ac:dyDescent="0.2">
      <c r="A1005" s="13"/>
      <c r="B1005" s="27"/>
      <c r="C1005" s="19"/>
      <c r="D1005" s="19"/>
      <c r="E1005" s="20"/>
      <c r="F1005" s="22"/>
      <c r="G1005" s="22"/>
      <c r="H1005" s="28"/>
      <c r="I1005" s="23"/>
      <c r="J1005" s="13"/>
      <c r="K1005" s="257" t="s">
        <v>1177</v>
      </c>
      <c r="L1005" s="258"/>
      <c r="M1005" s="19"/>
      <c r="N1005" s="20"/>
      <c r="O1005" s="22">
        <v>12</v>
      </c>
      <c r="P1005" s="23">
        <v>1</v>
      </c>
      <c r="Q1005" s="23">
        <v>38.97</v>
      </c>
      <c r="R1005" s="23">
        <f>P1005*Q1005*O1005</f>
        <v>467.64</v>
      </c>
    </row>
    <row r="1006" spans="1:18" x14ac:dyDescent="0.2">
      <c r="A1006" s="13"/>
      <c r="B1006" s="27"/>
      <c r="C1006" s="19"/>
      <c r="D1006" s="19"/>
      <c r="E1006" s="20"/>
      <c r="F1006" s="22"/>
      <c r="G1006" s="22"/>
      <c r="H1006" s="29"/>
      <c r="I1006" s="30"/>
      <c r="J1006" s="13"/>
      <c r="K1006" s="153"/>
      <c r="L1006" s="19"/>
      <c r="M1006" s="19"/>
      <c r="N1006" s="20"/>
      <c r="O1006" s="22"/>
      <c r="P1006" s="22"/>
      <c r="Q1006" s="29"/>
      <c r="R1006" s="30"/>
    </row>
    <row r="1007" spans="1:18" x14ac:dyDescent="0.2">
      <c r="A1007" s="13"/>
      <c r="B1007" s="27"/>
      <c r="C1007" s="19"/>
      <c r="D1007" s="19"/>
      <c r="E1007" s="20"/>
      <c r="F1007" s="22"/>
      <c r="G1007" s="22"/>
      <c r="H1007" s="29"/>
      <c r="I1007" s="30"/>
      <c r="J1007" s="13"/>
      <c r="K1007" s="153"/>
      <c r="L1007" s="19"/>
      <c r="M1007" s="19"/>
      <c r="N1007" s="20"/>
      <c r="O1007" s="22"/>
      <c r="P1007" s="22"/>
      <c r="Q1007" s="29"/>
      <c r="R1007" s="30"/>
    </row>
    <row r="1008" spans="1:18" x14ac:dyDescent="0.2">
      <c r="A1008" s="13"/>
      <c r="B1008" s="18"/>
      <c r="C1008" s="19"/>
      <c r="D1008" s="19"/>
      <c r="E1008" s="20"/>
      <c r="F1008" s="22"/>
      <c r="G1008" s="22"/>
      <c r="H1008" s="28"/>
      <c r="I1008" s="23"/>
      <c r="J1008" s="13"/>
      <c r="K1008" s="18"/>
      <c r="L1008" s="19"/>
      <c r="M1008" s="19"/>
      <c r="N1008" s="20"/>
      <c r="O1008" s="22"/>
      <c r="P1008" s="22"/>
      <c r="Q1008" s="28"/>
      <c r="R1008" s="23"/>
    </row>
    <row r="1009" spans="1:18" x14ac:dyDescent="0.2">
      <c r="A1009" s="13"/>
      <c r="B1009" s="18"/>
      <c r="C1009" s="19"/>
      <c r="D1009" s="19"/>
      <c r="E1009" s="20"/>
      <c r="F1009" s="22"/>
      <c r="G1009" s="22"/>
      <c r="H1009" s="23"/>
      <c r="I1009" s="23"/>
      <c r="J1009" s="13"/>
      <c r="K1009" s="18"/>
      <c r="L1009" s="19"/>
      <c r="M1009" s="19"/>
      <c r="N1009" s="20"/>
      <c r="O1009" s="22"/>
      <c r="P1009" s="22"/>
      <c r="Q1009" s="23"/>
      <c r="R1009" s="23"/>
    </row>
    <row r="1010" spans="1:18" x14ac:dyDescent="0.2">
      <c r="A1010" s="13"/>
      <c r="B1010" s="248" t="s">
        <v>20</v>
      </c>
      <c r="C1010" s="249"/>
      <c r="D1010" s="249"/>
      <c r="E1010" s="250"/>
      <c r="F1010" s="31"/>
      <c r="G1010" s="31"/>
      <c r="H1010" s="32"/>
      <c r="I1010" s="32">
        <f>SUM(I1003:I1009)</f>
        <v>186.32999999999998</v>
      </c>
      <c r="J1010" s="13"/>
      <c r="K1010" s="248" t="s">
        <v>20</v>
      </c>
      <c r="L1010" s="249"/>
      <c r="M1010" s="249"/>
      <c r="N1010" s="250"/>
      <c r="O1010" s="31"/>
      <c r="P1010" s="31"/>
      <c r="Q1010" s="32"/>
      <c r="R1010" s="32">
        <f>SUM(R1003:R1009)</f>
        <v>737.78</v>
      </c>
    </row>
    <row r="1011" spans="1:18" x14ac:dyDescent="0.2">
      <c r="A1011" s="12"/>
      <c r="B1011" s="251" t="s">
        <v>21</v>
      </c>
      <c r="C1011" s="252"/>
      <c r="D1011" s="252"/>
      <c r="E1011" s="253"/>
      <c r="F1011" s="244" t="s">
        <v>22</v>
      </c>
      <c r="G1011" s="244" t="s">
        <v>13</v>
      </c>
      <c r="H1011" s="244" t="s">
        <v>14</v>
      </c>
      <c r="I1011" s="246" t="s">
        <v>15</v>
      </c>
      <c r="J1011" s="12"/>
      <c r="K1011" s="251" t="s">
        <v>21</v>
      </c>
      <c r="L1011" s="252"/>
      <c r="M1011" s="252"/>
      <c r="N1011" s="253"/>
      <c r="O1011" s="244" t="s">
        <v>22</v>
      </c>
      <c r="P1011" s="244" t="s">
        <v>13</v>
      </c>
      <c r="Q1011" s="244" t="s">
        <v>14</v>
      </c>
      <c r="R1011" s="246" t="s">
        <v>15</v>
      </c>
    </row>
    <row r="1012" spans="1:18" x14ac:dyDescent="0.2">
      <c r="A1012" s="13"/>
      <c r="B1012" s="254"/>
      <c r="C1012" s="255"/>
      <c r="D1012" s="255"/>
      <c r="E1012" s="256"/>
      <c r="F1012" s="245"/>
      <c r="G1012" s="245"/>
      <c r="H1012" s="245"/>
      <c r="I1012" s="247"/>
      <c r="J1012" s="13"/>
      <c r="K1012" s="254"/>
      <c r="L1012" s="255"/>
      <c r="M1012" s="255"/>
      <c r="N1012" s="256"/>
      <c r="O1012" s="245"/>
      <c r="P1012" s="245"/>
      <c r="Q1012" s="245"/>
      <c r="R1012" s="247"/>
    </row>
    <row r="1013" spans="1:18" x14ac:dyDescent="0.2">
      <c r="A1013" s="13" t="s">
        <v>23</v>
      </c>
      <c r="B1013" s="33" t="s">
        <v>24</v>
      </c>
      <c r="C1013" s="15"/>
      <c r="D1013" s="15"/>
      <c r="E1013" s="16"/>
      <c r="F1013" s="34"/>
      <c r="G1013" s="34"/>
      <c r="H1013" s="35"/>
      <c r="I1013" s="35"/>
      <c r="J1013" s="13" t="s">
        <v>23</v>
      </c>
      <c r="K1013" s="33" t="s">
        <v>24</v>
      </c>
      <c r="L1013" s="15"/>
      <c r="M1013" s="15"/>
      <c r="N1013" s="16"/>
      <c r="O1013" s="34"/>
      <c r="P1013" s="34"/>
      <c r="Q1013" s="35"/>
      <c r="R1013" s="35"/>
    </row>
    <row r="1014" spans="1:18" x14ac:dyDescent="0.2">
      <c r="A1014" s="13"/>
      <c r="B1014" s="18"/>
      <c r="C1014" s="19"/>
      <c r="D1014" s="19"/>
      <c r="E1014" s="20"/>
      <c r="F1014" s="22"/>
      <c r="G1014" s="22"/>
      <c r="H1014" s="23"/>
      <c r="I1014" s="23"/>
      <c r="J1014" s="13"/>
      <c r="K1014" s="18"/>
      <c r="L1014" s="19"/>
      <c r="M1014" s="19"/>
      <c r="N1014" s="20"/>
      <c r="O1014" s="22"/>
      <c r="P1014" s="22"/>
      <c r="Q1014" s="23"/>
      <c r="R1014" s="23"/>
    </row>
    <row r="1015" spans="1:18" x14ac:dyDescent="0.2">
      <c r="A1015" s="13"/>
      <c r="B1015" s="18" t="s">
        <v>1209</v>
      </c>
      <c r="C1015" s="19"/>
      <c r="D1015" s="19"/>
      <c r="E1015" s="20"/>
      <c r="F1015" s="22">
        <v>1</v>
      </c>
      <c r="G1015" s="23">
        <v>1</v>
      </c>
      <c r="H1015" s="37">
        <v>936</v>
      </c>
      <c r="I1015" s="23">
        <f>F1015*G1015*H1015</f>
        <v>936</v>
      </c>
      <c r="J1015" s="13"/>
      <c r="K1015" s="18" t="s">
        <v>621</v>
      </c>
      <c r="L1015" s="19"/>
      <c r="M1015" s="19"/>
      <c r="N1015" s="20"/>
      <c r="O1015" s="22">
        <v>2</v>
      </c>
      <c r="P1015" s="23">
        <v>1</v>
      </c>
      <c r="Q1015" s="37">
        <v>91.25</v>
      </c>
      <c r="R1015" s="37">
        <f t="shared" ref="R1015:R1018" si="57">P1015*Q1015*O1015</f>
        <v>182.5</v>
      </c>
    </row>
    <row r="1016" spans="1:18" x14ac:dyDescent="0.2">
      <c r="A1016" s="13"/>
      <c r="B1016" s="18" t="s">
        <v>288</v>
      </c>
      <c r="C1016" s="19"/>
      <c r="D1016" s="19"/>
      <c r="E1016" s="20"/>
      <c r="F1016" s="22">
        <v>1</v>
      </c>
      <c r="G1016" s="23">
        <v>1</v>
      </c>
      <c r="H1016" s="37">
        <v>130.54</v>
      </c>
      <c r="I1016" s="23">
        <f>F1016*G1016*H1016</f>
        <v>130.54</v>
      </c>
      <c r="J1016" s="13"/>
      <c r="K1016" s="18" t="s">
        <v>255</v>
      </c>
      <c r="L1016" s="19"/>
      <c r="M1016" s="19"/>
      <c r="N1016" s="20"/>
      <c r="O1016" s="22">
        <v>1</v>
      </c>
      <c r="P1016" s="23">
        <v>1</v>
      </c>
      <c r="Q1016" s="37">
        <v>545</v>
      </c>
      <c r="R1016" s="37">
        <f t="shared" si="57"/>
        <v>545</v>
      </c>
    </row>
    <row r="1017" spans="1:18" x14ac:dyDescent="0.2">
      <c r="A1017" s="13"/>
      <c r="B1017" s="18"/>
      <c r="C1017" s="19"/>
      <c r="D1017" s="19"/>
      <c r="E1017" s="20"/>
      <c r="F1017" s="22"/>
      <c r="G1017" s="23"/>
      <c r="H1017" s="37"/>
      <c r="I1017" s="23"/>
      <c r="J1017" s="13"/>
      <c r="K1017" s="18" t="s">
        <v>1246</v>
      </c>
      <c r="L1017" s="19"/>
      <c r="M1017" s="19"/>
      <c r="N1017" s="20"/>
      <c r="O1017" s="22">
        <v>1</v>
      </c>
      <c r="P1017" s="23">
        <v>1</v>
      </c>
      <c r="Q1017" s="37">
        <v>32.630000000000003</v>
      </c>
      <c r="R1017" s="37">
        <f t="shared" si="57"/>
        <v>32.630000000000003</v>
      </c>
    </row>
    <row r="1018" spans="1:18" x14ac:dyDescent="0.2">
      <c r="A1018" s="13"/>
      <c r="B1018" s="18"/>
      <c r="C1018" s="19"/>
      <c r="D1018" s="19"/>
      <c r="E1018" s="20"/>
      <c r="F1018" s="22"/>
      <c r="G1018" s="23"/>
      <c r="H1018" s="37"/>
      <c r="I1018" s="23"/>
      <c r="J1018" s="13"/>
      <c r="K1018" s="18" t="s">
        <v>404</v>
      </c>
      <c r="L1018" s="19"/>
      <c r="M1018" s="19"/>
      <c r="N1018" s="20"/>
      <c r="O1018" s="22">
        <v>1</v>
      </c>
      <c r="P1018" s="23">
        <v>0.1</v>
      </c>
      <c r="Q1018" s="37">
        <v>219.75</v>
      </c>
      <c r="R1018" s="37">
        <f t="shared" si="57"/>
        <v>21.975000000000001</v>
      </c>
    </row>
    <row r="1019" spans="1:18" x14ac:dyDescent="0.2">
      <c r="A1019" s="13"/>
      <c r="B1019" s="18"/>
      <c r="C1019" s="19"/>
      <c r="D1019" s="19"/>
      <c r="E1019" s="20"/>
      <c r="F1019" s="22"/>
      <c r="G1019" s="36"/>
      <c r="H1019" s="37"/>
      <c r="I1019" s="23"/>
      <c r="J1019" s="13"/>
      <c r="K1019" s="18" t="s">
        <v>1195</v>
      </c>
      <c r="L1019" s="19"/>
      <c r="M1019" s="19"/>
      <c r="N1019" s="20"/>
      <c r="O1019" s="22"/>
      <c r="P1019" s="36"/>
      <c r="R1019" s="37">
        <f>R1010*0.05</f>
        <v>36.889000000000003</v>
      </c>
    </row>
    <row r="1020" spans="1:18" x14ac:dyDescent="0.2">
      <c r="A1020" s="13"/>
      <c r="B1020" s="18"/>
      <c r="C1020" s="19"/>
      <c r="D1020" s="19"/>
      <c r="E1020" s="20"/>
      <c r="F1020" s="22"/>
      <c r="G1020" s="36"/>
      <c r="H1020" s="38"/>
      <c r="I1020" s="38"/>
      <c r="J1020" s="13"/>
      <c r="K1020" s="18"/>
      <c r="L1020" s="19"/>
      <c r="M1020" s="19"/>
      <c r="N1020" s="20"/>
      <c r="O1020" s="22"/>
      <c r="P1020" s="23"/>
      <c r="Q1020" s="37"/>
      <c r="R1020" s="37"/>
    </row>
    <row r="1021" spans="1:18" x14ac:dyDescent="0.2">
      <c r="A1021" s="13"/>
      <c r="B1021" s="18"/>
      <c r="C1021" s="19"/>
      <c r="D1021" s="19"/>
      <c r="E1021" s="20"/>
      <c r="F1021" s="22"/>
      <c r="G1021" s="36"/>
      <c r="H1021" s="37"/>
      <c r="I1021" s="37"/>
      <c r="J1021" s="13"/>
      <c r="K1021" s="18"/>
      <c r="L1021" s="19"/>
      <c r="M1021" s="19"/>
      <c r="N1021" s="20"/>
      <c r="O1021" s="22"/>
      <c r="P1021" s="23"/>
      <c r="Q1021" s="37"/>
      <c r="R1021" s="37"/>
    </row>
    <row r="1022" spans="1:18" x14ac:dyDescent="0.2">
      <c r="A1022" s="13"/>
      <c r="B1022" s="18"/>
      <c r="C1022" s="19"/>
      <c r="D1022" s="19"/>
      <c r="E1022" s="20"/>
      <c r="F1022" s="22"/>
      <c r="G1022" s="36"/>
      <c r="H1022" s="38"/>
      <c r="I1022" s="38"/>
      <c r="J1022" s="13"/>
      <c r="K1022" s="18"/>
      <c r="L1022" s="19"/>
      <c r="M1022" s="19"/>
      <c r="N1022" s="20"/>
      <c r="O1022" s="22"/>
      <c r="P1022" s="23"/>
      <c r="Q1022" s="37"/>
      <c r="R1022" s="37"/>
    </row>
    <row r="1023" spans="1:18" x14ac:dyDescent="0.2">
      <c r="A1023" s="13"/>
      <c r="B1023" s="18"/>
      <c r="C1023" s="19"/>
      <c r="D1023" s="19"/>
      <c r="E1023" s="20"/>
      <c r="F1023" s="22"/>
      <c r="G1023" s="36"/>
      <c r="H1023" s="38"/>
      <c r="I1023" s="38"/>
      <c r="J1023" s="13"/>
      <c r="K1023" s="18"/>
      <c r="L1023" s="19"/>
      <c r="M1023" s="19"/>
      <c r="N1023" s="20"/>
      <c r="O1023" s="22"/>
      <c r="P1023" s="36"/>
    </row>
    <row r="1024" spans="1:18" x14ac:dyDescent="0.2">
      <c r="A1024" s="13"/>
      <c r="B1024" s="18"/>
      <c r="C1024" s="19"/>
      <c r="D1024" s="19"/>
      <c r="E1024" s="20"/>
      <c r="F1024" s="22"/>
      <c r="G1024" s="36"/>
      <c r="H1024" s="37"/>
      <c r="I1024" s="37"/>
      <c r="J1024" s="13"/>
      <c r="K1024" s="18"/>
      <c r="L1024" s="19"/>
      <c r="M1024" s="19"/>
      <c r="N1024" s="20"/>
      <c r="O1024" s="22"/>
      <c r="P1024" s="36"/>
      <c r="Q1024" s="37"/>
      <c r="R1024" s="37"/>
    </row>
    <row r="1025" spans="1:18" x14ac:dyDescent="0.2">
      <c r="A1025" s="13"/>
      <c r="B1025" s="18"/>
      <c r="C1025" s="19"/>
      <c r="D1025" s="19"/>
      <c r="E1025" s="20"/>
      <c r="F1025" s="22"/>
      <c r="G1025" s="36"/>
      <c r="H1025" s="37"/>
      <c r="I1025" s="37"/>
      <c r="J1025" s="13"/>
      <c r="K1025" s="18"/>
      <c r="L1025" s="19"/>
      <c r="M1025" s="19"/>
      <c r="N1025" s="20"/>
      <c r="O1025" s="22"/>
      <c r="P1025" s="36"/>
      <c r="Q1025" s="37"/>
      <c r="R1025" s="37"/>
    </row>
    <row r="1026" spans="1:18" x14ac:dyDescent="0.2">
      <c r="A1026" s="13"/>
      <c r="B1026" s="18"/>
      <c r="C1026" s="19"/>
      <c r="D1026" s="19"/>
      <c r="E1026" s="20"/>
      <c r="F1026" s="22"/>
      <c r="G1026" s="36"/>
      <c r="H1026" s="37"/>
      <c r="I1026" s="37"/>
      <c r="J1026" s="13"/>
      <c r="K1026" s="18"/>
      <c r="L1026" s="19"/>
      <c r="M1026" s="19"/>
      <c r="N1026" s="20"/>
      <c r="O1026" s="22"/>
      <c r="P1026" s="36"/>
      <c r="Q1026" s="37"/>
      <c r="R1026" s="37"/>
    </row>
    <row r="1027" spans="1:18" x14ac:dyDescent="0.2">
      <c r="A1027" s="13"/>
      <c r="B1027" s="18"/>
      <c r="C1027" s="19"/>
      <c r="D1027" s="19"/>
      <c r="E1027" s="20"/>
      <c r="F1027" s="22"/>
      <c r="G1027" s="22"/>
      <c r="H1027" s="23"/>
      <c r="I1027" s="23"/>
      <c r="J1027" s="13"/>
      <c r="K1027" s="18"/>
      <c r="L1027" s="19"/>
      <c r="M1027" s="19"/>
      <c r="N1027" s="20"/>
      <c r="O1027" s="22"/>
      <c r="P1027" s="22"/>
      <c r="Q1027" s="23"/>
      <c r="R1027" s="23"/>
    </row>
    <row r="1028" spans="1:18" x14ac:dyDescent="0.2">
      <c r="A1028" s="13"/>
      <c r="B1028" s="248" t="s">
        <v>30</v>
      </c>
      <c r="C1028" s="249"/>
      <c r="D1028" s="249"/>
      <c r="E1028" s="250"/>
      <c r="F1028" s="22"/>
      <c r="G1028" s="22"/>
      <c r="H1028" s="23"/>
      <c r="I1028" s="23">
        <f>SUM(I1015:I1027)</f>
        <v>1066.54</v>
      </c>
      <c r="J1028" s="13"/>
      <c r="K1028" s="248" t="s">
        <v>30</v>
      </c>
      <c r="L1028" s="249"/>
      <c r="M1028" s="249"/>
      <c r="N1028" s="250"/>
      <c r="O1028" s="22"/>
      <c r="P1028" s="22"/>
      <c r="Q1028" s="23"/>
      <c r="R1028" s="23">
        <f>SUM(R1015:R1027)</f>
        <v>818.99400000000003</v>
      </c>
    </row>
    <row r="1029" spans="1:18" x14ac:dyDescent="0.2">
      <c r="A1029" s="12" t="s">
        <v>31</v>
      </c>
      <c r="B1029" s="260" t="s">
        <v>32</v>
      </c>
      <c r="C1029" s="261"/>
      <c r="D1029" s="261"/>
      <c r="E1029" s="261"/>
      <c r="F1029" s="39"/>
      <c r="G1029" s="39"/>
      <c r="H1029" s="40"/>
      <c r="I1029" s="41">
        <f>SUM(I1028+I1010)</f>
        <v>1252.8699999999999</v>
      </c>
      <c r="J1029" s="12" t="s">
        <v>31</v>
      </c>
      <c r="K1029" s="260" t="s">
        <v>32</v>
      </c>
      <c r="L1029" s="261"/>
      <c r="M1029" s="261"/>
      <c r="N1029" s="261"/>
      <c r="O1029" s="151"/>
      <c r="P1029" s="151"/>
      <c r="Q1029" s="40"/>
      <c r="R1029" s="41">
        <f>SUM(R1028+R1010)</f>
        <v>1556.7739999999999</v>
      </c>
    </row>
    <row r="1030" spans="1:18" x14ac:dyDescent="0.2">
      <c r="A1030" s="13" t="s">
        <v>33</v>
      </c>
      <c r="B1030" s="309">
        <f>E997</f>
        <v>0.3</v>
      </c>
      <c r="C1030" s="310"/>
      <c r="D1030" s="310"/>
      <c r="E1030" s="310"/>
      <c r="F1030" s="310"/>
      <c r="G1030" s="310"/>
      <c r="H1030" s="40"/>
      <c r="I1030" s="41"/>
      <c r="J1030" s="13" t="s">
        <v>33</v>
      </c>
      <c r="K1030" s="313">
        <f>N997</f>
        <v>70</v>
      </c>
      <c r="L1030" s="314"/>
      <c r="M1030" s="314"/>
      <c r="N1030" s="314"/>
      <c r="O1030" s="314"/>
      <c r="P1030" s="314"/>
      <c r="Q1030" s="40"/>
      <c r="R1030" s="41"/>
    </row>
    <row r="1031" spans="1:18" x14ac:dyDescent="0.2">
      <c r="A1031" s="13" t="s">
        <v>34</v>
      </c>
      <c r="B1031" s="42" t="s">
        <v>35</v>
      </c>
      <c r="C1031" s="43"/>
      <c r="D1031" s="43"/>
      <c r="E1031" s="39"/>
      <c r="F1031" s="44"/>
      <c r="G1031" s="44"/>
      <c r="H1031" s="40"/>
      <c r="I1031" s="41">
        <f>I1029/E997</f>
        <v>4176.2333333333336</v>
      </c>
      <c r="J1031" s="13" t="s">
        <v>34</v>
      </c>
      <c r="K1031" s="155" t="s">
        <v>35</v>
      </c>
      <c r="L1031" s="43"/>
      <c r="M1031" s="43"/>
      <c r="N1031" s="151"/>
      <c r="O1031" s="156"/>
      <c r="P1031" s="156"/>
      <c r="Q1031" s="40"/>
      <c r="R1031" s="41">
        <f>R1029/N997</f>
        <v>22.239628571428568</v>
      </c>
    </row>
    <row r="1032" spans="1:18" x14ac:dyDescent="0.2">
      <c r="A1032" s="12"/>
      <c r="B1032" s="251" t="s">
        <v>36</v>
      </c>
      <c r="C1032" s="252"/>
      <c r="D1032" s="252"/>
      <c r="E1032" s="253"/>
      <c r="F1032" s="244" t="s">
        <v>37</v>
      </c>
      <c r="G1032" s="244" t="s">
        <v>38</v>
      </c>
      <c r="H1032" s="244" t="s">
        <v>39</v>
      </c>
      <c r="I1032" s="246" t="s">
        <v>15</v>
      </c>
      <c r="J1032" s="12"/>
      <c r="K1032" s="251" t="s">
        <v>36</v>
      </c>
      <c r="L1032" s="252"/>
      <c r="M1032" s="252"/>
      <c r="N1032" s="253"/>
      <c r="O1032" s="244" t="s">
        <v>37</v>
      </c>
      <c r="P1032" s="244" t="s">
        <v>38</v>
      </c>
      <c r="Q1032" s="244" t="s">
        <v>39</v>
      </c>
      <c r="R1032" s="246" t="s">
        <v>15</v>
      </c>
    </row>
    <row r="1033" spans="1:18" x14ac:dyDescent="0.2">
      <c r="A1033" s="13"/>
      <c r="B1033" s="254"/>
      <c r="C1033" s="255"/>
      <c r="D1033" s="255"/>
      <c r="E1033" s="256"/>
      <c r="F1033" s="245"/>
      <c r="G1033" s="245"/>
      <c r="H1033" s="245"/>
      <c r="I1033" s="247"/>
      <c r="J1033" s="13"/>
      <c r="K1033" s="254"/>
      <c r="L1033" s="255"/>
      <c r="M1033" s="255"/>
      <c r="N1033" s="256"/>
      <c r="O1033" s="245"/>
      <c r="P1033" s="245"/>
      <c r="Q1033" s="245"/>
      <c r="R1033" s="247"/>
    </row>
    <row r="1034" spans="1:18" x14ac:dyDescent="0.2">
      <c r="A1034" s="13" t="s">
        <v>40</v>
      </c>
      <c r="B1034" s="18" t="s">
        <v>41</v>
      </c>
      <c r="C1034" s="19"/>
      <c r="D1034" s="19"/>
      <c r="E1034" s="20"/>
      <c r="F1034" s="22"/>
      <c r="G1034" s="22"/>
      <c r="H1034" s="23"/>
      <c r="I1034" s="23"/>
      <c r="J1034" s="13" t="s">
        <v>40</v>
      </c>
      <c r="K1034" s="18" t="s">
        <v>41</v>
      </c>
      <c r="L1034" s="19"/>
      <c r="M1034" s="19"/>
      <c r="N1034" s="20"/>
      <c r="O1034" s="22"/>
      <c r="P1034" s="22"/>
      <c r="Q1034" s="23"/>
      <c r="R1034" s="23"/>
    </row>
    <row r="1035" spans="1:18" x14ac:dyDescent="0.2">
      <c r="A1035" s="13"/>
      <c r="B1035" s="18"/>
      <c r="C1035" s="19"/>
      <c r="D1035" s="19"/>
      <c r="E1035" s="20"/>
      <c r="F1035" s="22"/>
      <c r="G1035" s="22"/>
      <c r="H1035" s="23"/>
      <c r="I1035" s="23"/>
      <c r="J1035" s="13"/>
      <c r="K1035" s="18"/>
      <c r="L1035" s="19"/>
      <c r="M1035" s="19"/>
      <c r="N1035" s="20"/>
      <c r="O1035" s="22"/>
      <c r="P1035" s="22"/>
      <c r="Q1035" s="23"/>
      <c r="R1035" s="23"/>
    </row>
    <row r="1036" spans="1:18" x14ac:dyDescent="0.2">
      <c r="A1036" s="13"/>
      <c r="B1036" s="237" t="s">
        <v>369</v>
      </c>
      <c r="C1036" s="237"/>
      <c r="D1036" s="237"/>
      <c r="E1036" s="237"/>
      <c r="F1036" s="22" t="s">
        <v>239</v>
      </c>
      <c r="G1036" s="22">
        <v>1.05</v>
      </c>
      <c r="H1036" s="107">
        <f>ROUND(10155.08*5,0)</f>
        <v>50775</v>
      </c>
      <c r="I1036" s="23">
        <f>G1036*H1036</f>
        <v>53313.75</v>
      </c>
      <c r="J1036" s="13"/>
      <c r="K1036" s="18" t="s">
        <v>263</v>
      </c>
      <c r="L1036" s="66"/>
      <c r="M1036" s="19"/>
      <c r="N1036" s="20"/>
      <c r="O1036" s="22" t="s">
        <v>77</v>
      </c>
      <c r="P1036" s="22">
        <v>0.43</v>
      </c>
      <c r="Q1036" s="107">
        <v>40</v>
      </c>
      <c r="R1036" s="23">
        <f>P1036*Q1036</f>
        <v>17.2</v>
      </c>
    </row>
    <row r="1037" spans="1:18" x14ac:dyDescent="0.2">
      <c r="A1037" s="13"/>
      <c r="B1037" s="18"/>
      <c r="C1037" s="66"/>
      <c r="D1037" s="19"/>
      <c r="E1037" s="20"/>
      <c r="F1037" s="22"/>
      <c r="G1037" s="22"/>
      <c r="H1037" s="23"/>
      <c r="I1037" s="23"/>
      <c r="J1037" s="13"/>
      <c r="K1037" s="18" t="s">
        <v>264</v>
      </c>
      <c r="L1037" s="66"/>
      <c r="M1037" s="19"/>
      <c r="N1037" s="20"/>
      <c r="O1037" s="22" t="s">
        <v>1216</v>
      </c>
      <c r="P1037" s="22">
        <v>0.28999999999999998</v>
      </c>
      <c r="Q1037" s="107">
        <v>28</v>
      </c>
      <c r="R1037" s="23">
        <f t="shared" ref="R1037:R1043" si="58">P1037*Q1037</f>
        <v>8.1199999999999992</v>
      </c>
    </row>
    <row r="1038" spans="1:18" x14ac:dyDescent="0.2">
      <c r="A1038" s="13"/>
      <c r="B1038" s="18"/>
      <c r="C1038" s="19"/>
      <c r="D1038" s="19"/>
      <c r="E1038" s="20"/>
      <c r="F1038" s="22"/>
      <c r="G1038" s="22"/>
      <c r="H1038" s="38"/>
      <c r="I1038" s="38"/>
      <c r="J1038" s="13"/>
      <c r="K1038" s="18" t="s">
        <v>266</v>
      </c>
      <c r="L1038" s="19"/>
      <c r="M1038" s="19"/>
      <c r="N1038" s="20"/>
      <c r="O1038" s="22" t="s">
        <v>1216</v>
      </c>
      <c r="P1038" s="22">
        <v>0.12</v>
      </c>
      <c r="Q1038" s="107">
        <f>44000/1000</f>
        <v>44</v>
      </c>
      <c r="R1038" s="23">
        <f t="shared" si="58"/>
        <v>5.2799999999999994</v>
      </c>
    </row>
    <row r="1039" spans="1:18" x14ac:dyDescent="0.2">
      <c r="A1039" s="13"/>
      <c r="B1039" s="18"/>
      <c r="C1039" s="19"/>
      <c r="D1039" s="19"/>
      <c r="E1039" s="20"/>
      <c r="F1039" s="22"/>
      <c r="G1039" s="22"/>
      <c r="H1039" s="38"/>
      <c r="I1039" s="38"/>
      <c r="J1039" s="13"/>
      <c r="K1039" s="18" t="s">
        <v>267</v>
      </c>
      <c r="L1039" s="19"/>
      <c r="M1039" s="19"/>
      <c r="N1039" s="20"/>
      <c r="O1039" s="22" t="s">
        <v>1153</v>
      </c>
      <c r="P1039" s="22">
        <v>0.46</v>
      </c>
      <c r="Q1039" s="107">
        <v>50</v>
      </c>
      <c r="R1039" s="23">
        <f t="shared" si="58"/>
        <v>23</v>
      </c>
    </row>
    <row r="1040" spans="1:18" x14ac:dyDescent="0.2">
      <c r="A1040" s="13"/>
      <c r="B1040" s="18"/>
      <c r="C1040" s="19"/>
      <c r="D1040" s="19"/>
      <c r="E1040" s="20"/>
      <c r="F1040" s="22"/>
      <c r="G1040" s="22"/>
      <c r="H1040" s="45"/>
      <c r="I1040" s="45"/>
      <c r="J1040" s="13"/>
      <c r="K1040" s="18" t="s">
        <v>1247</v>
      </c>
      <c r="L1040" s="19"/>
      <c r="M1040" s="19"/>
      <c r="N1040" s="20"/>
      <c r="O1040" s="22" t="s">
        <v>9</v>
      </c>
      <c r="P1040" s="22">
        <v>0.23</v>
      </c>
      <c r="Q1040" s="107">
        <v>850</v>
      </c>
      <c r="R1040" s="23">
        <f t="shared" si="58"/>
        <v>195.5</v>
      </c>
    </row>
    <row r="1041" spans="1:18" x14ac:dyDescent="0.2">
      <c r="A1041" s="13"/>
      <c r="B1041" s="18"/>
      <c r="C1041" s="19"/>
      <c r="D1041" s="19"/>
      <c r="E1041" s="20"/>
      <c r="F1041" s="22"/>
      <c r="G1041" s="22"/>
      <c r="H1041" s="45"/>
      <c r="I1041" s="45"/>
      <c r="J1041" s="13"/>
      <c r="K1041" s="18" t="s">
        <v>1248</v>
      </c>
      <c r="L1041" s="19"/>
      <c r="M1041" s="19"/>
      <c r="N1041" s="20"/>
      <c r="O1041" s="22" t="s">
        <v>80</v>
      </c>
      <c r="P1041" s="22">
        <v>1.4999999999999999E-4</v>
      </c>
      <c r="Q1041" s="107">
        <v>8000</v>
      </c>
      <c r="R1041" s="23">
        <f t="shared" si="58"/>
        <v>1.2</v>
      </c>
    </row>
    <row r="1042" spans="1:18" x14ac:dyDescent="0.2">
      <c r="A1042" s="13"/>
      <c r="B1042" s="18"/>
      <c r="C1042" s="19"/>
      <c r="D1042" s="19"/>
      <c r="E1042" s="20"/>
      <c r="F1042" s="22"/>
      <c r="G1042" s="22"/>
      <c r="H1042" s="23"/>
      <c r="I1042" s="23"/>
      <c r="J1042" s="13"/>
      <c r="K1042" s="18" t="s">
        <v>1249</v>
      </c>
      <c r="L1042" s="19"/>
      <c r="M1042" s="19"/>
      <c r="N1042" s="20"/>
      <c r="O1042" s="22" t="s">
        <v>1153</v>
      </c>
      <c r="P1042" s="22">
        <v>7.1000000000000004E-3</v>
      </c>
      <c r="Q1042" s="107">
        <v>34.33</v>
      </c>
      <c r="R1042" s="23">
        <f t="shared" si="58"/>
        <v>0.24374300000000002</v>
      </c>
    </row>
    <row r="1043" spans="1:18" x14ac:dyDescent="0.2">
      <c r="A1043" s="13"/>
      <c r="B1043" s="18"/>
      <c r="C1043" s="19"/>
      <c r="D1043" s="19"/>
      <c r="E1043" s="20"/>
      <c r="F1043" s="22"/>
      <c r="G1043" s="22"/>
      <c r="H1043" s="23"/>
      <c r="I1043" s="23"/>
      <c r="J1043" s="13"/>
      <c r="K1043" s="18" t="s">
        <v>1250</v>
      </c>
      <c r="L1043" s="19"/>
      <c r="M1043" s="19"/>
      <c r="N1043" s="20"/>
      <c r="O1043" s="22" t="s">
        <v>1216</v>
      </c>
      <c r="P1043" s="22">
        <v>8.6999999999999994E-3</v>
      </c>
      <c r="Q1043" s="107">
        <v>300</v>
      </c>
      <c r="R1043" s="23">
        <f t="shared" si="58"/>
        <v>2.61</v>
      </c>
    </row>
    <row r="1044" spans="1:18" x14ac:dyDescent="0.2">
      <c r="A1044" s="13"/>
      <c r="B1044" s="18"/>
      <c r="C1044" s="19"/>
      <c r="D1044" s="19"/>
      <c r="E1044" s="20"/>
      <c r="F1044" s="22"/>
      <c r="G1044" s="22"/>
      <c r="H1044" s="23"/>
      <c r="I1044" s="23"/>
      <c r="J1044" s="13"/>
      <c r="K1044" s="18"/>
      <c r="L1044" s="19"/>
      <c r="M1044" s="19"/>
      <c r="N1044" s="20"/>
      <c r="O1044" s="22"/>
      <c r="P1044" s="22"/>
      <c r="Q1044" s="107"/>
      <c r="R1044" s="23"/>
    </row>
    <row r="1045" spans="1:18" x14ac:dyDescent="0.2">
      <c r="A1045" s="13"/>
      <c r="B1045" s="18"/>
      <c r="C1045" s="19"/>
      <c r="D1045" s="19"/>
      <c r="E1045" s="20"/>
      <c r="F1045" s="22"/>
      <c r="G1045" s="22"/>
      <c r="H1045" s="23"/>
      <c r="I1045" s="23"/>
      <c r="J1045" s="13"/>
      <c r="K1045" s="18"/>
      <c r="L1045" s="19"/>
      <c r="M1045" s="19"/>
      <c r="N1045" s="20"/>
      <c r="O1045" s="22"/>
      <c r="P1045" s="22"/>
      <c r="Q1045" s="107"/>
      <c r="R1045" s="23"/>
    </row>
    <row r="1046" spans="1:18" x14ac:dyDescent="0.2">
      <c r="A1046" s="13"/>
      <c r="B1046" s="18"/>
      <c r="C1046" s="19"/>
      <c r="D1046" s="19"/>
      <c r="E1046" s="20"/>
      <c r="F1046" s="22"/>
      <c r="G1046" s="22"/>
      <c r="H1046" s="23"/>
      <c r="I1046" s="23"/>
      <c r="J1046" s="13"/>
      <c r="K1046" s="18"/>
      <c r="L1046" s="19"/>
      <c r="M1046" s="19"/>
      <c r="N1046" s="20"/>
      <c r="O1046" s="22"/>
      <c r="P1046" s="22"/>
      <c r="Q1046" s="23"/>
      <c r="R1046" s="23"/>
    </row>
    <row r="1047" spans="1:18" x14ac:dyDescent="0.2">
      <c r="A1047" s="13"/>
      <c r="B1047" s="18"/>
      <c r="C1047" s="19"/>
      <c r="D1047" s="19"/>
      <c r="E1047" s="20"/>
      <c r="F1047" s="22"/>
      <c r="G1047" s="22"/>
      <c r="H1047" s="23"/>
      <c r="I1047" s="23"/>
      <c r="J1047" s="13"/>
      <c r="K1047" s="18"/>
      <c r="L1047" s="19"/>
      <c r="M1047" s="19"/>
      <c r="N1047" s="20"/>
      <c r="O1047" s="22"/>
      <c r="P1047" s="22"/>
      <c r="Q1047" s="23"/>
      <c r="R1047" s="23"/>
    </row>
    <row r="1048" spans="1:18" x14ac:dyDescent="0.2">
      <c r="A1048" s="13"/>
      <c r="B1048" s="18"/>
      <c r="C1048" s="19"/>
      <c r="D1048" s="19"/>
      <c r="E1048" s="20"/>
      <c r="F1048" s="22"/>
      <c r="G1048" s="36"/>
      <c r="H1048" s="37"/>
      <c r="I1048" s="37"/>
      <c r="J1048" s="13"/>
      <c r="K1048" s="18"/>
      <c r="L1048" s="19"/>
      <c r="M1048" s="19"/>
      <c r="N1048" s="20"/>
      <c r="O1048" s="22"/>
      <c r="P1048" s="36"/>
      <c r="Q1048" s="37"/>
      <c r="R1048" s="37"/>
    </row>
    <row r="1049" spans="1:18" x14ac:dyDescent="0.2">
      <c r="A1049" s="13"/>
      <c r="B1049" s="248" t="s">
        <v>42</v>
      </c>
      <c r="C1049" s="249"/>
      <c r="D1049" s="249"/>
      <c r="E1049" s="250"/>
      <c r="F1049" s="46"/>
      <c r="G1049" s="46"/>
      <c r="H1049" s="47"/>
      <c r="I1049" s="47">
        <f>SUM(I1036:I1048)</f>
        <v>53313.75</v>
      </c>
      <c r="J1049" s="13"/>
      <c r="K1049" s="248" t="s">
        <v>42</v>
      </c>
      <c r="L1049" s="249"/>
      <c r="M1049" s="249"/>
      <c r="N1049" s="250"/>
      <c r="O1049" s="46"/>
      <c r="P1049" s="46"/>
      <c r="Q1049" s="47"/>
      <c r="R1049" s="47">
        <f>SUM(R1036:R1048)</f>
        <v>253.15374299999999</v>
      </c>
    </row>
    <row r="1050" spans="1:18" x14ac:dyDescent="0.2">
      <c r="A1050" s="12" t="s">
        <v>43</v>
      </c>
      <c r="B1050" s="48" t="s">
        <v>44</v>
      </c>
      <c r="C1050" s="43"/>
      <c r="D1050" s="43"/>
      <c r="E1050" s="39"/>
      <c r="F1050" s="49"/>
      <c r="G1050" s="49"/>
      <c r="H1050" s="50"/>
      <c r="I1050" s="51">
        <f>SUM(I1031+I1049)</f>
        <v>57489.983333333337</v>
      </c>
      <c r="J1050" s="12" t="s">
        <v>43</v>
      </c>
      <c r="K1050" s="48" t="s">
        <v>44</v>
      </c>
      <c r="L1050" s="43"/>
      <c r="M1050" s="43"/>
      <c r="N1050" s="151"/>
      <c r="O1050" s="49"/>
      <c r="P1050" s="49"/>
      <c r="Q1050" s="50"/>
      <c r="R1050" s="51">
        <f>SUM(R1031+R1049)</f>
        <v>275.39337157142859</v>
      </c>
    </row>
    <row r="1051" spans="1:18" x14ac:dyDescent="0.2">
      <c r="A1051" s="13" t="s">
        <v>45</v>
      </c>
      <c r="B1051" s="48" t="s">
        <v>46</v>
      </c>
      <c r="C1051" s="43"/>
      <c r="D1051" s="43"/>
      <c r="E1051" s="39"/>
      <c r="F1051" s="49"/>
      <c r="G1051" s="52">
        <v>0.09</v>
      </c>
      <c r="H1051" s="53" t="s">
        <v>47</v>
      </c>
      <c r="I1051" s="51">
        <f>G1051*I1050</f>
        <v>5174.0985000000001</v>
      </c>
      <c r="J1051" s="13" t="s">
        <v>45</v>
      </c>
      <c r="K1051" s="48" t="s">
        <v>46</v>
      </c>
      <c r="L1051" s="43"/>
      <c r="M1051" s="43"/>
      <c r="N1051" s="151"/>
      <c r="O1051" s="49"/>
      <c r="P1051" s="52">
        <v>0.09</v>
      </c>
      <c r="Q1051" s="53" t="s">
        <v>47</v>
      </c>
      <c r="R1051" s="51">
        <f>P1051*R1050</f>
        <v>24.785403441428571</v>
      </c>
    </row>
    <row r="1052" spans="1:18" x14ac:dyDescent="0.2">
      <c r="A1052" s="13" t="s">
        <v>48</v>
      </c>
      <c r="B1052" s="48" t="s">
        <v>49</v>
      </c>
      <c r="C1052" s="43"/>
      <c r="D1052" s="43"/>
      <c r="E1052" s="39"/>
      <c r="F1052" s="49"/>
      <c r="G1052" s="52">
        <v>0.08</v>
      </c>
      <c r="H1052" s="53" t="s">
        <v>47</v>
      </c>
      <c r="I1052" s="51">
        <f>G1052*I1050</f>
        <v>4599.1986666666671</v>
      </c>
      <c r="J1052" s="13" t="s">
        <v>48</v>
      </c>
      <c r="K1052" s="48" t="s">
        <v>49</v>
      </c>
      <c r="L1052" s="43"/>
      <c r="M1052" s="43"/>
      <c r="N1052" s="151"/>
      <c r="O1052" s="49"/>
      <c r="P1052" s="52">
        <v>0.08</v>
      </c>
      <c r="Q1052" s="53" t="s">
        <v>47</v>
      </c>
      <c r="R1052" s="51">
        <f>P1052*R1050</f>
        <v>22.031469725714288</v>
      </c>
    </row>
    <row r="1053" spans="1:18" x14ac:dyDescent="0.2">
      <c r="A1053" s="13" t="s">
        <v>50</v>
      </c>
      <c r="B1053" s="48" t="s">
        <v>51</v>
      </c>
      <c r="C1053" s="43"/>
      <c r="D1053" s="43"/>
      <c r="E1053" s="39"/>
      <c r="F1053" s="49"/>
      <c r="G1053" s="52">
        <v>0.05</v>
      </c>
      <c r="H1053" s="53" t="s">
        <v>52</v>
      </c>
      <c r="I1053" s="51">
        <f>G1053*(I1050+I1051+I1052)</f>
        <v>3363.1640250000005</v>
      </c>
      <c r="J1053" s="13" t="s">
        <v>50</v>
      </c>
      <c r="K1053" s="48" t="s">
        <v>51</v>
      </c>
      <c r="L1053" s="43"/>
      <c r="M1053" s="43"/>
      <c r="N1053" s="151"/>
      <c r="O1053" s="49"/>
      <c r="P1053" s="52">
        <f>5/100</f>
        <v>0.05</v>
      </c>
      <c r="Q1053" s="53" t="s">
        <v>52</v>
      </c>
      <c r="R1053" s="51">
        <f>P1053*(R1050+R1051+R1052)</f>
        <v>16.110512236928571</v>
      </c>
    </row>
    <row r="1054" spans="1:18" x14ac:dyDescent="0.2">
      <c r="A1054" s="54" t="s">
        <v>53</v>
      </c>
      <c r="B1054" s="48" t="s">
        <v>54</v>
      </c>
      <c r="C1054" s="43"/>
      <c r="D1054" s="43"/>
      <c r="E1054" s="39"/>
      <c r="F1054" s="49"/>
      <c r="G1054" s="49"/>
      <c r="H1054" s="55" t="s">
        <v>55</v>
      </c>
      <c r="I1054" s="51">
        <f>SUM(I1050+I1051+I1052+I1053)</f>
        <v>70626.444525000014</v>
      </c>
      <c r="J1054" s="54" t="s">
        <v>53</v>
      </c>
      <c r="K1054" s="48" t="s">
        <v>54</v>
      </c>
      <c r="L1054" s="43"/>
      <c r="M1054" s="43"/>
      <c r="N1054" s="151"/>
      <c r="O1054" s="49"/>
      <c r="P1054" s="49"/>
      <c r="Q1054" s="55" t="s">
        <v>55</v>
      </c>
      <c r="R1054" s="51">
        <f>SUM(R1050+R1051+R1052+R1053)</f>
        <v>338.32075697549999</v>
      </c>
    </row>
    <row r="1055" spans="1:18" s="1" customFormat="1" x14ac:dyDescent="0.2">
      <c r="A1055" s="236" t="s">
        <v>0</v>
      </c>
      <c r="B1055" s="236"/>
      <c r="C1055" s="236"/>
      <c r="D1055" s="236"/>
      <c r="E1055" s="236"/>
      <c r="F1055" s="236"/>
      <c r="G1055" s="236"/>
      <c r="H1055" s="236"/>
      <c r="I1055" s="236"/>
      <c r="J1055" s="236" t="s">
        <v>0</v>
      </c>
      <c r="K1055" s="236"/>
      <c r="L1055" s="236"/>
      <c r="M1055" s="236"/>
      <c r="N1055" s="236"/>
      <c r="O1055" s="236"/>
      <c r="P1055" s="236"/>
      <c r="Q1055" s="236"/>
      <c r="R1055" s="236"/>
    </row>
    <row r="1057" spans="1:18" x14ac:dyDescent="0.2">
      <c r="A1057" s="2" t="s">
        <v>1</v>
      </c>
      <c r="C1057" s="4" t="s">
        <v>2</v>
      </c>
      <c r="D1057" s="5" t="s">
        <v>370</v>
      </c>
      <c r="E1057" s="8" t="s">
        <v>371</v>
      </c>
      <c r="F1057" s="8"/>
      <c r="G1057" s="8"/>
      <c r="H1057" s="8"/>
      <c r="J1057" s="2" t="s">
        <v>1</v>
      </c>
      <c r="L1057" s="4" t="s">
        <v>2</v>
      </c>
      <c r="M1057" s="5" t="s">
        <v>359</v>
      </c>
      <c r="N1057" s="237" t="s">
        <v>360</v>
      </c>
      <c r="O1057" s="237"/>
      <c r="P1057" s="237"/>
      <c r="Q1057" s="237"/>
    </row>
    <row r="1058" spans="1:18" x14ac:dyDescent="0.2">
      <c r="A1058" s="2" t="s">
        <v>7</v>
      </c>
      <c r="C1058" s="4" t="s">
        <v>2</v>
      </c>
      <c r="E1058" s="2" t="s">
        <v>239</v>
      </c>
      <c r="F1058" s="8"/>
      <c r="G1058" s="8"/>
      <c r="H1058" s="8"/>
      <c r="J1058" s="2" t="s">
        <v>7</v>
      </c>
      <c r="L1058" s="4" t="s">
        <v>2</v>
      </c>
      <c r="N1058" s="2" t="s">
        <v>8</v>
      </c>
      <c r="O1058" s="8"/>
      <c r="P1058" s="8"/>
      <c r="Q1058" s="8"/>
    </row>
    <row r="1059" spans="1:18" x14ac:dyDescent="0.2">
      <c r="A1059" s="2" t="s">
        <v>10</v>
      </c>
      <c r="C1059" s="4" t="s">
        <v>2</v>
      </c>
      <c r="E1059" s="9">
        <v>0.3</v>
      </c>
      <c r="F1059" s="8"/>
      <c r="G1059" s="8"/>
      <c r="H1059" s="8"/>
      <c r="J1059" s="2" t="s">
        <v>10</v>
      </c>
      <c r="L1059" s="4" t="s">
        <v>2</v>
      </c>
      <c r="N1059" s="9">
        <v>64.400000000000006</v>
      </c>
      <c r="O1059" s="8"/>
      <c r="P1059" s="8"/>
      <c r="Q1059" s="8"/>
    </row>
    <row r="1060" spans="1:18" x14ac:dyDescent="0.2">
      <c r="B1060" s="8"/>
      <c r="F1060" s="11"/>
      <c r="G1060" s="8"/>
      <c r="H1060" s="8"/>
      <c r="I1060" s="8"/>
      <c r="K1060" s="8"/>
      <c r="O1060" s="11"/>
      <c r="P1060" s="8"/>
      <c r="Q1060" s="8"/>
      <c r="R1060" s="8"/>
    </row>
    <row r="1061" spans="1:18" x14ac:dyDescent="0.2">
      <c r="A1061" s="12"/>
      <c r="B1061" s="238" t="s">
        <v>11</v>
      </c>
      <c r="C1061" s="239"/>
      <c r="D1061" s="239"/>
      <c r="E1061" s="240"/>
      <c r="F1061" s="244" t="s">
        <v>12</v>
      </c>
      <c r="G1061" s="244" t="s">
        <v>13</v>
      </c>
      <c r="H1061" s="244" t="s">
        <v>14</v>
      </c>
      <c r="I1061" s="246" t="s">
        <v>15</v>
      </c>
      <c r="J1061" s="12"/>
      <c r="K1061" s="238" t="s">
        <v>11</v>
      </c>
      <c r="L1061" s="239"/>
      <c r="M1061" s="239"/>
      <c r="N1061" s="240"/>
      <c r="O1061" s="244" t="s">
        <v>12</v>
      </c>
      <c r="P1061" s="244" t="s">
        <v>13</v>
      </c>
      <c r="Q1061" s="244" t="s">
        <v>14</v>
      </c>
      <c r="R1061" s="246" t="s">
        <v>15</v>
      </c>
    </row>
    <row r="1062" spans="1:18" x14ac:dyDescent="0.2">
      <c r="A1062" s="13"/>
      <c r="B1062" s="241"/>
      <c r="C1062" s="242"/>
      <c r="D1062" s="242"/>
      <c r="E1062" s="243"/>
      <c r="F1062" s="245"/>
      <c r="G1062" s="245"/>
      <c r="H1062" s="245"/>
      <c r="I1062" s="247"/>
      <c r="J1062" s="13"/>
      <c r="K1062" s="241"/>
      <c r="L1062" s="242"/>
      <c r="M1062" s="242"/>
      <c r="N1062" s="243"/>
      <c r="O1062" s="245"/>
      <c r="P1062" s="245"/>
      <c r="Q1062" s="245"/>
      <c r="R1062" s="247"/>
    </row>
    <row r="1063" spans="1:18" x14ac:dyDescent="0.2">
      <c r="A1063" s="13" t="s">
        <v>16</v>
      </c>
      <c r="B1063" s="14" t="s">
        <v>17</v>
      </c>
      <c r="C1063" s="15"/>
      <c r="D1063" s="15"/>
      <c r="E1063" s="16"/>
      <c r="F1063" s="17"/>
      <c r="G1063" s="17"/>
      <c r="H1063" s="17"/>
      <c r="I1063" s="17"/>
      <c r="J1063" s="13" t="s">
        <v>16</v>
      </c>
      <c r="K1063" s="14" t="s">
        <v>17</v>
      </c>
      <c r="L1063" s="15"/>
      <c r="M1063" s="15"/>
      <c r="N1063" s="16"/>
      <c r="O1063" s="17"/>
      <c r="P1063" s="17"/>
      <c r="Q1063" s="17"/>
      <c r="R1063" s="17"/>
    </row>
    <row r="1064" spans="1:18" x14ac:dyDescent="0.2">
      <c r="A1064" s="13"/>
      <c r="B1064" s="18"/>
      <c r="C1064" s="19"/>
      <c r="D1064" s="19"/>
      <c r="E1064" s="20"/>
      <c r="F1064" s="21"/>
      <c r="G1064" s="22"/>
      <c r="H1064" s="21"/>
      <c r="I1064" s="21"/>
      <c r="J1064" s="13"/>
      <c r="K1064" s="18"/>
      <c r="L1064" s="19"/>
      <c r="M1064" s="19"/>
      <c r="N1064" s="20"/>
      <c r="O1064" s="21"/>
      <c r="P1064" s="22"/>
      <c r="Q1064" s="21"/>
      <c r="R1064" s="21"/>
    </row>
    <row r="1065" spans="1:18" x14ac:dyDescent="0.2">
      <c r="A1065" s="13"/>
      <c r="B1065" s="24" t="s">
        <v>18</v>
      </c>
      <c r="C1065" s="25"/>
      <c r="D1065" s="25"/>
      <c r="E1065" s="26"/>
      <c r="F1065" s="22">
        <v>1</v>
      </c>
      <c r="G1065" s="23">
        <v>1</v>
      </c>
      <c r="H1065" s="23">
        <v>69.42</v>
      </c>
      <c r="I1065" s="23">
        <f>F1065*G1065*H1065</f>
        <v>69.42</v>
      </c>
      <c r="J1065" s="13"/>
      <c r="K1065" s="24" t="s">
        <v>18</v>
      </c>
      <c r="L1065" s="25"/>
      <c r="M1065" s="25"/>
      <c r="N1065" s="26"/>
      <c r="O1065" s="22">
        <v>1</v>
      </c>
      <c r="P1065" s="23">
        <v>1</v>
      </c>
      <c r="Q1065" s="23">
        <v>69.42</v>
      </c>
      <c r="R1065" s="23">
        <f>P1065*Q1065*O1065</f>
        <v>69.42</v>
      </c>
    </row>
    <row r="1066" spans="1:18" x14ac:dyDescent="0.2">
      <c r="A1066" s="13"/>
      <c r="B1066" s="257" t="s">
        <v>1179</v>
      </c>
      <c r="C1066" s="258"/>
      <c r="D1066" s="19"/>
      <c r="E1066" s="20"/>
      <c r="F1066" s="22">
        <v>3</v>
      </c>
      <c r="G1066" s="23">
        <v>1</v>
      </c>
      <c r="H1066" s="23">
        <v>38.97</v>
      </c>
      <c r="I1066" s="23">
        <f>F1066*G1066*H1066</f>
        <v>116.91</v>
      </c>
      <c r="J1066" s="13"/>
      <c r="K1066" s="257" t="s">
        <v>1178</v>
      </c>
      <c r="L1066" s="258"/>
      <c r="M1066" s="25"/>
      <c r="N1066" s="26"/>
      <c r="O1066" s="22">
        <v>4</v>
      </c>
      <c r="P1066" s="23">
        <v>1</v>
      </c>
      <c r="Q1066" s="23">
        <v>50.18</v>
      </c>
      <c r="R1066" s="23">
        <f>P1066*Q1066*O1066</f>
        <v>200.72</v>
      </c>
    </row>
    <row r="1067" spans="1:18" x14ac:dyDescent="0.2">
      <c r="A1067" s="13"/>
      <c r="B1067" s="27"/>
      <c r="C1067" s="19"/>
      <c r="D1067" s="19"/>
      <c r="E1067" s="20"/>
      <c r="F1067" s="22"/>
      <c r="G1067" s="22"/>
      <c r="H1067" s="28"/>
      <c r="I1067" s="23"/>
      <c r="J1067" s="13"/>
      <c r="K1067" s="257" t="s">
        <v>1177</v>
      </c>
      <c r="L1067" s="258"/>
      <c r="M1067" s="19"/>
      <c r="N1067" s="20"/>
      <c r="O1067" s="22">
        <v>12</v>
      </c>
      <c r="P1067" s="23">
        <v>1</v>
      </c>
      <c r="Q1067" s="23">
        <v>38.97</v>
      </c>
      <c r="R1067" s="23">
        <f>P1067*Q1067*O1067</f>
        <v>467.64</v>
      </c>
    </row>
    <row r="1068" spans="1:18" x14ac:dyDescent="0.2">
      <c r="A1068" s="13"/>
      <c r="B1068" s="27"/>
      <c r="C1068" s="19"/>
      <c r="D1068" s="19"/>
      <c r="E1068" s="20"/>
      <c r="F1068" s="22"/>
      <c r="G1068" s="22"/>
      <c r="H1068" s="29"/>
      <c r="I1068" s="30"/>
      <c r="J1068" s="13"/>
      <c r="K1068" s="27"/>
      <c r="L1068" s="19"/>
      <c r="M1068" s="19"/>
      <c r="N1068" s="20"/>
      <c r="O1068" s="22"/>
      <c r="P1068" s="22"/>
      <c r="Q1068" s="29"/>
      <c r="R1068" s="30"/>
    </row>
    <row r="1069" spans="1:18" x14ac:dyDescent="0.2">
      <c r="A1069" s="13"/>
      <c r="B1069" s="27"/>
      <c r="C1069" s="19"/>
      <c r="D1069" s="19"/>
      <c r="E1069" s="20"/>
      <c r="F1069" s="22"/>
      <c r="G1069" s="22"/>
      <c r="H1069" s="29"/>
      <c r="I1069" s="30"/>
      <c r="J1069" s="13"/>
      <c r="K1069" s="27"/>
      <c r="L1069" s="19"/>
      <c r="M1069" s="19"/>
      <c r="N1069" s="20"/>
      <c r="O1069" s="22"/>
      <c r="P1069" s="22"/>
      <c r="Q1069" s="29"/>
      <c r="R1069" s="30"/>
    </row>
    <row r="1070" spans="1:18" x14ac:dyDescent="0.2">
      <c r="A1070" s="13"/>
      <c r="B1070" s="18"/>
      <c r="C1070" s="19"/>
      <c r="D1070" s="19"/>
      <c r="E1070" s="20"/>
      <c r="F1070" s="22"/>
      <c r="G1070" s="22"/>
      <c r="H1070" s="28"/>
      <c r="I1070" s="23"/>
      <c r="J1070" s="13"/>
      <c r="K1070" s="18"/>
      <c r="L1070" s="19"/>
      <c r="M1070" s="19"/>
      <c r="N1070" s="20"/>
      <c r="O1070" s="22"/>
      <c r="P1070" s="22"/>
      <c r="Q1070" s="28"/>
      <c r="R1070" s="23"/>
    </row>
    <row r="1071" spans="1:18" x14ac:dyDescent="0.2">
      <c r="A1071" s="13"/>
      <c r="B1071" s="18"/>
      <c r="C1071" s="19"/>
      <c r="D1071" s="19"/>
      <c r="E1071" s="20"/>
      <c r="F1071" s="22"/>
      <c r="G1071" s="22"/>
      <c r="H1071" s="23"/>
      <c r="I1071" s="23"/>
      <c r="J1071" s="13"/>
      <c r="K1071" s="18"/>
      <c r="L1071" s="19"/>
      <c r="M1071" s="19"/>
      <c r="N1071" s="20"/>
      <c r="O1071" s="22"/>
      <c r="P1071" s="22"/>
      <c r="Q1071" s="23"/>
      <c r="R1071" s="23"/>
    </row>
    <row r="1072" spans="1:18" x14ac:dyDescent="0.2">
      <c r="A1072" s="13"/>
      <c r="B1072" s="248" t="s">
        <v>20</v>
      </c>
      <c r="C1072" s="249"/>
      <c r="D1072" s="249"/>
      <c r="E1072" s="250"/>
      <c r="F1072" s="31"/>
      <c r="G1072" s="31"/>
      <c r="H1072" s="32"/>
      <c r="I1072" s="32">
        <f>SUM(I1065:I1071)</f>
        <v>186.32999999999998</v>
      </c>
      <c r="J1072" s="13"/>
      <c r="K1072" s="248" t="s">
        <v>20</v>
      </c>
      <c r="L1072" s="249"/>
      <c r="M1072" s="249"/>
      <c r="N1072" s="250"/>
      <c r="O1072" s="31"/>
      <c r="P1072" s="31"/>
      <c r="Q1072" s="32"/>
      <c r="R1072" s="32">
        <f>SUM(R1065:R1071)</f>
        <v>737.78</v>
      </c>
    </row>
    <row r="1073" spans="1:18" x14ac:dyDescent="0.2">
      <c r="A1073" s="12"/>
      <c r="B1073" s="251" t="s">
        <v>21</v>
      </c>
      <c r="C1073" s="252"/>
      <c r="D1073" s="252"/>
      <c r="E1073" s="253"/>
      <c r="F1073" s="244" t="s">
        <v>22</v>
      </c>
      <c r="G1073" s="244" t="s">
        <v>13</v>
      </c>
      <c r="H1073" s="244" t="s">
        <v>14</v>
      </c>
      <c r="I1073" s="246" t="s">
        <v>15</v>
      </c>
      <c r="J1073" s="12"/>
      <c r="K1073" s="251" t="s">
        <v>21</v>
      </c>
      <c r="L1073" s="252"/>
      <c r="M1073" s="252"/>
      <c r="N1073" s="253"/>
      <c r="O1073" s="244" t="s">
        <v>22</v>
      </c>
      <c r="P1073" s="244" t="s">
        <v>13</v>
      </c>
      <c r="Q1073" s="244" t="s">
        <v>14</v>
      </c>
      <c r="R1073" s="246" t="s">
        <v>15</v>
      </c>
    </row>
    <row r="1074" spans="1:18" x14ac:dyDescent="0.2">
      <c r="A1074" s="13"/>
      <c r="B1074" s="254"/>
      <c r="C1074" s="255"/>
      <c r="D1074" s="255"/>
      <c r="E1074" s="256"/>
      <c r="F1074" s="245"/>
      <c r="G1074" s="245"/>
      <c r="H1074" s="245"/>
      <c r="I1074" s="247"/>
      <c r="J1074" s="13"/>
      <c r="K1074" s="254"/>
      <c r="L1074" s="255"/>
      <c r="M1074" s="255"/>
      <c r="N1074" s="256"/>
      <c r="O1074" s="245"/>
      <c r="P1074" s="245"/>
      <c r="Q1074" s="245"/>
      <c r="R1074" s="247"/>
    </row>
    <row r="1075" spans="1:18" x14ac:dyDescent="0.2">
      <c r="A1075" s="13" t="s">
        <v>23</v>
      </c>
      <c r="B1075" s="33" t="s">
        <v>24</v>
      </c>
      <c r="C1075" s="15"/>
      <c r="D1075" s="15"/>
      <c r="E1075" s="16"/>
      <c r="F1075" s="34"/>
      <c r="G1075" s="34"/>
      <c r="H1075" s="35"/>
      <c r="I1075" s="35"/>
      <c r="J1075" s="13" t="s">
        <v>23</v>
      </c>
      <c r="K1075" s="33" t="s">
        <v>24</v>
      </c>
      <c r="L1075" s="15"/>
      <c r="M1075" s="15"/>
      <c r="N1075" s="16"/>
      <c r="O1075" s="34"/>
      <c r="P1075" s="34"/>
      <c r="Q1075" s="35"/>
      <c r="R1075" s="35"/>
    </row>
    <row r="1076" spans="1:18" x14ac:dyDescent="0.2">
      <c r="A1076" s="13"/>
      <c r="B1076" s="18"/>
      <c r="C1076" s="19"/>
      <c r="D1076" s="19"/>
      <c r="E1076" s="20"/>
      <c r="F1076" s="22"/>
      <c r="G1076" s="22"/>
      <c r="H1076" s="23"/>
      <c r="I1076" s="23"/>
      <c r="J1076" s="13"/>
      <c r="K1076" s="18"/>
      <c r="L1076" s="19"/>
      <c r="M1076" s="19"/>
      <c r="N1076" s="20"/>
      <c r="O1076" s="22"/>
      <c r="P1076" s="22"/>
      <c r="Q1076" s="23"/>
      <c r="R1076" s="23"/>
    </row>
    <row r="1077" spans="1:18" x14ac:dyDescent="0.2">
      <c r="A1077" s="13"/>
      <c r="B1077" s="18" t="s">
        <v>1209</v>
      </c>
      <c r="C1077" s="19"/>
      <c r="D1077" s="19"/>
      <c r="E1077" s="20"/>
      <c r="F1077" s="22">
        <v>1</v>
      </c>
      <c r="G1077" s="23">
        <v>1</v>
      </c>
      <c r="H1077" s="37">
        <v>936</v>
      </c>
      <c r="I1077" s="23">
        <f>F1077*G1077*H1077</f>
        <v>936</v>
      </c>
      <c r="J1077" s="13"/>
      <c r="K1077" s="18" t="s">
        <v>340</v>
      </c>
      <c r="L1077" s="19"/>
      <c r="M1077" s="19"/>
      <c r="N1077" s="20"/>
      <c r="O1077" s="22">
        <v>4</v>
      </c>
      <c r="P1077" s="23">
        <v>1</v>
      </c>
      <c r="Q1077" s="37">
        <v>1318</v>
      </c>
      <c r="R1077" s="37">
        <f>P1077*Q1077*O1077</f>
        <v>5272</v>
      </c>
    </row>
    <row r="1078" spans="1:18" x14ac:dyDescent="0.2">
      <c r="A1078" s="13"/>
      <c r="B1078" s="18" t="s">
        <v>288</v>
      </c>
      <c r="C1078" s="19"/>
      <c r="D1078" s="19"/>
      <c r="E1078" s="20"/>
      <c r="F1078" s="22">
        <v>1</v>
      </c>
      <c r="G1078" s="23">
        <v>1</v>
      </c>
      <c r="H1078" s="37">
        <v>130.54</v>
      </c>
      <c r="I1078" s="23">
        <f>F1078*G1078*H1078</f>
        <v>130.54</v>
      </c>
      <c r="J1078" s="13"/>
      <c r="K1078" s="18" t="s">
        <v>341</v>
      </c>
      <c r="L1078" s="19"/>
      <c r="M1078" s="19"/>
      <c r="N1078" s="20"/>
      <c r="O1078" s="22">
        <v>2</v>
      </c>
      <c r="P1078" s="23">
        <v>1</v>
      </c>
      <c r="Q1078" s="37">
        <v>91.25</v>
      </c>
      <c r="R1078" s="37">
        <f t="shared" ref="R1078:R1084" si="59">P1078*Q1078*O1078</f>
        <v>182.5</v>
      </c>
    </row>
    <row r="1079" spans="1:18" x14ac:dyDescent="0.2">
      <c r="A1079" s="13"/>
      <c r="B1079" s="18"/>
      <c r="C1079" s="19"/>
      <c r="D1079" s="19"/>
      <c r="E1079" s="20"/>
      <c r="F1079" s="22"/>
      <c r="G1079" s="23"/>
      <c r="H1079" s="37"/>
      <c r="I1079" s="23"/>
      <c r="J1079" s="13"/>
      <c r="K1079" s="18" t="s">
        <v>1224</v>
      </c>
      <c r="L1079" s="19"/>
      <c r="M1079" s="19"/>
      <c r="N1079" s="20"/>
      <c r="O1079" s="22">
        <v>1</v>
      </c>
      <c r="P1079" s="23">
        <v>1</v>
      </c>
      <c r="Q1079" s="37">
        <v>1759.5</v>
      </c>
      <c r="R1079" s="37">
        <f t="shared" si="59"/>
        <v>1759.5</v>
      </c>
    </row>
    <row r="1080" spans="1:18" x14ac:dyDescent="0.2">
      <c r="A1080" s="13"/>
      <c r="B1080" s="18"/>
      <c r="C1080" s="19"/>
      <c r="D1080" s="19"/>
      <c r="E1080" s="20"/>
      <c r="F1080" s="22"/>
      <c r="G1080" s="23"/>
      <c r="H1080" s="37"/>
      <c r="I1080" s="23"/>
      <c r="J1080" s="13"/>
      <c r="K1080" s="18" t="s">
        <v>257</v>
      </c>
      <c r="L1080" s="66"/>
      <c r="M1080" s="19"/>
      <c r="N1080" s="20"/>
      <c r="O1080" s="22">
        <v>1</v>
      </c>
      <c r="P1080" s="23">
        <v>1</v>
      </c>
      <c r="Q1080" s="37">
        <v>1733</v>
      </c>
      <c r="R1080" s="37">
        <f t="shared" si="59"/>
        <v>1733</v>
      </c>
    </row>
    <row r="1081" spans="1:18" x14ac:dyDescent="0.2">
      <c r="A1081" s="13"/>
      <c r="B1081" s="18"/>
      <c r="C1081" s="19"/>
      <c r="D1081" s="19"/>
      <c r="E1081" s="20"/>
      <c r="F1081" s="22"/>
      <c r="G1081" s="36"/>
      <c r="H1081" s="37"/>
      <c r="I1081" s="23"/>
      <c r="J1081" s="13"/>
      <c r="K1081" s="18" t="s">
        <v>342</v>
      </c>
      <c r="L1081" s="19"/>
      <c r="M1081" s="19"/>
      <c r="N1081" s="20"/>
      <c r="O1081" s="22">
        <v>1</v>
      </c>
      <c r="P1081" s="23">
        <v>1</v>
      </c>
      <c r="Q1081" s="37">
        <v>545</v>
      </c>
      <c r="R1081" s="37">
        <f t="shared" si="59"/>
        <v>545</v>
      </c>
    </row>
    <row r="1082" spans="1:18" x14ac:dyDescent="0.2">
      <c r="A1082" s="13"/>
      <c r="B1082" s="18"/>
      <c r="C1082" s="19"/>
      <c r="D1082" s="19"/>
      <c r="E1082" s="20"/>
      <c r="F1082" s="22"/>
      <c r="G1082" s="36"/>
      <c r="H1082" s="38"/>
      <c r="I1082" s="38"/>
      <c r="J1082" s="13"/>
      <c r="K1082" s="18" t="s">
        <v>1206</v>
      </c>
      <c r="L1082" s="19"/>
      <c r="M1082" s="19"/>
      <c r="N1082" s="20"/>
      <c r="O1082" s="22">
        <v>1</v>
      </c>
      <c r="P1082" s="23">
        <v>1</v>
      </c>
      <c r="Q1082" s="37">
        <v>2450</v>
      </c>
      <c r="R1082" s="37">
        <f t="shared" si="59"/>
        <v>2450</v>
      </c>
    </row>
    <row r="1083" spans="1:18" x14ac:dyDescent="0.2">
      <c r="A1083" s="13"/>
      <c r="B1083" s="18"/>
      <c r="C1083" s="19"/>
      <c r="D1083" s="19"/>
      <c r="E1083" s="20"/>
      <c r="F1083" s="22"/>
      <c r="G1083" s="36"/>
      <c r="H1083" s="37"/>
      <c r="I1083" s="37"/>
      <c r="J1083" s="13"/>
      <c r="K1083" s="18" t="s">
        <v>1236</v>
      </c>
      <c r="L1083" s="19"/>
      <c r="M1083" s="19"/>
      <c r="N1083" s="20"/>
      <c r="O1083" s="22">
        <v>1</v>
      </c>
      <c r="P1083" s="23">
        <v>1</v>
      </c>
      <c r="Q1083" s="37">
        <v>32.630000000000003</v>
      </c>
      <c r="R1083" s="37">
        <f t="shared" si="59"/>
        <v>32.630000000000003</v>
      </c>
    </row>
    <row r="1084" spans="1:18" x14ac:dyDescent="0.2">
      <c r="A1084" s="13"/>
      <c r="B1084" s="18"/>
      <c r="C1084" s="19"/>
      <c r="D1084" s="19"/>
      <c r="E1084" s="20"/>
      <c r="F1084" s="22"/>
      <c r="G1084" s="36"/>
      <c r="H1084" s="38"/>
      <c r="I1084" s="38"/>
      <c r="J1084" s="13"/>
      <c r="K1084" s="18" t="s">
        <v>343</v>
      </c>
      <c r="L1084" s="19"/>
      <c r="M1084" s="19"/>
      <c r="N1084" s="20"/>
      <c r="O1084" s="22">
        <v>1</v>
      </c>
      <c r="P1084" s="23">
        <v>0.1</v>
      </c>
      <c r="Q1084" s="37">
        <v>219.75</v>
      </c>
      <c r="R1084" s="37">
        <f t="shared" si="59"/>
        <v>21.975000000000001</v>
      </c>
    </row>
    <row r="1085" spans="1:18" x14ac:dyDescent="0.2">
      <c r="A1085" s="13"/>
      <c r="B1085" s="18"/>
      <c r="C1085" s="19"/>
      <c r="D1085" s="19"/>
      <c r="E1085" s="20"/>
      <c r="F1085" s="22"/>
      <c r="G1085" s="36"/>
      <c r="H1085" s="38"/>
      <c r="I1085" s="38"/>
      <c r="J1085" s="13"/>
      <c r="K1085" s="18" t="s">
        <v>1195</v>
      </c>
      <c r="L1085" s="19"/>
      <c r="M1085" s="19"/>
      <c r="N1085" s="20"/>
      <c r="O1085" s="22"/>
      <c r="P1085" s="36"/>
      <c r="R1085" s="37">
        <f>R1072*0.05</f>
        <v>36.889000000000003</v>
      </c>
    </row>
    <row r="1086" spans="1:18" x14ac:dyDescent="0.2">
      <c r="A1086" s="13"/>
      <c r="B1086" s="18"/>
      <c r="C1086" s="19"/>
      <c r="D1086" s="19"/>
      <c r="E1086" s="20"/>
      <c r="F1086" s="22"/>
      <c r="G1086" s="36"/>
      <c r="H1086" s="37"/>
      <c r="I1086" s="37"/>
      <c r="J1086" s="13"/>
      <c r="K1086" s="18"/>
      <c r="L1086" s="19"/>
      <c r="M1086" s="19"/>
      <c r="N1086" s="20"/>
      <c r="O1086" s="22"/>
      <c r="P1086" s="36"/>
      <c r="Q1086" s="37"/>
      <c r="R1086" s="37"/>
    </row>
    <row r="1087" spans="1:18" x14ac:dyDescent="0.2">
      <c r="A1087" s="13"/>
      <c r="B1087" s="18"/>
      <c r="C1087" s="19"/>
      <c r="D1087" s="19"/>
      <c r="E1087" s="20"/>
      <c r="F1087" s="22"/>
      <c r="G1087" s="36"/>
      <c r="H1087" s="37"/>
      <c r="I1087" s="37"/>
      <c r="J1087" s="13"/>
      <c r="K1087" s="18"/>
      <c r="L1087" s="19"/>
      <c r="M1087" s="19"/>
      <c r="N1087" s="20"/>
      <c r="O1087" s="22"/>
      <c r="P1087" s="36"/>
      <c r="Q1087" s="37"/>
      <c r="R1087" s="37"/>
    </row>
    <row r="1088" spans="1:18" x14ac:dyDescent="0.2">
      <c r="A1088" s="13"/>
      <c r="B1088" s="18"/>
      <c r="C1088" s="19"/>
      <c r="D1088" s="19"/>
      <c r="E1088" s="20"/>
      <c r="F1088" s="22"/>
      <c r="G1088" s="36"/>
      <c r="H1088" s="37"/>
      <c r="I1088" s="37"/>
      <c r="J1088" s="13"/>
      <c r="K1088" s="18"/>
      <c r="L1088" s="19"/>
      <c r="M1088" s="19"/>
      <c r="N1088" s="20"/>
      <c r="O1088" s="22"/>
      <c r="P1088" s="36"/>
      <c r="Q1088" s="37"/>
      <c r="R1088" s="37"/>
    </row>
    <row r="1089" spans="1:18" x14ac:dyDescent="0.2">
      <c r="A1089" s="13"/>
      <c r="B1089" s="18"/>
      <c r="C1089" s="19"/>
      <c r="D1089" s="19"/>
      <c r="E1089" s="20"/>
      <c r="F1089" s="22"/>
      <c r="G1089" s="22"/>
      <c r="H1089" s="23"/>
      <c r="I1089" s="23"/>
      <c r="J1089" s="13"/>
      <c r="K1089" s="18"/>
      <c r="L1089" s="19"/>
      <c r="M1089" s="19"/>
      <c r="N1089" s="20"/>
      <c r="O1089" s="22"/>
      <c r="P1089" s="22"/>
      <c r="Q1089" s="23"/>
      <c r="R1089" s="23"/>
    </row>
    <row r="1090" spans="1:18" x14ac:dyDescent="0.2">
      <c r="A1090" s="13"/>
      <c r="B1090" s="248" t="s">
        <v>30</v>
      </c>
      <c r="C1090" s="249"/>
      <c r="D1090" s="249"/>
      <c r="E1090" s="250"/>
      <c r="F1090" s="22"/>
      <c r="G1090" s="22"/>
      <c r="H1090" s="23"/>
      <c r="I1090" s="23">
        <f>SUM(I1077:I1089)</f>
        <v>1066.54</v>
      </c>
      <c r="J1090" s="13"/>
      <c r="K1090" s="248" t="s">
        <v>30</v>
      </c>
      <c r="L1090" s="249"/>
      <c r="M1090" s="249"/>
      <c r="N1090" s="250"/>
      <c r="O1090" s="22"/>
      <c r="P1090" s="22"/>
      <c r="Q1090" s="23"/>
      <c r="R1090" s="23">
        <f>SUM(R1077:R1089)</f>
        <v>12033.493999999999</v>
      </c>
    </row>
    <row r="1091" spans="1:18" x14ac:dyDescent="0.2">
      <c r="A1091" s="12" t="s">
        <v>31</v>
      </c>
      <c r="B1091" s="260" t="s">
        <v>32</v>
      </c>
      <c r="C1091" s="261"/>
      <c r="D1091" s="261"/>
      <c r="E1091" s="261"/>
      <c r="F1091" s="39"/>
      <c r="G1091" s="39"/>
      <c r="H1091" s="40"/>
      <c r="I1091" s="41">
        <f>SUM(I1090+I1072)</f>
        <v>1252.8699999999999</v>
      </c>
      <c r="J1091" s="12" t="s">
        <v>31</v>
      </c>
      <c r="K1091" s="260" t="s">
        <v>32</v>
      </c>
      <c r="L1091" s="261"/>
      <c r="M1091" s="261"/>
      <c r="N1091" s="261"/>
      <c r="O1091" s="39"/>
      <c r="P1091" s="39"/>
      <c r="Q1091" s="40"/>
      <c r="R1091" s="41">
        <f>SUM(R1090+R1072)</f>
        <v>12771.273999999999</v>
      </c>
    </row>
    <row r="1092" spans="1:18" x14ac:dyDescent="0.2">
      <c r="A1092" s="13" t="s">
        <v>33</v>
      </c>
      <c r="B1092" s="309">
        <f>E1059</f>
        <v>0.3</v>
      </c>
      <c r="C1092" s="310"/>
      <c r="D1092" s="310"/>
      <c r="E1092" s="310"/>
      <c r="F1092" s="310"/>
      <c r="G1092" s="310"/>
      <c r="H1092" s="40"/>
      <c r="I1092" s="41"/>
      <c r="J1092" s="13" t="s">
        <v>33</v>
      </c>
      <c r="K1092" s="311">
        <f>N1059</f>
        <v>64.400000000000006</v>
      </c>
      <c r="L1092" s="312"/>
      <c r="M1092" s="312"/>
      <c r="N1092" s="312"/>
      <c r="O1092" s="312"/>
      <c r="P1092" s="312"/>
      <c r="Q1092" s="40"/>
      <c r="R1092" s="41"/>
    </row>
    <row r="1093" spans="1:18" x14ac:dyDescent="0.2">
      <c r="A1093" s="13" t="s">
        <v>34</v>
      </c>
      <c r="B1093" s="42" t="s">
        <v>35</v>
      </c>
      <c r="C1093" s="43"/>
      <c r="D1093" s="43"/>
      <c r="E1093" s="39"/>
      <c r="F1093" s="44"/>
      <c r="G1093" s="44"/>
      <c r="H1093" s="40"/>
      <c r="I1093" s="41">
        <f>I1091/E1059</f>
        <v>4176.2333333333336</v>
      </c>
      <c r="J1093" s="13" t="s">
        <v>34</v>
      </c>
      <c r="K1093" s="42" t="s">
        <v>35</v>
      </c>
      <c r="L1093" s="43"/>
      <c r="M1093" s="43"/>
      <c r="N1093" s="39"/>
      <c r="O1093" s="44"/>
      <c r="P1093" s="44"/>
      <c r="Q1093" s="40"/>
      <c r="R1093" s="41">
        <f>R1091/N1059</f>
        <v>198.31170807453412</v>
      </c>
    </row>
    <row r="1094" spans="1:18" x14ac:dyDescent="0.2">
      <c r="A1094" s="12"/>
      <c r="B1094" s="251" t="s">
        <v>36</v>
      </c>
      <c r="C1094" s="252"/>
      <c r="D1094" s="252"/>
      <c r="E1094" s="253"/>
      <c r="F1094" s="244" t="s">
        <v>37</v>
      </c>
      <c r="G1094" s="244" t="s">
        <v>38</v>
      </c>
      <c r="H1094" s="244" t="s">
        <v>39</v>
      </c>
      <c r="I1094" s="246" t="s">
        <v>15</v>
      </c>
      <c r="J1094" s="12"/>
      <c r="K1094" s="251" t="s">
        <v>36</v>
      </c>
      <c r="L1094" s="252"/>
      <c r="M1094" s="252"/>
      <c r="N1094" s="253"/>
      <c r="O1094" s="244" t="s">
        <v>37</v>
      </c>
      <c r="P1094" s="244" t="s">
        <v>38</v>
      </c>
      <c r="Q1094" s="244" t="s">
        <v>39</v>
      </c>
      <c r="R1094" s="246" t="s">
        <v>15</v>
      </c>
    </row>
    <row r="1095" spans="1:18" x14ac:dyDescent="0.2">
      <c r="A1095" s="13"/>
      <c r="B1095" s="254"/>
      <c r="C1095" s="255"/>
      <c r="D1095" s="255"/>
      <c r="E1095" s="256"/>
      <c r="F1095" s="245"/>
      <c r="G1095" s="245"/>
      <c r="H1095" s="245"/>
      <c r="I1095" s="247"/>
      <c r="J1095" s="13"/>
      <c r="K1095" s="254"/>
      <c r="L1095" s="255"/>
      <c r="M1095" s="255"/>
      <c r="N1095" s="256"/>
      <c r="O1095" s="245"/>
      <c r="P1095" s="245"/>
      <c r="Q1095" s="245"/>
      <c r="R1095" s="247"/>
    </row>
    <row r="1096" spans="1:18" x14ac:dyDescent="0.2">
      <c r="A1096" s="13" t="s">
        <v>40</v>
      </c>
      <c r="B1096" s="18" t="s">
        <v>41</v>
      </c>
      <c r="C1096" s="19"/>
      <c r="D1096" s="19"/>
      <c r="E1096" s="20"/>
      <c r="F1096" s="22"/>
      <c r="G1096" s="22"/>
      <c r="H1096" s="23"/>
      <c r="I1096" s="23"/>
      <c r="J1096" s="13" t="s">
        <v>40</v>
      </c>
      <c r="K1096" s="18" t="s">
        <v>41</v>
      </c>
      <c r="L1096" s="19"/>
      <c r="M1096" s="19"/>
      <c r="N1096" s="20"/>
      <c r="O1096" s="22"/>
      <c r="P1096" s="22"/>
      <c r="Q1096" s="23"/>
      <c r="R1096" s="23"/>
    </row>
    <row r="1097" spans="1:18" x14ac:dyDescent="0.2">
      <c r="A1097" s="13"/>
      <c r="B1097" s="18"/>
      <c r="C1097" s="19"/>
      <c r="D1097" s="19"/>
      <c r="E1097" s="20"/>
      <c r="F1097" s="22"/>
      <c r="G1097" s="22"/>
      <c r="H1097" s="23"/>
      <c r="I1097" s="23"/>
      <c r="J1097" s="13"/>
      <c r="K1097" s="18"/>
      <c r="L1097" s="19"/>
      <c r="M1097" s="19"/>
      <c r="N1097" s="20"/>
      <c r="O1097" s="22"/>
      <c r="P1097" s="22"/>
      <c r="Q1097" s="23"/>
      <c r="R1097" s="23"/>
    </row>
    <row r="1098" spans="1:18" x14ac:dyDescent="0.2">
      <c r="A1098" s="13"/>
      <c r="B1098" s="18" t="s">
        <v>301</v>
      </c>
      <c r="C1098" s="66"/>
      <c r="D1098" s="19"/>
      <c r="E1098" s="20"/>
      <c r="F1098" s="22" t="s">
        <v>239</v>
      </c>
      <c r="G1098" s="22">
        <v>1.05</v>
      </c>
      <c r="H1098" s="107">
        <v>41575</v>
      </c>
      <c r="I1098" s="23">
        <f>G1098*H1098</f>
        <v>43653.75</v>
      </c>
      <c r="J1098" s="13"/>
      <c r="K1098" s="18" t="s">
        <v>263</v>
      </c>
      <c r="L1098" s="66"/>
      <c r="M1098" s="19"/>
      <c r="N1098" s="20"/>
      <c r="O1098" s="22" t="s">
        <v>77</v>
      </c>
      <c r="P1098" s="22">
        <v>0.45</v>
      </c>
      <c r="Q1098" s="107">
        <v>40</v>
      </c>
      <c r="R1098" s="23">
        <f>P1098*Q1098</f>
        <v>18</v>
      </c>
    </row>
    <row r="1099" spans="1:18" x14ac:dyDescent="0.2">
      <c r="A1099" s="13"/>
      <c r="B1099" s="18" t="s">
        <v>322</v>
      </c>
      <c r="C1099" s="66"/>
      <c r="D1099" s="19"/>
      <c r="E1099" s="20"/>
      <c r="F1099" s="22"/>
      <c r="G1099" s="22"/>
      <c r="H1099" s="23"/>
      <c r="I1099" s="23"/>
      <c r="J1099" s="13"/>
      <c r="K1099" s="18" t="s">
        <v>264</v>
      </c>
      <c r="L1099" s="66"/>
      <c r="M1099" s="19"/>
      <c r="N1099" s="20"/>
      <c r="O1099" s="22" t="s">
        <v>1216</v>
      </c>
      <c r="P1099" s="22">
        <v>0.28999999999999998</v>
      </c>
      <c r="Q1099" s="107">
        <v>28</v>
      </c>
      <c r="R1099" s="23">
        <f t="shared" ref="R1099:R1107" si="60">P1099*Q1099</f>
        <v>8.1199999999999992</v>
      </c>
    </row>
    <row r="1100" spans="1:18" x14ac:dyDescent="0.2">
      <c r="A1100" s="13"/>
      <c r="B1100" s="18"/>
      <c r="C1100" s="19"/>
      <c r="D1100" s="19"/>
      <c r="E1100" s="20"/>
      <c r="F1100" s="22"/>
      <c r="G1100" s="22"/>
      <c r="H1100" s="38"/>
      <c r="I1100" s="38"/>
      <c r="J1100" s="13"/>
      <c r="K1100" s="18" t="s">
        <v>266</v>
      </c>
      <c r="L1100" s="19"/>
      <c r="M1100" s="19"/>
      <c r="N1100" s="20"/>
      <c r="O1100" s="22" t="s">
        <v>1216</v>
      </c>
      <c r="P1100" s="22">
        <v>0.15</v>
      </c>
      <c r="Q1100" s="107">
        <f>44000/1000</f>
        <v>44</v>
      </c>
      <c r="R1100" s="23">
        <f t="shared" si="60"/>
        <v>6.6</v>
      </c>
    </row>
    <row r="1101" spans="1:18" x14ac:dyDescent="0.2">
      <c r="A1101" s="13"/>
      <c r="B1101" s="18"/>
      <c r="C1101" s="19"/>
      <c r="D1101" s="19"/>
      <c r="E1101" s="20"/>
      <c r="F1101" s="22"/>
      <c r="G1101" s="22"/>
      <c r="H1101" s="38"/>
      <c r="I1101" s="38"/>
      <c r="J1101" s="13"/>
      <c r="K1101" s="18" t="s">
        <v>267</v>
      </c>
      <c r="L1101" s="19"/>
      <c r="M1101" s="19"/>
      <c r="N1101" s="20"/>
      <c r="O1101" s="22" t="s">
        <v>1153</v>
      </c>
      <c r="P1101" s="22">
        <v>0.46</v>
      </c>
      <c r="Q1101" s="107">
        <v>50</v>
      </c>
      <c r="R1101" s="23">
        <f t="shared" si="60"/>
        <v>23</v>
      </c>
    </row>
    <row r="1102" spans="1:18" x14ac:dyDescent="0.2">
      <c r="A1102" s="13"/>
      <c r="B1102" s="18"/>
      <c r="C1102" s="19"/>
      <c r="D1102" s="19"/>
      <c r="E1102" s="20"/>
      <c r="F1102" s="22"/>
      <c r="G1102" s="22"/>
      <c r="H1102" s="45"/>
      <c r="I1102" s="45"/>
      <c r="J1102" s="13"/>
      <c r="K1102" s="18" t="s">
        <v>268</v>
      </c>
      <c r="L1102" s="19"/>
      <c r="M1102" s="19"/>
      <c r="N1102" s="20"/>
      <c r="O1102" s="22" t="s">
        <v>9</v>
      </c>
      <c r="P1102" s="22">
        <v>0.13750000000000001</v>
      </c>
      <c r="Q1102" s="107">
        <v>850</v>
      </c>
      <c r="R1102" s="23">
        <f t="shared" si="60"/>
        <v>116.87500000000001</v>
      </c>
    </row>
    <row r="1103" spans="1:18" x14ac:dyDescent="0.2">
      <c r="A1103" s="13"/>
      <c r="B1103" s="18"/>
      <c r="C1103" s="19"/>
      <c r="D1103" s="19"/>
      <c r="E1103" s="20"/>
      <c r="F1103" s="22"/>
      <c r="G1103" s="22"/>
      <c r="H1103" s="45"/>
      <c r="I1103" s="45"/>
      <c r="J1103" s="13"/>
      <c r="K1103" s="18" t="s">
        <v>269</v>
      </c>
      <c r="L1103" s="19"/>
      <c r="M1103" s="19"/>
      <c r="N1103" s="20"/>
      <c r="O1103" s="22" t="s">
        <v>9</v>
      </c>
      <c r="P1103" s="22">
        <v>0.25</v>
      </c>
      <c r="Q1103" s="107">
        <v>650</v>
      </c>
      <c r="R1103" s="23">
        <f t="shared" si="60"/>
        <v>162.5</v>
      </c>
    </row>
    <row r="1104" spans="1:18" x14ac:dyDescent="0.2">
      <c r="A1104" s="13"/>
      <c r="B1104" s="18"/>
      <c r="C1104" s="19"/>
      <c r="D1104" s="19"/>
      <c r="E1104" s="20"/>
      <c r="F1104" s="22"/>
      <c r="G1104" s="22"/>
      <c r="H1104" s="23"/>
      <c r="I1104" s="23"/>
      <c r="J1104" s="13"/>
      <c r="K1104" s="18" t="s">
        <v>270</v>
      </c>
      <c r="L1104" s="19"/>
      <c r="M1104" s="19"/>
      <c r="N1104" s="20"/>
      <c r="O1104" s="22" t="s">
        <v>227</v>
      </c>
      <c r="P1104" s="22">
        <v>2.38</v>
      </c>
      <c r="Q1104" s="107">
        <v>220</v>
      </c>
      <c r="R1104" s="23">
        <f t="shared" si="60"/>
        <v>523.6</v>
      </c>
    </row>
    <row r="1105" spans="1:18" x14ac:dyDescent="0.2">
      <c r="A1105" s="13"/>
      <c r="B1105" s="18"/>
      <c r="C1105" s="19"/>
      <c r="D1105" s="19"/>
      <c r="E1105" s="20"/>
      <c r="F1105" s="22"/>
      <c r="G1105" s="22"/>
      <c r="H1105" s="23"/>
      <c r="I1105" s="23"/>
      <c r="J1105" s="13"/>
      <c r="K1105" s="18" t="s">
        <v>344</v>
      </c>
      <c r="L1105" s="19"/>
      <c r="M1105" s="19"/>
      <c r="N1105" s="20"/>
      <c r="O1105" s="22" t="s">
        <v>80</v>
      </c>
      <c r="P1105" s="22">
        <v>1.4999999999999999E-4</v>
      </c>
      <c r="Q1105" s="107">
        <v>8000</v>
      </c>
      <c r="R1105" s="23">
        <f t="shared" si="60"/>
        <v>1.2</v>
      </c>
    </row>
    <row r="1106" spans="1:18" x14ac:dyDescent="0.2">
      <c r="A1106" s="13"/>
      <c r="B1106" s="18"/>
      <c r="C1106" s="19"/>
      <c r="D1106" s="19"/>
      <c r="E1106" s="20"/>
      <c r="F1106" s="22"/>
      <c r="G1106" s="22"/>
      <c r="H1106" s="23"/>
      <c r="I1106" s="23"/>
      <c r="J1106" s="13"/>
      <c r="K1106" s="18" t="s">
        <v>356</v>
      </c>
      <c r="L1106" s="19"/>
      <c r="M1106" s="19"/>
      <c r="N1106" s="20"/>
      <c r="O1106" s="22" t="s">
        <v>1153</v>
      </c>
      <c r="P1106" s="22">
        <v>7.7999999999999996E-3</v>
      </c>
      <c r="Q1106" s="107">
        <v>97</v>
      </c>
      <c r="R1106" s="23">
        <f t="shared" si="60"/>
        <v>0.75659999999999994</v>
      </c>
    </row>
    <row r="1107" spans="1:18" x14ac:dyDescent="0.2">
      <c r="A1107" s="13"/>
      <c r="B1107" s="18"/>
      <c r="C1107" s="19"/>
      <c r="D1107" s="19"/>
      <c r="E1107" s="20"/>
      <c r="F1107" s="22"/>
      <c r="G1107" s="22"/>
      <c r="H1107" s="23"/>
      <c r="I1107" s="23"/>
      <c r="J1107" s="13"/>
      <c r="K1107" s="18" t="s">
        <v>346</v>
      </c>
      <c r="L1107" s="19"/>
      <c r="M1107" s="19"/>
      <c r="N1107" s="20"/>
      <c r="O1107" s="22" t="s">
        <v>1216</v>
      </c>
      <c r="P1107" s="22">
        <v>9.4999999999999998E-3</v>
      </c>
      <c r="Q1107" s="107">
        <v>300</v>
      </c>
      <c r="R1107" s="23">
        <f t="shared" si="60"/>
        <v>2.85</v>
      </c>
    </row>
    <row r="1108" spans="1:18" x14ac:dyDescent="0.2">
      <c r="A1108" s="13"/>
      <c r="B1108" s="18"/>
      <c r="C1108" s="19"/>
      <c r="D1108" s="19"/>
      <c r="E1108" s="20"/>
      <c r="F1108" s="22"/>
      <c r="G1108" s="22"/>
      <c r="H1108" s="23"/>
      <c r="I1108" s="23"/>
      <c r="J1108" s="13"/>
      <c r="K1108" s="18"/>
      <c r="L1108" s="19"/>
      <c r="M1108" s="19"/>
      <c r="N1108" s="20"/>
      <c r="O1108" s="22"/>
      <c r="P1108" s="22"/>
      <c r="Q1108" s="23"/>
      <c r="R1108" s="23"/>
    </row>
    <row r="1109" spans="1:18" x14ac:dyDescent="0.2">
      <c r="A1109" s="13"/>
      <c r="B1109" s="18"/>
      <c r="C1109" s="19"/>
      <c r="D1109" s="19"/>
      <c r="E1109" s="20"/>
      <c r="F1109" s="22"/>
      <c r="G1109" s="22"/>
      <c r="H1109" s="23"/>
      <c r="I1109" s="23"/>
      <c r="J1109" s="13"/>
      <c r="K1109" s="18"/>
      <c r="L1109" s="19"/>
      <c r="M1109" s="19"/>
      <c r="N1109" s="20"/>
      <c r="O1109" s="22"/>
      <c r="P1109" s="22"/>
      <c r="Q1109" s="23"/>
      <c r="R1109" s="23"/>
    </row>
    <row r="1110" spans="1:18" x14ac:dyDescent="0.2">
      <c r="A1110" s="13"/>
      <c r="B1110" s="18"/>
      <c r="C1110" s="19"/>
      <c r="D1110" s="19"/>
      <c r="E1110" s="20"/>
      <c r="F1110" s="22"/>
      <c r="G1110" s="36"/>
      <c r="H1110" s="37"/>
      <c r="I1110" s="37"/>
      <c r="J1110" s="13"/>
      <c r="K1110" s="18"/>
      <c r="L1110" s="19"/>
      <c r="M1110" s="19"/>
      <c r="N1110" s="20"/>
      <c r="O1110" s="22"/>
      <c r="P1110" s="36"/>
      <c r="Q1110" s="37"/>
      <c r="R1110" s="37"/>
    </row>
    <row r="1111" spans="1:18" x14ac:dyDescent="0.2">
      <c r="A1111" s="13"/>
      <c r="B1111" s="248" t="s">
        <v>42</v>
      </c>
      <c r="C1111" s="249"/>
      <c r="D1111" s="249"/>
      <c r="E1111" s="250"/>
      <c r="F1111" s="46"/>
      <c r="G1111" s="46"/>
      <c r="H1111" s="47"/>
      <c r="I1111" s="47">
        <f>SUM(I1098:I1110)</f>
        <v>43653.75</v>
      </c>
      <c r="J1111" s="13"/>
      <c r="K1111" s="248" t="s">
        <v>42</v>
      </c>
      <c r="L1111" s="249"/>
      <c r="M1111" s="249"/>
      <c r="N1111" s="250"/>
      <c r="O1111" s="46"/>
      <c r="P1111" s="46"/>
      <c r="Q1111" s="47"/>
      <c r="R1111" s="47">
        <f>SUM(R1098:R1110)</f>
        <v>863.50160000000017</v>
      </c>
    </row>
    <row r="1112" spans="1:18" x14ac:dyDescent="0.2">
      <c r="A1112" s="12" t="s">
        <v>43</v>
      </c>
      <c r="B1112" s="48" t="s">
        <v>44</v>
      </c>
      <c r="C1112" s="43"/>
      <c r="D1112" s="43"/>
      <c r="E1112" s="39"/>
      <c r="F1112" s="49"/>
      <c r="G1112" s="49"/>
      <c r="H1112" s="50"/>
      <c r="I1112" s="51">
        <f>SUM(I1093+I1111)</f>
        <v>47829.983333333337</v>
      </c>
      <c r="J1112" s="12" t="s">
        <v>43</v>
      </c>
      <c r="K1112" s="48" t="s">
        <v>44</v>
      </c>
      <c r="L1112" s="43"/>
      <c r="M1112" s="43"/>
      <c r="N1112" s="39"/>
      <c r="O1112" s="49"/>
      <c r="P1112" s="49"/>
      <c r="Q1112" s="50"/>
      <c r="R1112" s="51">
        <f>SUM(R1093+R1111)</f>
        <v>1061.8133080745342</v>
      </c>
    </row>
    <row r="1113" spans="1:18" x14ac:dyDescent="0.2">
      <c r="A1113" s="13" t="s">
        <v>45</v>
      </c>
      <c r="B1113" s="48" t="s">
        <v>46</v>
      </c>
      <c r="C1113" s="43"/>
      <c r="D1113" s="43"/>
      <c r="E1113" s="39"/>
      <c r="F1113" s="49"/>
      <c r="G1113" s="52">
        <v>0.09</v>
      </c>
      <c r="H1113" s="53" t="s">
        <v>47</v>
      </c>
      <c r="I1113" s="51">
        <f>G1113*I1112</f>
        <v>4304.6985000000004</v>
      </c>
      <c r="J1113" s="13" t="s">
        <v>45</v>
      </c>
      <c r="K1113" s="48" t="s">
        <v>46</v>
      </c>
      <c r="L1113" s="43"/>
      <c r="M1113" s="43"/>
      <c r="N1113" s="39"/>
      <c r="O1113" s="49"/>
      <c r="P1113" s="52">
        <v>0.09</v>
      </c>
      <c r="Q1113" s="53" t="s">
        <v>47</v>
      </c>
      <c r="R1113" s="51">
        <f>P1113*R1112</f>
        <v>95.563197726708083</v>
      </c>
    </row>
    <row r="1114" spans="1:18" x14ac:dyDescent="0.2">
      <c r="A1114" s="13" t="s">
        <v>48</v>
      </c>
      <c r="B1114" s="48" t="s">
        <v>49</v>
      </c>
      <c r="C1114" s="43"/>
      <c r="D1114" s="43"/>
      <c r="E1114" s="39"/>
      <c r="F1114" s="49"/>
      <c r="G1114" s="52">
        <v>0.08</v>
      </c>
      <c r="H1114" s="53" t="s">
        <v>47</v>
      </c>
      <c r="I1114" s="51">
        <f>G1114*I1112</f>
        <v>3826.3986666666669</v>
      </c>
      <c r="J1114" s="13" t="s">
        <v>48</v>
      </c>
      <c r="K1114" s="48" t="s">
        <v>49</v>
      </c>
      <c r="L1114" s="43"/>
      <c r="M1114" s="43"/>
      <c r="N1114" s="39"/>
      <c r="O1114" s="49"/>
      <c r="P1114" s="52">
        <v>0.08</v>
      </c>
      <c r="Q1114" s="53" t="s">
        <v>47</v>
      </c>
      <c r="R1114" s="51">
        <f>P1114*R1112</f>
        <v>84.945064645962745</v>
      </c>
    </row>
    <row r="1115" spans="1:18" x14ac:dyDescent="0.2">
      <c r="A1115" s="13" t="s">
        <v>50</v>
      </c>
      <c r="B1115" s="48" t="s">
        <v>51</v>
      </c>
      <c r="C1115" s="43"/>
      <c r="D1115" s="43"/>
      <c r="E1115" s="39"/>
      <c r="F1115" s="49"/>
      <c r="G1115" s="52">
        <v>0.05</v>
      </c>
      <c r="H1115" s="53" t="s">
        <v>52</v>
      </c>
      <c r="I1115" s="51">
        <f>G1115*(I1112+I1113+I1114)</f>
        <v>2798.0540250000004</v>
      </c>
      <c r="J1115" s="13" t="s">
        <v>50</v>
      </c>
      <c r="K1115" s="48" t="s">
        <v>51</v>
      </c>
      <c r="L1115" s="43"/>
      <c r="M1115" s="43"/>
      <c r="N1115" s="39"/>
      <c r="O1115" s="49"/>
      <c r="P1115" s="52">
        <f>5/100</f>
        <v>0.05</v>
      </c>
      <c r="Q1115" s="53" t="s">
        <v>52</v>
      </c>
      <c r="R1115" s="51">
        <f>P1115*(R1112+R1113+R1114)</f>
        <v>62.116078522360255</v>
      </c>
    </row>
    <row r="1116" spans="1:18" x14ac:dyDescent="0.2">
      <c r="A1116" s="54" t="s">
        <v>53</v>
      </c>
      <c r="B1116" s="48" t="s">
        <v>54</v>
      </c>
      <c r="C1116" s="43"/>
      <c r="D1116" s="43"/>
      <c r="E1116" s="39"/>
      <c r="F1116" s="49"/>
      <c r="G1116" s="49"/>
      <c r="H1116" s="55" t="s">
        <v>55</v>
      </c>
      <c r="I1116" s="51">
        <f>SUM(I1112+I1113+I1114+I1115)</f>
        <v>58759.134525000001</v>
      </c>
      <c r="J1116" s="54" t="s">
        <v>53</v>
      </c>
      <c r="K1116" s="48" t="s">
        <v>54</v>
      </c>
      <c r="L1116" s="43"/>
      <c r="M1116" s="43"/>
      <c r="N1116" s="39"/>
      <c r="O1116" s="49"/>
      <c r="P1116" s="49"/>
      <c r="Q1116" s="55" t="s">
        <v>55</v>
      </c>
      <c r="R1116" s="51">
        <f>SUM(R1112+R1113+R1114+R1115)</f>
        <v>1304.4376489695653</v>
      </c>
    </row>
    <row r="1117" spans="1:18" s="1" customFormat="1" x14ac:dyDescent="0.2">
      <c r="A1117" s="236" t="s">
        <v>0</v>
      </c>
      <c r="B1117" s="236"/>
      <c r="C1117" s="236"/>
      <c r="D1117" s="236"/>
      <c r="E1117" s="236"/>
      <c r="F1117" s="236"/>
      <c r="G1117" s="236"/>
      <c r="H1117" s="236"/>
      <c r="I1117" s="236"/>
      <c r="J1117" s="236" t="s">
        <v>0</v>
      </c>
      <c r="K1117" s="236"/>
      <c r="L1117" s="236"/>
      <c r="M1117" s="236"/>
      <c r="N1117" s="236"/>
      <c r="O1117" s="236"/>
      <c r="P1117" s="236"/>
      <c r="Q1117" s="236"/>
      <c r="R1117" s="236"/>
    </row>
    <row r="1119" spans="1:18" x14ac:dyDescent="0.2">
      <c r="A1119" s="2" t="s">
        <v>1</v>
      </c>
      <c r="C1119" s="4" t="s">
        <v>2</v>
      </c>
      <c r="D1119" s="5" t="s">
        <v>380</v>
      </c>
      <c r="E1119" s="237" t="s">
        <v>381</v>
      </c>
      <c r="F1119" s="237"/>
      <c r="G1119" s="237"/>
      <c r="H1119" s="237"/>
      <c r="J1119" s="152" t="s">
        <v>1</v>
      </c>
      <c r="L1119" s="4" t="s">
        <v>2</v>
      </c>
      <c r="M1119" s="5" t="s">
        <v>1253</v>
      </c>
      <c r="N1119" s="237" t="s">
        <v>360</v>
      </c>
      <c r="O1119" s="237"/>
      <c r="P1119" s="237"/>
      <c r="Q1119" s="237"/>
    </row>
    <row r="1120" spans="1:18" x14ac:dyDescent="0.2">
      <c r="A1120" s="2" t="s">
        <v>7</v>
      </c>
      <c r="C1120" s="4" t="s">
        <v>2</v>
      </c>
      <c r="E1120" s="2" t="s">
        <v>239</v>
      </c>
      <c r="F1120" s="8"/>
      <c r="G1120" s="8"/>
      <c r="H1120" s="8"/>
      <c r="J1120" s="152" t="s">
        <v>7</v>
      </c>
      <c r="L1120" s="4" t="s">
        <v>2</v>
      </c>
      <c r="N1120" s="152" t="s">
        <v>8</v>
      </c>
      <c r="O1120" s="8"/>
      <c r="P1120" s="8"/>
      <c r="Q1120" s="8"/>
    </row>
    <row r="1121" spans="1:18" x14ac:dyDescent="0.2">
      <c r="A1121" s="2" t="s">
        <v>10</v>
      </c>
      <c r="C1121" s="4" t="s">
        <v>2</v>
      </c>
      <c r="E1121" s="9">
        <v>0.3</v>
      </c>
      <c r="F1121" s="8"/>
      <c r="G1121" s="8"/>
      <c r="H1121" s="8"/>
      <c r="J1121" s="152" t="s">
        <v>10</v>
      </c>
      <c r="L1121" s="4" t="s">
        <v>2</v>
      </c>
      <c r="N1121" s="9">
        <v>64.400000000000006</v>
      </c>
      <c r="O1121" s="8"/>
      <c r="P1121" s="8"/>
      <c r="Q1121" s="8"/>
    </row>
    <row r="1122" spans="1:18" x14ac:dyDescent="0.2">
      <c r="B1122" s="8"/>
      <c r="F1122" s="11"/>
      <c r="G1122" s="8"/>
      <c r="H1122" s="8"/>
      <c r="I1122" s="8"/>
      <c r="K1122" s="8"/>
      <c r="O1122" s="11"/>
      <c r="P1122" s="8"/>
      <c r="Q1122" s="8"/>
      <c r="R1122" s="8"/>
    </row>
    <row r="1123" spans="1:18" x14ac:dyDescent="0.2">
      <c r="A1123" s="12"/>
      <c r="B1123" s="238" t="s">
        <v>11</v>
      </c>
      <c r="C1123" s="239"/>
      <c r="D1123" s="239"/>
      <c r="E1123" s="240"/>
      <c r="F1123" s="244" t="s">
        <v>12</v>
      </c>
      <c r="G1123" s="244" t="s">
        <v>13</v>
      </c>
      <c r="H1123" s="244" t="s">
        <v>14</v>
      </c>
      <c r="I1123" s="246" t="s">
        <v>15</v>
      </c>
      <c r="J1123" s="12"/>
      <c r="K1123" s="238" t="s">
        <v>11</v>
      </c>
      <c r="L1123" s="239"/>
      <c r="M1123" s="239"/>
      <c r="N1123" s="240"/>
      <c r="O1123" s="244" t="s">
        <v>12</v>
      </c>
      <c r="P1123" s="244" t="s">
        <v>13</v>
      </c>
      <c r="Q1123" s="244" t="s">
        <v>14</v>
      </c>
      <c r="R1123" s="246" t="s">
        <v>15</v>
      </c>
    </row>
    <row r="1124" spans="1:18" x14ac:dyDescent="0.2">
      <c r="A1124" s="13"/>
      <c r="B1124" s="241"/>
      <c r="C1124" s="242"/>
      <c r="D1124" s="242"/>
      <c r="E1124" s="243"/>
      <c r="F1124" s="245"/>
      <c r="G1124" s="245"/>
      <c r="H1124" s="245"/>
      <c r="I1124" s="247"/>
      <c r="J1124" s="13"/>
      <c r="K1124" s="241"/>
      <c r="L1124" s="242"/>
      <c r="M1124" s="242"/>
      <c r="N1124" s="243"/>
      <c r="O1124" s="245"/>
      <c r="P1124" s="245"/>
      <c r="Q1124" s="245"/>
      <c r="R1124" s="247"/>
    </row>
    <row r="1125" spans="1:18" x14ac:dyDescent="0.2">
      <c r="A1125" s="13" t="s">
        <v>16</v>
      </c>
      <c r="B1125" s="14" t="s">
        <v>17</v>
      </c>
      <c r="C1125" s="15"/>
      <c r="D1125" s="15"/>
      <c r="E1125" s="16"/>
      <c r="F1125" s="17"/>
      <c r="G1125" s="17"/>
      <c r="H1125" s="17"/>
      <c r="I1125" s="17"/>
      <c r="J1125" s="13" t="s">
        <v>16</v>
      </c>
      <c r="K1125" s="14" t="s">
        <v>17</v>
      </c>
      <c r="L1125" s="15"/>
      <c r="M1125" s="15"/>
      <c r="N1125" s="16"/>
      <c r="O1125" s="17"/>
      <c r="P1125" s="17"/>
      <c r="Q1125" s="17"/>
      <c r="R1125" s="17"/>
    </row>
    <row r="1126" spans="1:18" x14ac:dyDescent="0.2">
      <c r="A1126" s="13"/>
      <c r="B1126" s="18"/>
      <c r="C1126" s="19"/>
      <c r="D1126" s="19"/>
      <c r="E1126" s="20"/>
      <c r="F1126" s="21"/>
      <c r="G1126" s="22"/>
      <c r="H1126" s="21"/>
      <c r="I1126" s="21"/>
      <c r="J1126" s="13"/>
      <c r="K1126" s="18"/>
      <c r="L1126" s="19"/>
      <c r="M1126" s="19"/>
      <c r="N1126" s="20"/>
      <c r="O1126" s="21"/>
      <c r="P1126" s="22"/>
      <c r="Q1126" s="21"/>
      <c r="R1126" s="21"/>
    </row>
    <row r="1127" spans="1:18" x14ac:dyDescent="0.2">
      <c r="A1127" s="13"/>
      <c r="B1127" s="24" t="s">
        <v>18</v>
      </c>
      <c r="C1127" s="25"/>
      <c r="D1127" s="25"/>
      <c r="E1127" s="26"/>
      <c r="F1127" s="22">
        <v>1</v>
      </c>
      <c r="G1127" s="23">
        <v>1</v>
      </c>
      <c r="H1127" s="23">
        <v>69.42</v>
      </c>
      <c r="I1127" s="23">
        <f>G1127*H1127*F1127</f>
        <v>69.42</v>
      </c>
      <c r="J1127" s="13"/>
      <c r="K1127" s="24" t="s">
        <v>18</v>
      </c>
      <c r="L1127" s="25"/>
      <c r="M1127" s="25"/>
      <c r="N1127" s="26"/>
      <c r="O1127" s="22">
        <v>1</v>
      </c>
      <c r="P1127" s="23">
        <v>1</v>
      </c>
      <c r="Q1127" s="23">
        <v>69.42</v>
      </c>
      <c r="R1127" s="23">
        <f>P1127*Q1127*O1127</f>
        <v>69.42</v>
      </c>
    </row>
    <row r="1128" spans="1:18" x14ac:dyDescent="0.2">
      <c r="A1128" s="13"/>
      <c r="B1128" s="257" t="s">
        <v>1179</v>
      </c>
      <c r="C1128" s="258"/>
      <c r="D1128" s="19"/>
      <c r="E1128" s="20"/>
      <c r="F1128" s="22">
        <v>3</v>
      </c>
      <c r="G1128" s="23">
        <v>1</v>
      </c>
      <c r="H1128" s="23">
        <v>38.97</v>
      </c>
      <c r="I1128" s="23">
        <f>G1128*H1128*F1128</f>
        <v>116.91</v>
      </c>
      <c r="J1128" s="13"/>
      <c r="K1128" s="257" t="s">
        <v>1178</v>
      </c>
      <c r="L1128" s="258"/>
      <c r="M1128" s="25"/>
      <c r="N1128" s="26"/>
      <c r="O1128" s="22">
        <v>4</v>
      </c>
      <c r="P1128" s="23">
        <v>1</v>
      </c>
      <c r="Q1128" s="23">
        <v>50.18</v>
      </c>
      <c r="R1128" s="23">
        <f>P1128*Q1128*O1128</f>
        <v>200.72</v>
      </c>
    </row>
    <row r="1129" spans="1:18" x14ac:dyDescent="0.2">
      <c r="A1129" s="13"/>
      <c r="B1129" s="27"/>
      <c r="C1129" s="19"/>
      <c r="D1129" s="19"/>
      <c r="E1129" s="20"/>
      <c r="F1129" s="22"/>
      <c r="G1129" s="22"/>
      <c r="H1129" s="28"/>
      <c r="I1129" s="23"/>
      <c r="J1129" s="13"/>
      <c r="K1129" s="257" t="s">
        <v>1177</v>
      </c>
      <c r="L1129" s="258"/>
      <c r="M1129" s="19"/>
      <c r="N1129" s="20"/>
      <c r="O1129" s="22">
        <v>12</v>
      </c>
      <c r="P1129" s="23">
        <v>1</v>
      </c>
      <c r="Q1129" s="23">
        <v>38.97</v>
      </c>
      <c r="R1129" s="23">
        <f>P1129*Q1129*O1129</f>
        <v>467.64</v>
      </c>
    </row>
    <row r="1130" spans="1:18" x14ac:dyDescent="0.2">
      <c r="A1130" s="13"/>
      <c r="B1130" s="27"/>
      <c r="C1130" s="19"/>
      <c r="D1130" s="19"/>
      <c r="E1130" s="20"/>
      <c r="F1130" s="22"/>
      <c r="G1130" s="22"/>
      <c r="H1130" s="29"/>
      <c r="I1130" s="30"/>
      <c r="J1130" s="13"/>
      <c r="K1130" s="153"/>
      <c r="L1130" s="19"/>
      <c r="M1130" s="19"/>
      <c r="N1130" s="20"/>
      <c r="O1130" s="22"/>
      <c r="P1130" s="22"/>
      <c r="Q1130" s="29"/>
      <c r="R1130" s="30"/>
    </row>
    <row r="1131" spans="1:18" x14ac:dyDescent="0.2">
      <c r="A1131" s="13"/>
      <c r="B1131" s="27"/>
      <c r="C1131" s="19"/>
      <c r="D1131" s="19"/>
      <c r="E1131" s="20"/>
      <c r="F1131" s="22"/>
      <c r="G1131" s="22"/>
      <c r="H1131" s="29"/>
      <c r="I1131" s="30"/>
      <c r="J1131" s="13"/>
      <c r="K1131" s="153"/>
      <c r="L1131" s="19"/>
      <c r="M1131" s="19"/>
      <c r="N1131" s="20"/>
      <c r="O1131" s="22"/>
      <c r="P1131" s="22"/>
      <c r="Q1131" s="29"/>
      <c r="R1131" s="30"/>
    </row>
    <row r="1132" spans="1:18" x14ac:dyDescent="0.2">
      <c r="A1132" s="13"/>
      <c r="B1132" s="18"/>
      <c r="C1132" s="19"/>
      <c r="D1132" s="19"/>
      <c r="E1132" s="20"/>
      <c r="F1132" s="22"/>
      <c r="G1132" s="22"/>
      <c r="H1132" s="28"/>
      <c r="I1132" s="23"/>
      <c r="J1132" s="13"/>
      <c r="K1132" s="18"/>
      <c r="L1132" s="19"/>
      <c r="M1132" s="19"/>
      <c r="N1132" s="20"/>
      <c r="O1132" s="22"/>
      <c r="P1132" s="22"/>
      <c r="Q1132" s="28"/>
      <c r="R1132" s="23"/>
    </row>
    <row r="1133" spans="1:18" x14ac:dyDescent="0.2">
      <c r="A1133" s="13"/>
      <c r="B1133" s="18"/>
      <c r="C1133" s="19"/>
      <c r="D1133" s="19"/>
      <c r="E1133" s="20"/>
      <c r="F1133" s="22"/>
      <c r="G1133" s="22"/>
      <c r="H1133" s="23"/>
      <c r="I1133" s="23"/>
      <c r="J1133" s="13"/>
      <c r="K1133" s="18"/>
      <c r="L1133" s="19"/>
      <c r="M1133" s="19"/>
      <c r="N1133" s="20"/>
      <c r="O1133" s="22"/>
      <c r="P1133" s="22"/>
      <c r="Q1133" s="23"/>
      <c r="R1133" s="23"/>
    </row>
    <row r="1134" spans="1:18" x14ac:dyDescent="0.2">
      <c r="A1134" s="13"/>
      <c r="B1134" s="248" t="s">
        <v>20</v>
      </c>
      <c r="C1134" s="249"/>
      <c r="D1134" s="249"/>
      <c r="E1134" s="250"/>
      <c r="F1134" s="31"/>
      <c r="G1134" s="31"/>
      <c r="H1134" s="32"/>
      <c r="I1134" s="32">
        <f>SUM(I1127:I1133)</f>
        <v>186.32999999999998</v>
      </c>
      <c r="J1134" s="13"/>
      <c r="K1134" s="248" t="s">
        <v>20</v>
      </c>
      <c r="L1134" s="249"/>
      <c r="M1134" s="249"/>
      <c r="N1134" s="250"/>
      <c r="O1134" s="31"/>
      <c r="P1134" s="31"/>
      <c r="Q1134" s="32"/>
      <c r="R1134" s="32">
        <f>SUM(R1127:R1133)</f>
        <v>737.78</v>
      </c>
    </row>
    <row r="1135" spans="1:18" x14ac:dyDescent="0.2">
      <c r="A1135" s="12"/>
      <c r="B1135" s="251" t="s">
        <v>21</v>
      </c>
      <c r="C1135" s="252"/>
      <c r="D1135" s="252"/>
      <c r="E1135" s="253"/>
      <c r="F1135" s="244" t="s">
        <v>22</v>
      </c>
      <c r="G1135" s="244" t="s">
        <v>13</v>
      </c>
      <c r="H1135" s="244" t="s">
        <v>14</v>
      </c>
      <c r="I1135" s="246" t="s">
        <v>15</v>
      </c>
      <c r="J1135" s="12"/>
      <c r="K1135" s="251" t="s">
        <v>21</v>
      </c>
      <c r="L1135" s="252"/>
      <c r="M1135" s="252"/>
      <c r="N1135" s="253"/>
      <c r="O1135" s="244" t="s">
        <v>22</v>
      </c>
      <c r="P1135" s="244" t="s">
        <v>13</v>
      </c>
      <c r="Q1135" s="244" t="s">
        <v>14</v>
      </c>
      <c r="R1135" s="246" t="s">
        <v>15</v>
      </c>
    </row>
    <row r="1136" spans="1:18" x14ac:dyDescent="0.2">
      <c r="A1136" s="13"/>
      <c r="B1136" s="254"/>
      <c r="C1136" s="255"/>
      <c r="D1136" s="255"/>
      <c r="E1136" s="256"/>
      <c r="F1136" s="245"/>
      <c r="G1136" s="245"/>
      <c r="H1136" s="245"/>
      <c r="I1136" s="247"/>
      <c r="J1136" s="13"/>
      <c r="K1136" s="254"/>
      <c r="L1136" s="255"/>
      <c r="M1136" s="255"/>
      <c r="N1136" s="256"/>
      <c r="O1136" s="245"/>
      <c r="P1136" s="245"/>
      <c r="Q1136" s="245"/>
      <c r="R1136" s="247"/>
    </row>
    <row r="1137" spans="1:18" x14ac:dyDescent="0.2">
      <c r="A1137" s="13" t="s">
        <v>23</v>
      </c>
      <c r="B1137" s="33" t="s">
        <v>24</v>
      </c>
      <c r="C1137" s="15"/>
      <c r="D1137" s="15"/>
      <c r="E1137" s="16"/>
      <c r="F1137" s="34"/>
      <c r="G1137" s="34"/>
      <c r="H1137" s="35"/>
      <c r="I1137" s="35"/>
      <c r="J1137" s="13" t="s">
        <v>23</v>
      </c>
      <c r="K1137" s="33" t="s">
        <v>24</v>
      </c>
      <c r="L1137" s="15"/>
      <c r="M1137" s="15"/>
      <c r="N1137" s="16"/>
      <c r="O1137" s="34"/>
      <c r="P1137" s="34"/>
      <c r="Q1137" s="35"/>
      <c r="R1137" s="35"/>
    </row>
    <row r="1138" spans="1:18" x14ac:dyDescent="0.2">
      <c r="A1138" s="13"/>
      <c r="B1138" s="18"/>
      <c r="C1138" s="19"/>
      <c r="D1138" s="19"/>
      <c r="E1138" s="20"/>
      <c r="F1138" s="22"/>
      <c r="G1138" s="22"/>
      <c r="H1138" s="23"/>
      <c r="I1138" s="23"/>
      <c r="J1138" s="13"/>
      <c r="K1138" s="18"/>
      <c r="L1138" s="19"/>
      <c r="M1138" s="19"/>
      <c r="N1138" s="20"/>
      <c r="O1138" s="22"/>
      <c r="P1138" s="22"/>
      <c r="Q1138" s="23"/>
      <c r="R1138" s="23"/>
    </row>
    <row r="1139" spans="1:18" x14ac:dyDescent="0.2">
      <c r="A1139" s="13"/>
      <c r="B1139" s="18" t="s">
        <v>1209</v>
      </c>
      <c r="C1139" s="19"/>
      <c r="D1139" s="19"/>
      <c r="E1139" s="20"/>
      <c r="F1139" s="22">
        <v>1</v>
      </c>
      <c r="G1139" s="23">
        <v>1</v>
      </c>
      <c r="H1139" s="37">
        <v>936</v>
      </c>
      <c r="I1139" s="37">
        <f>G1139*H1139*F1139</f>
        <v>936</v>
      </c>
      <c r="J1139" s="13"/>
      <c r="K1139" s="18" t="s">
        <v>621</v>
      </c>
      <c r="L1139" s="19"/>
      <c r="M1139" s="19"/>
      <c r="N1139" s="20"/>
      <c r="O1139" s="22">
        <v>2</v>
      </c>
      <c r="P1139" s="23">
        <v>1</v>
      </c>
      <c r="Q1139" s="37">
        <v>91.25</v>
      </c>
      <c r="R1139" s="37">
        <f t="shared" ref="R1139:R1142" si="61">P1139*Q1139*O1139</f>
        <v>182.5</v>
      </c>
    </row>
    <row r="1140" spans="1:18" x14ac:dyDescent="0.2">
      <c r="A1140" s="13"/>
      <c r="B1140" s="18" t="s">
        <v>288</v>
      </c>
      <c r="C1140" s="19"/>
      <c r="D1140" s="19"/>
      <c r="E1140" s="20"/>
      <c r="F1140" s="22">
        <v>1</v>
      </c>
      <c r="G1140" s="23">
        <v>1</v>
      </c>
      <c r="H1140" s="37">
        <v>130.54</v>
      </c>
      <c r="I1140" s="37">
        <f>G1140*H1140*F1140</f>
        <v>130.54</v>
      </c>
      <c r="J1140" s="13"/>
      <c r="K1140" s="18" t="s">
        <v>255</v>
      </c>
      <c r="L1140" s="19"/>
      <c r="M1140" s="19"/>
      <c r="N1140" s="20"/>
      <c r="O1140" s="22">
        <v>1</v>
      </c>
      <c r="P1140" s="23">
        <v>1</v>
      </c>
      <c r="Q1140" s="37">
        <v>545</v>
      </c>
      <c r="R1140" s="37">
        <f t="shared" si="61"/>
        <v>545</v>
      </c>
    </row>
    <row r="1141" spans="1:18" x14ac:dyDescent="0.2">
      <c r="A1141" s="13"/>
      <c r="B1141" s="18"/>
      <c r="C1141" s="19"/>
      <c r="D1141" s="19"/>
      <c r="E1141" s="20"/>
      <c r="F1141" s="22"/>
      <c r="G1141" s="23"/>
      <c r="H1141" s="37"/>
      <c r="I1141" s="37"/>
      <c r="J1141" s="13"/>
      <c r="K1141" s="18" t="s">
        <v>1246</v>
      </c>
      <c r="L1141" s="19"/>
      <c r="M1141" s="19"/>
      <c r="N1141" s="20"/>
      <c r="O1141" s="22">
        <v>1</v>
      </c>
      <c r="P1141" s="23">
        <v>1</v>
      </c>
      <c r="Q1141" s="37">
        <v>32.630000000000003</v>
      </c>
      <c r="R1141" s="37">
        <f t="shared" si="61"/>
        <v>32.630000000000003</v>
      </c>
    </row>
    <row r="1142" spans="1:18" x14ac:dyDescent="0.2">
      <c r="A1142" s="13"/>
      <c r="B1142" s="18"/>
      <c r="F1142" s="22"/>
      <c r="G1142" s="36"/>
      <c r="H1142" s="37"/>
      <c r="I1142" s="37"/>
      <c r="J1142" s="13"/>
      <c r="K1142" s="18" t="s">
        <v>404</v>
      </c>
      <c r="L1142" s="19"/>
      <c r="M1142" s="19"/>
      <c r="N1142" s="20"/>
      <c r="O1142" s="22">
        <v>1</v>
      </c>
      <c r="P1142" s="23">
        <v>0.1</v>
      </c>
      <c r="Q1142" s="37">
        <v>219.75</v>
      </c>
      <c r="R1142" s="37">
        <f t="shared" si="61"/>
        <v>21.975000000000001</v>
      </c>
    </row>
    <row r="1143" spans="1:18" x14ac:dyDescent="0.2">
      <c r="A1143" s="13"/>
      <c r="B1143" s="18"/>
      <c r="C1143" s="19"/>
      <c r="D1143" s="19"/>
      <c r="E1143" s="20"/>
      <c r="F1143" s="22"/>
      <c r="G1143" s="36"/>
      <c r="H1143" s="37"/>
      <c r="I1143" s="37"/>
      <c r="J1143" s="13"/>
      <c r="K1143" s="18" t="s">
        <v>1195</v>
      </c>
      <c r="L1143" s="19"/>
      <c r="M1143" s="19"/>
      <c r="N1143" s="20"/>
      <c r="O1143" s="22"/>
      <c r="P1143" s="36"/>
      <c r="R1143" s="37">
        <f>R1134*0.05</f>
        <v>36.889000000000003</v>
      </c>
    </row>
    <row r="1144" spans="1:18" x14ac:dyDescent="0.2">
      <c r="A1144" s="13"/>
      <c r="B1144" s="18"/>
      <c r="C1144" s="19"/>
      <c r="D1144" s="19"/>
      <c r="E1144" s="20"/>
      <c r="F1144" s="22"/>
      <c r="G1144" s="36"/>
      <c r="H1144" s="38"/>
      <c r="I1144" s="38"/>
      <c r="J1144" s="13"/>
      <c r="K1144" s="18"/>
      <c r="L1144" s="19"/>
      <c r="M1144" s="19"/>
      <c r="N1144" s="20"/>
      <c r="O1144" s="22"/>
      <c r="P1144" s="23"/>
      <c r="Q1144" s="37"/>
      <c r="R1144" s="37"/>
    </row>
    <row r="1145" spans="1:18" x14ac:dyDescent="0.2">
      <c r="A1145" s="13"/>
      <c r="B1145" s="18"/>
      <c r="C1145" s="19"/>
      <c r="D1145" s="19"/>
      <c r="E1145" s="20"/>
      <c r="F1145" s="22"/>
      <c r="G1145" s="36"/>
      <c r="H1145" s="38"/>
      <c r="I1145" s="38"/>
      <c r="J1145" s="13"/>
      <c r="K1145" s="18"/>
      <c r="L1145" s="19"/>
      <c r="M1145" s="19"/>
      <c r="N1145" s="20"/>
      <c r="O1145" s="22"/>
      <c r="P1145" s="23"/>
      <c r="Q1145" s="37"/>
      <c r="R1145" s="37"/>
    </row>
    <row r="1146" spans="1:18" x14ac:dyDescent="0.2">
      <c r="A1146" s="13"/>
      <c r="B1146" s="18"/>
      <c r="C1146" s="19"/>
      <c r="D1146" s="19"/>
      <c r="E1146" s="20"/>
      <c r="F1146" s="22"/>
      <c r="G1146" s="36"/>
      <c r="H1146" s="38"/>
      <c r="I1146" s="38"/>
      <c r="J1146" s="13"/>
      <c r="K1146" s="18"/>
      <c r="L1146" s="19"/>
      <c r="M1146" s="19"/>
      <c r="N1146" s="20"/>
      <c r="O1146" s="22"/>
      <c r="P1146" s="23"/>
      <c r="Q1146" s="37"/>
      <c r="R1146" s="37"/>
    </row>
    <row r="1147" spans="1:18" x14ac:dyDescent="0.2">
      <c r="A1147" s="13"/>
      <c r="B1147" s="18"/>
      <c r="C1147" s="19"/>
      <c r="D1147" s="19"/>
      <c r="E1147" s="20"/>
      <c r="F1147" s="22"/>
      <c r="G1147" s="36"/>
      <c r="H1147" s="38"/>
      <c r="I1147" s="38"/>
      <c r="J1147" s="13"/>
      <c r="K1147" s="18"/>
      <c r="L1147" s="19"/>
      <c r="M1147" s="19"/>
      <c r="N1147" s="20"/>
      <c r="O1147" s="22"/>
      <c r="P1147" s="36"/>
    </row>
    <row r="1148" spans="1:18" x14ac:dyDescent="0.2">
      <c r="A1148" s="13"/>
      <c r="B1148" s="18"/>
      <c r="C1148" s="19"/>
      <c r="D1148" s="19"/>
      <c r="E1148" s="20"/>
      <c r="F1148" s="22"/>
      <c r="G1148" s="36"/>
      <c r="H1148" s="37"/>
      <c r="I1148" s="37"/>
      <c r="J1148" s="13"/>
      <c r="K1148" s="18"/>
      <c r="L1148" s="19"/>
      <c r="M1148" s="19"/>
      <c r="N1148" s="20"/>
      <c r="O1148" s="22"/>
      <c r="P1148" s="36"/>
      <c r="Q1148" s="37"/>
      <c r="R1148" s="37"/>
    </row>
    <row r="1149" spans="1:18" x14ac:dyDescent="0.2">
      <c r="A1149" s="13"/>
      <c r="B1149" s="18"/>
      <c r="C1149" s="19"/>
      <c r="D1149" s="19"/>
      <c r="E1149" s="20"/>
      <c r="F1149" s="22"/>
      <c r="G1149" s="36"/>
      <c r="H1149" s="37"/>
      <c r="I1149" s="37"/>
      <c r="J1149" s="13"/>
      <c r="K1149" s="18"/>
      <c r="L1149" s="19"/>
      <c r="M1149" s="19"/>
      <c r="N1149" s="20"/>
      <c r="O1149" s="22"/>
      <c r="P1149" s="36"/>
      <c r="Q1149" s="37"/>
      <c r="R1149" s="37"/>
    </row>
    <row r="1150" spans="1:18" x14ac:dyDescent="0.2">
      <c r="A1150" s="13"/>
      <c r="B1150" s="18"/>
      <c r="C1150" s="19"/>
      <c r="D1150" s="19"/>
      <c r="E1150" s="20"/>
      <c r="F1150" s="22"/>
      <c r="G1150" s="36"/>
      <c r="H1150" s="37"/>
      <c r="I1150" s="37"/>
      <c r="J1150" s="13"/>
      <c r="K1150" s="18"/>
      <c r="L1150" s="19"/>
      <c r="M1150" s="19"/>
      <c r="N1150" s="20"/>
      <c r="O1150" s="22"/>
      <c r="P1150" s="36"/>
      <c r="Q1150" s="37"/>
      <c r="R1150" s="37"/>
    </row>
    <row r="1151" spans="1:18" x14ac:dyDescent="0.2">
      <c r="A1151" s="13"/>
      <c r="B1151" s="18"/>
      <c r="C1151" s="19"/>
      <c r="D1151" s="19"/>
      <c r="E1151" s="20"/>
      <c r="F1151" s="22"/>
      <c r="G1151" s="22"/>
      <c r="H1151" s="23"/>
      <c r="I1151" s="23"/>
      <c r="J1151" s="13"/>
      <c r="K1151" s="18"/>
      <c r="L1151" s="19"/>
      <c r="M1151" s="19"/>
      <c r="N1151" s="20"/>
      <c r="O1151" s="22"/>
      <c r="P1151" s="22"/>
      <c r="Q1151" s="23"/>
      <c r="R1151" s="23"/>
    </row>
    <row r="1152" spans="1:18" x14ac:dyDescent="0.2">
      <c r="A1152" s="13"/>
      <c r="B1152" s="248" t="s">
        <v>30</v>
      </c>
      <c r="C1152" s="249"/>
      <c r="D1152" s="249"/>
      <c r="E1152" s="250"/>
      <c r="F1152" s="22"/>
      <c r="G1152" s="22"/>
      <c r="H1152" s="23"/>
      <c r="I1152" s="23">
        <f>SUM(I1139:I1151)</f>
        <v>1066.54</v>
      </c>
      <c r="J1152" s="13"/>
      <c r="K1152" s="248" t="s">
        <v>30</v>
      </c>
      <c r="L1152" s="249"/>
      <c r="M1152" s="249"/>
      <c r="N1152" s="250"/>
      <c r="O1152" s="22"/>
      <c r="P1152" s="22"/>
      <c r="Q1152" s="23"/>
      <c r="R1152" s="23">
        <f>SUM(R1139:R1151)</f>
        <v>818.99400000000003</v>
      </c>
    </row>
    <row r="1153" spans="1:18" x14ac:dyDescent="0.2">
      <c r="A1153" s="12" t="s">
        <v>31</v>
      </c>
      <c r="B1153" s="260" t="s">
        <v>32</v>
      </c>
      <c r="C1153" s="261"/>
      <c r="D1153" s="261"/>
      <c r="E1153" s="261"/>
      <c r="F1153" s="39"/>
      <c r="G1153" s="39"/>
      <c r="H1153" s="40"/>
      <c r="I1153" s="41">
        <f>SUM(I1152+I1134)</f>
        <v>1252.8699999999999</v>
      </c>
      <c r="J1153" s="12" t="s">
        <v>31</v>
      </c>
      <c r="K1153" s="260" t="s">
        <v>32</v>
      </c>
      <c r="L1153" s="261"/>
      <c r="M1153" s="261"/>
      <c r="N1153" s="261"/>
      <c r="O1153" s="151"/>
      <c r="P1153" s="151"/>
      <c r="Q1153" s="40"/>
      <c r="R1153" s="41">
        <f>SUM(R1152+R1134)</f>
        <v>1556.7739999999999</v>
      </c>
    </row>
    <row r="1154" spans="1:18" x14ac:dyDescent="0.2">
      <c r="A1154" s="13" t="s">
        <v>33</v>
      </c>
      <c r="B1154" s="309">
        <f>E1121</f>
        <v>0.3</v>
      </c>
      <c r="C1154" s="310"/>
      <c r="D1154" s="310"/>
      <c r="E1154" s="310"/>
      <c r="F1154" s="310"/>
      <c r="G1154" s="310"/>
      <c r="H1154" s="40"/>
      <c r="I1154" s="41"/>
      <c r="J1154" s="13" t="s">
        <v>33</v>
      </c>
      <c r="K1154" s="313">
        <f>N1121</f>
        <v>64.400000000000006</v>
      </c>
      <c r="L1154" s="314"/>
      <c r="M1154" s="314"/>
      <c r="N1154" s="314"/>
      <c r="O1154" s="314"/>
      <c r="P1154" s="314"/>
      <c r="Q1154" s="40"/>
      <c r="R1154" s="41"/>
    </row>
    <row r="1155" spans="1:18" x14ac:dyDescent="0.2">
      <c r="A1155" s="13" t="s">
        <v>34</v>
      </c>
      <c r="B1155" s="42" t="s">
        <v>35</v>
      </c>
      <c r="C1155" s="43"/>
      <c r="D1155" s="43"/>
      <c r="E1155" s="39"/>
      <c r="F1155" s="44"/>
      <c r="G1155" s="44"/>
      <c r="H1155" s="40"/>
      <c r="I1155" s="41">
        <f>I1153/E1121</f>
        <v>4176.2333333333336</v>
      </c>
      <c r="J1155" s="13" t="s">
        <v>34</v>
      </c>
      <c r="K1155" s="155" t="s">
        <v>35</v>
      </c>
      <c r="L1155" s="43"/>
      <c r="M1155" s="43"/>
      <c r="N1155" s="151"/>
      <c r="O1155" s="156"/>
      <c r="P1155" s="156"/>
      <c r="Q1155" s="40"/>
      <c r="R1155" s="41">
        <f>R1153/N1121</f>
        <v>24.173509316770183</v>
      </c>
    </row>
    <row r="1156" spans="1:18" x14ac:dyDescent="0.2">
      <c r="A1156" s="12"/>
      <c r="B1156" s="251" t="s">
        <v>36</v>
      </c>
      <c r="C1156" s="252"/>
      <c r="D1156" s="252"/>
      <c r="E1156" s="253"/>
      <c r="F1156" s="244" t="s">
        <v>37</v>
      </c>
      <c r="G1156" s="244" t="s">
        <v>38</v>
      </c>
      <c r="H1156" s="244" t="s">
        <v>39</v>
      </c>
      <c r="I1156" s="246" t="s">
        <v>15</v>
      </c>
      <c r="J1156" s="12"/>
      <c r="K1156" s="251" t="s">
        <v>36</v>
      </c>
      <c r="L1156" s="252"/>
      <c r="M1156" s="252"/>
      <c r="N1156" s="253"/>
      <c r="O1156" s="244" t="s">
        <v>37</v>
      </c>
      <c r="P1156" s="244" t="s">
        <v>38</v>
      </c>
      <c r="Q1156" s="244" t="s">
        <v>39</v>
      </c>
      <c r="R1156" s="246" t="s">
        <v>15</v>
      </c>
    </row>
    <row r="1157" spans="1:18" x14ac:dyDescent="0.2">
      <c r="A1157" s="13"/>
      <c r="B1157" s="254"/>
      <c r="C1157" s="255"/>
      <c r="D1157" s="255"/>
      <c r="E1157" s="256"/>
      <c r="F1157" s="245"/>
      <c r="G1157" s="245"/>
      <c r="H1157" s="245"/>
      <c r="I1157" s="247"/>
      <c r="J1157" s="13"/>
      <c r="K1157" s="254"/>
      <c r="L1157" s="255"/>
      <c r="M1157" s="255"/>
      <c r="N1157" s="256"/>
      <c r="O1157" s="245"/>
      <c r="P1157" s="245"/>
      <c r="Q1157" s="245"/>
      <c r="R1157" s="247"/>
    </row>
    <row r="1158" spans="1:18" x14ac:dyDescent="0.2">
      <c r="A1158" s="13" t="s">
        <v>40</v>
      </c>
      <c r="B1158" s="18" t="s">
        <v>41</v>
      </c>
      <c r="C1158" s="19"/>
      <c r="D1158" s="19"/>
      <c r="E1158" s="20"/>
      <c r="F1158" s="22"/>
      <c r="G1158" s="22"/>
      <c r="H1158" s="23"/>
      <c r="I1158" s="23"/>
      <c r="J1158" s="13" t="s">
        <v>40</v>
      </c>
      <c r="K1158" s="18" t="s">
        <v>41</v>
      </c>
      <c r="L1158" s="19"/>
      <c r="M1158" s="19"/>
      <c r="N1158" s="20"/>
      <c r="O1158" s="22"/>
      <c r="P1158" s="22"/>
      <c r="Q1158" s="23"/>
      <c r="R1158" s="23"/>
    </row>
    <row r="1159" spans="1:18" x14ac:dyDescent="0.2">
      <c r="A1159" s="13"/>
      <c r="B1159" s="18"/>
      <c r="C1159" s="19"/>
      <c r="D1159" s="19"/>
      <c r="E1159" s="20"/>
      <c r="F1159" s="22"/>
      <c r="G1159" s="22"/>
      <c r="H1159" s="23"/>
      <c r="I1159" s="23"/>
      <c r="J1159" s="13"/>
      <c r="K1159" s="18"/>
      <c r="L1159" s="19"/>
      <c r="M1159" s="19"/>
      <c r="N1159" s="20"/>
      <c r="O1159" s="22"/>
      <c r="P1159" s="22"/>
      <c r="Q1159" s="23"/>
      <c r="R1159" s="23"/>
    </row>
    <row r="1160" spans="1:18" x14ac:dyDescent="0.2">
      <c r="A1160" s="13"/>
      <c r="B1160" s="18" t="s">
        <v>238</v>
      </c>
      <c r="C1160" s="66"/>
      <c r="D1160" s="19"/>
      <c r="E1160" s="20"/>
      <c r="F1160" s="62" t="s">
        <v>239</v>
      </c>
      <c r="G1160" s="62">
        <v>1.05</v>
      </c>
      <c r="H1160" s="107">
        <v>44000</v>
      </c>
      <c r="I1160" s="23">
        <f>H1160*G1160</f>
        <v>46200</v>
      </c>
      <c r="J1160" s="13"/>
      <c r="K1160" s="18" t="s">
        <v>263</v>
      </c>
      <c r="L1160" s="66"/>
      <c r="M1160" s="19"/>
      <c r="N1160" s="20"/>
      <c r="O1160" s="22" t="s">
        <v>77</v>
      </c>
      <c r="P1160" s="22">
        <v>0.45</v>
      </c>
      <c r="Q1160" s="107">
        <v>40</v>
      </c>
      <c r="R1160" s="23">
        <f>P1160*Q1160</f>
        <v>18</v>
      </c>
    </row>
    <row r="1161" spans="1:18" x14ac:dyDescent="0.2">
      <c r="A1161" s="13"/>
      <c r="B1161" s="18" t="s">
        <v>283</v>
      </c>
      <c r="C1161" s="66"/>
      <c r="D1161" s="19"/>
      <c r="E1161" s="20"/>
      <c r="F1161" s="22"/>
      <c r="G1161" s="22"/>
      <c r="H1161" s="23"/>
      <c r="I1161" s="23"/>
      <c r="J1161" s="13"/>
      <c r="K1161" s="18" t="s">
        <v>264</v>
      </c>
      <c r="L1161" s="66"/>
      <c r="M1161" s="19"/>
      <c r="N1161" s="20"/>
      <c r="O1161" s="22" t="s">
        <v>1216</v>
      </c>
      <c r="P1161" s="22">
        <v>0.28999999999999998</v>
      </c>
      <c r="Q1161" s="107">
        <v>28</v>
      </c>
      <c r="R1161" s="23">
        <f t="shared" ref="R1161:R1167" si="62">P1161*Q1161</f>
        <v>8.1199999999999992</v>
      </c>
    </row>
    <row r="1162" spans="1:18" x14ac:dyDescent="0.2">
      <c r="A1162" s="13"/>
      <c r="B1162" s="18"/>
      <c r="C1162" s="19"/>
      <c r="D1162" s="19"/>
      <c r="E1162" s="20"/>
      <c r="F1162" s="22"/>
      <c r="G1162" s="22"/>
      <c r="H1162" s="38"/>
      <c r="I1162" s="38"/>
      <c r="J1162" s="13"/>
      <c r="K1162" s="18" t="s">
        <v>266</v>
      </c>
      <c r="L1162" s="19"/>
      <c r="M1162" s="19"/>
      <c r="N1162" s="20"/>
      <c r="O1162" s="22" t="s">
        <v>1216</v>
      </c>
      <c r="P1162" s="22">
        <v>0.15</v>
      </c>
      <c r="Q1162" s="107">
        <f>44000/1000</f>
        <v>44</v>
      </c>
      <c r="R1162" s="23">
        <f t="shared" si="62"/>
        <v>6.6</v>
      </c>
    </row>
    <row r="1163" spans="1:18" x14ac:dyDescent="0.2">
      <c r="A1163" s="13"/>
      <c r="B1163" s="18"/>
      <c r="C1163" s="19"/>
      <c r="D1163" s="19"/>
      <c r="E1163" s="20"/>
      <c r="F1163" s="22"/>
      <c r="G1163" s="22"/>
      <c r="H1163" s="38"/>
      <c r="I1163" s="38"/>
      <c r="J1163" s="13"/>
      <c r="K1163" s="18" t="s">
        <v>267</v>
      </c>
      <c r="L1163" s="19"/>
      <c r="M1163" s="19"/>
      <c r="N1163" s="20"/>
      <c r="O1163" s="22" t="s">
        <v>1153</v>
      </c>
      <c r="P1163" s="22">
        <v>0.46</v>
      </c>
      <c r="Q1163" s="107">
        <v>50</v>
      </c>
      <c r="R1163" s="23">
        <f t="shared" si="62"/>
        <v>23</v>
      </c>
    </row>
    <row r="1164" spans="1:18" x14ac:dyDescent="0.2">
      <c r="A1164" s="13"/>
      <c r="B1164" s="18"/>
      <c r="C1164" s="19"/>
      <c r="D1164" s="19"/>
      <c r="E1164" s="20"/>
      <c r="F1164" s="22"/>
      <c r="G1164" s="22"/>
      <c r="H1164" s="45"/>
      <c r="I1164" s="45"/>
      <c r="J1164" s="13"/>
      <c r="K1164" s="18" t="s">
        <v>1247</v>
      </c>
      <c r="L1164" s="19"/>
      <c r="M1164" s="19"/>
      <c r="N1164" s="20"/>
      <c r="O1164" s="22" t="s">
        <v>9</v>
      </c>
      <c r="P1164" s="22">
        <v>0.25</v>
      </c>
      <c r="Q1164" s="107">
        <v>850</v>
      </c>
      <c r="R1164" s="23">
        <f t="shared" si="62"/>
        <v>212.5</v>
      </c>
    </row>
    <row r="1165" spans="1:18" x14ac:dyDescent="0.2">
      <c r="A1165" s="13"/>
      <c r="B1165" s="18"/>
      <c r="C1165" s="19"/>
      <c r="D1165" s="19"/>
      <c r="E1165" s="20"/>
      <c r="F1165" s="22"/>
      <c r="G1165" s="22"/>
      <c r="H1165" s="45"/>
      <c r="I1165" s="45"/>
      <c r="J1165" s="13"/>
      <c r="K1165" s="18" t="s">
        <v>1248</v>
      </c>
      <c r="L1165" s="19"/>
      <c r="M1165" s="19"/>
      <c r="N1165" s="20"/>
      <c r="O1165" s="22" t="s">
        <v>80</v>
      </c>
      <c r="P1165" s="22">
        <v>1.4999999999999999E-4</v>
      </c>
      <c r="Q1165" s="107">
        <v>8000</v>
      </c>
      <c r="R1165" s="23">
        <f t="shared" si="62"/>
        <v>1.2</v>
      </c>
    </row>
    <row r="1166" spans="1:18" x14ac:dyDescent="0.2">
      <c r="A1166" s="13"/>
      <c r="B1166" s="18"/>
      <c r="C1166" s="19"/>
      <c r="D1166" s="19"/>
      <c r="E1166" s="20"/>
      <c r="F1166" s="22"/>
      <c r="G1166" s="22"/>
      <c r="H1166" s="23"/>
      <c r="I1166" s="23"/>
      <c r="J1166" s="13"/>
      <c r="K1166" s="18" t="s">
        <v>1249</v>
      </c>
      <c r="L1166" s="19"/>
      <c r="M1166" s="19"/>
      <c r="N1166" s="20"/>
      <c r="O1166" s="22" t="s">
        <v>1153</v>
      </c>
      <c r="P1166" s="22">
        <v>7.7999999999999996E-3</v>
      </c>
      <c r="Q1166" s="107">
        <v>34.33</v>
      </c>
      <c r="R1166" s="23">
        <f t="shared" si="62"/>
        <v>0.26777399999999996</v>
      </c>
    </row>
    <row r="1167" spans="1:18" x14ac:dyDescent="0.2">
      <c r="A1167" s="13"/>
      <c r="B1167" s="18"/>
      <c r="C1167" s="19"/>
      <c r="D1167" s="19"/>
      <c r="E1167" s="20"/>
      <c r="F1167" s="22"/>
      <c r="G1167" s="22"/>
      <c r="H1167" s="23"/>
      <c r="I1167" s="23"/>
      <c r="J1167" s="13"/>
      <c r="K1167" s="18" t="s">
        <v>1250</v>
      </c>
      <c r="L1167" s="19"/>
      <c r="M1167" s="19"/>
      <c r="N1167" s="20"/>
      <c r="O1167" s="22" t="s">
        <v>1216</v>
      </c>
      <c r="P1167" s="22">
        <v>9.4999999999999998E-3</v>
      </c>
      <c r="Q1167" s="107">
        <v>300</v>
      </c>
      <c r="R1167" s="23">
        <f t="shared" si="62"/>
        <v>2.85</v>
      </c>
    </row>
    <row r="1168" spans="1:18" x14ac:dyDescent="0.2">
      <c r="A1168" s="13"/>
      <c r="B1168" s="18"/>
      <c r="C1168" s="19"/>
      <c r="D1168" s="19"/>
      <c r="E1168" s="20"/>
      <c r="F1168" s="22"/>
      <c r="G1168" s="22"/>
      <c r="H1168" s="23"/>
      <c r="I1168" s="23"/>
      <c r="J1168" s="13"/>
      <c r="K1168" s="18"/>
      <c r="L1168" s="19"/>
      <c r="M1168" s="19"/>
      <c r="N1168" s="20"/>
      <c r="O1168" s="22"/>
      <c r="P1168" s="22"/>
      <c r="Q1168" s="107"/>
      <c r="R1168" s="23"/>
    </row>
    <row r="1169" spans="1:18" x14ac:dyDescent="0.2">
      <c r="A1169" s="13"/>
      <c r="B1169" s="18"/>
      <c r="C1169" s="19"/>
      <c r="D1169" s="19"/>
      <c r="E1169" s="20"/>
      <c r="F1169" s="22"/>
      <c r="G1169" s="22"/>
      <c r="H1169" s="23"/>
      <c r="I1169" s="23"/>
      <c r="J1169" s="13"/>
      <c r="K1169" s="18"/>
      <c r="L1169" s="19"/>
      <c r="M1169" s="19"/>
      <c r="N1169" s="20"/>
      <c r="O1169" s="22"/>
      <c r="P1169" s="22"/>
      <c r="Q1169" s="107"/>
      <c r="R1169" s="23"/>
    </row>
    <row r="1170" spans="1:18" x14ac:dyDescent="0.2">
      <c r="A1170" s="13"/>
      <c r="B1170" s="18"/>
      <c r="C1170" s="19"/>
      <c r="D1170" s="19"/>
      <c r="E1170" s="20"/>
      <c r="F1170" s="22"/>
      <c r="G1170" s="22"/>
      <c r="H1170" s="23"/>
      <c r="I1170" s="23"/>
      <c r="J1170" s="13"/>
      <c r="K1170" s="18"/>
      <c r="L1170" s="19"/>
      <c r="M1170" s="19"/>
      <c r="N1170" s="20"/>
      <c r="O1170" s="22"/>
      <c r="P1170" s="22"/>
      <c r="Q1170" s="23"/>
      <c r="R1170" s="23"/>
    </row>
    <row r="1171" spans="1:18" x14ac:dyDescent="0.2">
      <c r="A1171" s="13"/>
      <c r="B1171" s="18"/>
      <c r="C1171" s="19"/>
      <c r="D1171" s="19"/>
      <c r="E1171" s="20"/>
      <c r="F1171" s="22"/>
      <c r="G1171" s="22"/>
      <c r="H1171" s="23"/>
      <c r="I1171" s="23"/>
      <c r="J1171" s="13"/>
      <c r="K1171" s="18"/>
      <c r="L1171" s="19"/>
      <c r="M1171" s="19"/>
      <c r="N1171" s="20"/>
      <c r="O1171" s="22"/>
      <c r="P1171" s="22"/>
      <c r="Q1171" s="23"/>
      <c r="R1171" s="23"/>
    </row>
    <row r="1172" spans="1:18" x14ac:dyDescent="0.2">
      <c r="A1172" s="13"/>
      <c r="B1172" s="18"/>
      <c r="C1172" s="19"/>
      <c r="D1172" s="19"/>
      <c r="E1172" s="20"/>
      <c r="F1172" s="22"/>
      <c r="G1172" s="36"/>
      <c r="H1172" s="37"/>
      <c r="I1172" s="37"/>
      <c r="J1172" s="13"/>
      <c r="K1172" s="18"/>
      <c r="L1172" s="19"/>
      <c r="M1172" s="19"/>
      <c r="N1172" s="20"/>
      <c r="O1172" s="22"/>
      <c r="P1172" s="36"/>
      <c r="Q1172" s="37"/>
      <c r="R1172" s="37"/>
    </row>
    <row r="1173" spans="1:18" x14ac:dyDescent="0.2">
      <c r="A1173" s="13"/>
      <c r="B1173" s="248" t="s">
        <v>42</v>
      </c>
      <c r="C1173" s="249"/>
      <c r="D1173" s="249"/>
      <c r="E1173" s="250"/>
      <c r="F1173" s="46"/>
      <c r="G1173" s="46"/>
      <c r="H1173" s="47"/>
      <c r="I1173" s="47">
        <f>SUM(I1160:I1172)</f>
        <v>46200</v>
      </c>
      <c r="J1173" s="13"/>
      <c r="K1173" s="248" t="s">
        <v>42</v>
      </c>
      <c r="L1173" s="249"/>
      <c r="M1173" s="249"/>
      <c r="N1173" s="250"/>
      <c r="O1173" s="46"/>
      <c r="P1173" s="46"/>
      <c r="Q1173" s="47"/>
      <c r="R1173" s="47">
        <f>SUM(R1160:R1172)</f>
        <v>272.53777400000001</v>
      </c>
    </row>
    <row r="1174" spans="1:18" x14ac:dyDescent="0.2">
      <c r="A1174" s="12" t="s">
        <v>43</v>
      </c>
      <c r="B1174" s="48" t="s">
        <v>44</v>
      </c>
      <c r="C1174" s="43"/>
      <c r="D1174" s="43"/>
      <c r="E1174" s="39"/>
      <c r="F1174" s="49"/>
      <c r="G1174" s="49"/>
      <c r="H1174" s="50"/>
      <c r="I1174" s="51">
        <f>SUM(I1155+I1173)</f>
        <v>50376.233333333337</v>
      </c>
      <c r="J1174" s="12" t="s">
        <v>43</v>
      </c>
      <c r="K1174" s="48" t="s">
        <v>44</v>
      </c>
      <c r="L1174" s="43"/>
      <c r="M1174" s="43"/>
      <c r="N1174" s="151"/>
      <c r="O1174" s="49"/>
      <c r="P1174" s="49"/>
      <c r="Q1174" s="50"/>
      <c r="R1174" s="51">
        <f>SUM(R1155+R1173)</f>
        <v>296.71128331677022</v>
      </c>
    </row>
    <row r="1175" spans="1:18" x14ac:dyDescent="0.2">
      <c r="A1175" s="13" t="s">
        <v>45</v>
      </c>
      <c r="B1175" s="48" t="s">
        <v>46</v>
      </c>
      <c r="C1175" s="43"/>
      <c r="D1175" s="43"/>
      <c r="E1175" s="39"/>
      <c r="F1175" s="49"/>
      <c r="G1175" s="52">
        <v>0.09</v>
      </c>
      <c r="H1175" s="53" t="s">
        <v>47</v>
      </c>
      <c r="I1175" s="51">
        <f>G1175*I1174</f>
        <v>4533.8609999999999</v>
      </c>
      <c r="J1175" s="13" t="s">
        <v>45</v>
      </c>
      <c r="K1175" s="48" t="s">
        <v>46</v>
      </c>
      <c r="L1175" s="43"/>
      <c r="M1175" s="43"/>
      <c r="N1175" s="151"/>
      <c r="O1175" s="49"/>
      <c r="P1175" s="52">
        <v>0.09</v>
      </c>
      <c r="Q1175" s="53" t="s">
        <v>47</v>
      </c>
      <c r="R1175" s="51">
        <f>P1175*R1174</f>
        <v>26.704015498509317</v>
      </c>
    </row>
    <row r="1176" spans="1:18" x14ac:dyDescent="0.2">
      <c r="A1176" s="13" t="s">
        <v>48</v>
      </c>
      <c r="B1176" s="48" t="s">
        <v>49</v>
      </c>
      <c r="C1176" s="43"/>
      <c r="D1176" s="43"/>
      <c r="E1176" s="39"/>
      <c r="F1176" s="49"/>
      <c r="G1176" s="52">
        <v>0.08</v>
      </c>
      <c r="H1176" s="53" t="s">
        <v>47</v>
      </c>
      <c r="I1176" s="51">
        <f>G1176*I1174</f>
        <v>4030.0986666666672</v>
      </c>
      <c r="J1176" s="13" t="s">
        <v>48</v>
      </c>
      <c r="K1176" s="48" t="s">
        <v>49</v>
      </c>
      <c r="L1176" s="43"/>
      <c r="M1176" s="43"/>
      <c r="N1176" s="151"/>
      <c r="O1176" s="49"/>
      <c r="P1176" s="52">
        <v>0.08</v>
      </c>
      <c r="Q1176" s="53" t="s">
        <v>47</v>
      </c>
      <c r="R1176" s="51">
        <f>P1176*R1174</f>
        <v>23.736902665341617</v>
      </c>
    </row>
    <row r="1177" spans="1:18" x14ac:dyDescent="0.2">
      <c r="A1177" s="13" t="s">
        <v>50</v>
      </c>
      <c r="B1177" s="48" t="s">
        <v>51</v>
      </c>
      <c r="C1177" s="43"/>
      <c r="D1177" s="43"/>
      <c r="E1177" s="39"/>
      <c r="F1177" s="49"/>
      <c r="G1177" s="52">
        <f>5/100</f>
        <v>0.05</v>
      </c>
      <c r="H1177" s="53" t="s">
        <v>52</v>
      </c>
      <c r="I1177" s="51">
        <f>G1177*(I1174+I1175+I1176)</f>
        <v>2947.00965</v>
      </c>
      <c r="J1177" s="13" t="s">
        <v>50</v>
      </c>
      <c r="K1177" s="48" t="s">
        <v>51</v>
      </c>
      <c r="L1177" s="43"/>
      <c r="M1177" s="43"/>
      <c r="N1177" s="151"/>
      <c r="O1177" s="49"/>
      <c r="P1177" s="52">
        <f>5/100</f>
        <v>0.05</v>
      </c>
      <c r="Q1177" s="53" t="s">
        <v>52</v>
      </c>
      <c r="R1177" s="51">
        <f>P1177*(R1174+R1175+R1176)</f>
        <v>17.357610074031058</v>
      </c>
    </row>
    <row r="1178" spans="1:18" x14ac:dyDescent="0.2">
      <c r="A1178" s="54" t="s">
        <v>53</v>
      </c>
      <c r="B1178" s="48" t="s">
        <v>54</v>
      </c>
      <c r="C1178" s="43"/>
      <c r="D1178" s="43"/>
      <c r="E1178" s="39"/>
      <c r="F1178" s="49"/>
      <c r="G1178" s="49"/>
      <c r="H1178" s="55" t="s">
        <v>55</v>
      </c>
      <c r="I1178" s="51">
        <f>SUM(I1174+I1175+I1176+I1177)</f>
        <v>61887.202649999999</v>
      </c>
      <c r="J1178" s="54" t="s">
        <v>53</v>
      </c>
      <c r="K1178" s="48" t="s">
        <v>54</v>
      </c>
      <c r="L1178" s="43"/>
      <c r="M1178" s="43"/>
      <c r="N1178" s="151"/>
      <c r="O1178" s="49"/>
      <c r="P1178" s="49"/>
      <c r="Q1178" s="55" t="s">
        <v>55</v>
      </c>
      <c r="R1178" s="51">
        <f>SUM(R1174+R1175+R1176+R1177)</f>
        <v>364.50981155465223</v>
      </c>
    </row>
    <row r="1179" spans="1:18" s="1" customFormat="1" x14ac:dyDescent="0.2">
      <c r="A1179" s="236" t="s">
        <v>0</v>
      </c>
      <c r="B1179" s="236"/>
      <c r="C1179" s="236"/>
      <c r="D1179" s="236"/>
      <c r="E1179" s="236"/>
      <c r="F1179" s="236"/>
      <c r="G1179" s="236"/>
      <c r="H1179" s="236"/>
      <c r="I1179" s="236"/>
      <c r="J1179" s="236" t="s">
        <v>0</v>
      </c>
      <c r="K1179" s="236"/>
      <c r="L1179" s="236"/>
      <c r="M1179" s="236"/>
      <c r="N1179" s="236"/>
      <c r="O1179" s="236"/>
      <c r="P1179" s="236"/>
      <c r="Q1179" s="236"/>
      <c r="R1179" s="236"/>
    </row>
    <row r="1181" spans="1:18" x14ac:dyDescent="0.2">
      <c r="A1181" s="2" t="s">
        <v>1</v>
      </c>
      <c r="C1181" s="4" t="s">
        <v>2</v>
      </c>
      <c r="D1181" s="5" t="s">
        <v>384</v>
      </c>
      <c r="E1181" s="237" t="s">
        <v>385</v>
      </c>
      <c r="F1181" s="237"/>
      <c r="G1181" s="237"/>
      <c r="H1181" s="237"/>
      <c r="J1181" s="2" t="s">
        <v>1</v>
      </c>
      <c r="L1181" s="4" t="s">
        <v>2</v>
      </c>
      <c r="M1181" s="5" t="s">
        <v>363</v>
      </c>
      <c r="N1181" s="237" t="s">
        <v>364</v>
      </c>
      <c r="O1181" s="237"/>
      <c r="P1181" s="237"/>
      <c r="Q1181" s="237"/>
    </row>
    <row r="1182" spans="1:18" x14ac:dyDescent="0.2">
      <c r="A1182" s="2" t="s">
        <v>7</v>
      </c>
      <c r="C1182" s="4" t="s">
        <v>2</v>
      </c>
      <c r="E1182" s="2" t="s">
        <v>239</v>
      </c>
      <c r="F1182" s="8"/>
      <c r="G1182" s="8"/>
      <c r="H1182" s="8"/>
      <c r="J1182" s="2" t="s">
        <v>7</v>
      </c>
      <c r="L1182" s="4" t="s">
        <v>2</v>
      </c>
      <c r="N1182" s="2" t="s">
        <v>8</v>
      </c>
      <c r="O1182" s="8"/>
      <c r="P1182" s="8"/>
      <c r="Q1182" s="8"/>
    </row>
    <row r="1183" spans="1:18" x14ac:dyDescent="0.2">
      <c r="A1183" s="2" t="s">
        <v>10</v>
      </c>
      <c r="C1183" s="4" t="s">
        <v>2</v>
      </c>
      <c r="E1183" s="9">
        <v>12</v>
      </c>
      <c r="F1183" s="8"/>
      <c r="G1183" s="8"/>
      <c r="H1183" s="8"/>
      <c r="J1183" s="2" t="s">
        <v>10</v>
      </c>
      <c r="L1183" s="4" t="s">
        <v>2</v>
      </c>
      <c r="N1183" s="9">
        <v>57.5</v>
      </c>
      <c r="O1183" s="8"/>
      <c r="P1183" s="8"/>
      <c r="Q1183" s="8"/>
    </row>
    <row r="1184" spans="1:18" x14ac:dyDescent="0.2">
      <c r="B1184" s="8"/>
      <c r="F1184" s="11"/>
      <c r="G1184" s="8"/>
      <c r="H1184" s="8"/>
      <c r="I1184" s="8"/>
      <c r="K1184" s="8"/>
      <c r="O1184" s="11"/>
      <c r="P1184" s="8"/>
      <c r="Q1184" s="8"/>
      <c r="R1184" s="8"/>
    </row>
    <row r="1185" spans="1:18" x14ac:dyDescent="0.2">
      <c r="A1185" s="12"/>
      <c r="B1185" s="238" t="s">
        <v>11</v>
      </c>
      <c r="C1185" s="239"/>
      <c r="D1185" s="239"/>
      <c r="E1185" s="240"/>
      <c r="F1185" s="244" t="s">
        <v>12</v>
      </c>
      <c r="G1185" s="244" t="s">
        <v>13</v>
      </c>
      <c r="H1185" s="244" t="s">
        <v>14</v>
      </c>
      <c r="I1185" s="246" t="s">
        <v>15</v>
      </c>
      <c r="J1185" s="12"/>
      <c r="K1185" s="238" t="s">
        <v>11</v>
      </c>
      <c r="L1185" s="239"/>
      <c r="M1185" s="239"/>
      <c r="N1185" s="240"/>
      <c r="O1185" s="244" t="s">
        <v>12</v>
      </c>
      <c r="P1185" s="244" t="s">
        <v>13</v>
      </c>
      <c r="Q1185" s="244" t="s">
        <v>14</v>
      </c>
      <c r="R1185" s="246" t="s">
        <v>15</v>
      </c>
    </row>
    <row r="1186" spans="1:18" x14ac:dyDescent="0.2">
      <c r="A1186" s="13"/>
      <c r="B1186" s="241"/>
      <c r="C1186" s="242"/>
      <c r="D1186" s="242"/>
      <c r="E1186" s="243"/>
      <c r="F1186" s="245"/>
      <c r="G1186" s="245"/>
      <c r="H1186" s="245"/>
      <c r="I1186" s="247"/>
      <c r="J1186" s="13"/>
      <c r="K1186" s="241"/>
      <c r="L1186" s="242"/>
      <c r="M1186" s="242"/>
      <c r="N1186" s="243"/>
      <c r="O1186" s="245"/>
      <c r="P1186" s="245"/>
      <c r="Q1186" s="245"/>
      <c r="R1186" s="247"/>
    </row>
    <row r="1187" spans="1:18" x14ac:dyDescent="0.2">
      <c r="A1187" s="13" t="s">
        <v>16</v>
      </c>
      <c r="B1187" s="14" t="s">
        <v>17</v>
      </c>
      <c r="C1187" s="15"/>
      <c r="D1187" s="15"/>
      <c r="E1187" s="16"/>
      <c r="F1187" s="17"/>
      <c r="G1187" s="17"/>
      <c r="H1187" s="17"/>
      <c r="I1187" s="17"/>
      <c r="J1187" s="13" t="s">
        <v>16</v>
      </c>
      <c r="K1187" s="14" t="s">
        <v>17</v>
      </c>
      <c r="L1187" s="15"/>
      <c r="M1187" s="15"/>
      <c r="N1187" s="16"/>
      <c r="O1187" s="17"/>
      <c r="P1187" s="17"/>
      <c r="Q1187" s="17"/>
      <c r="R1187" s="17"/>
    </row>
    <row r="1188" spans="1:18" x14ac:dyDescent="0.2">
      <c r="A1188" s="13"/>
      <c r="B1188" s="18"/>
      <c r="C1188" s="19"/>
      <c r="D1188" s="19"/>
      <c r="E1188" s="20"/>
      <c r="F1188" s="21"/>
      <c r="G1188" s="22"/>
      <c r="H1188" s="21"/>
      <c r="I1188" s="21"/>
      <c r="J1188" s="13"/>
      <c r="K1188" s="18"/>
      <c r="L1188" s="19"/>
      <c r="M1188" s="19"/>
      <c r="N1188" s="20"/>
      <c r="O1188" s="21"/>
      <c r="P1188" s="22"/>
      <c r="Q1188" s="21"/>
      <c r="R1188" s="21"/>
    </row>
    <row r="1189" spans="1:18" x14ac:dyDescent="0.2">
      <c r="A1189" s="13"/>
      <c r="B1189" s="24" t="s">
        <v>18</v>
      </c>
      <c r="C1189" s="25"/>
      <c r="D1189" s="25"/>
      <c r="E1189" s="26"/>
      <c r="F1189" s="22">
        <v>1</v>
      </c>
      <c r="G1189" s="23">
        <v>1</v>
      </c>
      <c r="H1189" s="23">
        <v>69.42</v>
      </c>
      <c r="I1189" s="23">
        <f>F1189*G1189*H1189</f>
        <v>69.42</v>
      </c>
      <c r="J1189" s="13"/>
      <c r="K1189" s="24" t="s">
        <v>18</v>
      </c>
      <c r="L1189" s="25"/>
      <c r="M1189" s="25"/>
      <c r="N1189" s="26"/>
      <c r="O1189" s="22">
        <v>1</v>
      </c>
      <c r="P1189" s="23">
        <v>1</v>
      </c>
      <c r="Q1189" s="23">
        <v>69.42</v>
      </c>
      <c r="R1189" s="23">
        <f>P1189*Q1189*O1189</f>
        <v>69.42</v>
      </c>
    </row>
    <row r="1190" spans="1:18" x14ac:dyDescent="0.2">
      <c r="A1190" s="13"/>
      <c r="B1190" s="257" t="s">
        <v>1178</v>
      </c>
      <c r="C1190" s="258"/>
      <c r="D1190" s="25"/>
      <c r="E1190" s="26"/>
      <c r="F1190" s="22">
        <v>1</v>
      </c>
      <c r="G1190" s="23">
        <v>1</v>
      </c>
      <c r="H1190" s="23">
        <v>50.18</v>
      </c>
      <c r="I1190" s="23">
        <f>F1190*G1190*H1190</f>
        <v>50.18</v>
      </c>
      <c r="J1190" s="13"/>
      <c r="K1190" s="257" t="s">
        <v>1178</v>
      </c>
      <c r="L1190" s="258"/>
      <c r="M1190" s="25"/>
      <c r="N1190" s="26"/>
      <c r="O1190" s="22">
        <v>4</v>
      </c>
      <c r="P1190" s="23">
        <v>1</v>
      </c>
      <c r="Q1190" s="23">
        <v>50.18</v>
      </c>
      <c r="R1190" s="23">
        <f>P1190*Q1190*O1190</f>
        <v>200.72</v>
      </c>
    </row>
    <row r="1191" spans="1:18" x14ac:dyDescent="0.2">
      <c r="A1191" s="13"/>
      <c r="B1191" s="257" t="s">
        <v>1177</v>
      </c>
      <c r="C1191" s="258"/>
      <c r="D1191" s="19"/>
      <c r="E1191" s="20"/>
      <c r="F1191" s="22">
        <v>3</v>
      </c>
      <c r="G1191" s="23">
        <v>1</v>
      </c>
      <c r="H1191" s="23">
        <v>38.97</v>
      </c>
      <c r="I1191" s="23">
        <f>F1191*G1191*H1191</f>
        <v>116.91</v>
      </c>
      <c r="J1191" s="13"/>
      <c r="K1191" s="257" t="s">
        <v>1177</v>
      </c>
      <c r="L1191" s="258"/>
      <c r="M1191" s="19"/>
      <c r="N1191" s="20"/>
      <c r="O1191" s="22">
        <v>12</v>
      </c>
      <c r="P1191" s="23">
        <v>1</v>
      </c>
      <c r="Q1191" s="23">
        <v>38.97</v>
      </c>
      <c r="R1191" s="23">
        <f>P1191*Q1191*O1191</f>
        <v>467.64</v>
      </c>
    </row>
    <row r="1192" spans="1:18" x14ac:dyDescent="0.2">
      <c r="A1192" s="13"/>
      <c r="B1192" s="27"/>
      <c r="C1192" s="19"/>
      <c r="D1192" s="19"/>
      <c r="E1192" s="20"/>
      <c r="F1192" s="22"/>
      <c r="G1192" s="22"/>
      <c r="H1192" s="29"/>
      <c r="I1192" s="30"/>
      <c r="J1192" s="13"/>
      <c r="K1192" s="27"/>
      <c r="L1192" s="19"/>
      <c r="M1192" s="19"/>
      <c r="N1192" s="20"/>
      <c r="O1192" s="22"/>
      <c r="P1192" s="22"/>
      <c r="Q1192" s="29"/>
      <c r="R1192" s="30"/>
    </row>
    <row r="1193" spans="1:18" x14ac:dyDescent="0.2">
      <c r="A1193" s="13"/>
      <c r="B1193" s="27"/>
      <c r="C1193" s="19"/>
      <c r="D1193" s="19"/>
      <c r="E1193" s="20"/>
      <c r="F1193" s="22"/>
      <c r="G1193" s="22"/>
      <c r="H1193" s="29"/>
      <c r="I1193" s="30"/>
      <c r="J1193" s="13"/>
      <c r="K1193" s="27"/>
      <c r="L1193" s="19"/>
      <c r="M1193" s="19"/>
      <c r="N1193" s="20"/>
      <c r="O1193" s="22"/>
      <c r="P1193" s="22"/>
      <c r="Q1193" s="29"/>
      <c r="R1193" s="30"/>
    </row>
    <row r="1194" spans="1:18" x14ac:dyDescent="0.2">
      <c r="A1194" s="13"/>
      <c r="B1194" s="18"/>
      <c r="C1194" s="19"/>
      <c r="D1194" s="19"/>
      <c r="E1194" s="20"/>
      <c r="F1194" s="22"/>
      <c r="G1194" s="22"/>
      <c r="H1194" s="28"/>
      <c r="I1194" s="23"/>
      <c r="J1194" s="13"/>
      <c r="K1194" s="18"/>
      <c r="L1194" s="19"/>
      <c r="M1194" s="19"/>
      <c r="N1194" s="20"/>
      <c r="O1194" s="22"/>
      <c r="P1194" s="22"/>
      <c r="Q1194" s="28"/>
      <c r="R1194" s="23"/>
    </row>
    <row r="1195" spans="1:18" x14ac:dyDescent="0.2">
      <c r="A1195" s="13"/>
      <c r="B1195" s="18"/>
      <c r="C1195" s="19"/>
      <c r="D1195" s="19"/>
      <c r="E1195" s="20"/>
      <c r="F1195" s="22"/>
      <c r="G1195" s="22"/>
      <c r="H1195" s="23"/>
      <c r="I1195" s="23"/>
      <c r="J1195" s="13"/>
      <c r="K1195" s="18"/>
      <c r="L1195" s="19"/>
      <c r="M1195" s="19"/>
      <c r="N1195" s="20"/>
      <c r="O1195" s="22"/>
      <c r="P1195" s="22"/>
      <c r="Q1195" s="23"/>
      <c r="R1195" s="23"/>
    </row>
    <row r="1196" spans="1:18" x14ac:dyDescent="0.2">
      <c r="A1196" s="13"/>
      <c r="B1196" s="248" t="s">
        <v>20</v>
      </c>
      <c r="C1196" s="249"/>
      <c r="D1196" s="249"/>
      <c r="E1196" s="250"/>
      <c r="F1196" s="31"/>
      <c r="G1196" s="31"/>
      <c r="H1196" s="32"/>
      <c r="I1196" s="32">
        <f>SUM(I1189:I1195)</f>
        <v>236.51</v>
      </c>
      <c r="J1196" s="13"/>
      <c r="K1196" s="248" t="s">
        <v>20</v>
      </c>
      <c r="L1196" s="249"/>
      <c r="M1196" s="249"/>
      <c r="N1196" s="250"/>
      <c r="O1196" s="31"/>
      <c r="P1196" s="31"/>
      <c r="Q1196" s="32"/>
      <c r="R1196" s="32">
        <f>SUM(R1189:R1195)</f>
        <v>737.78</v>
      </c>
    </row>
    <row r="1197" spans="1:18" x14ac:dyDescent="0.2">
      <c r="A1197" s="12"/>
      <c r="B1197" s="251" t="s">
        <v>21</v>
      </c>
      <c r="C1197" s="252"/>
      <c r="D1197" s="252"/>
      <c r="E1197" s="253"/>
      <c r="F1197" s="244" t="s">
        <v>22</v>
      </c>
      <c r="G1197" s="244" t="s">
        <v>13</v>
      </c>
      <c r="H1197" s="244" t="s">
        <v>14</v>
      </c>
      <c r="I1197" s="246" t="s">
        <v>15</v>
      </c>
      <c r="J1197" s="12"/>
      <c r="K1197" s="251" t="s">
        <v>21</v>
      </c>
      <c r="L1197" s="252"/>
      <c r="M1197" s="252"/>
      <c r="N1197" s="253"/>
      <c r="O1197" s="244" t="s">
        <v>22</v>
      </c>
      <c r="P1197" s="244" t="s">
        <v>13</v>
      </c>
      <c r="Q1197" s="244" t="s">
        <v>14</v>
      </c>
      <c r="R1197" s="246" t="s">
        <v>15</v>
      </c>
    </row>
    <row r="1198" spans="1:18" x14ac:dyDescent="0.2">
      <c r="A1198" s="13"/>
      <c r="B1198" s="254"/>
      <c r="C1198" s="255"/>
      <c r="D1198" s="255"/>
      <c r="E1198" s="256"/>
      <c r="F1198" s="245"/>
      <c r="G1198" s="245"/>
      <c r="H1198" s="245"/>
      <c r="I1198" s="247"/>
      <c r="J1198" s="13"/>
      <c r="K1198" s="254"/>
      <c r="L1198" s="255"/>
      <c r="M1198" s="255"/>
      <c r="N1198" s="256"/>
      <c r="O1198" s="245"/>
      <c r="P1198" s="245"/>
      <c r="Q1198" s="245"/>
      <c r="R1198" s="247"/>
    </row>
    <row r="1199" spans="1:18" x14ac:dyDescent="0.2">
      <c r="A1199" s="13" t="s">
        <v>23</v>
      </c>
      <c r="B1199" s="33" t="s">
        <v>24</v>
      </c>
      <c r="C1199" s="15"/>
      <c r="D1199" s="15"/>
      <c r="E1199" s="16"/>
      <c r="F1199" s="34"/>
      <c r="G1199" s="34"/>
      <c r="H1199" s="35"/>
      <c r="I1199" s="35"/>
      <c r="J1199" s="13" t="s">
        <v>23</v>
      </c>
      <c r="K1199" s="33" t="s">
        <v>24</v>
      </c>
      <c r="L1199" s="15"/>
      <c r="M1199" s="15"/>
      <c r="N1199" s="16"/>
      <c r="O1199" s="34"/>
      <c r="P1199" s="34"/>
      <c r="Q1199" s="35"/>
      <c r="R1199" s="35"/>
    </row>
    <row r="1200" spans="1:18" x14ac:dyDescent="0.2">
      <c r="A1200" s="13"/>
      <c r="B1200" s="18"/>
      <c r="C1200" s="19"/>
      <c r="D1200" s="19"/>
      <c r="E1200" s="20"/>
      <c r="F1200" s="22"/>
      <c r="G1200" s="22"/>
      <c r="H1200" s="23"/>
      <c r="I1200" s="23"/>
      <c r="J1200" s="13"/>
      <c r="K1200" s="18"/>
      <c r="L1200" s="19"/>
      <c r="M1200" s="19"/>
      <c r="N1200" s="20"/>
      <c r="O1200" s="22"/>
      <c r="P1200" s="22"/>
      <c r="Q1200" s="23"/>
      <c r="R1200" s="23"/>
    </row>
    <row r="1201" spans="1:18" x14ac:dyDescent="0.2">
      <c r="A1201" s="13"/>
      <c r="B1201" s="18" t="s">
        <v>1210</v>
      </c>
      <c r="C1201" s="19"/>
      <c r="D1201" s="19"/>
      <c r="E1201" s="20"/>
      <c r="F1201" s="22">
        <v>1</v>
      </c>
      <c r="G1201" s="23">
        <v>1</v>
      </c>
      <c r="H1201" s="37">
        <v>2824.9</v>
      </c>
      <c r="I1201" s="23">
        <f>F1201*G1201*H1201</f>
        <v>2824.9</v>
      </c>
      <c r="J1201" s="13"/>
      <c r="K1201" s="18" t="s">
        <v>340</v>
      </c>
      <c r="L1201" s="19"/>
      <c r="M1201" s="19"/>
      <c r="N1201" s="20"/>
      <c r="O1201" s="22">
        <v>4</v>
      </c>
      <c r="P1201" s="23">
        <v>1</v>
      </c>
      <c r="Q1201" s="37">
        <v>1318</v>
      </c>
      <c r="R1201" s="37">
        <f>P1201*Q1201*O1201</f>
        <v>5272</v>
      </c>
    </row>
    <row r="1202" spans="1:18" x14ac:dyDescent="0.2">
      <c r="A1202" s="13"/>
      <c r="B1202" s="18" t="s">
        <v>388</v>
      </c>
      <c r="C1202" s="19"/>
      <c r="D1202" s="19"/>
      <c r="E1202" s="20"/>
      <c r="F1202" s="22">
        <v>1</v>
      </c>
      <c r="G1202" s="23">
        <v>1</v>
      </c>
      <c r="H1202" s="37">
        <v>1652</v>
      </c>
      <c r="I1202" s="23">
        <f>F1202*G1202*H1202</f>
        <v>1652</v>
      </c>
      <c r="J1202" s="13"/>
      <c r="K1202" s="18" t="s">
        <v>341</v>
      </c>
      <c r="L1202" s="19"/>
      <c r="M1202" s="19"/>
      <c r="N1202" s="20"/>
      <c r="O1202" s="22">
        <v>2</v>
      </c>
      <c r="P1202" s="23">
        <v>1</v>
      </c>
      <c r="Q1202" s="37">
        <v>91.25</v>
      </c>
      <c r="R1202" s="37">
        <f t="shared" ref="R1202:R1208" si="63">P1202*Q1202*O1202</f>
        <v>182.5</v>
      </c>
    </row>
    <row r="1203" spans="1:18" x14ac:dyDescent="0.2">
      <c r="A1203" s="13"/>
      <c r="B1203" s="18" t="s">
        <v>389</v>
      </c>
      <c r="C1203" s="19"/>
      <c r="D1203" s="19"/>
      <c r="E1203" s="20"/>
      <c r="F1203" s="22">
        <v>1</v>
      </c>
      <c r="G1203" s="23">
        <v>1</v>
      </c>
      <c r="H1203" s="37">
        <v>561</v>
      </c>
      <c r="I1203" s="23">
        <f>F1203*G1203*H1203</f>
        <v>561</v>
      </c>
      <c r="J1203" s="13"/>
      <c r="K1203" s="18" t="s">
        <v>1224</v>
      </c>
      <c r="L1203" s="19"/>
      <c r="M1203" s="19"/>
      <c r="N1203" s="20"/>
      <c r="O1203" s="22">
        <v>1</v>
      </c>
      <c r="P1203" s="23">
        <v>1</v>
      </c>
      <c r="Q1203" s="37">
        <v>1759.5</v>
      </c>
      <c r="R1203" s="37">
        <f t="shared" si="63"/>
        <v>1759.5</v>
      </c>
    </row>
    <row r="1204" spans="1:18" x14ac:dyDescent="0.2">
      <c r="A1204" s="13"/>
      <c r="B1204" s="18" t="s">
        <v>1202</v>
      </c>
      <c r="C1204" s="19"/>
      <c r="D1204" s="19"/>
      <c r="E1204" s="20"/>
      <c r="F1204" s="22">
        <v>1</v>
      </c>
      <c r="G1204" s="23">
        <v>1</v>
      </c>
      <c r="H1204" s="37">
        <v>936</v>
      </c>
      <c r="I1204" s="23">
        <f>F1204*G1204*H1204</f>
        <v>936</v>
      </c>
      <c r="J1204" s="13"/>
      <c r="K1204" s="18" t="s">
        <v>257</v>
      </c>
      <c r="L1204" s="66"/>
      <c r="M1204" s="19"/>
      <c r="N1204" s="20"/>
      <c r="O1204" s="22">
        <v>1</v>
      </c>
      <c r="P1204" s="23">
        <v>1</v>
      </c>
      <c r="Q1204" s="37">
        <v>1733</v>
      </c>
      <c r="R1204" s="37">
        <f t="shared" si="63"/>
        <v>1733</v>
      </c>
    </row>
    <row r="1205" spans="1:18" x14ac:dyDescent="0.2">
      <c r="A1205" s="13"/>
      <c r="B1205" s="18" t="s">
        <v>1211</v>
      </c>
      <c r="C1205" s="19"/>
      <c r="D1205" s="19"/>
      <c r="E1205" s="20"/>
      <c r="F1205" s="22">
        <v>1</v>
      </c>
      <c r="G1205" s="23">
        <v>0.25</v>
      </c>
      <c r="H1205" s="37">
        <v>2450</v>
      </c>
      <c r="I1205" s="23">
        <f>F1205*G1205*H1205</f>
        <v>612.5</v>
      </c>
      <c r="J1205" s="13"/>
      <c r="K1205" s="18" t="s">
        <v>342</v>
      </c>
      <c r="L1205" s="19"/>
      <c r="M1205" s="19"/>
      <c r="N1205" s="20"/>
      <c r="O1205" s="22">
        <v>1</v>
      </c>
      <c r="P1205" s="23">
        <v>1</v>
      </c>
      <c r="Q1205" s="37">
        <v>545</v>
      </c>
      <c r="R1205" s="37">
        <f t="shared" si="63"/>
        <v>545</v>
      </c>
    </row>
    <row r="1206" spans="1:18" x14ac:dyDescent="0.2">
      <c r="A1206" s="13"/>
      <c r="B1206" s="18" t="s">
        <v>1192</v>
      </c>
      <c r="C1206" s="19"/>
      <c r="D1206" s="19"/>
      <c r="E1206" s="20"/>
      <c r="F1206" s="22"/>
      <c r="G1206" s="23"/>
      <c r="I1206" s="37">
        <f>I1196*0.1</f>
        <v>23.651</v>
      </c>
      <c r="J1206" s="13"/>
      <c r="K1206" s="18" t="s">
        <v>1206</v>
      </c>
      <c r="L1206" s="19"/>
      <c r="M1206" s="19"/>
      <c r="N1206" s="20"/>
      <c r="O1206" s="22">
        <v>1</v>
      </c>
      <c r="P1206" s="23">
        <v>1</v>
      </c>
      <c r="Q1206" s="37">
        <v>2450</v>
      </c>
      <c r="R1206" s="37">
        <f t="shared" si="63"/>
        <v>2450</v>
      </c>
    </row>
    <row r="1207" spans="1:18" x14ac:dyDescent="0.2">
      <c r="A1207" s="13"/>
      <c r="B1207" s="18"/>
      <c r="C1207" s="19"/>
      <c r="D1207" s="19"/>
      <c r="E1207" s="20"/>
      <c r="F1207" s="22"/>
      <c r="G1207" s="36"/>
      <c r="H1207" s="37"/>
      <c r="I1207" s="37"/>
      <c r="J1207" s="13"/>
      <c r="K1207" s="18" t="s">
        <v>1236</v>
      </c>
      <c r="L1207" s="19"/>
      <c r="M1207" s="19"/>
      <c r="N1207" s="20"/>
      <c r="O1207" s="22">
        <v>1</v>
      </c>
      <c r="P1207" s="23">
        <v>1</v>
      </c>
      <c r="Q1207" s="37">
        <v>32.630000000000003</v>
      </c>
      <c r="R1207" s="37">
        <f t="shared" si="63"/>
        <v>32.630000000000003</v>
      </c>
    </row>
    <row r="1208" spans="1:18" x14ac:dyDescent="0.2">
      <c r="A1208" s="13"/>
      <c r="B1208" s="18"/>
      <c r="C1208" s="19"/>
      <c r="D1208" s="19"/>
      <c r="E1208" s="20"/>
      <c r="F1208" s="22"/>
      <c r="G1208" s="36"/>
      <c r="H1208" s="38"/>
      <c r="I1208" s="38"/>
      <c r="J1208" s="13"/>
      <c r="K1208" s="18" t="s">
        <v>343</v>
      </c>
      <c r="L1208" s="19"/>
      <c r="M1208" s="19"/>
      <c r="N1208" s="20"/>
      <c r="O1208" s="22">
        <v>1</v>
      </c>
      <c r="P1208" s="23">
        <v>0.1</v>
      </c>
      <c r="Q1208" s="37">
        <v>219.75</v>
      </c>
      <c r="R1208" s="37">
        <f t="shared" si="63"/>
        <v>21.975000000000001</v>
      </c>
    </row>
    <row r="1209" spans="1:18" x14ac:dyDescent="0.2">
      <c r="A1209" s="13"/>
      <c r="B1209" s="18"/>
      <c r="C1209" s="19"/>
      <c r="D1209" s="19"/>
      <c r="E1209" s="20"/>
      <c r="F1209" s="22"/>
      <c r="G1209" s="36"/>
      <c r="H1209" s="38"/>
      <c r="I1209" s="38"/>
      <c r="J1209" s="13"/>
      <c r="K1209" s="18" t="s">
        <v>1195</v>
      </c>
      <c r="L1209" s="19"/>
      <c r="M1209" s="19"/>
      <c r="N1209" s="20"/>
      <c r="O1209" s="22"/>
      <c r="P1209" s="36"/>
      <c r="R1209" s="37">
        <f>R1196*0.05</f>
        <v>36.889000000000003</v>
      </c>
    </row>
    <row r="1210" spans="1:18" x14ac:dyDescent="0.2">
      <c r="A1210" s="13"/>
      <c r="B1210" s="18"/>
      <c r="C1210" s="19"/>
      <c r="D1210" s="19"/>
      <c r="E1210" s="20"/>
      <c r="F1210" s="22"/>
      <c r="G1210" s="36"/>
      <c r="H1210" s="37"/>
      <c r="I1210" s="37"/>
      <c r="J1210" s="13"/>
      <c r="K1210" s="18"/>
      <c r="L1210" s="19"/>
      <c r="M1210" s="19"/>
      <c r="N1210" s="20"/>
      <c r="O1210" s="22"/>
      <c r="P1210" s="36"/>
      <c r="Q1210" s="37"/>
      <c r="R1210" s="37"/>
    </row>
    <row r="1211" spans="1:18" x14ac:dyDescent="0.2">
      <c r="A1211" s="13"/>
      <c r="B1211" s="18"/>
      <c r="C1211" s="19"/>
      <c r="D1211" s="19"/>
      <c r="E1211" s="20"/>
      <c r="F1211" s="22"/>
      <c r="G1211" s="36"/>
      <c r="H1211" s="37"/>
      <c r="I1211" s="37"/>
      <c r="J1211" s="13"/>
      <c r="K1211" s="18"/>
      <c r="L1211" s="19"/>
      <c r="M1211" s="19"/>
      <c r="N1211" s="20"/>
      <c r="O1211" s="22"/>
      <c r="P1211" s="36"/>
      <c r="Q1211" s="37"/>
      <c r="R1211" s="37"/>
    </row>
    <row r="1212" spans="1:18" x14ac:dyDescent="0.2">
      <c r="A1212" s="13"/>
      <c r="B1212" s="18"/>
      <c r="C1212" s="19"/>
      <c r="D1212" s="19"/>
      <c r="E1212" s="20"/>
      <c r="F1212" s="22"/>
      <c r="G1212" s="36"/>
      <c r="H1212" s="37"/>
      <c r="I1212" s="37"/>
      <c r="J1212" s="13"/>
      <c r="K1212" s="18"/>
      <c r="L1212" s="19"/>
      <c r="M1212" s="19"/>
      <c r="N1212" s="20"/>
      <c r="O1212" s="22"/>
      <c r="P1212" s="36"/>
      <c r="Q1212" s="37"/>
      <c r="R1212" s="37"/>
    </row>
    <row r="1213" spans="1:18" x14ac:dyDescent="0.2">
      <c r="A1213" s="13"/>
      <c r="B1213" s="18"/>
      <c r="C1213" s="19"/>
      <c r="D1213" s="19"/>
      <c r="E1213" s="20"/>
      <c r="F1213" s="22"/>
      <c r="G1213" s="22"/>
      <c r="H1213" s="23"/>
      <c r="I1213" s="23"/>
      <c r="J1213" s="13"/>
      <c r="K1213" s="18"/>
      <c r="L1213" s="19"/>
      <c r="M1213" s="19"/>
      <c r="N1213" s="20"/>
      <c r="O1213" s="22"/>
      <c r="P1213" s="22"/>
      <c r="Q1213" s="23"/>
      <c r="R1213" s="23"/>
    </row>
    <row r="1214" spans="1:18" x14ac:dyDescent="0.2">
      <c r="A1214" s="13"/>
      <c r="B1214" s="248" t="s">
        <v>30</v>
      </c>
      <c r="C1214" s="249"/>
      <c r="D1214" s="249"/>
      <c r="E1214" s="250"/>
      <c r="F1214" s="22"/>
      <c r="G1214" s="22"/>
      <c r="H1214" s="23"/>
      <c r="I1214" s="23">
        <f>SUM(I1201:I1213)</f>
        <v>6610.0509999999995</v>
      </c>
      <c r="J1214" s="13"/>
      <c r="K1214" s="248" t="s">
        <v>30</v>
      </c>
      <c r="L1214" s="249"/>
      <c r="M1214" s="249"/>
      <c r="N1214" s="250"/>
      <c r="O1214" s="22"/>
      <c r="P1214" s="22"/>
      <c r="Q1214" s="23"/>
      <c r="R1214" s="23">
        <f>SUM(R1201:R1213)</f>
        <v>12033.493999999999</v>
      </c>
    </row>
    <row r="1215" spans="1:18" x14ac:dyDescent="0.2">
      <c r="A1215" s="12" t="s">
        <v>31</v>
      </c>
      <c r="B1215" s="260" t="s">
        <v>32</v>
      </c>
      <c r="C1215" s="261"/>
      <c r="D1215" s="261"/>
      <c r="E1215" s="261"/>
      <c r="F1215" s="39"/>
      <c r="G1215" s="39"/>
      <c r="H1215" s="40"/>
      <c r="I1215" s="41">
        <f>SUM(I1214+I1196)</f>
        <v>6846.5609999999997</v>
      </c>
      <c r="J1215" s="12" t="s">
        <v>31</v>
      </c>
      <c r="K1215" s="260" t="s">
        <v>32</v>
      </c>
      <c r="L1215" s="261"/>
      <c r="M1215" s="261"/>
      <c r="N1215" s="261"/>
      <c r="O1215" s="39"/>
      <c r="P1215" s="39"/>
      <c r="Q1215" s="40"/>
      <c r="R1215" s="41">
        <f>SUM(R1214+R1196)</f>
        <v>12771.273999999999</v>
      </c>
    </row>
    <row r="1216" spans="1:18" x14ac:dyDescent="0.2">
      <c r="A1216" s="13" t="s">
        <v>33</v>
      </c>
      <c r="B1216" s="307">
        <f>E1183</f>
        <v>12</v>
      </c>
      <c r="C1216" s="308"/>
      <c r="D1216" s="308"/>
      <c r="E1216" s="308"/>
      <c r="F1216" s="308"/>
      <c r="G1216" s="308"/>
      <c r="H1216" s="40"/>
      <c r="I1216" s="41"/>
      <c r="J1216" s="13" t="s">
        <v>33</v>
      </c>
      <c r="K1216" s="311">
        <f>N1183</f>
        <v>57.5</v>
      </c>
      <c r="L1216" s="312"/>
      <c r="M1216" s="312"/>
      <c r="N1216" s="312"/>
      <c r="O1216" s="312"/>
      <c r="P1216" s="312"/>
      <c r="Q1216" s="40"/>
      <c r="R1216" s="41"/>
    </row>
    <row r="1217" spans="1:18" x14ac:dyDescent="0.2">
      <c r="A1217" s="13" t="s">
        <v>34</v>
      </c>
      <c r="B1217" s="42" t="s">
        <v>35</v>
      </c>
      <c r="C1217" s="43"/>
      <c r="D1217" s="43"/>
      <c r="E1217" s="39"/>
      <c r="F1217" s="44"/>
      <c r="G1217" s="44"/>
      <c r="H1217" s="40"/>
      <c r="I1217" s="41">
        <f>I1215/E1183</f>
        <v>570.54674999999997</v>
      </c>
      <c r="J1217" s="13" t="s">
        <v>34</v>
      </c>
      <c r="K1217" s="42" t="s">
        <v>35</v>
      </c>
      <c r="L1217" s="43"/>
      <c r="M1217" s="43"/>
      <c r="N1217" s="39"/>
      <c r="O1217" s="44"/>
      <c r="P1217" s="44"/>
      <c r="Q1217" s="40"/>
      <c r="R1217" s="41">
        <f>R1215/N1183</f>
        <v>222.10911304347826</v>
      </c>
    </row>
    <row r="1218" spans="1:18" x14ac:dyDescent="0.2">
      <c r="A1218" s="12"/>
      <c r="B1218" s="251" t="s">
        <v>36</v>
      </c>
      <c r="C1218" s="252"/>
      <c r="D1218" s="252"/>
      <c r="E1218" s="253"/>
      <c r="F1218" s="244" t="s">
        <v>37</v>
      </c>
      <c r="G1218" s="244" t="s">
        <v>38</v>
      </c>
      <c r="H1218" s="244" t="s">
        <v>39</v>
      </c>
      <c r="I1218" s="246" t="s">
        <v>15</v>
      </c>
      <c r="J1218" s="12"/>
      <c r="K1218" s="251" t="s">
        <v>36</v>
      </c>
      <c r="L1218" s="252"/>
      <c r="M1218" s="252"/>
      <c r="N1218" s="253"/>
      <c r="O1218" s="244" t="s">
        <v>37</v>
      </c>
      <c r="P1218" s="244" t="s">
        <v>38</v>
      </c>
      <c r="Q1218" s="244" t="s">
        <v>39</v>
      </c>
      <c r="R1218" s="246" t="s">
        <v>15</v>
      </c>
    </row>
    <row r="1219" spans="1:18" x14ac:dyDescent="0.2">
      <c r="A1219" s="13"/>
      <c r="B1219" s="254"/>
      <c r="C1219" s="255"/>
      <c r="D1219" s="255"/>
      <c r="E1219" s="256"/>
      <c r="F1219" s="245"/>
      <c r="G1219" s="245"/>
      <c r="H1219" s="245"/>
      <c r="I1219" s="247"/>
      <c r="J1219" s="13"/>
      <c r="K1219" s="254"/>
      <c r="L1219" s="255"/>
      <c r="M1219" s="255"/>
      <c r="N1219" s="256"/>
      <c r="O1219" s="245"/>
      <c r="P1219" s="245"/>
      <c r="Q1219" s="245"/>
      <c r="R1219" s="247"/>
    </row>
    <row r="1220" spans="1:18" x14ac:dyDescent="0.2">
      <c r="A1220" s="13" t="s">
        <v>40</v>
      </c>
      <c r="B1220" s="18" t="s">
        <v>41</v>
      </c>
      <c r="C1220" s="19"/>
      <c r="D1220" s="19"/>
      <c r="E1220" s="20"/>
      <c r="F1220" s="22"/>
      <c r="G1220" s="22"/>
      <c r="H1220" s="23"/>
      <c r="I1220" s="23"/>
      <c r="J1220" s="13" t="s">
        <v>40</v>
      </c>
      <c r="K1220" s="18" t="s">
        <v>41</v>
      </c>
      <c r="L1220" s="19"/>
      <c r="M1220" s="19"/>
      <c r="N1220" s="20"/>
      <c r="O1220" s="22"/>
      <c r="P1220" s="22"/>
      <c r="Q1220" s="23"/>
      <c r="R1220" s="23"/>
    </row>
    <row r="1221" spans="1:18" x14ac:dyDescent="0.2">
      <c r="A1221" s="13"/>
      <c r="B1221" s="18"/>
      <c r="C1221" s="19"/>
      <c r="D1221" s="19"/>
      <c r="E1221" s="20"/>
      <c r="F1221" s="22"/>
      <c r="G1221" s="22"/>
      <c r="H1221" s="23"/>
      <c r="I1221" s="23"/>
      <c r="J1221" s="13"/>
      <c r="K1221" s="18"/>
      <c r="L1221" s="19"/>
      <c r="M1221" s="19"/>
      <c r="N1221" s="20"/>
      <c r="O1221" s="22"/>
      <c r="P1221" s="22"/>
      <c r="Q1221" s="23"/>
      <c r="R1221" s="23"/>
    </row>
    <row r="1222" spans="1:18" x14ac:dyDescent="0.2">
      <c r="A1222" s="13"/>
      <c r="B1222" s="18" t="s">
        <v>390</v>
      </c>
      <c r="C1222" s="66"/>
      <c r="D1222" s="19"/>
      <c r="E1222" s="20"/>
      <c r="F1222" s="62" t="s">
        <v>239</v>
      </c>
      <c r="G1222" s="62">
        <v>1.1499999999999999</v>
      </c>
      <c r="H1222" s="107">
        <f>ROUND(650/1.6,2)</f>
        <v>406.25</v>
      </c>
      <c r="I1222" s="23">
        <f>G1222*H1222</f>
        <v>467.18749999999994</v>
      </c>
      <c r="J1222" s="13"/>
      <c r="K1222" s="18" t="s">
        <v>263</v>
      </c>
      <c r="L1222" s="66"/>
      <c r="M1222" s="19"/>
      <c r="N1222" s="20"/>
      <c r="O1222" s="22" t="s">
        <v>77</v>
      </c>
      <c r="P1222" s="62">
        <v>0.5</v>
      </c>
      <c r="Q1222" s="107">
        <v>40</v>
      </c>
      <c r="R1222" s="23">
        <f>P1222*Q1222</f>
        <v>20</v>
      </c>
    </row>
    <row r="1223" spans="1:18" x14ac:dyDescent="0.2">
      <c r="A1223" s="13"/>
      <c r="B1223" s="18" t="s">
        <v>391</v>
      </c>
      <c r="C1223" s="66"/>
      <c r="D1223" s="19"/>
      <c r="E1223" s="20"/>
      <c r="F1223" s="62" t="s">
        <v>239</v>
      </c>
      <c r="G1223" s="62">
        <v>7.0000000000000007E-2</v>
      </c>
      <c r="H1223" s="107">
        <v>40300</v>
      </c>
      <c r="I1223" s="23">
        <f>G1223*H1223</f>
        <v>2821.0000000000005</v>
      </c>
      <c r="J1223" s="13"/>
      <c r="K1223" s="18" t="s">
        <v>264</v>
      </c>
      <c r="L1223" s="66"/>
      <c r="M1223" s="19"/>
      <c r="N1223" s="20"/>
      <c r="O1223" s="22" t="s">
        <v>1216</v>
      </c>
      <c r="P1223" s="22">
        <v>0.28999999999999998</v>
      </c>
      <c r="Q1223" s="107">
        <v>28</v>
      </c>
      <c r="R1223" s="23">
        <f t="shared" ref="R1223:R1231" si="64">P1223*Q1223</f>
        <v>8.1199999999999992</v>
      </c>
    </row>
    <row r="1224" spans="1:18" x14ac:dyDescent="0.2">
      <c r="A1224" s="13"/>
      <c r="B1224" s="18" t="s">
        <v>392</v>
      </c>
      <c r="C1224" s="19"/>
      <c r="D1224" s="19"/>
      <c r="E1224" s="20"/>
      <c r="F1224" s="22" t="s">
        <v>227</v>
      </c>
      <c r="G1224" s="62">
        <v>0.3</v>
      </c>
      <c r="H1224" s="107">
        <v>180</v>
      </c>
      <c r="I1224" s="23">
        <f>G1224*H1224</f>
        <v>54</v>
      </c>
      <c r="J1224" s="13"/>
      <c r="K1224" s="18" t="s">
        <v>266</v>
      </c>
      <c r="L1224" s="19"/>
      <c r="M1224" s="19"/>
      <c r="N1224" s="20"/>
      <c r="O1224" s="22" t="s">
        <v>1216</v>
      </c>
      <c r="P1224" s="22">
        <v>0.17</v>
      </c>
      <c r="Q1224" s="107">
        <f>44000/1000</f>
        <v>44</v>
      </c>
      <c r="R1224" s="23">
        <f t="shared" si="64"/>
        <v>7.48</v>
      </c>
    </row>
    <row r="1225" spans="1:18" x14ac:dyDescent="0.2">
      <c r="A1225" s="13"/>
      <c r="B1225" s="18"/>
      <c r="C1225" s="19"/>
      <c r="D1225" s="19"/>
      <c r="E1225" s="20"/>
      <c r="F1225" s="22"/>
      <c r="G1225" s="22"/>
      <c r="H1225" s="38"/>
      <c r="I1225" s="38"/>
      <c r="J1225" s="13"/>
      <c r="K1225" s="18" t="s">
        <v>267</v>
      </c>
      <c r="L1225" s="19"/>
      <c r="M1225" s="19"/>
      <c r="N1225" s="20"/>
      <c r="O1225" s="22" t="s">
        <v>1153</v>
      </c>
      <c r="P1225" s="22">
        <v>0.46</v>
      </c>
      <c r="Q1225" s="107">
        <v>50</v>
      </c>
      <c r="R1225" s="23">
        <f t="shared" si="64"/>
        <v>23</v>
      </c>
    </row>
    <row r="1226" spans="1:18" x14ac:dyDescent="0.2">
      <c r="A1226" s="13"/>
      <c r="B1226" s="18"/>
      <c r="C1226" s="19"/>
      <c r="D1226" s="19"/>
      <c r="E1226" s="20"/>
      <c r="F1226" s="22"/>
      <c r="G1226" s="22"/>
      <c r="H1226" s="45"/>
      <c r="I1226" s="45"/>
      <c r="J1226" s="13"/>
      <c r="K1226" s="18" t="s">
        <v>268</v>
      </c>
      <c r="L1226" s="19"/>
      <c r="M1226" s="19"/>
      <c r="N1226" s="20"/>
      <c r="O1226" s="22" t="s">
        <v>9</v>
      </c>
      <c r="P1226" s="70">
        <v>0.154</v>
      </c>
      <c r="Q1226" s="107">
        <v>850</v>
      </c>
      <c r="R1226" s="23">
        <f t="shared" si="64"/>
        <v>130.9</v>
      </c>
    </row>
    <row r="1227" spans="1:18" x14ac:dyDescent="0.2">
      <c r="A1227" s="13"/>
      <c r="B1227" s="18" t="s">
        <v>393</v>
      </c>
      <c r="C1227" s="19"/>
      <c r="D1227" s="19"/>
      <c r="E1227" s="20"/>
      <c r="F1227" s="22"/>
      <c r="G1227" s="22"/>
      <c r="H1227" s="45"/>
      <c r="I1227" s="45"/>
      <c r="J1227" s="13"/>
      <c r="K1227" s="18" t="s">
        <v>269</v>
      </c>
      <c r="L1227" s="19"/>
      <c r="M1227" s="19"/>
      <c r="N1227" s="20"/>
      <c r="O1227" s="22" t="s">
        <v>9</v>
      </c>
      <c r="P1227" s="22">
        <v>0.28000000000000003</v>
      </c>
      <c r="Q1227" s="107">
        <v>650</v>
      </c>
      <c r="R1227" s="23">
        <f t="shared" si="64"/>
        <v>182.00000000000003</v>
      </c>
    </row>
    <row r="1228" spans="1:18" x14ac:dyDescent="0.2">
      <c r="A1228" s="13"/>
      <c r="B1228" s="18" t="s">
        <v>394</v>
      </c>
      <c r="C1228" s="19"/>
      <c r="D1228" s="19"/>
      <c r="E1228" s="20"/>
      <c r="F1228" s="22"/>
      <c r="G1228" s="22"/>
      <c r="H1228" s="23"/>
      <c r="I1228" s="23"/>
      <c r="J1228" s="13"/>
      <c r="K1228" s="18" t="s">
        <v>270</v>
      </c>
      <c r="L1228" s="19"/>
      <c r="M1228" s="19"/>
      <c r="N1228" s="20"/>
      <c r="O1228" s="22" t="s">
        <v>227</v>
      </c>
      <c r="P1228" s="22">
        <v>2.66</v>
      </c>
      <c r="Q1228" s="107">
        <v>220</v>
      </c>
      <c r="R1228" s="23">
        <f t="shared" si="64"/>
        <v>585.20000000000005</v>
      </c>
    </row>
    <row r="1229" spans="1:18" x14ac:dyDescent="0.2">
      <c r="A1229" s="13"/>
      <c r="B1229" s="18"/>
      <c r="C1229" s="19"/>
      <c r="D1229" s="19"/>
      <c r="E1229" s="20"/>
      <c r="F1229" s="22"/>
      <c r="G1229" s="22"/>
      <c r="H1229" s="23"/>
      <c r="I1229" s="23"/>
      <c r="J1229" s="13"/>
      <c r="K1229" s="18" t="s">
        <v>344</v>
      </c>
      <c r="L1229" s="19"/>
      <c r="M1229" s="19"/>
      <c r="N1229" s="20"/>
      <c r="O1229" s="22" t="s">
        <v>80</v>
      </c>
      <c r="P1229" s="22">
        <v>1.4999999999999999E-4</v>
      </c>
      <c r="Q1229" s="107">
        <v>8000</v>
      </c>
      <c r="R1229" s="23">
        <f t="shared" si="64"/>
        <v>1.2</v>
      </c>
    </row>
    <row r="1230" spans="1:18" x14ac:dyDescent="0.2">
      <c r="A1230" s="13"/>
      <c r="B1230" s="18"/>
      <c r="C1230" s="19"/>
      <c r="D1230" s="19"/>
      <c r="E1230" s="20"/>
      <c r="F1230" s="22"/>
      <c r="G1230" s="22"/>
      <c r="H1230" s="23"/>
      <c r="I1230" s="23"/>
      <c r="J1230" s="13"/>
      <c r="K1230" s="18" t="s">
        <v>356</v>
      </c>
      <c r="L1230" s="19"/>
      <c r="M1230" s="19"/>
      <c r="N1230" s="20"/>
      <c r="O1230" s="22" t="s">
        <v>1153</v>
      </c>
      <c r="P1230" s="22">
        <v>7.7999999999999996E-3</v>
      </c>
      <c r="Q1230" s="107">
        <v>97</v>
      </c>
      <c r="R1230" s="23">
        <f t="shared" si="64"/>
        <v>0.75659999999999994</v>
      </c>
    </row>
    <row r="1231" spans="1:18" x14ac:dyDescent="0.2">
      <c r="A1231" s="13"/>
      <c r="B1231" s="18"/>
      <c r="C1231" s="19"/>
      <c r="D1231" s="19"/>
      <c r="E1231" s="20"/>
      <c r="F1231" s="22"/>
      <c r="G1231" s="22"/>
      <c r="H1231" s="23"/>
      <c r="I1231" s="23"/>
      <c r="J1231" s="13"/>
      <c r="K1231" s="18" t="s">
        <v>346</v>
      </c>
      <c r="L1231" s="19"/>
      <c r="M1231" s="19"/>
      <c r="N1231" s="20"/>
      <c r="O1231" s="22" t="s">
        <v>1216</v>
      </c>
      <c r="P1231" s="22">
        <v>7.7999999999999996E-3</v>
      </c>
      <c r="Q1231" s="107">
        <v>300</v>
      </c>
      <c r="R1231" s="23">
        <f t="shared" si="64"/>
        <v>2.34</v>
      </c>
    </row>
    <row r="1232" spans="1:18" x14ac:dyDescent="0.2">
      <c r="A1232" s="13"/>
      <c r="B1232" s="18"/>
      <c r="C1232" s="19"/>
      <c r="D1232" s="19"/>
      <c r="E1232" s="20"/>
      <c r="F1232" s="22"/>
      <c r="G1232" s="22"/>
      <c r="H1232" s="23"/>
      <c r="I1232" s="23"/>
      <c r="J1232" s="13"/>
      <c r="K1232" s="18"/>
      <c r="L1232" s="19"/>
      <c r="M1232" s="19"/>
      <c r="N1232" s="20"/>
      <c r="O1232" s="22"/>
      <c r="P1232" s="22"/>
      <c r="Q1232" s="23"/>
      <c r="R1232" s="23"/>
    </row>
    <row r="1233" spans="1:18" x14ac:dyDescent="0.2">
      <c r="A1233" s="13"/>
      <c r="B1233" s="18"/>
      <c r="C1233" s="19"/>
      <c r="D1233" s="19"/>
      <c r="E1233" s="20"/>
      <c r="F1233" s="22"/>
      <c r="G1233" s="22"/>
      <c r="H1233" s="23"/>
      <c r="I1233" s="23"/>
      <c r="J1233" s="13"/>
      <c r="K1233" s="18"/>
      <c r="L1233" s="19"/>
      <c r="M1233" s="19"/>
      <c r="N1233" s="20"/>
      <c r="O1233" s="22"/>
      <c r="P1233" s="22"/>
      <c r="Q1233" s="23"/>
      <c r="R1233" s="23"/>
    </row>
    <row r="1234" spans="1:18" x14ac:dyDescent="0.2">
      <c r="A1234" s="13"/>
      <c r="B1234" s="18"/>
      <c r="C1234" s="19"/>
      <c r="D1234" s="19"/>
      <c r="E1234" s="20"/>
      <c r="F1234" s="22"/>
      <c r="G1234" s="36"/>
      <c r="H1234" s="37"/>
      <c r="I1234" s="37"/>
      <c r="J1234" s="13"/>
      <c r="K1234" s="18"/>
      <c r="L1234" s="19"/>
      <c r="M1234" s="19"/>
      <c r="N1234" s="20"/>
      <c r="O1234" s="22"/>
      <c r="P1234" s="36"/>
      <c r="Q1234" s="37"/>
      <c r="R1234" s="37"/>
    </row>
    <row r="1235" spans="1:18" x14ac:dyDescent="0.2">
      <c r="A1235" s="13"/>
      <c r="B1235" s="248" t="s">
        <v>42</v>
      </c>
      <c r="C1235" s="249"/>
      <c r="D1235" s="249"/>
      <c r="E1235" s="250"/>
      <c r="F1235" s="46"/>
      <c r="G1235" s="46"/>
      <c r="H1235" s="47"/>
      <c r="I1235" s="47">
        <f>SUM(I1222:I1234)</f>
        <v>3342.1875000000005</v>
      </c>
      <c r="J1235" s="13"/>
      <c r="K1235" s="248" t="s">
        <v>42</v>
      </c>
      <c r="L1235" s="249"/>
      <c r="M1235" s="249"/>
      <c r="N1235" s="250"/>
      <c r="O1235" s="46"/>
      <c r="P1235" s="46"/>
      <c r="Q1235" s="47"/>
      <c r="R1235" s="47">
        <f>SUM(R1222:R1234)</f>
        <v>960.99660000000017</v>
      </c>
    </row>
    <row r="1236" spans="1:18" x14ac:dyDescent="0.2">
      <c r="A1236" s="12" t="s">
        <v>43</v>
      </c>
      <c r="B1236" s="48" t="s">
        <v>44</v>
      </c>
      <c r="C1236" s="43"/>
      <c r="D1236" s="43"/>
      <c r="E1236" s="39"/>
      <c r="F1236" s="49"/>
      <c r="G1236" s="49"/>
      <c r="H1236" s="50"/>
      <c r="I1236" s="51">
        <f>SUM(I1217+I1235)</f>
        <v>3912.7342500000004</v>
      </c>
      <c r="J1236" s="12" t="s">
        <v>43</v>
      </c>
      <c r="K1236" s="48" t="s">
        <v>44</v>
      </c>
      <c r="L1236" s="43"/>
      <c r="M1236" s="43"/>
      <c r="N1236" s="39"/>
      <c r="O1236" s="49"/>
      <c r="P1236" s="49"/>
      <c r="Q1236" s="50"/>
      <c r="R1236" s="51">
        <f>SUM(R1217+R1235)</f>
        <v>1183.1057130434783</v>
      </c>
    </row>
    <row r="1237" spans="1:18" x14ac:dyDescent="0.2">
      <c r="A1237" s="13" t="s">
        <v>45</v>
      </c>
      <c r="B1237" s="48" t="s">
        <v>46</v>
      </c>
      <c r="C1237" s="43"/>
      <c r="D1237" s="43"/>
      <c r="E1237" s="39"/>
      <c r="F1237" s="49"/>
      <c r="G1237" s="52">
        <v>0.09</v>
      </c>
      <c r="H1237" s="53" t="s">
        <v>47</v>
      </c>
      <c r="I1237" s="51">
        <f>G1237*I1236</f>
        <v>352.14608250000003</v>
      </c>
      <c r="J1237" s="13" t="s">
        <v>45</v>
      </c>
      <c r="K1237" s="48" t="s">
        <v>46</v>
      </c>
      <c r="L1237" s="43"/>
      <c r="M1237" s="43"/>
      <c r="N1237" s="39"/>
      <c r="O1237" s="49"/>
      <c r="P1237" s="52">
        <v>0.09</v>
      </c>
      <c r="Q1237" s="53" t="s">
        <v>47</v>
      </c>
      <c r="R1237" s="51">
        <f>P1237*R1236</f>
        <v>106.47951417391305</v>
      </c>
    </row>
    <row r="1238" spans="1:18" x14ac:dyDescent="0.2">
      <c r="A1238" s="13" t="s">
        <v>48</v>
      </c>
      <c r="B1238" s="48" t="s">
        <v>49</v>
      </c>
      <c r="C1238" s="43"/>
      <c r="D1238" s="43"/>
      <c r="E1238" s="39"/>
      <c r="F1238" s="49"/>
      <c r="G1238" s="52">
        <v>0.08</v>
      </c>
      <c r="H1238" s="53" t="s">
        <v>47</v>
      </c>
      <c r="I1238" s="51">
        <f>G1238*I1236</f>
        <v>313.01874000000004</v>
      </c>
      <c r="J1238" s="13" t="s">
        <v>48</v>
      </c>
      <c r="K1238" s="48" t="s">
        <v>49</v>
      </c>
      <c r="L1238" s="43"/>
      <c r="M1238" s="43"/>
      <c r="N1238" s="39"/>
      <c r="O1238" s="49"/>
      <c r="P1238" s="52">
        <v>0.08</v>
      </c>
      <c r="Q1238" s="53" t="s">
        <v>47</v>
      </c>
      <c r="R1238" s="51">
        <f>P1238*R1236</f>
        <v>94.648457043478274</v>
      </c>
    </row>
    <row r="1239" spans="1:18" x14ac:dyDescent="0.2">
      <c r="A1239" s="13" t="s">
        <v>50</v>
      </c>
      <c r="B1239" s="48" t="s">
        <v>51</v>
      </c>
      <c r="C1239" s="43"/>
      <c r="D1239" s="43"/>
      <c r="E1239" s="39"/>
      <c r="F1239" s="49"/>
      <c r="G1239" s="52">
        <v>0.05</v>
      </c>
      <c r="H1239" s="53" t="s">
        <v>52</v>
      </c>
      <c r="I1239" s="51">
        <f>G1239*(I1236+I1237+I1238)</f>
        <v>228.89495362500008</v>
      </c>
      <c r="J1239" s="13" t="s">
        <v>50</v>
      </c>
      <c r="K1239" s="48" t="s">
        <v>51</v>
      </c>
      <c r="L1239" s="43"/>
      <c r="M1239" s="43"/>
      <c r="N1239" s="39"/>
      <c r="O1239" s="49"/>
      <c r="P1239" s="52">
        <f>5/100</f>
        <v>0.05</v>
      </c>
      <c r="Q1239" s="53" t="s">
        <v>52</v>
      </c>
      <c r="R1239" s="51">
        <f>P1239*(R1236+R1237+R1238)</f>
        <v>69.211684213043483</v>
      </c>
    </row>
    <row r="1240" spans="1:18" x14ac:dyDescent="0.2">
      <c r="A1240" s="54" t="s">
        <v>53</v>
      </c>
      <c r="B1240" s="48" t="s">
        <v>54</v>
      </c>
      <c r="C1240" s="43"/>
      <c r="D1240" s="43"/>
      <c r="E1240" s="39"/>
      <c r="F1240" s="49"/>
      <c r="G1240" s="49"/>
      <c r="H1240" s="55" t="s">
        <v>55</v>
      </c>
      <c r="I1240" s="51">
        <f>SUM(I1236+I1237+I1238+I1239)</f>
        <v>4806.7940261250014</v>
      </c>
      <c r="J1240" s="54" t="s">
        <v>53</v>
      </c>
      <c r="K1240" s="48" t="s">
        <v>54</v>
      </c>
      <c r="L1240" s="43"/>
      <c r="M1240" s="43"/>
      <c r="N1240" s="39"/>
      <c r="O1240" s="49"/>
      <c r="P1240" s="49"/>
      <c r="Q1240" s="55" t="s">
        <v>55</v>
      </c>
      <c r="R1240" s="51">
        <f>SUM(R1236+R1237+R1238+R1239)</f>
        <v>1453.445368473913</v>
      </c>
    </row>
    <row r="1241" spans="1:18" s="1" customFormat="1" x14ac:dyDescent="0.2">
      <c r="A1241" s="236" t="s">
        <v>0</v>
      </c>
      <c r="B1241" s="236"/>
      <c r="C1241" s="236"/>
      <c r="D1241" s="236"/>
      <c r="E1241" s="236"/>
      <c r="F1241" s="236"/>
      <c r="G1241" s="236"/>
      <c r="H1241" s="236"/>
      <c r="I1241" s="236"/>
      <c r="J1241" s="236" t="s">
        <v>0</v>
      </c>
      <c r="K1241" s="236"/>
      <c r="L1241" s="236"/>
      <c r="M1241" s="236"/>
      <c r="N1241" s="236"/>
      <c r="O1241" s="236"/>
      <c r="P1241" s="236"/>
      <c r="Q1241" s="236"/>
      <c r="R1241" s="236"/>
    </row>
    <row r="1243" spans="1:18" x14ac:dyDescent="0.2">
      <c r="A1243" s="2" t="s">
        <v>1</v>
      </c>
      <c r="C1243" s="4" t="s">
        <v>2</v>
      </c>
      <c r="D1243" s="5" t="s">
        <v>395</v>
      </c>
      <c r="E1243" s="237" t="s">
        <v>385</v>
      </c>
      <c r="F1243" s="237"/>
      <c r="G1243" s="237"/>
      <c r="H1243" s="237"/>
      <c r="J1243" s="152" t="s">
        <v>1</v>
      </c>
      <c r="L1243" s="4" t="s">
        <v>2</v>
      </c>
      <c r="M1243" s="5" t="s">
        <v>1254</v>
      </c>
      <c r="N1243" s="237" t="s">
        <v>364</v>
      </c>
      <c r="O1243" s="237"/>
      <c r="P1243" s="237"/>
      <c r="Q1243" s="237"/>
    </row>
    <row r="1244" spans="1:18" x14ac:dyDescent="0.2">
      <c r="A1244" s="2" t="s">
        <v>7</v>
      </c>
      <c r="C1244" s="4" t="s">
        <v>2</v>
      </c>
      <c r="E1244" s="2" t="s">
        <v>239</v>
      </c>
      <c r="F1244" s="8"/>
      <c r="G1244" s="8"/>
      <c r="H1244" s="8"/>
      <c r="J1244" s="152" t="s">
        <v>7</v>
      </c>
      <c r="L1244" s="4" t="s">
        <v>2</v>
      </c>
      <c r="N1244" s="152" t="s">
        <v>8</v>
      </c>
      <c r="O1244" s="8"/>
      <c r="P1244" s="8"/>
      <c r="Q1244" s="8"/>
    </row>
    <row r="1245" spans="1:18" x14ac:dyDescent="0.2">
      <c r="A1245" s="2" t="s">
        <v>10</v>
      </c>
      <c r="C1245" s="4" t="s">
        <v>2</v>
      </c>
      <c r="E1245" s="9">
        <v>12</v>
      </c>
      <c r="F1245" s="8"/>
      <c r="G1245" s="8"/>
      <c r="H1245" s="8"/>
      <c r="J1245" s="152" t="s">
        <v>10</v>
      </c>
      <c r="L1245" s="4" t="s">
        <v>2</v>
      </c>
      <c r="N1245" s="9">
        <v>57.5</v>
      </c>
      <c r="O1245" s="8"/>
      <c r="P1245" s="8"/>
      <c r="Q1245" s="8"/>
    </row>
    <row r="1246" spans="1:18" x14ac:dyDescent="0.2">
      <c r="B1246" s="8"/>
      <c r="F1246" s="11"/>
      <c r="G1246" s="8"/>
      <c r="H1246" s="8"/>
      <c r="I1246" s="8"/>
      <c r="K1246" s="8"/>
      <c r="O1246" s="11"/>
      <c r="P1246" s="8"/>
      <c r="Q1246" s="8"/>
      <c r="R1246" s="8"/>
    </row>
    <row r="1247" spans="1:18" x14ac:dyDescent="0.2">
      <c r="A1247" s="12"/>
      <c r="B1247" s="238" t="s">
        <v>11</v>
      </c>
      <c r="C1247" s="239"/>
      <c r="D1247" s="239"/>
      <c r="E1247" s="240"/>
      <c r="F1247" s="244" t="s">
        <v>12</v>
      </c>
      <c r="G1247" s="244" t="s">
        <v>13</v>
      </c>
      <c r="H1247" s="244" t="s">
        <v>14</v>
      </c>
      <c r="I1247" s="246" t="s">
        <v>15</v>
      </c>
      <c r="J1247" s="12"/>
      <c r="K1247" s="238" t="s">
        <v>11</v>
      </c>
      <c r="L1247" s="239"/>
      <c r="M1247" s="239"/>
      <c r="N1247" s="240"/>
      <c r="O1247" s="244" t="s">
        <v>12</v>
      </c>
      <c r="P1247" s="244" t="s">
        <v>13</v>
      </c>
      <c r="Q1247" s="244" t="s">
        <v>14</v>
      </c>
      <c r="R1247" s="246" t="s">
        <v>15</v>
      </c>
    </row>
    <row r="1248" spans="1:18" x14ac:dyDescent="0.2">
      <c r="A1248" s="13"/>
      <c r="B1248" s="241"/>
      <c r="C1248" s="242"/>
      <c r="D1248" s="242"/>
      <c r="E1248" s="243"/>
      <c r="F1248" s="245"/>
      <c r="G1248" s="245"/>
      <c r="H1248" s="245"/>
      <c r="I1248" s="247"/>
      <c r="J1248" s="13"/>
      <c r="K1248" s="241"/>
      <c r="L1248" s="242"/>
      <c r="M1248" s="242"/>
      <c r="N1248" s="243"/>
      <c r="O1248" s="245"/>
      <c r="P1248" s="245"/>
      <c r="Q1248" s="245"/>
      <c r="R1248" s="247"/>
    </row>
    <row r="1249" spans="1:18" x14ac:dyDescent="0.2">
      <c r="A1249" s="13" t="s">
        <v>16</v>
      </c>
      <c r="B1249" s="14" t="s">
        <v>17</v>
      </c>
      <c r="C1249" s="15"/>
      <c r="D1249" s="15"/>
      <c r="E1249" s="16"/>
      <c r="F1249" s="17"/>
      <c r="G1249" s="17"/>
      <c r="H1249" s="17"/>
      <c r="I1249" s="17"/>
      <c r="J1249" s="13" t="s">
        <v>16</v>
      </c>
      <c r="K1249" s="14" t="s">
        <v>17</v>
      </c>
      <c r="L1249" s="15"/>
      <c r="M1249" s="15"/>
      <c r="N1249" s="16"/>
      <c r="O1249" s="17"/>
      <c r="P1249" s="17"/>
      <c r="Q1249" s="17"/>
      <c r="R1249" s="17"/>
    </row>
    <row r="1250" spans="1:18" x14ac:dyDescent="0.2">
      <c r="A1250" s="13"/>
      <c r="B1250" s="18"/>
      <c r="C1250" s="19"/>
      <c r="D1250" s="19"/>
      <c r="E1250" s="20"/>
      <c r="F1250" s="21"/>
      <c r="G1250" s="22"/>
      <c r="H1250" s="21"/>
      <c r="I1250" s="21"/>
      <c r="J1250" s="13"/>
      <c r="K1250" s="18"/>
      <c r="L1250" s="19"/>
      <c r="M1250" s="19"/>
      <c r="N1250" s="20"/>
      <c r="O1250" s="21"/>
      <c r="P1250" s="22"/>
      <c r="Q1250" s="21"/>
      <c r="R1250" s="21"/>
    </row>
    <row r="1251" spans="1:18" x14ac:dyDescent="0.2">
      <c r="A1251" s="13"/>
      <c r="B1251" s="24" t="s">
        <v>18</v>
      </c>
      <c r="C1251" s="25"/>
      <c r="D1251" s="25"/>
      <c r="E1251" s="26"/>
      <c r="F1251" s="22">
        <v>1</v>
      </c>
      <c r="G1251" s="23">
        <v>1</v>
      </c>
      <c r="H1251" s="23">
        <v>69.42</v>
      </c>
      <c r="I1251" s="23">
        <f>F1251*G1251*H1251</f>
        <v>69.42</v>
      </c>
      <c r="J1251" s="13"/>
      <c r="K1251" s="24" t="s">
        <v>18</v>
      </c>
      <c r="L1251" s="25"/>
      <c r="M1251" s="25"/>
      <c r="N1251" s="26"/>
      <c r="O1251" s="22">
        <v>1</v>
      </c>
      <c r="P1251" s="23">
        <v>1</v>
      </c>
      <c r="Q1251" s="23">
        <v>69.42</v>
      </c>
      <c r="R1251" s="23">
        <f>P1251*Q1251*O1251</f>
        <v>69.42</v>
      </c>
    </row>
    <row r="1252" spans="1:18" x14ac:dyDescent="0.2">
      <c r="A1252" s="13"/>
      <c r="B1252" s="257" t="s">
        <v>1178</v>
      </c>
      <c r="C1252" s="258"/>
      <c r="D1252" s="25"/>
      <c r="E1252" s="26"/>
      <c r="F1252" s="22">
        <v>1</v>
      </c>
      <c r="G1252" s="23">
        <v>1</v>
      </c>
      <c r="H1252" s="23">
        <v>50.18</v>
      </c>
      <c r="I1252" s="23">
        <f>F1252*G1252*H1252</f>
        <v>50.18</v>
      </c>
      <c r="J1252" s="13"/>
      <c r="K1252" s="257" t="s">
        <v>1178</v>
      </c>
      <c r="L1252" s="258"/>
      <c r="M1252" s="25"/>
      <c r="N1252" s="26"/>
      <c r="O1252" s="22">
        <v>4</v>
      </c>
      <c r="P1252" s="23">
        <v>1</v>
      </c>
      <c r="Q1252" s="23">
        <v>50.18</v>
      </c>
      <c r="R1252" s="23">
        <f>P1252*Q1252*O1252</f>
        <v>200.72</v>
      </c>
    </row>
    <row r="1253" spans="1:18" x14ac:dyDescent="0.2">
      <c r="A1253" s="13"/>
      <c r="B1253" s="257" t="s">
        <v>1177</v>
      </c>
      <c r="C1253" s="258"/>
      <c r="D1253" s="19"/>
      <c r="E1253" s="20"/>
      <c r="F1253" s="22">
        <v>3</v>
      </c>
      <c r="G1253" s="23">
        <v>1</v>
      </c>
      <c r="H1253" s="23">
        <v>38.97</v>
      </c>
      <c r="I1253" s="23">
        <f>F1253*G1253*H1253</f>
        <v>116.91</v>
      </c>
      <c r="J1253" s="13"/>
      <c r="K1253" s="257" t="s">
        <v>1177</v>
      </c>
      <c r="L1253" s="258"/>
      <c r="M1253" s="19"/>
      <c r="N1253" s="20"/>
      <c r="O1253" s="22">
        <v>12</v>
      </c>
      <c r="P1253" s="23">
        <v>1</v>
      </c>
      <c r="Q1253" s="23">
        <v>38.97</v>
      </c>
      <c r="R1253" s="23">
        <f>P1253*Q1253*O1253</f>
        <v>467.64</v>
      </c>
    </row>
    <row r="1254" spans="1:18" x14ac:dyDescent="0.2">
      <c r="A1254" s="13"/>
      <c r="B1254" s="27"/>
      <c r="C1254" s="19"/>
      <c r="D1254" s="19"/>
      <c r="E1254" s="20"/>
      <c r="F1254" s="22"/>
      <c r="G1254" s="22"/>
      <c r="H1254" s="29"/>
      <c r="I1254" s="30"/>
      <c r="J1254" s="13"/>
      <c r="K1254" s="153"/>
      <c r="L1254" s="19"/>
      <c r="M1254" s="19"/>
      <c r="N1254" s="20"/>
      <c r="O1254" s="22"/>
      <c r="P1254" s="22"/>
      <c r="Q1254" s="29"/>
      <c r="R1254" s="30"/>
    </row>
    <row r="1255" spans="1:18" x14ac:dyDescent="0.2">
      <c r="A1255" s="13"/>
      <c r="B1255" s="27"/>
      <c r="C1255" s="19"/>
      <c r="D1255" s="19"/>
      <c r="E1255" s="20"/>
      <c r="F1255" s="22"/>
      <c r="G1255" s="22"/>
      <c r="H1255" s="29"/>
      <c r="I1255" s="30"/>
      <c r="J1255" s="13"/>
      <c r="K1255" s="153"/>
      <c r="L1255" s="19"/>
      <c r="M1255" s="19"/>
      <c r="N1255" s="20"/>
      <c r="O1255" s="22"/>
      <c r="P1255" s="22"/>
      <c r="Q1255" s="29"/>
      <c r="R1255" s="30"/>
    </row>
    <row r="1256" spans="1:18" x14ac:dyDescent="0.2">
      <c r="A1256" s="13"/>
      <c r="B1256" s="18"/>
      <c r="C1256" s="19"/>
      <c r="D1256" s="19"/>
      <c r="E1256" s="20"/>
      <c r="F1256" s="22"/>
      <c r="G1256" s="22"/>
      <c r="H1256" s="28"/>
      <c r="I1256" s="23"/>
      <c r="J1256" s="13"/>
      <c r="K1256" s="18"/>
      <c r="L1256" s="19"/>
      <c r="M1256" s="19"/>
      <c r="N1256" s="20"/>
      <c r="O1256" s="22"/>
      <c r="P1256" s="22"/>
      <c r="Q1256" s="28"/>
      <c r="R1256" s="23"/>
    </row>
    <row r="1257" spans="1:18" x14ac:dyDescent="0.2">
      <c r="A1257" s="13"/>
      <c r="B1257" s="18"/>
      <c r="C1257" s="19"/>
      <c r="D1257" s="19"/>
      <c r="E1257" s="20"/>
      <c r="F1257" s="22"/>
      <c r="G1257" s="22"/>
      <c r="H1257" s="23"/>
      <c r="I1257" s="23"/>
      <c r="J1257" s="13"/>
      <c r="K1257" s="18"/>
      <c r="L1257" s="19"/>
      <c r="M1257" s="19"/>
      <c r="N1257" s="20"/>
      <c r="O1257" s="22"/>
      <c r="P1257" s="22"/>
      <c r="Q1257" s="23"/>
      <c r="R1257" s="23"/>
    </row>
    <row r="1258" spans="1:18" x14ac:dyDescent="0.2">
      <c r="A1258" s="13"/>
      <c r="B1258" s="248" t="s">
        <v>20</v>
      </c>
      <c r="C1258" s="249"/>
      <c r="D1258" s="249"/>
      <c r="E1258" s="250"/>
      <c r="F1258" s="31"/>
      <c r="G1258" s="31"/>
      <c r="H1258" s="32"/>
      <c r="I1258" s="32">
        <f>SUM(I1251:I1257)</f>
        <v>236.51</v>
      </c>
      <c r="J1258" s="13"/>
      <c r="K1258" s="248" t="s">
        <v>20</v>
      </c>
      <c r="L1258" s="249"/>
      <c r="M1258" s="249"/>
      <c r="N1258" s="250"/>
      <c r="O1258" s="31"/>
      <c r="P1258" s="31"/>
      <c r="Q1258" s="32"/>
      <c r="R1258" s="32">
        <f>SUM(R1251:R1257)</f>
        <v>737.78</v>
      </c>
    </row>
    <row r="1259" spans="1:18" x14ac:dyDescent="0.2">
      <c r="A1259" s="12"/>
      <c r="B1259" s="251" t="s">
        <v>21</v>
      </c>
      <c r="C1259" s="252"/>
      <c r="D1259" s="252"/>
      <c r="E1259" s="253"/>
      <c r="F1259" s="244" t="s">
        <v>22</v>
      </c>
      <c r="G1259" s="244" t="s">
        <v>13</v>
      </c>
      <c r="H1259" s="244" t="s">
        <v>14</v>
      </c>
      <c r="I1259" s="246" t="s">
        <v>15</v>
      </c>
      <c r="J1259" s="12"/>
      <c r="K1259" s="251" t="s">
        <v>21</v>
      </c>
      <c r="L1259" s="252"/>
      <c r="M1259" s="252"/>
      <c r="N1259" s="253"/>
      <c r="O1259" s="244" t="s">
        <v>22</v>
      </c>
      <c r="P1259" s="244" t="s">
        <v>13</v>
      </c>
      <c r="Q1259" s="244" t="s">
        <v>14</v>
      </c>
      <c r="R1259" s="246" t="s">
        <v>15</v>
      </c>
    </row>
    <row r="1260" spans="1:18" x14ac:dyDescent="0.2">
      <c r="A1260" s="13"/>
      <c r="B1260" s="254"/>
      <c r="C1260" s="255"/>
      <c r="D1260" s="255"/>
      <c r="E1260" s="256"/>
      <c r="F1260" s="245"/>
      <c r="G1260" s="245"/>
      <c r="H1260" s="245"/>
      <c r="I1260" s="247"/>
      <c r="J1260" s="13"/>
      <c r="K1260" s="254"/>
      <c r="L1260" s="255"/>
      <c r="M1260" s="255"/>
      <c r="N1260" s="256"/>
      <c r="O1260" s="245"/>
      <c r="P1260" s="245"/>
      <c r="Q1260" s="245"/>
      <c r="R1260" s="247"/>
    </row>
    <row r="1261" spans="1:18" x14ac:dyDescent="0.2">
      <c r="A1261" s="13" t="s">
        <v>23</v>
      </c>
      <c r="B1261" s="33" t="s">
        <v>24</v>
      </c>
      <c r="C1261" s="15"/>
      <c r="D1261" s="15"/>
      <c r="E1261" s="16"/>
      <c r="F1261" s="34"/>
      <c r="G1261" s="34"/>
      <c r="H1261" s="35"/>
      <c r="I1261" s="35"/>
      <c r="J1261" s="13" t="s">
        <v>23</v>
      </c>
      <c r="K1261" s="33" t="s">
        <v>24</v>
      </c>
      <c r="L1261" s="15"/>
      <c r="M1261" s="15"/>
      <c r="N1261" s="16"/>
      <c r="O1261" s="34"/>
      <c r="P1261" s="34"/>
      <c r="Q1261" s="35"/>
      <c r="R1261" s="35"/>
    </row>
    <row r="1262" spans="1:18" x14ac:dyDescent="0.2">
      <c r="A1262" s="13"/>
      <c r="B1262" s="18"/>
      <c r="C1262" s="19"/>
      <c r="D1262" s="19"/>
      <c r="E1262" s="20"/>
      <c r="F1262" s="22"/>
      <c r="G1262" s="22"/>
      <c r="H1262" s="23"/>
      <c r="I1262" s="23"/>
      <c r="J1262" s="13"/>
      <c r="K1262" s="18"/>
      <c r="L1262" s="19"/>
      <c r="M1262" s="19"/>
      <c r="N1262" s="20"/>
      <c r="O1262" s="22"/>
      <c r="P1262" s="22"/>
      <c r="Q1262" s="23"/>
      <c r="R1262" s="23"/>
    </row>
    <row r="1263" spans="1:18" x14ac:dyDescent="0.2">
      <c r="A1263" s="13"/>
      <c r="B1263" s="18" t="s">
        <v>1210</v>
      </c>
      <c r="C1263" s="19"/>
      <c r="D1263" s="19"/>
      <c r="E1263" s="20"/>
      <c r="F1263" s="22">
        <v>1</v>
      </c>
      <c r="G1263" s="23">
        <v>1</v>
      </c>
      <c r="H1263" s="37">
        <v>2824.9</v>
      </c>
      <c r="I1263" s="23">
        <f>F1263*G1263*H1263</f>
        <v>2824.9</v>
      </c>
      <c r="J1263" s="13"/>
      <c r="K1263" s="18" t="s">
        <v>621</v>
      </c>
      <c r="L1263" s="19"/>
      <c r="M1263" s="19"/>
      <c r="N1263" s="20"/>
      <c r="O1263" s="22">
        <v>2</v>
      </c>
      <c r="P1263" s="23">
        <v>1</v>
      </c>
      <c r="Q1263" s="37">
        <v>91.25</v>
      </c>
      <c r="R1263" s="37">
        <f t="shared" ref="R1263:R1266" si="65">P1263*Q1263*O1263</f>
        <v>182.5</v>
      </c>
    </row>
    <row r="1264" spans="1:18" x14ac:dyDescent="0.2">
      <c r="A1264" s="13"/>
      <c r="B1264" s="18" t="s">
        <v>388</v>
      </c>
      <c r="C1264" s="19"/>
      <c r="D1264" s="19"/>
      <c r="E1264" s="20"/>
      <c r="F1264" s="22">
        <v>1</v>
      </c>
      <c r="G1264" s="23">
        <v>1</v>
      </c>
      <c r="H1264" s="37">
        <v>1652</v>
      </c>
      <c r="I1264" s="23">
        <f>F1264*G1264*H1264</f>
        <v>1652</v>
      </c>
      <c r="J1264" s="13"/>
      <c r="K1264" s="18" t="s">
        <v>255</v>
      </c>
      <c r="L1264" s="19"/>
      <c r="M1264" s="19"/>
      <c r="N1264" s="20"/>
      <c r="O1264" s="22">
        <v>1</v>
      </c>
      <c r="P1264" s="23">
        <v>1</v>
      </c>
      <c r="Q1264" s="37">
        <v>545</v>
      </c>
      <c r="R1264" s="37">
        <f t="shared" si="65"/>
        <v>545</v>
      </c>
    </row>
    <row r="1265" spans="1:18" x14ac:dyDescent="0.2">
      <c r="A1265" s="13"/>
      <c r="B1265" s="18" t="s">
        <v>389</v>
      </c>
      <c r="C1265" s="19"/>
      <c r="D1265" s="19"/>
      <c r="E1265" s="20"/>
      <c r="F1265" s="22">
        <v>1</v>
      </c>
      <c r="G1265" s="23">
        <v>1</v>
      </c>
      <c r="H1265" s="37">
        <v>561</v>
      </c>
      <c r="I1265" s="23">
        <f>F1265*G1265*H1265</f>
        <v>561</v>
      </c>
      <c r="J1265" s="13"/>
      <c r="K1265" s="18" t="s">
        <v>1246</v>
      </c>
      <c r="L1265" s="19"/>
      <c r="M1265" s="19"/>
      <c r="N1265" s="20"/>
      <c r="O1265" s="22">
        <v>1</v>
      </c>
      <c r="P1265" s="23">
        <v>1</v>
      </c>
      <c r="Q1265" s="37">
        <v>32.630000000000003</v>
      </c>
      <c r="R1265" s="37">
        <f t="shared" si="65"/>
        <v>32.630000000000003</v>
      </c>
    </row>
    <row r="1266" spans="1:18" x14ac:dyDescent="0.2">
      <c r="A1266" s="13"/>
      <c r="B1266" s="18" t="s">
        <v>1202</v>
      </c>
      <c r="C1266" s="19"/>
      <c r="D1266" s="19"/>
      <c r="E1266" s="20"/>
      <c r="F1266" s="22">
        <v>1</v>
      </c>
      <c r="G1266" s="23">
        <v>1</v>
      </c>
      <c r="H1266" s="37">
        <v>936</v>
      </c>
      <c r="I1266" s="23">
        <f>F1266*G1266*H1266</f>
        <v>936</v>
      </c>
      <c r="J1266" s="13"/>
      <c r="K1266" s="18" t="s">
        <v>404</v>
      </c>
      <c r="L1266" s="19"/>
      <c r="M1266" s="19"/>
      <c r="N1266" s="20"/>
      <c r="O1266" s="22">
        <v>1</v>
      </c>
      <c r="P1266" s="23">
        <v>0.1</v>
      </c>
      <c r="Q1266" s="37">
        <v>219.75</v>
      </c>
      <c r="R1266" s="37">
        <f t="shared" si="65"/>
        <v>21.975000000000001</v>
      </c>
    </row>
    <row r="1267" spans="1:18" x14ac:dyDescent="0.2">
      <c r="A1267" s="13"/>
      <c r="B1267" s="18" t="s">
        <v>1211</v>
      </c>
      <c r="C1267" s="19"/>
      <c r="D1267" s="19"/>
      <c r="E1267" s="20"/>
      <c r="F1267" s="22">
        <v>1</v>
      </c>
      <c r="G1267" s="23">
        <v>0.25</v>
      </c>
      <c r="H1267" s="37">
        <v>2450</v>
      </c>
      <c r="I1267" s="23">
        <f>F1267*G1267*H1267</f>
        <v>612.5</v>
      </c>
      <c r="J1267" s="13"/>
      <c r="K1267" s="18" t="s">
        <v>1195</v>
      </c>
      <c r="L1267" s="19"/>
      <c r="M1267" s="19"/>
      <c r="N1267" s="20"/>
      <c r="O1267" s="22"/>
      <c r="P1267" s="36"/>
      <c r="R1267" s="37">
        <f>R1258*0.05</f>
        <v>36.889000000000003</v>
      </c>
    </row>
    <row r="1268" spans="1:18" x14ac:dyDescent="0.2">
      <c r="A1268" s="13"/>
      <c r="B1268" s="18" t="s">
        <v>1192</v>
      </c>
      <c r="C1268" s="19"/>
      <c r="D1268" s="19"/>
      <c r="E1268" s="20"/>
      <c r="F1268" s="22"/>
      <c r="G1268" s="23"/>
      <c r="I1268" s="37">
        <f>I1258*0.1</f>
        <v>23.651</v>
      </c>
      <c r="J1268" s="13"/>
      <c r="K1268" s="18"/>
      <c r="L1268" s="19"/>
      <c r="M1268" s="19"/>
      <c r="N1268" s="20"/>
      <c r="O1268" s="22"/>
      <c r="P1268" s="23"/>
      <c r="Q1268" s="37"/>
      <c r="R1268" s="37"/>
    </row>
    <row r="1269" spans="1:18" x14ac:dyDescent="0.2">
      <c r="A1269" s="13"/>
      <c r="B1269" s="18"/>
      <c r="C1269" s="19"/>
      <c r="D1269" s="19"/>
      <c r="E1269" s="20"/>
      <c r="F1269" s="22"/>
      <c r="G1269" s="36"/>
      <c r="H1269" s="37"/>
      <c r="I1269" s="37"/>
      <c r="J1269" s="13"/>
      <c r="K1269" s="18"/>
      <c r="L1269" s="19"/>
      <c r="M1269" s="19"/>
      <c r="N1269" s="20"/>
      <c r="O1269" s="22"/>
      <c r="P1269" s="23"/>
      <c r="Q1269" s="37"/>
      <c r="R1269" s="37"/>
    </row>
    <row r="1270" spans="1:18" x14ac:dyDescent="0.2">
      <c r="A1270" s="13"/>
      <c r="B1270" s="18"/>
      <c r="C1270" s="19"/>
      <c r="D1270" s="19"/>
      <c r="E1270" s="20"/>
      <c r="F1270" s="22"/>
      <c r="G1270" s="36"/>
      <c r="H1270" s="37"/>
      <c r="I1270" s="37"/>
      <c r="J1270" s="13"/>
      <c r="K1270" s="18"/>
      <c r="L1270" s="19"/>
      <c r="M1270" s="19"/>
      <c r="N1270" s="20"/>
      <c r="O1270" s="22"/>
      <c r="P1270" s="23"/>
      <c r="Q1270" s="37"/>
      <c r="R1270" s="37"/>
    </row>
    <row r="1271" spans="1:18" x14ac:dyDescent="0.2">
      <c r="A1271" s="13"/>
      <c r="B1271" s="18"/>
      <c r="C1271" s="19"/>
      <c r="D1271" s="19"/>
      <c r="E1271" s="20"/>
      <c r="F1271" s="22"/>
      <c r="G1271" s="36"/>
      <c r="H1271" s="38"/>
      <c r="I1271" s="38"/>
      <c r="J1271" s="13"/>
      <c r="K1271" s="18"/>
      <c r="L1271" s="19"/>
      <c r="M1271" s="19"/>
      <c r="N1271" s="20"/>
      <c r="O1271" s="22"/>
      <c r="P1271" s="36"/>
    </row>
    <row r="1272" spans="1:18" x14ac:dyDescent="0.2">
      <c r="A1272" s="13"/>
      <c r="B1272" s="18"/>
      <c r="C1272" s="19"/>
      <c r="D1272" s="19"/>
      <c r="E1272" s="20"/>
      <c r="F1272" s="22"/>
      <c r="G1272" s="36"/>
      <c r="H1272" s="38"/>
      <c r="I1272" s="38"/>
      <c r="J1272" s="13"/>
      <c r="K1272" s="18"/>
      <c r="L1272" s="19"/>
      <c r="M1272" s="19"/>
      <c r="N1272" s="20"/>
      <c r="O1272" s="22"/>
      <c r="P1272" s="36"/>
      <c r="Q1272" s="37"/>
      <c r="R1272" s="37"/>
    </row>
    <row r="1273" spans="1:18" x14ac:dyDescent="0.2">
      <c r="A1273" s="13"/>
      <c r="B1273" s="18"/>
      <c r="C1273" s="19"/>
      <c r="D1273" s="19"/>
      <c r="E1273" s="20"/>
      <c r="F1273" s="22"/>
      <c r="G1273" s="36"/>
      <c r="H1273" s="37"/>
      <c r="I1273" s="37"/>
      <c r="J1273" s="13"/>
      <c r="K1273" s="18"/>
      <c r="L1273" s="19"/>
      <c r="M1273" s="19"/>
      <c r="N1273" s="20"/>
      <c r="O1273" s="22"/>
      <c r="P1273" s="36"/>
      <c r="Q1273" s="37"/>
      <c r="R1273" s="37"/>
    </row>
    <row r="1274" spans="1:18" x14ac:dyDescent="0.2">
      <c r="A1274" s="13"/>
      <c r="B1274" s="18"/>
      <c r="C1274" s="19"/>
      <c r="D1274" s="19"/>
      <c r="E1274" s="20"/>
      <c r="F1274" s="22"/>
      <c r="G1274" s="36"/>
      <c r="H1274" s="37"/>
      <c r="I1274" s="37"/>
      <c r="J1274" s="13"/>
      <c r="K1274" s="18"/>
      <c r="L1274" s="19"/>
      <c r="M1274" s="19"/>
      <c r="N1274" s="20"/>
      <c r="O1274" s="22"/>
      <c r="P1274" s="36"/>
      <c r="Q1274" s="37"/>
      <c r="R1274" s="37"/>
    </row>
    <row r="1275" spans="1:18" x14ac:dyDescent="0.2">
      <c r="A1275" s="13"/>
      <c r="B1275" s="18"/>
      <c r="C1275" s="19"/>
      <c r="D1275" s="19"/>
      <c r="E1275" s="20"/>
      <c r="F1275" s="22"/>
      <c r="G1275" s="36"/>
      <c r="H1275" s="37"/>
      <c r="I1275" s="37"/>
      <c r="J1275" s="13"/>
      <c r="K1275" s="18"/>
      <c r="L1275" s="19"/>
      <c r="M1275" s="19"/>
      <c r="N1275" s="20"/>
      <c r="O1275" s="22"/>
      <c r="P1275" s="22"/>
      <c r="Q1275" s="23"/>
      <c r="R1275" s="23"/>
    </row>
    <row r="1276" spans="1:18" x14ac:dyDescent="0.2">
      <c r="A1276" s="13"/>
      <c r="B1276" s="248" t="s">
        <v>30</v>
      </c>
      <c r="C1276" s="249"/>
      <c r="D1276" s="249"/>
      <c r="E1276" s="250"/>
      <c r="F1276" s="22"/>
      <c r="G1276" s="22"/>
      <c r="H1276" s="23"/>
      <c r="I1276" s="23">
        <f>SUM(I1263:I1275)</f>
        <v>6610.0509999999995</v>
      </c>
      <c r="J1276" s="13"/>
      <c r="K1276" s="248" t="s">
        <v>30</v>
      </c>
      <c r="L1276" s="249"/>
      <c r="M1276" s="249"/>
      <c r="N1276" s="250"/>
      <c r="O1276" s="22"/>
      <c r="P1276" s="22"/>
      <c r="Q1276" s="23"/>
      <c r="R1276" s="23">
        <f>SUM(R1263:R1275)</f>
        <v>818.99400000000003</v>
      </c>
    </row>
    <row r="1277" spans="1:18" x14ac:dyDescent="0.2">
      <c r="A1277" s="12" t="s">
        <v>31</v>
      </c>
      <c r="B1277" s="260" t="s">
        <v>32</v>
      </c>
      <c r="C1277" s="261"/>
      <c r="D1277" s="261"/>
      <c r="E1277" s="261"/>
      <c r="F1277" s="39"/>
      <c r="G1277" s="39"/>
      <c r="H1277" s="40"/>
      <c r="I1277" s="41">
        <f>SUM(I1276+I1258)</f>
        <v>6846.5609999999997</v>
      </c>
      <c r="J1277" s="12" t="s">
        <v>31</v>
      </c>
      <c r="K1277" s="260" t="s">
        <v>32</v>
      </c>
      <c r="L1277" s="261"/>
      <c r="M1277" s="261"/>
      <c r="N1277" s="261"/>
      <c r="O1277" s="151"/>
      <c r="P1277" s="151"/>
      <c r="Q1277" s="40"/>
      <c r="R1277" s="41">
        <f>SUM(R1276+R1258)</f>
        <v>1556.7739999999999</v>
      </c>
    </row>
    <row r="1278" spans="1:18" x14ac:dyDescent="0.2">
      <c r="A1278" s="13" t="s">
        <v>33</v>
      </c>
      <c r="B1278" s="307">
        <f>E1245</f>
        <v>12</v>
      </c>
      <c r="C1278" s="308"/>
      <c r="D1278" s="308"/>
      <c r="E1278" s="308"/>
      <c r="F1278" s="308"/>
      <c r="G1278" s="308"/>
      <c r="H1278" s="40"/>
      <c r="I1278" s="41"/>
      <c r="J1278" s="13" t="s">
        <v>33</v>
      </c>
      <c r="K1278" s="313">
        <f>N1245</f>
        <v>57.5</v>
      </c>
      <c r="L1278" s="314"/>
      <c r="M1278" s="314"/>
      <c r="N1278" s="314"/>
      <c r="O1278" s="314"/>
      <c r="P1278" s="314"/>
      <c r="Q1278" s="40"/>
      <c r="R1278" s="41"/>
    </row>
    <row r="1279" spans="1:18" x14ac:dyDescent="0.2">
      <c r="A1279" s="13" t="s">
        <v>34</v>
      </c>
      <c r="B1279" s="42" t="s">
        <v>35</v>
      </c>
      <c r="C1279" s="43"/>
      <c r="D1279" s="43"/>
      <c r="E1279" s="39"/>
      <c r="F1279" s="44"/>
      <c r="G1279" s="44"/>
      <c r="H1279" s="40"/>
      <c r="I1279" s="41">
        <f>I1277/E1245</f>
        <v>570.54674999999997</v>
      </c>
      <c r="J1279" s="13" t="s">
        <v>34</v>
      </c>
      <c r="K1279" s="155" t="s">
        <v>35</v>
      </c>
      <c r="L1279" s="43"/>
      <c r="M1279" s="43"/>
      <c r="N1279" s="151"/>
      <c r="O1279" s="156"/>
      <c r="P1279" s="156"/>
      <c r="Q1279" s="40"/>
      <c r="R1279" s="41">
        <f>R1277/N1245</f>
        <v>27.074330434782606</v>
      </c>
    </row>
    <row r="1280" spans="1:18" x14ac:dyDescent="0.2">
      <c r="A1280" s="12"/>
      <c r="B1280" s="251" t="s">
        <v>36</v>
      </c>
      <c r="C1280" s="252"/>
      <c r="D1280" s="252"/>
      <c r="E1280" s="253"/>
      <c r="F1280" s="244" t="s">
        <v>37</v>
      </c>
      <c r="G1280" s="244" t="s">
        <v>38</v>
      </c>
      <c r="H1280" s="244" t="s">
        <v>39</v>
      </c>
      <c r="I1280" s="246" t="s">
        <v>15</v>
      </c>
      <c r="J1280" s="12"/>
      <c r="K1280" s="251" t="s">
        <v>36</v>
      </c>
      <c r="L1280" s="252"/>
      <c r="M1280" s="252"/>
      <c r="N1280" s="253"/>
      <c r="O1280" s="244" t="s">
        <v>37</v>
      </c>
      <c r="P1280" s="244" t="s">
        <v>38</v>
      </c>
      <c r="Q1280" s="244" t="s">
        <v>39</v>
      </c>
      <c r="R1280" s="246" t="s">
        <v>15</v>
      </c>
    </row>
    <row r="1281" spans="1:18" x14ac:dyDescent="0.2">
      <c r="A1281" s="13"/>
      <c r="B1281" s="254"/>
      <c r="C1281" s="255"/>
      <c r="D1281" s="255"/>
      <c r="E1281" s="256"/>
      <c r="F1281" s="245"/>
      <c r="G1281" s="245"/>
      <c r="H1281" s="245"/>
      <c r="I1281" s="247"/>
      <c r="J1281" s="13"/>
      <c r="K1281" s="254"/>
      <c r="L1281" s="255"/>
      <c r="M1281" s="255"/>
      <c r="N1281" s="256"/>
      <c r="O1281" s="245"/>
      <c r="P1281" s="245"/>
      <c r="Q1281" s="245"/>
      <c r="R1281" s="247"/>
    </row>
    <row r="1282" spans="1:18" x14ac:dyDescent="0.2">
      <c r="A1282" s="13" t="s">
        <v>40</v>
      </c>
      <c r="B1282" s="18" t="s">
        <v>41</v>
      </c>
      <c r="C1282" s="19"/>
      <c r="D1282" s="19"/>
      <c r="E1282" s="20"/>
      <c r="F1282" s="22"/>
      <c r="G1282" s="22"/>
      <c r="H1282" s="23"/>
      <c r="I1282" s="23"/>
      <c r="J1282" s="13" t="s">
        <v>40</v>
      </c>
      <c r="K1282" s="18" t="s">
        <v>41</v>
      </c>
      <c r="L1282" s="19"/>
      <c r="M1282" s="19"/>
      <c r="N1282" s="20"/>
      <c r="O1282" s="22"/>
      <c r="P1282" s="22"/>
      <c r="Q1282" s="23"/>
      <c r="R1282" s="23"/>
    </row>
    <row r="1283" spans="1:18" x14ac:dyDescent="0.2">
      <c r="A1283" s="13"/>
      <c r="B1283" s="18"/>
      <c r="C1283" s="19"/>
      <c r="D1283" s="19"/>
      <c r="E1283" s="20"/>
      <c r="F1283" s="22"/>
      <c r="G1283" s="22"/>
      <c r="H1283" s="23"/>
      <c r="I1283" s="23"/>
      <c r="J1283" s="13"/>
      <c r="K1283" s="18"/>
      <c r="L1283" s="19"/>
      <c r="M1283" s="19"/>
      <c r="N1283" s="20"/>
      <c r="O1283" s="22"/>
      <c r="P1283" s="22"/>
      <c r="Q1283" s="23"/>
      <c r="R1283" s="23"/>
    </row>
    <row r="1284" spans="1:18" x14ac:dyDescent="0.2">
      <c r="A1284" s="13"/>
      <c r="B1284" s="18" t="s">
        <v>390</v>
      </c>
      <c r="C1284" s="66"/>
      <c r="D1284" s="19"/>
      <c r="E1284" s="20"/>
      <c r="F1284" s="62" t="s">
        <v>239</v>
      </c>
      <c r="G1284" s="62">
        <v>1.1499999999999999</v>
      </c>
      <c r="H1284" s="107">
        <f>ROUND(650/1.6,2)</f>
        <v>406.25</v>
      </c>
      <c r="I1284" s="23">
        <f>G1284*H1284</f>
        <v>467.18749999999994</v>
      </c>
      <c r="J1284" s="13"/>
      <c r="K1284" s="18" t="s">
        <v>263</v>
      </c>
      <c r="L1284" s="66"/>
      <c r="M1284" s="19"/>
      <c r="N1284" s="20"/>
      <c r="O1284" s="22" t="s">
        <v>77</v>
      </c>
      <c r="P1284" s="62">
        <v>0.5</v>
      </c>
      <c r="Q1284" s="107">
        <v>40</v>
      </c>
      <c r="R1284" s="23">
        <f>P1284*Q1284</f>
        <v>20</v>
      </c>
    </row>
    <row r="1285" spans="1:18" x14ac:dyDescent="0.2">
      <c r="A1285" s="13"/>
      <c r="B1285" s="18" t="s">
        <v>398</v>
      </c>
      <c r="C1285" s="66"/>
      <c r="D1285" s="19"/>
      <c r="E1285" s="20"/>
      <c r="F1285" s="62" t="s">
        <v>239</v>
      </c>
      <c r="G1285" s="62">
        <v>0.1</v>
      </c>
      <c r="H1285" s="107">
        <v>44000</v>
      </c>
      <c r="I1285" s="23">
        <f>G1285*H1285</f>
        <v>4400</v>
      </c>
      <c r="J1285" s="13"/>
      <c r="K1285" s="18" t="s">
        <v>264</v>
      </c>
      <c r="L1285" s="66"/>
      <c r="M1285" s="19"/>
      <c r="N1285" s="20"/>
      <c r="O1285" s="22" t="s">
        <v>1216</v>
      </c>
      <c r="P1285" s="22">
        <v>0.28999999999999998</v>
      </c>
      <c r="Q1285" s="107">
        <v>28</v>
      </c>
      <c r="R1285" s="23">
        <f t="shared" ref="R1285:R1291" si="66">P1285*Q1285</f>
        <v>8.1199999999999992</v>
      </c>
    </row>
    <row r="1286" spans="1:18" x14ac:dyDescent="0.2">
      <c r="A1286" s="13"/>
      <c r="B1286" s="18" t="s">
        <v>392</v>
      </c>
      <c r="C1286" s="19"/>
      <c r="D1286" s="19"/>
      <c r="E1286" s="20"/>
      <c r="F1286" s="22" t="s">
        <v>227</v>
      </c>
      <c r="G1286" s="62">
        <v>0.3</v>
      </c>
      <c r="H1286" s="107">
        <v>180</v>
      </c>
      <c r="I1286" s="23">
        <f>G1286*H1286</f>
        <v>54</v>
      </c>
      <c r="J1286" s="13"/>
      <c r="K1286" s="18" t="s">
        <v>266</v>
      </c>
      <c r="L1286" s="19"/>
      <c r="M1286" s="19"/>
      <c r="N1286" s="20"/>
      <c r="O1286" s="22" t="s">
        <v>1216</v>
      </c>
      <c r="P1286" s="22">
        <v>0.17</v>
      </c>
      <c r="Q1286" s="107">
        <f>44000/1000</f>
        <v>44</v>
      </c>
      <c r="R1286" s="23">
        <f t="shared" si="66"/>
        <v>7.48</v>
      </c>
    </row>
    <row r="1287" spans="1:18" x14ac:dyDescent="0.2">
      <c r="A1287" s="13"/>
      <c r="B1287" s="18"/>
      <c r="C1287" s="19"/>
      <c r="D1287" s="19"/>
      <c r="E1287" s="20"/>
      <c r="F1287" s="22"/>
      <c r="G1287" s="22"/>
      <c r="H1287" s="38"/>
      <c r="I1287" s="38"/>
      <c r="J1287" s="13"/>
      <c r="K1287" s="18" t="s">
        <v>267</v>
      </c>
      <c r="L1287" s="19"/>
      <c r="M1287" s="19"/>
      <c r="N1287" s="20"/>
      <c r="O1287" s="22" t="s">
        <v>1153</v>
      </c>
      <c r="P1287" s="22">
        <v>0.46</v>
      </c>
      <c r="Q1287" s="107">
        <v>50</v>
      </c>
      <c r="R1287" s="23">
        <f t="shared" si="66"/>
        <v>23</v>
      </c>
    </row>
    <row r="1288" spans="1:18" x14ac:dyDescent="0.2">
      <c r="A1288" s="13"/>
      <c r="B1288" s="18"/>
      <c r="C1288" s="19"/>
      <c r="D1288" s="19"/>
      <c r="E1288" s="20"/>
      <c r="F1288" s="22"/>
      <c r="G1288" s="22"/>
      <c r="H1288" s="45"/>
      <c r="I1288" s="45"/>
      <c r="J1288" s="13"/>
      <c r="K1288" s="18" t="s">
        <v>1247</v>
      </c>
      <c r="L1288" s="19"/>
      <c r="M1288" s="19"/>
      <c r="N1288" s="20"/>
      <c r="O1288" s="22" t="s">
        <v>9</v>
      </c>
      <c r="P1288" s="22">
        <v>0.28000000000000003</v>
      </c>
      <c r="Q1288" s="107">
        <v>850</v>
      </c>
      <c r="R1288" s="23">
        <f t="shared" si="66"/>
        <v>238.00000000000003</v>
      </c>
    </row>
    <row r="1289" spans="1:18" x14ac:dyDescent="0.2">
      <c r="A1289" s="13"/>
      <c r="B1289" s="18" t="s">
        <v>399</v>
      </c>
      <c r="C1289" s="19"/>
      <c r="D1289" s="19"/>
      <c r="E1289" s="20"/>
      <c r="F1289" s="22"/>
      <c r="G1289" s="22"/>
      <c r="H1289" s="45"/>
      <c r="I1289" s="45"/>
      <c r="J1289" s="13"/>
      <c r="K1289" s="18" t="s">
        <v>1248</v>
      </c>
      <c r="L1289" s="19"/>
      <c r="M1289" s="19"/>
      <c r="N1289" s="20"/>
      <c r="O1289" s="22" t="s">
        <v>80</v>
      </c>
      <c r="P1289" s="22">
        <v>1.4999999999999999E-4</v>
      </c>
      <c r="Q1289" s="107">
        <v>8000</v>
      </c>
      <c r="R1289" s="23">
        <f t="shared" si="66"/>
        <v>1.2</v>
      </c>
    </row>
    <row r="1290" spans="1:18" x14ac:dyDescent="0.2">
      <c r="A1290" s="13"/>
      <c r="B1290" s="18" t="s">
        <v>394</v>
      </c>
      <c r="C1290" s="19"/>
      <c r="D1290" s="19"/>
      <c r="E1290" s="20"/>
      <c r="F1290" s="22"/>
      <c r="G1290" s="22"/>
      <c r="H1290" s="23"/>
      <c r="I1290" s="23"/>
      <c r="J1290" s="13"/>
      <c r="K1290" s="18" t="s">
        <v>1249</v>
      </c>
      <c r="L1290" s="19"/>
      <c r="M1290" s="19"/>
      <c r="N1290" s="20"/>
      <c r="O1290" s="22" t="s">
        <v>1153</v>
      </c>
      <c r="P1290" s="22">
        <v>7.7999999999999996E-3</v>
      </c>
      <c r="Q1290" s="107">
        <v>34.33</v>
      </c>
      <c r="R1290" s="23">
        <f t="shared" si="66"/>
        <v>0.26777399999999996</v>
      </c>
    </row>
    <row r="1291" spans="1:18" x14ac:dyDescent="0.2">
      <c r="A1291" s="13"/>
      <c r="B1291" s="18"/>
      <c r="C1291" s="19"/>
      <c r="D1291" s="19"/>
      <c r="E1291" s="20"/>
      <c r="F1291" s="22"/>
      <c r="G1291" s="22"/>
      <c r="H1291" s="23"/>
      <c r="I1291" s="23"/>
      <c r="J1291" s="13"/>
      <c r="K1291" s="18" t="s">
        <v>1250</v>
      </c>
      <c r="L1291" s="19"/>
      <c r="M1291" s="19"/>
      <c r="N1291" s="20"/>
      <c r="O1291" s="22" t="s">
        <v>1216</v>
      </c>
      <c r="P1291" s="22">
        <v>7.7999999999999996E-3</v>
      </c>
      <c r="Q1291" s="107">
        <v>300</v>
      </c>
      <c r="R1291" s="23">
        <f t="shared" si="66"/>
        <v>2.34</v>
      </c>
    </row>
    <row r="1292" spans="1:18" x14ac:dyDescent="0.2">
      <c r="A1292" s="13"/>
      <c r="B1292" s="18"/>
      <c r="C1292" s="19"/>
      <c r="D1292" s="19"/>
      <c r="E1292" s="20"/>
      <c r="F1292" s="22"/>
      <c r="G1292" s="22"/>
      <c r="H1292" s="23"/>
      <c r="I1292" s="23"/>
      <c r="J1292" s="13"/>
      <c r="K1292" s="18"/>
      <c r="L1292" s="19"/>
      <c r="M1292" s="19"/>
      <c r="N1292" s="20"/>
      <c r="O1292" s="22"/>
      <c r="P1292" s="22"/>
      <c r="Q1292" s="107"/>
      <c r="R1292" s="23"/>
    </row>
    <row r="1293" spans="1:18" x14ac:dyDescent="0.2">
      <c r="A1293" s="13"/>
      <c r="B1293" s="18"/>
      <c r="C1293" s="19"/>
      <c r="D1293" s="19"/>
      <c r="E1293" s="20"/>
      <c r="F1293" s="22"/>
      <c r="G1293" s="22"/>
      <c r="H1293" s="23"/>
      <c r="I1293" s="23"/>
      <c r="J1293" s="13"/>
      <c r="K1293" s="18"/>
      <c r="L1293" s="19"/>
      <c r="M1293" s="19"/>
      <c r="N1293" s="20"/>
      <c r="O1293" s="22"/>
      <c r="P1293" s="22"/>
      <c r="Q1293" s="107"/>
      <c r="R1293" s="23"/>
    </row>
    <row r="1294" spans="1:18" x14ac:dyDescent="0.2">
      <c r="A1294" s="13"/>
      <c r="B1294" s="18"/>
      <c r="C1294" s="19"/>
      <c r="D1294" s="19"/>
      <c r="E1294" s="20"/>
      <c r="F1294" s="22"/>
      <c r="G1294" s="22"/>
      <c r="H1294" s="23"/>
      <c r="I1294" s="23"/>
      <c r="J1294" s="13"/>
      <c r="K1294" s="18"/>
      <c r="L1294" s="19"/>
      <c r="M1294" s="19"/>
      <c r="N1294" s="20"/>
      <c r="O1294" s="22"/>
      <c r="P1294" s="22"/>
      <c r="Q1294" s="23"/>
      <c r="R1294" s="23"/>
    </row>
    <row r="1295" spans="1:18" x14ac:dyDescent="0.2">
      <c r="A1295" s="13"/>
      <c r="B1295" s="18"/>
      <c r="C1295" s="19"/>
      <c r="D1295" s="19"/>
      <c r="E1295" s="20"/>
      <c r="F1295" s="22"/>
      <c r="G1295" s="22"/>
      <c r="H1295" s="23"/>
      <c r="I1295" s="23"/>
      <c r="J1295" s="13"/>
      <c r="K1295" s="18"/>
      <c r="L1295" s="19"/>
      <c r="M1295" s="19"/>
      <c r="N1295" s="20"/>
      <c r="O1295" s="22"/>
      <c r="P1295" s="22"/>
      <c r="Q1295" s="23"/>
      <c r="R1295" s="23"/>
    </row>
    <row r="1296" spans="1:18" x14ac:dyDescent="0.2">
      <c r="A1296" s="13"/>
      <c r="B1296" s="18"/>
      <c r="C1296" s="19"/>
      <c r="D1296" s="19"/>
      <c r="E1296" s="20"/>
      <c r="F1296" s="22"/>
      <c r="G1296" s="36"/>
      <c r="H1296" s="37"/>
      <c r="I1296" s="37"/>
      <c r="J1296" s="13"/>
      <c r="K1296" s="18"/>
      <c r="L1296" s="19"/>
      <c r="M1296" s="19"/>
      <c r="N1296" s="20"/>
      <c r="O1296" s="22"/>
      <c r="P1296" s="36"/>
      <c r="Q1296" s="37"/>
      <c r="R1296" s="37"/>
    </row>
    <row r="1297" spans="1:18" x14ac:dyDescent="0.2">
      <c r="A1297" s="13"/>
      <c r="B1297" s="248" t="s">
        <v>42</v>
      </c>
      <c r="C1297" s="249"/>
      <c r="D1297" s="249"/>
      <c r="E1297" s="250"/>
      <c r="F1297" s="46"/>
      <c r="G1297" s="46"/>
      <c r="H1297" s="47"/>
      <c r="I1297" s="47">
        <f>SUM(I1284:I1296)</f>
        <v>4921.1875</v>
      </c>
      <c r="J1297" s="13"/>
      <c r="K1297" s="248" t="s">
        <v>42</v>
      </c>
      <c r="L1297" s="249"/>
      <c r="M1297" s="249"/>
      <c r="N1297" s="250"/>
      <c r="O1297" s="46"/>
      <c r="P1297" s="46"/>
      <c r="Q1297" s="47"/>
      <c r="R1297" s="47">
        <f>SUM(R1284:R1296)</f>
        <v>300.40777399999996</v>
      </c>
    </row>
    <row r="1298" spans="1:18" x14ac:dyDescent="0.2">
      <c r="A1298" s="12" t="s">
        <v>43</v>
      </c>
      <c r="B1298" s="48" t="s">
        <v>44</v>
      </c>
      <c r="C1298" s="43"/>
      <c r="D1298" s="43"/>
      <c r="E1298" s="39"/>
      <c r="F1298" s="49"/>
      <c r="G1298" s="49"/>
      <c r="H1298" s="50"/>
      <c r="I1298" s="51">
        <f>SUM(I1279+I1297)</f>
        <v>5491.7342499999995</v>
      </c>
      <c r="J1298" s="12" t="s">
        <v>43</v>
      </c>
      <c r="K1298" s="48" t="s">
        <v>44</v>
      </c>
      <c r="L1298" s="43"/>
      <c r="M1298" s="43"/>
      <c r="N1298" s="151"/>
      <c r="O1298" s="49"/>
      <c r="P1298" s="49"/>
      <c r="Q1298" s="50"/>
      <c r="R1298" s="51">
        <f>SUM(R1279+R1297)</f>
        <v>327.48210443478257</v>
      </c>
    </row>
    <row r="1299" spans="1:18" x14ac:dyDescent="0.2">
      <c r="A1299" s="13" t="s">
        <v>45</v>
      </c>
      <c r="B1299" s="48" t="s">
        <v>46</v>
      </c>
      <c r="C1299" s="43"/>
      <c r="D1299" s="43"/>
      <c r="E1299" s="39"/>
      <c r="F1299" s="49"/>
      <c r="G1299" s="52">
        <v>0.09</v>
      </c>
      <c r="H1299" s="53" t="s">
        <v>47</v>
      </c>
      <c r="I1299" s="51">
        <f>G1299*I1298</f>
        <v>494.25608249999993</v>
      </c>
      <c r="J1299" s="13" t="s">
        <v>45</v>
      </c>
      <c r="K1299" s="48" t="s">
        <v>46</v>
      </c>
      <c r="L1299" s="43"/>
      <c r="M1299" s="43"/>
      <c r="N1299" s="151"/>
      <c r="O1299" s="49"/>
      <c r="P1299" s="52">
        <v>0.09</v>
      </c>
      <c r="Q1299" s="53" t="s">
        <v>47</v>
      </c>
      <c r="R1299" s="51">
        <f>P1299*R1298</f>
        <v>29.473389399130429</v>
      </c>
    </row>
    <row r="1300" spans="1:18" x14ac:dyDescent="0.2">
      <c r="A1300" s="13" t="s">
        <v>48</v>
      </c>
      <c r="B1300" s="48" t="s">
        <v>49</v>
      </c>
      <c r="C1300" s="43"/>
      <c r="D1300" s="43"/>
      <c r="E1300" s="39"/>
      <c r="F1300" s="49"/>
      <c r="G1300" s="52">
        <v>0.08</v>
      </c>
      <c r="H1300" s="53" t="s">
        <v>47</v>
      </c>
      <c r="I1300" s="51">
        <f>G1300*I1298</f>
        <v>439.33873999999997</v>
      </c>
      <c r="J1300" s="13" t="s">
        <v>48</v>
      </c>
      <c r="K1300" s="48" t="s">
        <v>49</v>
      </c>
      <c r="L1300" s="43"/>
      <c r="M1300" s="43"/>
      <c r="N1300" s="151"/>
      <c r="O1300" s="49"/>
      <c r="P1300" s="52">
        <v>0.08</v>
      </c>
      <c r="Q1300" s="53" t="s">
        <v>47</v>
      </c>
      <c r="R1300" s="51">
        <f>P1300*R1298</f>
        <v>26.198568354782605</v>
      </c>
    </row>
    <row r="1301" spans="1:18" x14ac:dyDescent="0.2">
      <c r="A1301" s="13" t="s">
        <v>50</v>
      </c>
      <c r="B1301" s="48" t="s">
        <v>51</v>
      </c>
      <c r="C1301" s="43"/>
      <c r="D1301" s="43"/>
      <c r="E1301" s="39"/>
      <c r="F1301" s="49"/>
      <c r="G1301" s="52">
        <v>0.05</v>
      </c>
      <c r="H1301" s="53" t="s">
        <v>52</v>
      </c>
      <c r="I1301" s="51">
        <f>G1301*(I1298+I1299+I1300)</f>
        <v>321.266453625</v>
      </c>
      <c r="J1301" s="13" t="s">
        <v>50</v>
      </c>
      <c r="K1301" s="48" t="s">
        <v>51</v>
      </c>
      <c r="L1301" s="43"/>
      <c r="M1301" s="43"/>
      <c r="N1301" s="151"/>
      <c r="O1301" s="49"/>
      <c r="P1301" s="52">
        <f>5/100</f>
        <v>0.05</v>
      </c>
      <c r="Q1301" s="53" t="s">
        <v>52</v>
      </c>
      <c r="R1301" s="51">
        <f>P1301*(R1298+R1299+R1300)</f>
        <v>19.157703109434781</v>
      </c>
    </row>
    <row r="1302" spans="1:18" x14ac:dyDescent="0.2">
      <c r="A1302" s="54" t="s">
        <v>53</v>
      </c>
      <c r="B1302" s="48" t="s">
        <v>54</v>
      </c>
      <c r="C1302" s="43"/>
      <c r="D1302" s="43"/>
      <c r="E1302" s="39"/>
      <c r="F1302" s="49"/>
      <c r="G1302" s="49"/>
      <c r="H1302" s="55" t="s">
        <v>55</v>
      </c>
      <c r="I1302" s="51">
        <f>SUM(I1298+I1299+I1300+I1301)</f>
        <v>6746.5955261250001</v>
      </c>
      <c r="J1302" s="54" t="s">
        <v>53</v>
      </c>
      <c r="K1302" s="48" t="s">
        <v>54</v>
      </c>
      <c r="L1302" s="43"/>
      <c r="M1302" s="43"/>
      <c r="N1302" s="151"/>
      <c r="O1302" s="49"/>
      <c r="P1302" s="49"/>
      <c r="Q1302" s="55" t="s">
        <v>55</v>
      </c>
      <c r="R1302" s="51">
        <f>SUM(R1298+R1299+R1300+R1301)</f>
        <v>402.31176529813041</v>
      </c>
    </row>
    <row r="1303" spans="1:18" s="1" customFormat="1" x14ac:dyDescent="0.2">
      <c r="A1303" s="236" t="s">
        <v>0</v>
      </c>
      <c r="B1303" s="236"/>
      <c r="C1303" s="236"/>
      <c r="D1303" s="236"/>
      <c r="E1303" s="236"/>
      <c r="F1303" s="236"/>
      <c r="G1303" s="236"/>
      <c r="H1303" s="236"/>
      <c r="I1303" s="236"/>
      <c r="J1303" s="236" t="s">
        <v>0</v>
      </c>
      <c r="K1303" s="236"/>
      <c r="L1303" s="236"/>
      <c r="M1303" s="236"/>
      <c r="N1303" s="236"/>
      <c r="O1303" s="236"/>
      <c r="P1303" s="236"/>
      <c r="Q1303" s="236"/>
      <c r="R1303" s="236"/>
    </row>
    <row r="1305" spans="1:18" x14ac:dyDescent="0.2">
      <c r="A1305" s="2" t="s">
        <v>1</v>
      </c>
      <c r="C1305" s="4" t="s">
        <v>2</v>
      </c>
      <c r="D1305" s="5" t="s">
        <v>400</v>
      </c>
      <c r="E1305" s="237" t="s">
        <v>401</v>
      </c>
      <c r="F1305" s="237"/>
      <c r="G1305" s="237"/>
      <c r="H1305" s="237"/>
      <c r="J1305" s="2" t="s">
        <v>1</v>
      </c>
      <c r="L1305" s="4" t="s">
        <v>2</v>
      </c>
      <c r="M1305" s="5" t="s">
        <v>367</v>
      </c>
      <c r="N1305" s="237" t="s">
        <v>368</v>
      </c>
      <c r="O1305" s="237"/>
      <c r="P1305" s="237"/>
      <c r="Q1305" s="237"/>
    </row>
    <row r="1306" spans="1:18" x14ac:dyDescent="0.2">
      <c r="A1306" s="2" t="s">
        <v>7</v>
      </c>
      <c r="C1306" s="4" t="s">
        <v>2</v>
      </c>
      <c r="E1306" s="2" t="s">
        <v>239</v>
      </c>
      <c r="F1306" s="8"/>
      <c r="G1306" s="8"/>
      <c r="H1306" s="8"/>
      <c r="J1306" s="2" t="s">
        <v>7</v>
      </c>
      <c r="L1306" s="4" t="s">
        <v>2</v>
      </c>
      <c r="N1306" s="2" t="s">
        <v>8</v>
      </c>
      <c r="O1306" s="8"/>
      <c r="P1306" s="8"/>
      <c r="Q1306" s="8"/>
    </row>
    <row r="1307" spans="1:18" x14ac:dyDescent="0.2">
      <c r="A1307" s="2" t="s">
        <v>10</v>
      </c>
      <c r="C1307" s="4" t="s">
        <v>2</v>
      </c>
      <c r="E1307" s="9">
        <v>12</v>
      </c>
      <c r="F1307" s="8"/>
      <c r="G1307" s="8"/>
      <c r="H1307" s="8"/>
      <c r="J1307" s="2" t="s">
        <v>10</v>
      </c>
      <c r="L1307" s="4" t="s">
        <v>2</v>
      </c>
      <c r="N1307" s="9">
        <v>53.67</v>
      </c>
      <c r="O1307" s="8"/>
      <c r="P1307" s="8"/>
      <c r="Q1307" s="8"/>
    </row>
    <row r="1308" spans="1:18" x14ac:dyDescent="0.2">
      <c r="B1308" s="8"/>
      <c r="F1308" s="11"/>
      <c r="G1308" s="8"/>
      <c r="H1308" s="8"/>
      <c r="I1308" s="8"/>
      <c r="K1308" s="8"/>
      <c r="O1308" s="11"/>
      <c r="P1308" s="8"/>
      <c r="Q1308" s="8"/>
      <c r="R1308" s="8"/>
    </row>
    <row r="1309" spans="1:18" x14ac:dyDescent="0.2">
      <c r="A1309" s="12"/>
      <c r="B1309" s="238" t="s">
        <v>11</v>
      </c>
      <c r="C1309" s="239"/>
      <c r="D1309" s="239"/>
      <c r="E1309" s="240"/>
      <c r="F1309" s="244" t="s">
        <v>12</v>
      </c>
      <c r="G1309" s="244" t="s">
        <v>13</v>
      </c>
      <c r="H1309" s="244" t="s">
        <v>14</v>
      </c>
      <c r="I1309" s="246" t="s">
        <v>15</v>
      </c>
      <c r="J1309" s="12"/>
      <c r="K1309" s="238" t="s">
        <v>11</v>
      </c>
      <c r="L1309" s="239"/>
      <c r="M1309" s="239"/>
      <c r="N1309" s="240"/>
      <c r="O1309" s="244" t="s">
        <v>12</v>
      </c>
      <c r="P1309" s="244" t="s">
        <v>13</v>
      </c>
      <c r="Q1309" s="244" t="s">
        <v>14</v>
      </c>
      <c r="R1309" s="246" t="s">
        <v>15</v>
      </c>
    </row>
    <row r="1310" spans="1:18" x14ac:dyDescent="0.2">
      <c r="A1310" s="13"/>
      <c r="B1310" s="241"/>
      <c r="C1310" s="242"/>
      <c r="D1310" s="242"/>
      <c r="E1310" s="243"/>
      <c r="F1310" s="245"/>
      <c r="G1310" s="245"/>
      <c r="H1310" s="245"/>
      <c r="I1310" s="247"/>
      <c r="J1310" s="13"/>
      <c r="K1310" s="241"/>
      <c r="L1310" s="242"/>
      <c r="M1310" s="242"/>
      <c r="N1310" s="243"/>
      <c r="O1310" s="245"/>
      <c r="P1310" s="245"/>
      <c r="Q1310" s="245"/>
      <c r="R1310" s="247"/>
    </row>
    <row r="1311" spans="1:18" x14ac:dyDescent="0.2">
      <c r="A1311" s="13" t="s">
        <v>16</v>
      </c>
      <c r="B1311" s="14" t="s">
        <v>17</v>
      </c>
      <c r="C1311" s="15"/>
      <c r="D1311" s="15"/>
      <c r="E1311" s="16"/>
      <c r="F1311" s="17"/>
      <c r="G1311" s="17"/>
      <c r="H1311" s="17"/>
      <c r="I1311" s="17"/>
      <c r="J1311" s="13" t="s">
        <v>16</v>
      </c>
      <c r="K1311" s="14" t="s">
        <v>17</v>
      </c>
      <c r="L1311" s="15"/>
      <c r="M1311" s="15"/>
      <c r="N1311" s="16"/>
      <c r="O1311" s="17"/>
      <c r="P1311" s="17"/>
      <c r="Q1311" s="17"/>
      <c r="R1311" s="17"/>
    </row>
    <row r="1312" spans="1:18" x14ac:dyDescent="0.2">
      <c r="A1312" s="13"/>
      <c r="B1312" s="18"/>
      <c r="C1312" s="19"/>
      <c r="D1312" s="19"/>
      <c r="E1312" s="20"/>
      <c r="F1312" s="21"/>
      <c r="G1312" s="22"/>
      <c r="H1312" s="21"/>
      <c r="I1312" s="21"/>
      <c r="J1312" s="13"/>
      <c r="K1312" s="18"/>
      <c r="L1312" s="19"/>
      <c r="M1312" s="19"/>
      <c r="N1312" s="20"/>
      <c r="O1312" s="21"/>
      <c r="P1312" s="22"/>
      <c r="Q1312" s="21"/>
      <c r="R1312" s="21"/>
    </row>
    <row r="1313" spans="1:18" x14ac:dyDescent="0.2">
      <c r="A1313" s="13"/>
      <c r="B1313" s="24" t="s">
        <v>18</v>
      </c>
      <c r="C1313" s="25"/>
      <c r="D1313" s="25"/>
      <c r="E1313" s="26"/>
      <c r="F1313" s="22">
        <v>1</v>
      </c>
      <c r="G1313" s="23">
        <v>1</v>
      </c>
      <c r="H1313" s="23">
        <v>69.42</v>
      </c>
      <c r="I1313" s="23">
        <f>F1313*G1313*H1313</f>
        <v>69.42</v>
      </c>
      <c r="J1313" s="13"/>
      <c r="K1313" s="24" t="s">
        <v>18</v>
      </c>
      <c r="L1313" s="25"/>
      <c r="M1313" s="25"/>
      <c r="N1313" s="26"/>
      <c r="O1313" s="22">
        <v>1</v>
      </c>
      <c r="P1313" s="23">
        <v>1</v>
      </c>
      <c r="Q1313" s="23">
        <v>69.42</v>
      </c>
      <c r="R1313" s="23">
        <f>P1313*Q1313*O1313</f>
        <v>69.42</v>
      </c>
    </row>
    <row r="1314" spans="1:18" x14ac:dyDescent="0.2">
      <c r="A1314" s="13"/>
      <c r="B1314" s="257" t="s">
        <v>1178</v>
      </c>
      <c r="C1314" s="258"/>
      <c r="D1314" s="25"/>
      <c r="E1314" s="26"/>
      <c r="F1314" s="22">
        <v>1</v>
      </c>
      <c r="G1314" s="23">
        <v>1</v>
      </c>
      <c r="H1314" s="23">
        <v>50.18</v>
      </c>
      <c r="I1314" s="23">
        <f>F1314*G1314*H1314</f>
        <v>50.18</v>
      </c>
      <c r="J1314" s="13"/>
      <c r="K1314" s="257" t="s">
        <v>1178</v>
      </c>
      <c r="L1314" s="258"/>
      <c r="M1314" s="25"/>
      <c r="N1314" s="26"/>
      <c r="O1314" s="22">
        <v>4</v>
      </c>
      <c r="P1314" s="23">
        <v>1</v>
      </c>
      <c r="Q1314" s="23">
        <v>50.18</v>
      </c>
      <c r="R1314" s="23">
        <f>P1314*Q1314*O1314</f>
        <v>200.72</v>
      </c>
    </row>
    <row r="1315" spans="1:18" x14ac:dyDescent="0.2">
      <c r="A1315" s="13"/>
      <c r="B1315" s="257" t="s">
        <v>1177</v>
      </c>
      <c r="C1315" s="258"/>
      <c r="D1315" s="19"/>
      <c r="E1315" s="20"/>
      <c r="F1315" s="22">
        <v>3</v>
      </c>
      <c r="G1315" s="23">
        <v>1</v>
      </c>
      <c r="H1315" s="23">
        <v>38.97</v>
      </c>
      <c r="I1315" s="23">
        <f>F1315*G1315*H1315</f>
        <v>116.91</v>
      </c>
      <c r="J1315" s="13"/>
      <c r="K1315" s="257" t="s">
        <v>1177</v>
      </c>
      <c r="L1315" s="258"/>
      <c r="M1315" s="19"/>
      <c r="N1315" s="20"/>
      <c r="O1315" s="22">
        <v>12</v>
      </c>
      <c r="P1315" s="23">
        <v>1</v>
      </c>
      <c r="Q1315" s="23">
        <v>38.97</v>
      </c>
      <c r="R1315" s="23">
        <f>P1315*Q1315*O1315</f>
        <v>467.64</v>
      </c>
    </row>
    <row r="1316" spans="1:18" x14ac:dyDescent="0.2">
      <c r="A1316" s="13"/>
      <c r="B1316" s="27"/>
      <c r="C1316" s="19"/>
      <c r="D1316" s="19"/>
      <c r="E1316" s="20"/>
      <c r="F1316" s="22"/>
      <c r="G1316" s="22"/>
      <c r="H1316" s="29"/>
      <c r="I1316" s="30"/>
      <c r="J1316" s="13"/>
      <c r="K1316" s="27"/>
      <c r="L1316" s="19"/>
      <c r="M1316" s="19"/>
      <c r="N1316" s="20"/>
      <c r="O1316" s="22"/>
      <c r="P1316" s="22"/>
      <c r="Q1316" s="29"/>
      <c r="R1316" s="30"/>
    </row>
    <row r="1317" spans="1:18" x14ac:dyDescent="0.2">
      <c r="A1317" s="13"/>
      <c r="B1317" s="27"/>
      <c r="C1317" s="19"/>
      <c r="D1317" s="19"/>
      <c r="E1317" s="20"/>
      <c r="F1317" s="22"/>
      <c r="G1317" s="22"/>
      <c r="H1317" s="29"/>
      <c r="I1317" s="30"/>
      <c r="J1317" s="13"/>
      <c r="K1317" s="27"/>
      <c r="L1317" s="19"/>
      <c r="M1317" s="19"/>
      <c r="N1317" s="20"/>
      <c r="O1317" s="22"/>
      <c r="P1317" s="22"/>
      <c r="Q1317" s="29"/>
      <c r="R1317" s="30"/>
    </row>
    <row r="1318" spans="1:18" x14ac:dyDescent="0.2">
      <c r="A1318" s="13"/>
      <c r="B1318" s="18"/>
      <c r="C1318" s="19"/>
      <c r="D1318" s="19"/>
      <c r="E1318" s="20"/>
      <c r="F1318" s="22"/>
      <c r="G1318" s="22"/>
      <c r="H1318" s="28"/>
      <c r="I1318" s="23"/>
      <c r="J1318" s="13"/>
      <c r="K1318" s="18"/>
      <c r="L1318" s="19"/>
      <c r="M1318" s="19"/>
      <c r="N1318" s="20"/>
      <c r="O1318" s="22"/>
      <c r="P1318" s="22"/>
      <c r="Q1318" s="28"/>
      <c r="R1318" s="23"/>
    </row>
    <row r="1319" spans="1:18" x14ac:dyDescent="0.2">
      <c r="A1319" s="13"/>
      <c r="B1319" s="18"/>
      <c r="C1319" s="19"/>
      <c r="D1319" s="19"/>
      <c r="E1319" s="20"/>
      <c r="F1319" s="22"/>
      <c r="G1319" s="22"/>
      <c r="H1319" s="23"/>
      <c r="I1319" s="23"/>
      <c r="J1319" s="13"/>
      <c r="K1319" s="18"/>
      <c r="L1319" s="19"/>
      <c r="M1319" s="19"/>
      <c r="N1319" s="20"/>
      <c r="O1319" s="22"/>
      <c r="P1319" s="22"/>
      <c r="Q1319" s="23"/>
      <c r="R1319" s="23"/>
    </row>
    <row r="1320" spans="1:18" x14ac:dyDescent="0.2">
      <c r="A1320" s="13"/>
      <c r="B1320" s="248" t="s">
        <v>20</v>
      </c>
      <c r="C1320" s="249"/>
      <c r="D1320" s="249"/>
      <c r="E1320" s="250"/>
      <c r="F1320" s="31"/>
      <c r="G1320" s="31"/>
      <c r="H1320" s="32"/>
      <c r="I1320" s="32">
        <f>SUM(I1313:I1319)</f>
        <v>236.51</v>
      </c>
      <c r="J1320" s="13"/>
      <c r="K1320" s="248" t="s">
        <v>20</v>
      </c>
      <c r="L1320" s="249"/>
      <c r="M1320" s="249"/>
      <c r="N1320" s="250"/>
      <c r="O1320" s="31"/>
      <c r="P1320" s="31"/>
      <c r="Q1320" s="32"/>
      <c r="R1320" s="32">
        <f>SUM(R1313:R1319)</f>
        <v>737.78</v>
      </c>
    </row>
    <row r="1321" spans="1:18" x14ac:dyDescent="0.2">
      <c r="A1321" s="12"/>
      <c r="B1321" s="251" t="s">
        <v>21</v>
      </c>
      <c r="C1321" s="252"/>
      <c r="D1321" s="252"/>
      <c r="E1321" s="253"/>
      <c r="F1321" s="244" t="s">
        <v>22</v>
      </c>
      <c r="G1321" s="244" t="s">
        <v>13</v>
      </c>
      <c r="H1321" s="244" t="s">
        <v>14</v>
      </c>
      <c r="I1321" s="246" t="s">
        <v>15</v>
      </c>
      <c r="J1321" s="12"/>
      <c r="K1321" s="251" t="s">
        <v>21</v>
      </c>
      <c r="L1321" s="252"/>
      <c r="M1321" s="252"/>
      <c r="N1321" s="253"/>
      <c r="O1321" s="244" t="s">
        <v>22</v>
      </c>
      <c r="P1321" s="244" t="s">
        <v>13</v>
      </c>
      <c r="Q1321" s="244" t="s">
        <v>14</v>
      </c>
      <c r="R1321" s="246" t="s">
        <v>15</v>
      </c>
    </row>
    <row r="1322" spans="1:18" x14ac:dyDescent="0.2">
      <c r="A1322" s="13"/>
      <c r="B1322" s="254"/>
      <c r="C1322" s="255"/>
      <c r="D1322" s="255"/>
      <c r="E1322" s="256"/>
      <c r="F1322" s="245"/>
      <c r="G1322" s="245"/>
      <c r="H1322" s="245"/>
      <c r="I1322" s="247"/>
      <c r="J1322" s="13"/>
      <c r="K1322" s="254"/>
      <c r="L1322" s="255"/>
      <c r="M1322" s="255"/>
      <c r="N1322" s="256"/>
      <c r="O1322" s="245"/>
      <c r="P1322" s="245"/>
      <c r="Q1322" s="245"/>
      <c r="R1322" s="247"/>
    </row>
    <row r="1323" spans="1:18" x14ac:dyDescent="0.2">
      <c r="A1323" s="13" t="s">
        <v>23</v>
      </c>
      <c r="B1323" s="33" t="s">
        <v>24</v>
      </c>
      <c r="C1323" s="15"/>
      <c r="D1323" s="15"/>
      <c r="E1323" s="16"/>
      <c r="F1323" s="34"/>
      <c r="G1323" s="34"/>
      <c r="H1323" s="35"/>
      <c r="I1323" s="35"/>
      <c r="J1323" s="13" t="s">
        <v>23</v>
      </c>
      <c r="K1323" s="33" t="s">
        <v>24</v>
      </c>
      <c r="L1323" s="15"/>
      <c r="M1323" s="15"/>
      <c r="N1323" s="16"/>
      <c r="O1323" s="34"/>
      <c r="P1323" s="34"/>
      <c r="Q1323" s="35"/>
      <c r="R1323" s="35"/>
    </row>
    <row r="1324" spans="1:18" x14ac:dyDescent="0.2">
      <c r="A1324" s="13"/>
      <c r="B1324" s="18"/>
      <c r="C1324" s="19"/>
      <c r="D1324" s="19"/>
      <c r="E1324" s="20"/>
      <c r="F1324" s="22"/>
      <c r="G1324" s="22"/>
      <c r="H1324" s="23"/>
      <c r="I1324" s="23"/>
      <c r="J1324" s="13"/>
      <c r="K1324" s="18"/>
      <c r="L1324" s="19"/>
      <c r="M1324" s="19"/>
      <c r="N1324" s="20"/>
      <c r="O1324" s="22"/>
      <c r="P1324" s="22"/>
      <c r="Q1324" s="23"/>
      <c r="R1324" s="23"/>
    </row>
    <row r="1325" spans="1:18" x14ac:dyDescent="0.2">
      <c r="A1325" s="13"/>
      <c r="B1325" s="18" t="s">
        <v>1210</v>
      </c>
      <c r="C1325" s="19"/>
      <c r="D1325" s="19"/>
      <c r="E1325" s="20"/>
      <c r="F1325" s="22">
        <v>1</v>
      </c>
      <c r="G1325" s="23">
        <v>1</v>
      </c>
      <c r="H1325" s="37">
        <v>2824.9</v>
      </c>
      <c r="I1325" s="23">
        <f>F1325*G1325*H1325</f>
        <v>2824.9</v>
      </c>
      <c r="J1325" s="13"/>
      <c r="K1325" s="18" t="s">
        <v>340</v>
      </c>
      <c r="L1325" s="19"/>
      <c r="M1325" s="19"/>
      <c r="N1325" s="20"/>
      <c r="O1325" s="22">
        <v>4</v>
      </c>
      <c r="P1325" s="23">
        <v>1</v>
      </c>
      <c r="Q1325" s="37">
        <v>1318</v>
      </c>
      <c r="R1325" s="37">
        <f>P1325*Q1325*O1325</f>
        <v>5272</v>
      </c>
    </row>
    <row r="1326" spans="1:18" x14ac:dyDescent="0.2">
      <c r="A1326" s="13"/>
      <c r="B1326" s="18" t="s">
        <v>388</v>
      </c>
      <c r="C1326" s="19"/>
      <c r="D1326" s="19"/>
      <c r="E1326" s="20"/>
      <c r="F1326" s="22">
        <v>1</v>
      </c>
      <c r="G1326" s="23">
        <v>1</v>
      </c>
      <c r="H1326" s="37">
        <v>1652</v>
      </c>
      <c r="I1326" s="23">
        <f>F1326*G1326*H1326</f>
        <v>1652</v>
      </c>
      <c r="J1326" s="13"/>
      <c r="K1326" s="18" t="s">
        <v>341</v>
      </c>
      <c r="L1326" s="19"/>
      <c r="M1326" s="19"/>
      <c r="N1326" s="20"/>
      <c r="O1326" s="22">
        <v>2</v>
      </c>
      <c r="P1326" s="23">
        <v>1</v>
      </c>
      <c r="Q1326" s="37">
        <v>91.25</v>
      </c>
      <c r="R1326" s="37">
        <f t="shared" ref="R1326:R1332" si="67">P1326*Q1326*O1326</f>
        <v>182.5</v>
      </c>
    </row>
    <row r="1327" spans="1:18" x14ac:dyDescent="0.2">
      <c r="A1327" s="13"/>
      <c r="B1327" s="18" t="s">
        <v>389</v>
      </c>
      <c r="C1327" s="19"/>
      <c r="D1327" s="19"/>
      <c r="E1327" s="20"/>
      <c r="F1327" s="22">
        <v>1</v>
      </c>
      <c r="G1327" s="23">
        <v>1</v>
      </c>
      <c r="H1327" s="37">
        <v>561</v>
      </c>
      <c r="I1327" s="23">
        <f>F1327*G1327*H1327</f>
        <v>561</v>
      </c>
      <c r="J1327" s="13"/>
      <c r="K1327" s="18" t="s">
        <v>1224</v>
      </c>
      <c r="L1327" s="19"/>
      <c r="M1327" s="19"/>
      <c r="N1327" s="20"/>
      <c r="O1327" s="22">
        <v>1</v>
      </c>
      <c r="P1327" s="23">
        <v>1</v>
      </c>
      <c r="Q1327" s="37">
        <v>1759.5</v>
      </c>
      <c r="R1327" s="37">
        <f t="shared" si="67"/>
        <v>1759.5</v>
      </c>
    </row>
    <row r="1328" spans="1:18" x14ac:dyDescent="0.2">
      <c r="A1328" s="13"/>
      <c r="B1328" s="18" t="s">
        <v>1174</v>
      </c>
      <c r="C1328" s="19"/>
      <c r="D1328" s="19"/>
      <c r="E1328" s="20"/>
      <c r="F1328" s="22">
        <v>1</v>
      </c>
      <c r="G1328" s="23">
        <v>0.25</v>
      </c>
      <c r="H1328" s="37">
        <v>2450</v>
      </c>
      <c r="I1328" s="23">
        <f>F1328*G1328*H1328</f>
        <v>612.5</v>
      </c>
      <c r="J1328" s="13"/>
      <c r="K1328" s="18" t="s">
        <v>257</v>
      </c>
      <c r="L1328" s="66"/>
      <c r="M1328" s="19"/>
      <c r="N1328" s="20"/>
      <c r="O1328" s="22">
        <v>1</v>
      </c>
      <c r="P1328" s="23">
        <v>1</v>
      </c>
      <c r="Q1328" s="37">
        <v>1733</v>
      </c>
      <c r="R1328" s="37">
        <f t="shared" si="67"/>
        <v>1733</v>
      </c>
    </row>
    <row r="1329" spans="1:18" x14ac:dyDescent="0.2">
      <c r="A1329" s="13"/>
      <c r="B1329" s="18" t="s">
        <v>1192</v>
      </c>
      <c r="C1329" s="19"/>
      <c r="D1329" s="19"/>
      <c r="E1329" s="20"/>
      <c r="F1329" s="22"/>
      <c r="G1329" s="23"/>
      <c r="I1329" s="37">
        <f>I1320*0.1</f>
        <v>23.651</v>
      </c>
      <c r="J1329" s="13"/>
      <c r="K1329" s="18" t="s">
        <v>342</v>
      </c>
      <c r="L1329" s="19"/>
      <c r="M1329" s="19"/>
      <c r="N1329" s="20"/>
      <c r="O1329" s="22">
        <v>1</v>
      </c>
      <c r="P1329" s="23">
        <v>1</v>
      </c>
      <c r="Q1329" s="37">
        <v>545</v>
      </c>
      <c r="R1329" s="37">
        <f t="shared" si="67"/>
        <v>545</v>
      </c>
    </row>
    <row r="1330" spans="1:18" x14ac:dyDescent="0.2">
      <c r="A1330" s="13"/>
      <c r="B1330" s="18"/>
      <c r="C1330" s="19"/>
      <c r="D1330" s="19"/>
      <c r="E1330" s="20"/>
      <c r="F1330" s="22"/>
      <c r="G1330" s="36"/>
      <c r="H1330" s="38"/>
      <c r="I1330" s="38"/>
      <c r="J1330" s="13"/>
      <c r="K1330" s="18" t="s">
        <v>1206</v>
      </c>
      <c r="L1330" s="19"/>
      <c r="M1330" s="19"/>
      <c r="N1330" s="20"/>
      <c r="O1330" s="22">
        <v>1</v>
      </c>
      <c r="P1330" s="23">
        <v>1</v>
      </c>
      <c r="Q1330" s="37">
        <v>2450</v>
      </c>
      <c r="R1330" s="37">
        <f t="shared" si="67"/>
        <v>2450</v>
      </c>
    </row>
    <row r="1331" spans="1:18" x14ac:dyDescent="0.2">
      <c r="A1331" s="13"/>
      <c r="B1331" s="18"/>
      <c r="C1331" s="19"/>
      <c r="D1331" s="19"/>
      <c r="E1331" s="20"/>
      <c r="F1331" s="22"/>
      <c r="G1331" s="36"/>
      <c r="H1331" s="37"/>
      <c r="I1331" s="37"/>
      <c r="J1331" s="13"/>
      <c r="K1331" s="18" t="s">
        <v>1236</v>
      </c>
      <c r="L1331" s="19"/>
      <c r="M1331" s="19"/>
      <c r="N1331" s="20"/>
      <c r="O1331" s="22">
        <v>1</v>
      </c>
      <c r="P1331" s="23">
        <v>1</v>
      </c>
      <c r="Q1331" s="37">
        <v>32.630000000000003</v>
      </c>
      <c r="R1331" s="37">
        <f t="shared" si="67"/>
        <v>32.630000000000003</v>
      </c>
    </row>
    <row r="1332" spans="1:18" x14ac:dyDescent="0.2">
      <c r="A1332" s="13"/>
      <c r="B1332" s="18"/>
      <c r="C1332" s="19"/>
      <c r="D1332" s="19"/>
      <c r="E1332" s="20"/>
      <c r="F1332" s="22"/>
      <c r="G1332" s="36"/>
      <c r="H1332" s="38"/>
      <c r="I1332" s="38"/>
      <c r="J1332" s="13"/>
      <c r="K1332" s="18" t="s">
        <v>343</v>
      </c>
      <c r="L1332" s="19"/>
      <c r="M1332" s="19"/>
      <c r="N1332" s="20"/>
      <c r="O1332" s="22">
        <v>1</v>
      </c>
      <c r="P1332" s="23">
        <v>0.1</v>
      </c>
      <c r="Q1332" s="37">
        <v>219.75</v>
      </c>
      <c r="R1332" s="37">
        <f t="shared" si="67"/>
        <v>21.975000000000001</v>
      </c>
    </row>
    <row r="1333" spans="1:18" x14ac:dyDescent="0.2">
      <c r="A1333" s="13"/>
      <c r="B1333" s="18"/>
      <c r="C1333" s="19"/>
      <c r="D1333" s="19"/>
      <c r="E1333" s="20"/>
      <c r="F1333" s="22"/>
      <c r="G1333" s="36"/>
      <c r="H1333" s="38"/>
      <c r="I1333" s="38"/>
      <c r="J1333" s="13"/>
      <c r="K1333" s="18" t="s">
        <v>1195</v>
      </c>
      <c r="L1333" s="19"/>
      <c r="M1333" s="19"/>
      <c r="N1333" s="20"/>
      <c r="O1333" s="22"/>
      <c r="P1333" s="36"/>
      <c r="R1333" s="37">
        <f>R1320*0.05</f>
        <v>36.889000000000003</v>
      </c>
    </row>
    <row r="1334" spans="1:18" x14ac:dyDescent="0.2">
      <c r="A1334" s="13"/>
      <c r="B1334" s="18"/>
      <c r="C1334" s="19"/>
      <c r="D1334" s="19"/>
      <c r="E1334" s="20"/>
      <c r="F1334" s="22"/>
      <c r="G1334" s="36"/>
      <c r="H1334" s="37"/>
      <c r="I1334" s="37"/>
      <c r="J1334" s="13"/>
      <c r="K1334" s="18"/>
      <c r="L1334" s="19"/>
      <c r="M1334" s="19"/>
      <c r="N1334" s="20"/>
      <c r="O1334" s="22"/>
      <c r="P1334" s="36"/>
      <c r="Q1334" s="37"/>
      <c r="R1334" s="37"/>
    </row>
    <row r="1335" spans="1:18" x14ac:dyDescent="0.2">
      <c r="A1335" s="13"/>
      <c r="B1335" s="18"/>
      <c r="C1335" s="19"/>
      <c r="D1335" s="19"/>
      <c r="E1335" s="20"/>
      <c r="F1335" s="22"/>
      <c r="G1335" s="36"/>
      <c r="H1335" s="37"/>
      <c r="I1335" s="37"/>
      <c r="J1335" s="13"/>
      <c r="K1335" s="18"/>
      <c r="L1335" s="19"/>
      <c r="M1335" s="19"/>
      <c r="N1335" s="20"/>
      <c r="O1335" s="22"/>
      <c r="P1335" s="36"/>
      <c r="Q1335" s="37"/>
      <c r="R1335" s="37"/>
    </row>
    <row r="1336" spans="1:18" x14ac:dyDescent="0.2">
      <c r="A1336" s="13"/>
      <c r="B1336" s="18"/>
      <c r="C1336" s="19"/>
      <c r="D1336" s="19"/>
      <c r="E1336" s="20"/>
      <c r="F1336" s="22"/>
      <c r="G1336" s="36"/>
      <c r="H1336" s="37"/>
      <c r="I1336" s="37"/>
      <c r="J1336" s="13"/>
      <c r="K1336" s="18"/>
      <c r="L1336" s="19"/>
      <c r="M1336" s="19"/>
      <c r="N1336" s="20"/>
      <c r="O1336" s="22"/>
      <c r="P1336" s="36"/>
      <c r="Q1336" s="37"/>
      <c r="R1336" s="37"/>
    </row>
    <row r="1337" spans="1:18" x14ac:dyDescent="0.2">
      <c r="A1337" s="13"/>
      <c r="B1337" s="18"/>
      <c r="C1337" s="19"/>
      <c r="D1337" s="19"/>
      <c r="E1337" s="20"/>
      <c r="F1337" s="22"/>
      <c r="G1337" s="22"/>
      <c r="H1337" s="23"/>
      <c r="I1337" s="23"/>
      <c r="J1337" s="13"/>
      <c r="K1337" s="18"/>
      <c r="L1337" s="19"/>
      <c r="M1337" s="19"/>
      <c r="N1337" s="20"/>
      <c r="O1337" s="22"/>
      <c r="P1337" s="22"/>
      <c r="Q1337" s="23"/>
      <c r="R1337" s="23"/>
    </row>
    <row r="1338" spans="1:18" x14ac:dyDescent="0.2">
      <c r="A1338" s="13"/>
      <c r="B1338" s="248" t="s">
        <v>30</v>
      </c>
      <c r="C1338" s="249"/>
      <c r="D1338" s="249"/>
      <c r="E1338" s="250"/>
      <c r="F1338" s="22"/>
      <c r="G1338" s="22"/>
      <c r="H1338" s="23"/>
      <c r="I1338" s="23">
        <f>SUM(I1325:I1337)</f>
        <v>5674.0509999999995</v>
      </c>
      <c r="J1338" s="13"/>
      <c r="K1338" s="248" t="s">
        <v>30</v>
      </c>
      <c r="L1338" s="249"/>
      <c r="M1338" s="249"/>
      <c r="N1338" s="250"/>
      <c r="O1338" s="22"/>
      <c r="P1338" s="22"/>
      <c r="Q1338" s="23"/>
      <c r="R1338" s="23">
        <f>SUM(R1325:R1337)</f>
        <v>12033.493999999999</v>
      </c>
    </row>
    <row r="1339" spans="1:18" x14ac:dyDescent="0.2">
      <c r="A1339" s="12" t="s">
        <v>31</v>
      </c>
      <c r="B1339" s="260" t="s">
        <v>32</v>
      </c>
      <c r="C1339" s="261"/>
      <c r="D1339" s="261"/>
      <c r="E1339" s="261"/>
      <c r="F1339" s="39"/>
      <c r="G1339" s="39"/>
      <c r="H1339" s="40"/>
      <c r="I1339" s="41">
        <f>SUM(I1338+I1320)</f>
        <v>5910.5609999999997</v>
      </c>
      <c r="J1339" s="12" t="s">
        <v>31</v>
      </c>
      <c r="K1339" s="260" t="s">
        <v>32</v>
      </c>
      <c r="L1339" s="261"/>
      <c r="M1339" s="261"/>
      <c r="N1339" s="261"/>
      <c r="O1339" s="39"/>
      <c r="P1339" s="39"/>
      <c r="Q1339" s="40"/>
      <c r="R1339" s="41">
        <f>SUM(R1338+R1320)</f>
        <v>12771.273999999999</v>
      </c>
    </row>
    <row r="1340" spans="1:18" x14ac:dyDescent="0.2">
      <c r="A1340" s="13" t="s">
        <v>33</v>
      </c>
      <c r="B1340" s="307">
        <f>E1307</f>
        <v>12</v>
      </c>
      <c r="C1340" s="308"/>
      <c r="D1340" s="308"/>
      <c r="E1340" s="308"/>
      <c r="F1340" s="308"/>
      <c r="G1340" s="308"/>
      <c r="H1340" s="40"/>
      <c r="I1340" s="41"/>
      <c r="J1340" s="13" t="s">
        <v>33</v>
      </c>
      <c r="K1340" s="313">
        <f>N1307</f>
        <v>53.67</v>
      </c>
      <c r="L1340" s="314"/>
      <c r="M1340" s="314"/>
      <c r="N1340" s="314"/>
      <c r="O1340" s="314"/>
      <c r="P1340" s="314"/>
      <c r="Q1340" s="40"/>
      <c r="R1340" s="41"/>
    </row>
    <row r="1341" spans="1:18" x14ac:dyDescent="0.2">
      <c r="A1341" s="13" t="s">
        <v>34</v>
      </c>
      <c r="B1341" s="42" t="s">
        <v>35</v>
      </c>
      <c r="C1341" s="43"/>
      <c r="D1341" s="43"/>
      <c r="E1341" s="39"/>
      <c r="F1341" s="44"/>
      <c r="G1341" s="44"/>
      <c r="H1341" s="40"/>
      <c r="I1341" s="41">
        <f>I1339/E1307</f>
        <v>492.54674999999997</v>
      </c>
      <c r="J1341" s="13" t="s">
        <v>34</v>
      </c>
      <c r="K1341" s="42" t="s">
        <v>35</v>
      </c>
      <c r="L1341" s="43"/>
      <c r="M1341" s="43"/>
      <c r="N1341" s="39"/>
      <c r="O1341" s="44"/>
      <c r="P1341" s="44"/>
      <c r="Q1341" s="40"/>
      <c r="R1341" s="41">
        <f>R1339/N1307</f>
        <v>237.95926961058316</v>
      </c>
    </row>
    <row r="1342" spans="1:18" x14ac:dyDescent="0.2">
      <c r="A1342" s="12"/>
      <c r="B1342" s="251" t="s">
        <v>36</v>
      </c>
      <c r="C1342" s="252"/>
      <c r="D1342" s="252"/>
      <c r="E1342" s="253"/>
      <c r="F1342" s="244" t="s">
        <v>37</v>
      </c>
      <c r="G1342" s="244" t="s">
        <v>38</v>
      </c>
      <c r="H1342" s="244" t="s">
        <v>39</v>
      </c>
      <c r="I1342" s="246" t="s">
        <v>15</v>
      </c>
      <c r="J1342" s="12"/>
      <c r="K1342" s="251" t="s">
        <v>36</v>
      </c>
      <c r="L1342" s="252"/>
      <c r="M1342" s="252"/>
      <c r="N1342" s="253"/>
      <c r="O1342" s="244" t="s">
        <v>37</v>
      </c>
      <c r="P1342" s="244" t="s">
        <v>38</v>
      </c>
      <c r="Q1342" s="244" t="s">
        <v>39</v>
      </c>
      <c r="R1342" s="246" t="s">
        <v>15</v>
      </c>
    </row>
    <row r="1343" spans="1:18" x14ac:dyDescent="0.2">
      <c r="A1343" s="13"/>
      <c r="B1343" s="254"/>
      <c r="C1343" s="255"/>
      <c r="D1343" s="255"/>
      <c r="E1343" s="256"/>
      <c r="F1343" s="245"/>
      <c r="G1343" s="245"/>
      <c r="H1343" s="245"/>
      <c r="I1343" s="247"/>
      <c r="J1343" s="13"/>
      <c r="K1343" s="254"/>
      <c r="L1343" s="255"/>
      <c r="M1343" s="255"/>
      <c r="N1343" s="256"/>
      <c r="O1343" s="245"/>
      <c r="P1343" s="245"/>
      <c r="Q1343" s="245"/>
      <c r="R1343" s="247"/>
    </row>
    <row r="1344" spans="1:18" x14ac:dyDescent="0.2">
      <c r="A1344" s="13" t="s">
        <v>40</v>
      </c>
      <c r="B1344" s="18" t="s">
        <v>41</v>
      </c>
      <c r="C1344" s="19"/>
      <c r="D1344" s="19"/>
      <c r="E1344" s="20"/>
      <c r="F1344" s="22"/>
      <c r="G1344" s="22"/>
      <c r="H1344" s="23"/>
      <c r="I1344" s="23"/>
      <c r="J1344" s="13" t="s">
        <v>40</v>
      </c>
      <c r="K1344" s="18" t="s">
        <v>41</v>
      </c>
      <c r="L1344" s="19"/>
      <c r="M1344" s="19"/>
      <c r="N1344" s="20"/>
      <c r="O1344" s="22"/>
      <c r="P1344" s="22"/>
      <c r="Q1344" s="23"/>
      <c r="R1344" s="23"/>
    </row>
    <row r="1345" spans="1:18" x14ac:dyDescent="0.2">
      <c r="A1345" s="13"/>
      <c r="B1345" s="18"/>
      <c r="C1345" s="19"/>
      <c r="D1345" s="19"/>
      <c r="E1345" s="20"/>
      <c r="F1345" s="22"/>
      <c r="G1345" s="22"/>
      <c r="H1345" s="23"/>
      <c r="I1345" s="23"/>
      <c r="J1345" s="13"/>
      <c r="K1345" s="18"/>
      <c r="L1345" s="19"/>
      <c r="M1345" s="19"/>
      <c r="N1345" s="20"/>
      <c r="O1345" s="22"/>
      <c r="P1345" s="22"/>
      <c r="Q1345" s="23"/>
      <c r="R1345" s="23"/>
    </row>
    <row r="1346" spans="1:18" x14ac:dyDescent="0.2">
      <c r="A1346" s="13"/>
      <c r="B1346" s="18" t="s">
        <v>390</v>
      </c>
      <c r="C1346" s="66"/>
      <c r="D1346" s="19"/>
      <c r="E1346" s="20"/>
      <c r="F1346" s="62" t="s">
        <v>239</v>
      </c>
      <c r="G1346" s="62">
        <v>1.1499999999999999</v>
      </c>
      <c r="H1346" s="107">
        <f>ROUND(650/1.6,2)</f>
        <v>406.25</v>
      </c>
      <c r="I1346" s="23">
        <f>G1346*H1346</f>
        <v>467.18749999999994</v>
      </c>
      <c r="J1346" s="13"/>
      <c r="K1346" s="18" t="s">
        <v>263</v>
      </c>
      <c r="L1346" s="66"/>
      <c r="M1346" s="19"/>
      <c r="N1346" s="20"/>
      <c r="O1346" s="22" t="s">
        <v>77</v>
      </c>
      <c r="P1346" s="62">
        <v>0.55000000000000004</v>
      </c>
      <c r="Q1346" s="107">
        <v>40</v>
      </c>
      <c r="R1346" s="23">
        <f>P1346*Q1346</f>
        <v>22</v>
      </c>
    </row>
    <row r="1347" spans="1:18" x14ac:dyDescent="0.2">
      <c r="A1347" s="13"/>
      <c r="B1347" s="18"/>
      <c r="C1347" s="19"/>
      <c r="D1347" s="19"/>
      <c r="E1347" s="20"/>
      <c r="F1347" s="22"/>
      <c r="G1347" s="22"/>
      <c r="H1347" s="23"/>
      <c r="I1347" s="23"/>
      <c r="J1347" s="13"/>
      <c r="K1347" s="18" t="s">
        <v>264</v>
      </c>
      <c r="L1347" s="66"/>
      <c r="M1347" s="19"/>
      <c r="N1347" s="20"/>
      <c r="O1347" s="22" t="s">
        <v>1216</v>
      </c>
      <c r="P1347" s="22">
        <v>0.28999999999999998</v>
      </c>
      <c r="Q1347" s="107">
        <v>28</v>
      </c>
      <c r="R1347" s="23">
        <f t="shared" ref="R1347:R1355" si="68">P1347*Q1347</f>
        <v>8.1199999999999992</v>
      </c>
    </row>
    <row r="1348" spans="1:18" x14ac:dyDescent="0.2">
      <c r="A1348" s="13"/>
      <c r="B1348" s="18"/>
      <c r="C1348" s="19"/>
      <c r="D1348" s="19"/>
      <c r="E1348" s="20"/>
      <c r="F1348" s="22"/>
      <c r="G1348" s="22"/>
      <c r="H1348" s="38"/>
      <c r="I1348" s="38"/>
      <c r="J1348" s="13"/>
      <c r="K1348" s="18" t="s">
        <v>266</v>
      </c>
      <c r="L1348" s="19"/>
      <c r="M1348" s="19"/>
      <c r="N1348" s="20"/>
      <c r="O1348" s="22" t="s">
        <v>1216</v>
      </c>
      <c r="P1348" s="22">
        <v>0.18</v>
      </c>
      <c r="Q1348" s="107">
        <f>44000/1000</f>
        <v>44</v>
      </c>
      <c r="R1348" s="23">
        <f t="shared" si="68"/>
        <v>7.92</v>
      </c>
    </row>
    <row r="1349" spans="1:18" x14ac:dyDescent="0.2">
      <c r="A1349" s="13"/>
      <c r="B1349" s="18"/>
      <c r="C1349" s="19"/>
      <c r="D1349" s="19"/>
      <c r="E1349" s="20"/>
      <c r="F1349" s="22"/>
      <c r="G1349" s="22"/>
      <c r="H1349" s="38"/>
      <c r="I1349" s="38"/>
      <c r="J1349" s="13"/>
      <c r="K1349" s="18" t="s">
        <v>267</v>
      </c>
      <c r="L1349" s="19"/>
      <c r="M1349" s="19"/>
      <c r="N1349" s="20"/>
      <c r="O1349" s="22" t="s">
        <v>1153</v>
      </c>
      <c r="P1349" s="22">
        <v>0.46</v>
      </c>
      <c r="Q1349" s="107">
        <v>50</v>
      </c>
      <c r="R1349" s="23">
        <f t="shared" si="68"/>
        <v>23</v>
      </c>
    </row>
    <row r="1350" spans="1:18" x14ac:dyDescent="0.2">
      <c r="A1350" s="13"/>
      <c r="B1350" s="18"/>
      <c r="C1350" s="19"/>
      <c r="D1350" s="19"/>
      <c r="E1350" s="20"/>
      <c r="F1350" s="22"/>
      <c r="G1350" s="22"/>
      <c r="H1350" s="45"/>
      <c r="I1350" s="45"/>
      <c r="J1350" s="13"/>
      <c r="K1350" s="18" t="s">
        <v>268</v>
      </c>
      <c r="L1350" s="19"/>
      <c r="M1350" s="19"/>
      <c r="N1350" s="20"/>
      <c r="O1350" s="22" t="s">
        <v>9</v>
      </c>
      <c r="P1350" s="70">
        <v>0.16500000000000001</v>
      </c>
      <c r="Q1350" s="107">
        <v>850</v>
      </c>
      <c r="R1350" s="23">
        <f t="shared" si="68"/>
        <v>140.25</v>
      </c>
    </row>
    <row r="1351" spans="1:18" x14ac:dyDescent="0.2">
      <c r="A1351" s="13"/>
      <c r="B1351" s="18"/>
      <c r="C1351" s="19"/>
      <c r="D1351" s="19"/>
      <c r="E1351" s="20"/>
      <c r="F1351" s="22"/>
      <c r="G1351" s="22"/>
      <c r="H1351" s="45"/>
      <c r="I1351" s="45"/>
      <c r="J1351" s="13"/>
      <c r="K1351" s="18" t="s">
        <v>269</v>
      </c>
      <c r="L1351" s="19"/>
      <c r="M1351" s="19"/>
      <c r="N1351" s="20"/>
      <c r="O1351" s="22" t="s">
        <v>9</v>
      </c>
      <c r="P1351" s="62">
        <v>0.3</v>
      </c>
      <c r="Q1351" s="107">
        <v>650</v>
      </c>
      <c r="R1351" s="23">
        <f t="shared" si="68"/>
        <v>195</v>
      </c>
    </row>
    <row r="1352" spans="1:18" x14ac:dyDescent="0.2">
      <c r="A1352" s="13"/>
      <c r="B1352" s="18"/>
      <c r="C1352" s="19"/>
      <c r="D1352" s="19"/>
      <c r="E1352" s="20"/>
      <c r="F1352" s="22"/>
      <c r="G1352" s="22"/>
      <c r="H1352" s="23"/>
      <c r="I1352" s="23"/>
      <c r="J1352" s="13"/>
      <c r="K1352" s="18" t="s">
        <v>270</v>
      </c>
      <c r="L1352" s="19"/>
      <c r="M1352" s="19"/>
      <c r="N1352" s="20"/>
      <c r="O1352" s="22" t="s">
        <v>227</v>
      </c>
      <c r="P1352" s="22">
        <v>2.85</v>
      </c>
      <c r="Q1352" s="107">
        <v>220</v>
      </c>
      <c r="R1352" s="23">
        <f t="shared" si="68"/>
        <v>627</v>
      </c>
    </row>
    <row r="1353" spans="1:18" x14ac:dyDescent="0.2">
      <c r="A1353" s="13"/>
      <c r="B1353" s="18"/>
      <c r="C1353" s="19"/>
      <c r="D1353" s="19"/>
      <c r="E1353" s="20"/>
      <c r="F1353" s="22"/>
      <c r="G1353" s="22"/>
      <c r="H1353" s="23"/>
      <c r="I1353" s="23"/>
      <c r="J1353" s="13"/>
      <c r="K1353" s="18" t="s">
        <v>344</v>
      </c>
      <c r="L1353" s="19"/>
      <c r="M1353" s="19"/>
      <c r="N1353" s="20"/>
      <c r="O1353" s="22" t="s">
        <v>80</v>
      </c>
      <c r="P1353" s="22">
        <v>1.4999999999999999E-4</v>
      </c>
      <c r="Q1353" s="107">
        <v>8000</v>
      </c>
      <c r="R1353" s="23">
        <f t="shared" si="68"/>
        <v>1.2</v>
      </c>
    </row>
    <row r="1354" spans="1:18" x14ac:dyDescent="0.2">
      <c r="A1354" s="13"/>
      <c r="B1354" s="18"/>
      <c r="C1354" s="19"/>
      <c r="D1354" s="19"/>
      <c r="E1354" s="20"/>
      <c r="F1354" s="22"/>
      <c r="G1354" s="22"/>
      <c r="H1354" s="23"/>
      <c r="I1354" s="23"/>
      <c r="J1354" s="13"/>
      <c r="K1354" s="18" t="s">
        <v>356</v>
      </c>
      <c r="L1354" s="19"/>
      <c r="M1354" s="19"/>
      <c r="N1354" s="20"/>
      <c r="O1354" s="22" t="s">
        <v>1153</v>
      </c>
      <c r="P1354" s="22">
        <v>9.4000000000000004E-3</v>
      </c>
      <c r="Q1354" s="107">
        <v>97</v>
      </c>
      <c r="R1354" s="23">
        <f t="shared" si="68"/>
        <v>0.91180000000000005</v>
      </c>
    </row>
    <row r="1355" spans="1:18" x14ac:dyDescent="0.2">
      <c r="A1355" s="13"/>
      <c r="B1355" s="18"/>
      <c r="C1355" s="19"/>
      <c r="D1355" s="19"/>
      <c r="E1355" s="20"/>
      <c r="F1355" s="22"/>
      <c r="G1355" s="22"/>
      <c r="H1355" s="23"/>
      <c r="I1355" s="23"/>
      <c r="J1355" s="13"/>
      <c r="K1355" s="18" t="s">
        <v>346</v>
      </c>
      <c r="L1355" s="19"/>
      <c r="M1355" s="19"/>
      <c r="N1355" s="20"/>
      <c r="O1355" s="22" t="s">
        <v>1216</v>
      </c>
      <c r="P1355" s="22">
        <v>9.4000000000000004E-3</v>
      </c>
      <c r="Q1355" s="107">
        <v>300</v>
      </c>
      <c r="R1355" s="23">
        <f t="shared" si="68"/>
        <v>2.8200000000000003</v>
      </c>
    </row>
    <row r="1356" spans="1:18" x14ac:dyDescent="0.2">
      <c r="A1356" s="13"/>
      <c r="B1356" s="18"/>
      <c r="C1356" s="19"/>
      <c r="D1356" s="19"/>
      <c r="E1356" s="20"/>
      <c r="F1356" s="22"/>
      <c r="G1356" s="22"/>
      <c r="H1356" s="23"/>
      <c r="I1356" s="23"/>
      <c r="J1356" s="13"/>
      <c r="K1356" s="18"/>
      <c r="L1356" s="19"/>
      <c r="M1356" s="19"/>
      <c r="N1356" s="20"/>
      <c r="O1356" s="22"/>
      <c r="P1356" s="22"/>
      <c r="Q1356" s="23"/>
      <c r="R1356" s="23"/>
    </row>
    <row r="1357" spans="1:18" x14ac:dyDescent="0.2">
      <c r="A1357" s="13"/>
      <c r="B1357" s="18"/>
      <c r="C1357" s="19"/>
      <c r="D1357" s="19"/>
      <c r="E1357" s="20"/>
      <c r="F1357" s="22"/>
      <c r="G1357" s="22"/>
      <c r="H1357" s="23"/>
      <c r="I1357" s="23"/>
      <c r="J1357" s="13"/>
      <c r="K1357" s="18"/>
      <c r="L1357" s="19"/>
      <c r="M1357" s="19"/>
      <c r="N1357" s="20"/>
      <c r="O1357" s="22"/>
      <c r="P1357" s="22"/>
      <c r="Q1357" s="23"/>
      <c r="R1357" s="23"/>
    </row>
    <row r="1358" spans="1:18" x14ac:dyDescent="0.2">
      <c r="A1358" s="13"/>
      <c r="B1358" s="18"/>
      <c r="C1358" s="19"/>
      <c r="D1358" s="19"/>
      <c r="E1358" s="20"/>
      <c r="F1358" s="22"/>
      <c r="G1358" s="36"/>
      <c r="H1358" s="37"/>
      <c r="I1358" s="37"/>
      <c r="J1358" s="13"/>
      <c r="K1358" s="18"/>
      <c r="L1358" s="19"/>
      <c r="M1358" s="19"/>
      <c r="N1358" s="20"/>
      <c r="O1358" s="22"/>
      <c r="P1358" s="36"/>
      <c r="Q1358" s="37"/>
      <c r="R1358" s="37"/>
    </row>
    <row r="1359" spans="1:18" x14ac:dyDescent="0.2">
      <c r="A1359" s="13"/>
      <c r="B1359" s="248" t="s">
        <v>42</v>
      </c>
      <c r="C1359" s="249"/>
      <c r="D1359" s="249"/>
      <c r="E1359" s="250"/>
      <c r="F1359" s="46"/>
      <c r="G1359" s="46"/>
      <c r="H1359" s="47"/>
      <c r="I1359" s="47">
        <f>SUM(I1346:I1358)</f>
        <v>467.18749999999994</v>
      </c>
      <c r="J1359" s="13"/>
      <c r="K1359" s="248" t="s">
        <v>42</v>
      </c>
      <c r="L1359" s="249"/>
      <c r="M1359" s="249"/>
      <c r="N1359" s="250"/>
      <c r="O1359" s="46"/>
      <c r="P1359" s="46"/>
      <c r="Q1359" s="47"/>
      <c r="R1359" s="47">
        <f>SUM(R1346:R1358)</f>
        <v>1028.2218</v>
      </c>
    </row>
    <row r="1360" spans="1:18" x14ac:dyDescent="0.2">
      <c r="A1360" s="12" t="s">
        <v>43</v>
      </c>
      <c r="B1360" s="48" t="s">
        <v>44</v>
      </c>
      <c r="C1360" s="43"/>
      <c r="D1360" s="43"/>
      <c r="E1360" s="39"/>
      <c r="F1360" s="49"/>
      <c r="G1360" s="49"/>
      <c r="H1360" s="50"/>
      <c r="I1360" s="51">
        <f>SUM(I1341+I1359)</f>
        <v>959.73424999999997</v>
      </c>
      <c r="J1360" s="12" t="s">
        <v>43</v>
      </c>
      <c r="K1360" s="48" t="s">
        <v>44</v>
      </c>
      <c r="L1360" s="43"/>
      <c r="M1360" s="43"/>
      <c r="N1360" s="39"/>
      <c r="O1360" s="49"/>
      <c r="P1360" s="49"/>
      <c r="Q1360" s="50"/>
      <c r="R1360" s="51">
        <f>SUM(R1341+R1359)</f>
        <v>1266.1810696105831</v>
      </c>
    </row>
    <row r="1361" spans="1:27" x14ac:dyDescent="0.2">
      <c r="A1361" s="13" t="s">
        <v>45</v>
      </c>
      <c r="B1361" s="48" t="s">
        <v>46</v>
      </c>
      <c r="C1361" s="43"/>
      <c r="D1361" s="43"/>
      <c r="E1361" s="39"/>
      <c r="F1361" s="49"/>
      <c r="G1361" s="52">
        <v>0.09</v>
      </c>
      <c r="H1361" s="53" t="s">
        <v>47</v>
      </c>
      <c r="I1361" s="51">
        <f>G1361*I1360</f>
        <v>86.376082499999995</v>
      </c>
      <c r="J1361" s="13" t="s">
        <v>45</v>
      </c>
      <c r="K1361" s="48" t="s">
        <v>46</v>
      </c>
      <c r="L1361" s="43"/>
      <c r="M1361" s="43"/>
      <c r="N1361" s="39"/>
      <c r="O1361" s="49"/>
      <c r="P1361" s="52">
        <v>0.09</v>
      </c>
      <c r="Q1361" s="53" t="s">
        <v>47</v>
      </c>
      <c r="R1361" s="51">
        <f>P1361*R1360</f>
        <v>113.95629626495247</v>
      </c>
    </row>
    <row r="1362" spans="1:27" x14ac:dyDescent="0.2">
      <c r="A1362" s="13" t="s">
        <v>48</v>
      </c>
      <c r="B1362" s="48" t="s">
        <v>49</v>
      </c>
      <c r="C1362" s="43"/>
      <c r="D1362" s="43"/>
      <c r="E1362" s="39"/>
      <c r="F1362" s="49"/>
      <c r="G1362" s="52">
        <v>0.08</v>
      </c>
      <c r="H1362" s="53" t="s">
        <v>47</v>
      </c>
      <c r="I1362" s="51">
        <f>G1362*I1360</f>
        <v>76.778739999999999</v>
      </c>
      <c r="J1362" s="13" t="s">
        <v>48</v>
      </c>
      <c r="K1362" s="48" t="s">
        <v>49</v>
      </c>
      <c r="L1362" s="43"/>
      <c r="M1362" s="43"/>
      <c r="N1362" s="39"/>
      <c r="O1362" s="49"/>
      <c r="P1362" s="52">
        <v>0.08</v>
      </c>
      <c r="Q1362" s="53" t="s">
        <v>47</v>
      </c>
      <c r="R1362" s="51">
        <f>P1362*R1360</f>
        <v>101.29448556884665</v>
      </c>
    </row>
    <row r="1363" spans="1:27" x14ac:dyDescent="0.2">
      <c r="A1363" s="13" t="s">
        <v>50</v>
      </c>
      <c r="B1363" s="48" t="s">
        <v>51</v>
      </c>
      <c r="C1363" s="43"/>
      <c r="D1363" s="43"/>
      <c r="E1363" s="39"/>
      <c r="F1363" s="49"/>
      <c r="G1363" s="52">
        <v>0.05</v>
      </c>
      <c r="H1363" s="53" t="s">
        <v>52</v>
      </c>
      <c r="I1363" s="51">
        <f>G1363*(I1360+I1361+I1362)</f>
        <v>56.144453624999997</v>
      </c>
      <c r="J1363" s="13" t="s">
        <v>50</v>
      </c>
      <c r="K1363" s="48" t="s">
        <v>51</v>
      </c>
      <c r="L1363" s="43"/>
      <c r="M1363" s="43"/>
      <c r="N1363" s="39"/>
      <c r="O1363" s="49"/>
      <c r="P1363" s="52">
        <f>5/100</f>
        <v>0.05</v>
      </c>
      <c r="Q1363" s="53" t="s">
        <v>52</v>
      </c>
      <c r="R1363" s="51">
        <f>P1363*(R1360+R1361+R1362)</f>
        <v>74.071592572219103</v>
      </c>
    </row>
    <row r="1364" spans="1:27" x14ac:dyDescent="0.2">
      <c r="A1364" s="54" t="s">
        <v>53</v>
      </c>
      <c r="B1364" s="48" t="s">
        <v>54</v>
      </c>
      <c r="C1364" s="43"/>
      <c r="D1364" s="43"/>
      <c r="E1364" s="39"/>
      <c r="F1364" s="49"/>
      <c r="G1364" s="49"/>
      <c r="H1364" s="55" t="s">
        <v>55</v>
      </c>
      <c r="I1364" s="51">
        <f>SUM(I1360+I1361+I1362+I1363)</f>
        <v>1179.033526125</v>
      </c>
      <c r="J1364" s="54" t="s">
        <v>53</v>
      </c>
      <c r="K1364" s="48" t="s">
        <v>54</v>
      </c>
      <c r="L1364" s="43"/>
      <c r="M1364" s="43"/>
      <c r="N1364" s="39"/>
      <c r="O1364" s="49"/>
      <c r="P1364" s="49"/>
      <c r="Q1364" s="55" t="s">
        <v>55</v>
      </c>
      <c r="R1364" s="51">
        <f>SUM(R1360+R1361+R1362+R1363)</f>
        <v>1555.5034440166012</v>
      </c>
    </row>
    <row r="1365" spans="1:27" x14ac:dyDescent="0.2">
      <c r="S1365" s="1"/>
      <c r="T1365" s="1"/>
      <c r="U1365" s="1"/>
      <c r="V1365" s="1"/>
      <c r="W1365" s="1"/>
      <c r="X1365" s="1"/>
      <c r="Y1365" s="1"/>
      <c r="Z1365" s="1"/>
      <c r="AA1365" s="1"/>
    </row>
    <row r="1427" spans="19:27" x14ac:dyDescent="0.2">
      <c r="S1427" s="1"/>
      <c r="T1427" s="1"/>
      <c r="U1427" s="1"/>
      <c r="V1427" s="1"/>
      <c r="W1427" s="1"/>
      <c r="X1427" s="1"/>
      <c r="Y1427" s="1"/>
      <c r="Z1427" s="1"/>
      <c r="AA1427" s="1"/>
    </row>
    <row r="1489" spans="19:27" x14ac:dyDescent="0.2">
      <c r="S1489" s="1"/>
      <c r="T1489" s="1"/>
      <c r="U1489" s="1"/>
      <c r="V1489" s="1"/>
      <c r="W1489" s="1"/>
      <c r="X1489" s="1"/>
      <c r="Y1489" s="1"/>
      <c r="Z1489" s="1"/>
      <c r="AA1489" s="1"/>
    </row>
    <row r="1551" spans="19:27" x14ac:dyDescent="0.2">
      <c r="S1551" s="1"/>
      <c r="T1551" s="1"/>
      <c r="U1551" s="1"/>
      <c r="V1551" s="1"/>
      <c r="W1551" s="1"/>
      <c r="X1551" s="1"/>
      <c r="Y1551" s="1"/>
      <c r="Z1551" s="1"/>
      <c r="AA1551" s="1"/>
    </row>
    <row r="1613" spans="19:27" x14ac:dyDescent="0.2">
      <c r="S1613" s="1"/>
      <c r="T1613" s="1"/>
      <c r="U1613" s="1"/>
      <c r="V1613" s="1"/>
      <c r="W1613" s="1"/>
      <c r="X1613" s="1"/>
      <c r="Y1613" s="1"/>
      <c r="Z1613" s="1"/>
      <c r="AA1613" s="1"/>
    </row>
    <row r="1675" spans="19:27" x14ac:dyDescent="0.2">
      <c r="S1675" s="1"/>
      <c r="T1675" s="1"/>
      <c r="U1675" s="1"/>
      <c r="V1675" s="1"/>
      <c r="W1675" s="1"/>
      <c r="X1675" s="1"/>
      <c r="Y1675" s="1"/>
      <c r="Z1675" s="1"/>
      <c r="AA1675" s="1"/>
    </row>
    <row r="1737" spans="19:27" x14ac:dyDescent="0.2">
      <c r="S1737" s="1"/>
      <c r="T1737" s="1"/>
      <c r="U1737" s="1"/>
      <c r="V1737" s="1"/>
      <c r="W1737" s="1"/>
      <c r="X1737" s="1"/>
      <c r="Y1737" s="1"/>
      <c r="Z1737" s="1"/>
      <c r="AA1737" s="1"/>
    </row>
    <row r="1799" spans="19:27" x14ac:dyDescent="0.2">
      <c r="S1799" s="1"/>
      <c r="T1799" s="1"/>
      <c r="U1799" s="1"/>
      <c r="V1799" s="1"/>
      <c r="W1799" s="1"/>
      <c r="X1799" s="1"/>
      <c r="Y1799" s="1"/>
      <c r="Z1799" s="1"/>
      <c r="AA1799" s="1"/>
    </row>
    <row r="1861" spans="19:27" x14ac:dyDescent="0.2">
      <c r="S1861" s="1"/>
      <c r="T1861" s="1"/>
      <c r="U1861" s="1"/>
      <c r="V1861" s="1"/>
      <c r="W1861" s="1"/>
      <c r="X1861" s="1"/>
      <c r="Y1861" s="1"/>
      <c r="Z1861" s="1"/>
      <c r="AA1861" s="1"/>
    </row>
    <row r="1923" spans="19:27" x14ac:dyDescent="0.2">
      <c r="S1923" s="1"/>
      <c r="T1923" s="1"/>
      <c r="U1923" s="1"/>
      <c r="V1923" s="1"/>
      <c r="W1923" s="1"/>
      <c r="X1923" s="1"/>
      <c r="Y1923" s="1"/>
      <c r="Z1923" s="1"/>
      <c r="AA1923" s="1"/>
    </row>
    <row r="1985" spans="19:27" x14ac:dyDescent="0.2">
      <c r="S1985" s="1"/>
      <c r="T1985" s="1"/>
      <c r="U1985" s="1"/>
      <c r="V1985" s="1"/>
      <c r="W1985" s="1"/>
      <c r="X1985" s="1"/>
      <c r="Y1985" s="1"/>
      <c r="Z1985" s="1"/>
      <c r="AA1985" s="1"/>
    </row>
    <row r="2047" spans="19:27" x14ac:dyDescent="0.2">
      <c r="S2047" s="1"/>
      <c r="T2047" s="1"/>
      <c r="U2047" s="1"/>
      <c r="V2047" s="1"/>
      <c r="W2047" s="1"/>
      <c r="X2047" s="1"/>
      <c r="Y2047" s="1"/>
      <c r="Z2047" s="1"/>
      <c r="AA2047" s="1"/>
    </row>
  </sheetData>
  <sheetProtection selectLockedCells="1" selectUnlockedCells="1"/>
  <mergeCells count="1319">
    <mergeCell ref="X784:X785"/>
    <mergeCell ref="Y784:Y785"/>
    <mergeCell ref="Z784:Z785"/>
    <mergeCell ref="AA784:AA785"/>
    <mergeCell ref="T801:W801"/>
    <mergeCell ref="T553:W553"/>
    <mergeCell ref="S621:AA621"/>
    <mergeCell ref="W623:Z623"/>
    <mergeCell ref="T627:W628"/>
    <mergeCell ref="X627:X628"/>
    <mergeCell ref="Y627:Y628"/>
    <mergeCell ref="Z627:Z628"/>
    <mergeCell ref="AA627:AA628"/>
    <mergeCell ref="T632:U632"/>
    <mergeCell ref="T633:U633"/>
    <mergeCell ref="T638:W638"/>
    <mergeCell ref="T639:W640"/>
    <mergeCell ref="X639:X640"/>
    <mergeCell ref="Y639:Y640"/>
    <mergeCell ref="Z639:Z640"/>
    <mergeCell ref="AA639:AA640"/>
    <mergeCell ref="S559:AA559"/>
    <mergeCell ref="Y722:Y723"/>
    <mergeCell ref="Z722:Z723"/>
    <mergeCell ref="AA722:AA723"/>
    <mergeCell ref="X722:X723"/>
    <mergeCell ref="Z701:Z702"/>
    <mergeCell ref="AA701:AA702"/>
    <mergeCell ref="T503:W504"/>
    <mergeCell ref="X503:X504"/>
    <mergeCell ref="Y503:Y504"/>
    <mergeCell ref="Z503:Z504"/>
    <mergeCell ref="AA503:AA504"/>
    <mergeCell ref="T508:U508"/>
    <mergeCell ref="T509:U509"/>
    <mergeCell ref="T514:W514"/>
    <mergeCell ref="T515:W516"/>
    <mergeCell ref="X515:X516"/>
    <mergeCell ref="Y515:Y516"/>
    <mergeCell ref="Z515:Z516"/>
    <mergeCell ref="AA515:AA516"/>
    <mergeCell ref="T532:W532"/>
    <mergeCell ref="T533:W533"/>
    <mergeCell ref="T534:Y534"/>
    <mergeCell ref="T536:W537"/>
    <mergeCell ref="X536:X537"/>
    <mergeCell ref="Y536:Y537"/>
    <mergeCell ref="Z536:Z537"/>
    <mergeCell ref="AA536:AA537"/>
    <mergeCell ref="T408:W408"/>
    <mergeCell ref="T409:W409"/>
    <mergeCell ref="T410:Y410"/>
    <mergeCell ref="T412:W413"/>
    <mergeCell ref="X412:X413"/>
    <mergeCell ref="Y412:Y413"/>
    <mergeCell ref="Z412:Z413"/>
    <mergeCell ref="AA412:AA413"/>
    <mergeCell ref="T429:W429"/>
    <mergeCell ref="S497:AA497"/>
    <mergeCell ref="X474:X475"/>
    <mergeCell ref="Y474:Y475"/>
    <mergeCell ref="Z474:Z475"/>
    <mergeCell ref="AA474:AA475"/>
    <mergeCell ref="T491:W491"/>
    <mergeCell ref="T471:W471"/>
    <mergeCell ref="T472:Y472"/>
    <mergeCell ref="S435:AA435"/>
    <mergeCell ref="W437:Z437"/>
    <mergeCell ref="Y441:Y442"/>
    <mergeCell ref="Z441:Z442"/>
    <mergeCell ref="AA441:AA442"/>
    <mergeCell ref="T446:U446"/>
    <mergeCell ref="T447:U447"/>
    <mergeCell ref="Y453:Y454"/>
    <mergeCell ref="Z453:Z454"/>
    <mergeCell ref="AA453:AA454"/>
    <mergeCell ref="AA350:AA351"/>
    <mergeCell ref="T367:W367"/>
    <mergeCell ref="T347:W347"/>
    <mergeCell ref="T348:Y348"/>
    <mergeCell ref="T350:W351"/>
    <mergeCell ref="X329:X330"/>
    <mergeCell ref="Y329:Y330"/>
    <mergeCell ref="Z329:Z330"/>
    <mergeCell ref="AA329:AA330"/>
    <mergeCell ref="T346:W346"/>
    <mergeCell ref="S311:AA311"/>
    <mergeCell ref="W313:Z313"/>
    <mergeCell ref="T385:U385"/>
    <mergeCell ref="T390:W390"/>
    <mergeCell ref="T391:W392"/>
    <mergeCell ref="X391:X392"/>
    <mergeCell ref="Y391:Y392"/>
    <mergeCell ref="Z391:Z392"/>
    <mergeCell ref="AA391:AA392"/>
    <mergeCell ref="W375:Z375"/>
    <mergeCell ref="T328:W328"/>
    <mergeCell ref="T329:W330"/>
    <mergeCell ref="X317:X318"/>
    <mergeCell ref="Y317:Y318"/>
    <mergeCell ref="Z317:Z318"/>
    <mergeCell ref="AA317:AA318"/>
    <mergeCell ref="T322:U322"/>
    <mergeCell ref="T323:U323"/>
    <mergeCell ref="Z379:Z380"/>
    <mergeCell ref="AA379:AA380"/>
    <mergeCell ref="Y7:Y8"/>
    <mergeCell ref="Z7:Z8"/>
    <mergeCell ref="AA7:AA8"/>
    <mergeCell ref="T12:U12"/>
    <mergeCell ref="T13:U13"/>
    <mergeCell ref="T18:W18"/>
    <mergeCell ref="T19:W20"/>
    <mergeCell ref="X19:X20"/>
    <mergeCell ref="Y19:Y20"/>
    <mergeCell ref="Z19:Z20"/>
    <mergeCell ref="AA19:AA20"/>
    <mergeCell ref="T36:W36"/>
    <mergeCell ref="T37:W37"/>
    <mergeCell ref="T38:Y38"/>
    <mergeCell ref="T40:W41"/>
    <mergeCell ref="X40:X41"/>
    <mergeCell ref="Y40:Y41"/>
    <mergeCell ref="Z40:Z41"/>
    <mergeCell ref="AA40:AA41"/>
    <mergeCell ref="T286:Y286"/>
    <mergeCell ref="T288:W289"/>
    <mergeCell ref="X288:X289"/>
    <mergeCell ref="Y288:Y289"/>
    <mergeCell ref="Z288:Z289"/>
    <mergeCell ref="AA288:AA289"/>
    <mergeCell ref="T305:W305"/>
    <mergeCell ref="S373:AA373"/>
    <mergeCell ref="X350:X351"/>
    <mergeCell ref="Y350:Y351"/>
    <mergeCell ref="Z350:Z351"/>
    <mergeCell ref="Z164:Z165"/>
    <mergeCell ref="AA164:AA165"/>
    <mergeCell ref="T181:W181"/>
    <mergeCell ref="S249:AA249"/>
    <mergeCell ref="W251:Z251"/>
    <mergeCell ref="T255:W256"/>
    <mergeCell ref="X255:X256"/>
    <mergeCell ref="Y255:Y256"/>
    <mergeCell ref="Z255:Z256"/>
    <mergeCell ref="AA255:AA256"/>
    <mergeCell ref="X205:X206"/>
    <mergeCell ref="Y205:Y206"/>
    <mergeCell ref="Z205:Z206"/>
    <mergeCell ref="T261:U261"/>
    <mergeCell ref="T266:W266"/>
    <mergeCell ref="T267:W268"/>
    <mergeCell ref="X267:X268"/>
    <mergeCell ref="Y267:Y268"/>
    <mergeCell ref="Z267:Z268"/>
    <mergeCell ref="AA267:AA268"/>
    <mergeCell ref="AA226:AA227"/>
    <mergeCell ref="T223:W223"/>
    <mergeCell ref="T224:Y224"/>
    <mergeCell ref="X193:X194"/>
    <mergeCell ref="Y193:Y194"/>
    <mergeCell ref="Z193:Z194"/>
    <mergeCell ref="AA193:AA194"/>
    <mergeCell ref="T198:U198"/>
    <mergeCell ref="T199:U199"/>
    <mergeCell ref="S187:AA187"/>
    <mergeCell ref="W189:Z189"/>
    <mergeCell ref="T193:W194"/>
    <mergeCell ref="B1359:E1359"/>
    <mergeCell ref="T615:W615"/>
    <mergeCell ref="B1339:E1339"/>
    <mergeCell ref="T595:W595"/>
    <mergeCell ref="B1340:G1340"/>
    <mergeCell ref="T596:Y596"/>
    <mergeCell ref="B1342:E1343"/>
    <mergeCell ref="F1342:F1343"/>
    <mergeCell ref="G1342:G1343"/>
    <mergeCell ref="H1342:H1343"/>
    <mergeCell ref="I1342:I1343"/>
    <mergeCell ref="T598:W599"/>
    <mergeCell ref="X577:X578"/>
    <mergeCell ref="Y577:Y578"/>
    <mergeCell ref="Z577:Z578"/>
    <mergeCell ref="AA577:AA578"/>
    <mergeCell ref="B1338:E1338"/>
    <mergeCell ref="T594:W594"/>
    <mergeCell ref="T657:W657"/>
    <mergeCell ref="T658:Y658"/>
    <mergeCell ref="T660:W661"/>
    <mergeCell ref="X660:X661"/>
    <mergeCell ref="Y660:Y661"/>
    <mergeCell ref="Z660:Z661"/>
    <mergeCell ref="AA660:AA661"/>
    <mergeCell ref="T677:W677"/>
    <mergeCell ref="S745:AA745"/>
    <mergeCell ref="W747:Z747"/>
    <mergeCell ref="B1320:E1320"/>
    <mergeCell ref="B1321:E1322"/>
    <mergeCell ref="F1321:F1322"/>
    <mergeCell ref="G1321:G1322"/>
    <mergeCell ref="E1305:H1305"/>
    <mergeCell ref="W561:Z561"/>
    <mergeCell ref="B1309:E1310"/>
    <mergeCell ref="F1309:F1310"/>
    <mergeCell ref="G1309:G1310"/>
    <mergeCell ref="H1309:H1310"/>
    <mergeCell ref="I1309:I1310"/>
    <mergeCell ref="T565:W566"/>
    <mergeCell ref="B1314:C1314"/>
    <mergeCell ref="B1315:C1315"/>
    <mergeCell ref="T751:W752"/>
    <mergeCell ref="X751:X752"/>
    <mergeCell ref="Y751:Y752"/>
    <mergeCell ref="Z751:Z752"/>
    <mergeCell ref="AA751:AA752"/>
    <mergeCell ref="T756:U756"/>
    <mergeCell ref="B1297:E1297"/>
    <mergeCell ref="B1277:E1277"/>
    <mergeCell ref="B1278:G1278"/>
    <mergeCell ref="B1280:E1281"/>
    <mergeCell ref="F1280:F1281"/>
    <mergeCell ref="P689:P690"/>
    <mergeCell ref="Q689:Q690"/>
    <mergeCell ref="R689:R690"/>
    <mergeCell ref="K694:L694"/>
    <mergeCell ref="K695:L695"/>
    <mergeCell ref="P627:P628"/>
    <mergeCell ref="Q627:Q628"/>
    <mergeCell ref="R627:R628"/>
    <mergeCell ref="T656:W656"/>
    <mergeCell ref="Z598:Z599"/>
    <mergeCell ref="I1218:I1219"/>
    <mergeCell ref="B1214:E1214"/>
    <mergeCell ref="R1247:R1248"/>
    <mergeCell ref="K1252:L1252"/>
    <mergeCell ref="K1253:L1253"/>
    <mergeCell ref="K1258:N1258"/>
    <mergeCell ref="K1259:N1260"/>
    <mergeCell ref="H1321:H1322"/>
    <mergeCell ref="I1321:I1322"/>
    <mergeCell ref="T577:W578"/>
    <mergeCell ref="X565:X566"/>
    <mergeCell ref="Y565:Y566"/>
    <mergeCell ref="Z565:Z566"/>
    <mergeCell ref="AA565:AA566"/>
    <mergeCell ref="T570:U570"/>
    <mergeCell ref="T571:U571"/>
    <mergeCell ref="A1303:I1303"/>
    <mergeCell ref="AA598:AA599"/>
    <mergeCell ref="T576:W576"/>
    <mergeCell ref="X598:X599"/>
    <mergeCell ref="Y598:Y599"/>
    <mergeCell ref="T757:U757"/>
    <mergeCell ref="T762:W762"/>
    <mergeCell ref="T763:W764"/>
    <mergeCell ref="X763:X764"/>
    <mergeCell ref="Y763:Y764"/>
    <mergeCell ref="Z763:Z764"/>
    <mergeCell ref="AA763:AA764"/>
    <mergeCell ref="T780:W780"/>
    <mergeCell ref="T781:W781"/>
    <mergeCell ref="T782:Y782"/>
    <mergeCell ref="T784:W785"/>
    <mergeCell ref="A1241:I1241"/>
    <mergeCell ref="E1243:H1243"/>
    <mergeCell ref="B1247:E1248"/>
    <mergeCell ref="F1247:F1248"/>
    <mergeCell ref="G1247:G1248"/>
    <mergeCell ref="H1247:H1248"/>
    <mergeCell ref="I1247:I1248"/>
    <mergeCell ref="T441:W442"/>
    <mergeCell ref="B1252:C1252"/>
    <mergeCell ref="B1253:C1253"/>
    <mergeCell ref="J1241:R1241"/>
    <mergeCell ref="N1243:Q1243"/>
    <mergeCell ref="K1247:N1248"/>
    <mergeCell ref="O1247:O1248"/>
    <mergeCell ref="P1247:P1248"/>
    <mergeCell ref="Q1247:Q1248"/>
    <mergeCell ref="T474:W475"/>
    <mergeCell ref="X453:X454"/>
    <mergeCell ref="T470:W470"/>
    <mergeCell ref="B1235:E1235"/>
    <mergeCell ref="B1215:E1215"/>
    <mergeCell ref="B1216:G1216"/>
    <mergeCell ref="B1218:E1219"/>
    <mergeCell ref="F1218:F1219"/>
    <mergeCell ref="B1196:E1196"/>
    <mergeCell ref="B1197:E1198"/>
    <mergeCell ref="F1197:F1198"/>
    <mergeCell ref="G1197:G1198"/>
    <mergeCell ref="H1197:H1198"/>
    <mergeCell ref="I1197:I1198"/>
    <mergeCell ref="A1179:I1179"/>
    <mergeCell ref="E1181:H1181"/>
    <mergeCell ref="B1185:E1186"/>
    <mergeCell ref="F1185:F1186"/>
    <mergeCell ref="G1185:G1186"/>
    <mergeCell ref="H1185:H1186"/>
    <mergeCell ref="I1185:I1186"/>
    <mergeCell ref="T317:W318"/>
    <mergeCell ref="B1190:C1190"/>
    <mergeCell ref="B1191:C1191"/>
    <mergeCell ref="T379:W380"/>
    <mergeCell ref="X379:X380"/>
    <mergeCell ref="Y379:Y380"/>
    <mergeCell ref="W499:Z499"/>
    <mergeCell ref="T452:W452"/>
    <mergeCell ref="T453:W454"/>
    <mergeCell ref="X441:X442"/>
    <mergeCell ref="T384:U384"/>
    <mergeCell ref="X226:X227"/>
    <mergeCell ref="Y226:Y227"/>
    <mergeCell ref="Z226:Z227"/>
    <mergeCell ref="B1173:E1173"/>
    <mergeCell ref="T243:W243"/>
    <mergeCell ref="B1153:E1153"/>
    <mergeCell ref="B1154:G1154"/>
    <mergeCell ref="B1156:E1157"/>
    <mergeCell ref="F1156:F1157"/>
    <mergeCell ref="G1156:G1157"/>
    <mergeCell ref="H1156:H1157"/>
    <mergeCell ref="I1156:I1157"/>
    <mergeCell ref="T226:W227"/>
    <mergeCell ref="B937:E938"/>
    <mergeCell ref="F937:F938"/>
    <mergeCell ref="G937:G938"/>
    <mergeCell ref="H937:H938"/>
    <mergeCell ref="R1094:R1095"/>
    <mergeCell ref="B925:E925"/>
    <mergeCell ref="K1111:N1111"/>
    <mergeCell ref="B905:E905"/>
    <mergeCell ref="K1091:N1091"/>
    <mergeCell ref="B906:G906"/>
    <mergeCell ref="K1092:P1092"/>
    <mergeCell ref="K905:N905"/>
    <mergeCell ref="K906:P906"/>
    <mergeCell ref="AA205:AA206"/>
    <mergeCell ref="B1152:E1152"/>
    <mergeCell ref="T222:W222"/>
    <mergeCell ref="K1152:N1152"/>
    <mergeCell ref="K1153:N1153"/>
    <mergeCell ref="K1154:P1154"/>
    <mergeCell ref="I1123:I1124"/>
    <mergeCell ref="B1128:C1128"/>
    <mergeCell ref="J1117:R1117"/>
    <mergeCell ref="N1119:Q1119"/>
    <mergeCell ref="K1123:N1124"/>
    <mergeCell ref="O1123:O1124"/>
    <mergeCell ref="P1123:P1124"/>
    <mergeCell ref="Q1123:Q1124"/>
    <mergeCell ref="R1123:R1124"/>
    <mergeCell ref="K1128:L1128"/>
    <mergeCell ref="B968:G968"/>
    <mergeCell ref="B966:E966"/>
    <mergeCell ref="B948:E948"/>
    <mergeCell ref="B949:E950"/>
    <mergeCell ref="F949:F950"/>
    <mergeCell ref="T284:W284"/>
    <mergeCell ref="T285:W285"/>
    <mergeCell ref="K1156:N1157"/>
    <mergeCell ref="O1156:O1157"/>
    <mergeCell ref="P1156:P1157"/>
    <mergeCell ref="Q1156:Q1157"/>
    <mergeCell ref="R1156:R1157"/>
    <mergeCell ref="K1173:N1173"/>
    <mergeCell ref="T260:U260"/>
    <mergeCell ref="B1134:E1134"/>
    <mergeCell ref="T204:W204"/>
    <mergeCell ref="B1135:E1136"/>
    <mergeCell ref="F1135:F1136"/>
    <mergeCell ref="G1135:G1136"/>
    <mergeCell ref="H1135:H1136"/>
    <mergeCell ref="I1135:I1136"/>
    <mergeCell ref="T205:W206"/>
    <mergeCell ref="K1129:L1129"/>
    <mergeCell ref="K1134:N1134"/>
    <mergeCell ref="K1135:N1136"/>
    <mergeCell ref="O1135:O1136"/>
    <mergeCell ref="P1135:P1136"/>
    <mergeCell ref="Q1135:Q1136"/>
    <mergeCell ref="R1135:R1136"/>
    <mergeCell ref="I949:I950"/>
    <mergeCell ref="B942:C942"/>
    <mergeCell ref="A931:I931"/>
    <mergeCell ref="E933:H933"/>
    <mergeCell ref="A1117:I1117"/>
    <mergeCell ref="E1119:H1119"/>
    <mergeCell ref="B1123:E1124"/>
    <mergeCell ref="F1123:F1124"/>
    <mergeCell ref="G1123:G1124"/>
    <mergeCell ref="H1123:H1124"/>
    <mergeCell ref="X102:X103"/>
    <mergeCell ref="Y102:Y103"/>
    <mergeCell ref="Z102:Z103"/>
    <mergeCell ref="AA102:AA103"/>
    <mergeCell ref="B1111:E1111"/>
    <mergeCell ref="T119:W119"/>
    <mergeCell ref="B1091:E1091"/>
    <mergeCell ref="T99:W99"/>
    <mergeCell ref="B1092:G1092"/>
    <mergeCell ref="T100:Y100"/>
    <mergeCell ref="B1094:E1095"/>
    <mergeCell ref="F1094:F1095"/>
    <mergeCell ref="G1094:G1095"/>
    <mergeCell ref="H1094:H1095"/>
    <mergeCell ref="I1094:I1095"/>
    <mergeCell ref="T102:W103"/>
    <mergeCell ref="K904:N904"/>
    <mergeCell ref="O949:O950"/>
    <mergeCell ref="P949:P950"/>
    <mergeCell ref="Q949:Q950"/>
    <mergeCell ref="R949:R950"/>
    <mergeCell ref="B908:E909"/>
    <mergeCell ref="F908:F909"/>
    <mergeCell ref="G908:G909"/>
    <mergeCell ref="H908:H909"/>
    <mergeCell ref="I908:I909"/>
    <mergeCell ref="J1055:R1055"/>
    <mergeCell ref="K908:N909"/>
    <mergeCell ref="O908:O909"/>
    <mergeCell ref="P908:P909"/>
    <mergeCell ref="I937:I938"/>
    <mergeCell ref="Q1094:Q1095"/>
    <mergeCell ref="X81:X82"/>
    <mergeCell ref="Y81:Y82"/>
    <mergeCell ref="Z81:Z82"/>
    <mergeCell ref="AA81:AA82"/>
    <mergeCell ref="B1090:E1090"/>
    <mergeCell ref="T98:W98"/>
    <mergeCell ref="B1073:E1074"/>
    <mergeCell ref="F1073:F1074"/>
    <mergeCell ref="G1073:G1074"/>
    <mergeCell ref="H1073:H1074"/>
    <mergeCell ref="I1073:I1074"/>
    <mergeCell ref="T81:W82"/>
    <mergeCell ref="H1011:H1012"/>
    <mergeCell ref="I1011:I1012"/>
    <mergeCell ref="B987:E987"/>
    <mergeCell ref="B967:E967"/>
    <mergeCell ref="Y69:Y70"/>
    <mergeCell ref="Z69:Z70"/>
    <mergeCell ref="AA69:AA70"/>
    <mergeCell ref="T74:U74"/>
    <mergeCell ref="T75:U75"/>
    <mergeCell ref="B1072:E1072"/>
    <mergeCell ref="T80:W80"/>
    <mergeCell ref="A1055:I1055"/>
    <mergeCell ref="Q1073:Q1074"/>
    <mergeCell ref="R1073:R1074"/>
    <mergeCell ref="K1090:N1090"/>
    <mergeCell ref="K1067:L1067"/>
    <mergeCell ref="O887:O888"/>
    <mergeCell ref="P887:P888"/>
    <mergeCell ref="Q887:Q888"/>
    <mergeCell ref="R887:R888"/>
    <mergeCell ref="S63:AA63"/>
    <mergeCell ref="W65:Z65"/>
    <mergeCell ref="B1061:E1062"/>
    <mergeCell ref="F1061:F1062"/>
    <mergeCell ref="G1061:G1062"/>
    <mergeCell ref="H1061:H1062"/>
    <mergeCell ref="I1061:I1062"/>
    <mergeCell ref="T69:W70"/>
    <mergeCell ref="X69:X70"/>
    <mergeCell ref="B1066:C1066"/>
    <mergeCell ref="S125:AA125"/>
    <mergeCell ref="W127:Z127"/>
    <mergeCell ref="T131:W132"/>
    <mergeCell ref="X131:X132"/>
    <mergeCell ref="Y131:Y132"/>
    <mergeCell ref="Z131:Z132"/>
    <mergeCell ref="AA131:AA132"/>
    <mergeCell ref="T136:U136"/>
    <mergeCell ref="T137:U137"/>
    <mergeCell ref="T142:W142"/>
    <mergeCell ref="B1028:E1028"/>
    <mergeCell ref="B1011:E1012"/>
    <mergeCell ref="F1011:F1012"/>
    <mergeCell ref="G1011:G1012"/>
    <mergeCell ref="A993:I993"/>
    <mergeCell ref="B904:E904"/>
    <mergeCell ref="K1066:L1066"/>
    <mergeCell ref="B880:C880"/>
    <mergeCell ref="K880:L880"/>
    <mergeCell ref="K881:L881"/>
    <mergeCell ref="K886:N886"/>
    <mergeCell ref="K887:N888"/>
    <mergeCell ref="K1359:N1359"/>
    <mergeCell ref="B1029:E1029"/>
    <mergeCell ref="K1339:N1339"/>
    <mergeCell ref="B1030:G1030"/>
    <mergeCell ref="K1340:P1340"/>
    <mergeCell ref="B1032:E1033"/>
    <mergeCell ref="F1032:F1033"/>
    <mergeCell ref="G1032:G1033"/>
    <mergeCell ref="H1032:H1033"/>
    <mergeCell ref="I1032:I1033"/>
    <mergeCell ref="K1342:N1343"/>
    <mergeCell ref="K1029:N1029"/>
    <mergeCell ref="K1030:P1030"/>
    <mergeCell ref="K1032:N1033"/>
    <mergeCell ref="O1032:O1033"/>
    <mergeCell ref="P1032:P1033"/>
    <mergeCell ref="Q1032:Q1033"/>
    <mergeCell ref="K1049:N1049"/>
    <mergeCell ref="O1321:O1322"/>
    <mergeCell ref="P1321:P1322"/>
    <mergeCell ref="Q1321:Q1322"/>
    <mergeCell ref="K1338:N1338"/>
    <mergeCell ref="K1321:N1322"/>
    <mergeCell ref="P1309:P1310"/>
    <mergeCell ref="O1259:O1260"/>
    <mergeCell ref="P1259:P1260"/>
    <mergeCell ref="Q1259:Q1260"/>
    <mergeCell ref="K1297:N1297"/>
    <mergeCell ref="B1258:E1258"/>
    <mergeCell ref="B1259:E1260"/>
    <mergeCell ref="F1259:F1260"/>
    <mergeCell ref="G1259:G1260"/>
    <mergeCell ref="J1303:R1303"/>
    <mergeCell ref="N1305:Q1305"/>
    <mergeCell ref="B999:E1000"/>
    <mergeCell ref="F999:F1000"/>
    <mergeCell ref="G999:G1000"/>
    <mergeCell ref="H999:H1000"/>
    <mergeCell ref="I999:I1000"/>
    <mergeCell ref="K1309:N1310"/>
    <mergeCell ref="O1309:O1310"/>
    <mergeCell ref="O1218:O1219"/>
    <mergeCell ref="P1218:P1219"/>
    <mergeCell ref="Q1218:Q1219"/>
    <mergeCell ref="R1218:R1219"/>
    <mergeCell ref="K1235:N1235"/>
    <mergeCell ref="K1215:N1215"/>
    <mergeCell ref="O1342:O1343"/>
    <mergeCell ref="P1342:P1343"/>
    <mergeCell ref="Q1342:Q1343"/>
    <mergeCell ref="R1342:R1343"/>
    <mergeCell ref="B1036:E1036"/>
    <mergeCell ref="B1049:E1049"/>
    <mergeCell ref="R1032:R1033"/>
    <mergeCell ref="R1321:R1322"/>
    <mergeCell ref="R1259:R1260"/>
    <mergeCell ref="H1259:H1260"/>
    <mergeCell ref="I1259:I1260"/>
    <mergeCell ref="G1280:G1281"/>
    <mergeCell ref="H1280:H1281"/>
    <mergeCell ref="I1280:I1281"/>
    <mergeCell ref="B1276:E1276"/>
    <mergeCell ref="K1276:N1276"/>
    <mergeCell ref="R999:R1000"/>
    <mergeCell ref="J1179:R1179"/>
    <mergeCell ref="N1181:Q1181"/>
    <mergeCell ref="K1185:N1186"/>
    <mergeCell ref="O1094:O1095"/>
    <mergeCell ref="P1094:P1095"/>
    <mergeCell ref="K1094:N1095"/>
    <mergeCell ref="Q1309:Q1310"/>
    <mergeCell ref="R1309:R1310"/>
    <mergeCell ref="K1314:L1314"/>
    <mergeCell ref="K1315:L1315"/>
    <mergeCell ref="B1010:E1010"/>
    <mergeCell ref="K1320:N1320"/>
    <mergeCell ref="B1004:C1004"/>
    <mergeCell ref="K1004:L1004"/>
    <mergeCell ref="K1005:L1005"/>
    <mergeCell ref="K1010:N1010"/>
    <mergeCell ref="K1011:N1012"/>
    <mergeCell ref="O1011:O1012"/>
    <mergeCell ref="P1011:P1012"/>
    <mergeCell ref="Q1011:Q1012"/>
    <mergeCell ref="R1011:R1012"/>
    <mergeCell ref="K1028:N1028"/>
    <mergeCell ref="K1277:N1277"/>
    <mergeCell ref="K1278:P1278"/>
    <mergeCell ref="K1280:N1281"/>
    <mergeCell ref="O1280:O1281"/>
    <mergeCell ref="P1280:P1281"/>
    <mergeCell ref="Q1280:Q1281"/>
    <mergeCell ref="R1280:R1281"/>
    <mergeCell ref="G1218:G1219"/>
    <mergeCell ref="H1218:H1219"/>
    <mergeCell ref="P1073:P1074"/>
    <mergeCell ref="K1216:P1216"/>
    <mergeCell ref="B970:E971"/>
    <mergeCell ref="F970:F971"/>
    <mergeCell ref="G970:G971"/>
    <mergeCell ref="H970:H971"/>
    <mergeCell ref="I970:I971"/>
    <mergeCell ref="K1072:N1072"/>
    <mergeCell ref="K1218:N1219"/>
    <mergeCell ref="J993:R993"/>
    <mergeCell ref="N995:Q995"/>
    <mergeCell ref="K999:N1000"/>
    <mergeCell ref="O999:O1000"/>
    <mergeCell ref="P999:P1000"/>
    <mergeCell ref="Q999:Q1000"/>
    <mergeCell ref="O1197:O1198"/>
    <mergeCell ref="P1197:P1198"/>
    <mergeCell ref="Q1197:Q1198"/>
    <mergeCell ref="R1197:R1198"/>
    <mergeCell ref="K1214:N1214"/>
    <mergeCell ref="K1196:N1196"/>
    <mergeCell ref="K1197:N1198"/>
    <mergeCell ref="O1185:O1186"/>
    <mergeCell ref="P1185:P1186"/>
    <mergeCell ref="Q1185:Q1186"/>
    <mergeCell ref="R1185:R1186"/>
    <mergeCell ref="K1190:L1190"/>
    <mergeCell ref="K1191:L1191"/>
    <mergeCell ref="K1073:N1074"/>
    <mergeCell ref="O1061:O1062"/>
    <mergeCell ref="P1061:P1062"/>
    <mergeCell ref="Q1061:Q1062"/>
    <mergeCell ref="R1061:R1062"/>
    <mergeCell ref="O1073:O1074"/>
    <mergeCell ref="N1057:Q1057"/>
    <mergeCell ref="B875:E876"/>
    <mergeCell ref="F875:F876"/>
    <mergeCell ref="G875:G876"/>
    <mergeCell ref="H875:H876"/>
    <mergeCell ref="I875:I876"/>
    <mergeCell ref="K1061:N1062"/>
    <mergeCell ref="O970:O971"/>
    <mergeCell ref="P970:P971"/>
    <mergeCell ref="Q970:Q971"/>
    <mergeCell ref="R970:R971"/>
    <mergeCell ref="B863:E863"/>
    <mergeCell ref="K987:N987"/>
    <mergeCell ref="B843:E843"/>
    <mergeCell ref="K967:N967"/>
    <mergeCell ref="B844:G844"/>
    <mergeCell ref="K968:P968"/>
    <mergeCell ref="B846:E847"/>
    <mergeCell ref="F846:F847"/>
    <mergeCell ref="G846:G847"/>
    <mergeCell ref="H846:H847"/>
    <mergeCell ref="I846:I847"/>
    <mergeCell ref="K970:N971"/>
    <mergeCell ref="J869:R869"/>
    <mergeCell ref="N871:Q871"/>
    <mergeCell ref="K875:N876"/>
    <mergeCell ref="O875:O876"/>
    <mergeCell ref="P875:P876"/>
    <mergeCell ref="Q875:Q876"/>
    <mergeCell ref="B886:E886"/>
    <mergeCell ref="G949:G950"/>
    <mergeCell ref="K966:N966"/>
    <mergeCell ref="B887:E888"/>
    <mergeCell ref="K948:N948"/>
    <mergeCell ref="B825:E826"/>
    <mergeCell ref="F825:F826"/>
    <mergeCell ref="G825:G826"/>
    <mergeCell ref="H825:H826"/>
    <mergeCell ref="I825:I826"/>
    <mergeCell ref="K949:N950"/>
    <mergeCell ref="O937:O938"/>
    <mergeCell ref="P937:P938"/>
    <mergeCell ref="Q937:Q938"/>
    <mergeCell ref="R937:R938"/>
    <mergeCell ref="K942:L942"/>
    <mergeCell ref="K943:L943"/>
    <mergeCell ref="R875:R876"/>
    <mergeCell ref="R908:R909"/>
    <mergeCell ref="K925:N925"/>
    <mergeCell ref="O825:O826"/>
    <mergeCell ref="P825:P826"/>
    <mergeCell ref="Q825:Q826"/>
    <mergeCell ref="R825:R826"/>
    <mergeCell ref="A869:I869"/>
    <mergeCell ref="J931:R931"/>
    <mergeCell ref="E871:H871"/>
    <mergeCell ref="F887:F888"/>
    <mergeCell ref="G887:G888"/>
    <mergeCell ref="H887:H888"/>
    <mergeCell ref="I887:I888"/>
    <mergeCell ref="N933:Q933"/>
    <mergeCell ref="Q908:Q909"/>
    <mergeCell ref="H949:H950"/>
    <mergeCell ref="K937:N938"/>
    <mergeCell ref="O846:O847"/>
    <mergeCell ref="P846:P847"/>
    <mergeCell ref="Q846:Q847"/>
    <mergeCell ref="R846:R847"/>
    <mergeCell ref="B801:E801"/>
    <mergeCell ref="K863:N863"/>
    <mergeCell ref="B781:E781"/>
    <mergeCell ref="K843:N843"/>
    <mergeCell ref="B782:G782"/>
    <mergeCell ref="K844:P844"/>
    <mergeCell ref="B784:E785"/>
    <mergeCell ref="F784:F785"/>
    <mergeCell ref="G784:G785"/>
    <mergeCell ref="H784:H785"/>
    <mergeCell ref="I784:I785"/>
    <mergeCell ref="K846:N847"/>
    <mergeCell ref="K781:N781"/>
    <mergeCell ref="K782:P782"/>
    <mergeCell ref="K784:N785"/>
    <mergeCell ref="O784:O785"/>
    <mergeCell ref="P784:P785"/>
    <mergeCell ref="Q784:Q785"/>
    <mergeCell ref="B842:E842"/>
    <mergeCell ref="K842:N842"/>
    <mergeCell ref="B824:E824"/>
    <mergeCell ref="K824:N824"/>
    <mergeCell ref="H763:H764"/>
    <mergeCell ref="I763:I764"/>
    <mergeCell ref="K825:N826"/>
    <mergeCell ref="O813:O814"/>
    <mergeCell ref="P813:P814"/>
    <mergeCell ref="Q813:Q814"/>
    <mergeCell ref="R813:R814"/>
    <mergeCell ref="K818:L818"/>
    <mergeCell ref="K819:L819"/>
    <mergeCell ref="K780:N780"/>
    <mergeCell ref="R784:R785"/>
    <mergeCell ref="K801:N801"/>
    <mergeCell ref="A807:I807"/>
    <mergeCell ref="K763:N764"/>
    <mergeCell ref="O763:O764"/>
    <mergeCell ref="P763:P764"/>
    <mergeCell ref="Q763:Q764"/>
    <mergeCell ref="R763:R764"/>
    <mergeCell ref="E809:H809"/>
    <mergeCell ref="B813:E814"/>
    <mergeCell ref="F813:F814"/>
    <mergeCell ref="G813:G814"/>
    <mergeCell ref="H813:H814"/>
    <mergeCell ref="I813:I814"/>
    <mergeCell ref="A745:I745"/>
    <mergeCell ref="J807:R807"/>
    <mergeCell ref="E747:H747"/>
    <mergeCell ref="N809:Q809"/>
    <mergeCell ref="B751:E752"/>
    <mergeCell ref="F751:F752"/>
    <mergeCell ref="G751:G752"/>
    <mergeCell ref="H751:H752"/>
    <mergeCell ref="I751:I752"/>
    <mergeCell ref="K813:N814"/>
    <mergeCell ref="O722:O723"/>
    <mergeCell ref="P722:P723"/>
    <mergeCell ref="Q722:Q723"/>
    <mergeCell ref="R722:R723"/>
    <mergeCell ref="B726:E726"/>
    <mergeCell ref="B739:E739"/>
    <mergeCell ref="K739:N739"/>
    <mergeCell ref="B780:E780"/>
    <mergeCell ref="J745:R745"/>
    <mergeCell ref="N747:Q747"/>
    <mergeCell ref="K751:N752"/>
    <mergeCell ref="O751:O752"/>
    <mergeCell ref="P751:P752"/>
    <mergeCell ref="Q751:Q752"/>
    <mergeCell ref="R751:R752"/>
    <mergeCell ref="K756:L756"/>
    <mergeCell ref="K757:L757"/>
    <mergeCell ref="B762:E762"/>
    <mergeCell ref="K762:N762"/>
    <mergeCell ref="B763:E764"/>
    <mergeCell ref="F763:F764"/>
    <mergeCell ref="G763:G764"/>
    <mergeCell ref="B719:E719"/>
    <mergeCell ref="K719:N719"/>
    <mergeCell ref="B720:G720"/>
    <mergeCell ref="K720:P720"/>
    <mergeCell ref="B722:E723"/>
    <mergeCell ref="F722:F723"/>
    <mergeCell ref="G722:G723"/>
    <mergeCell ref="H722:H723"/>
    <mergeCell ref="I722:I723"/>
    <mergeCell ref="K722:N723"/>
    <mergeCell ref="O701:O702"/>
    <mergeCell ref="P701:P702"/>
    <mergeCell ref="Q701:Q702"/>
    <mergeCell ref="R701:R702"/>
    <mergeCell ref="B718:E718"/>
    <mergeCell ref="K718:N718"/>
    <mergeCell ref="B701:E702"/>
    <mergeCell ref="F701:F702"/>
    <mergeCell ref="G701:G702"/>
    <mergeCell ref="H701:H702"/>
    <mergeCell ref="I701:I702"/>
    <mergeCell ref="K701:N702"/>
    <mergeCell ref="B700:E700"/>
    <mergeCell ref="K700:N700"/>
    <mergeCell ref="A683:I683"/>
    <mergeCell ref="J683:R683"/>
    <mergeCell ref="N685:Q685"/>
    <mergeCell ref="B689:E690"/>
    <mergeCell ref="F689:F690"/>
    <mergeCell ref="G689:G690"/>
    <mergeCell ref="H689:H690"/>
    <mergeCell ref="I689:I690"/>
    <mergeCell ref="K689:N690"/>
    <mergeCell ref="O689:O690"/>
    <mergeCell ref="O660:O661"/>
    <mergeCell ref="P660:P661"/>
    <mergeCell ref="Q660:Q661"/>
    <mergeCell ref="R660:R661"/>
    <mergeCell ref="B677:E677"/>
    <mergeCell ref="K677:N677"/>
    <mergeCell ref="B657:E657"/>
    <mergeCell ref="K657:N657"/>
    <mergeCell ref="B658:G658"/>
    <mergeCell ref="K658:P658"/>
    <mergeCell ref="B660:E661"/>
    <mergeCell ref="F660:F661"/>
    <mergeCell ref="G660:G661"/>
    <mergeCell ref="H660:H661"/>
    <mergeCell ref="I660:I661"/>
    <mergeCell ref="K660:N661"/>
    <mergeCell ref="O639:O640"/>
    <mergeCell ref="P639:P640"/>
    <mergeCell ref="Q639:Q640"/>
    <mergeCell ref="R639:R640"/>
    <mergeCell ref="B656:E656"/>
    <mergeCell ref="K656:N656"/>
    <mergeCell ref="B639:E640"/>
    <mergeCell ref="F639:F640"/>
    <mergeCell ref="G639:G640"/>
    <mergeCell ref="H639:H640"/>
    <mergeCell ref="I639:I640"/>
    <mergeCell ref="K639:N640"/>
    <mergeCell ref="B638:E638"/>
    <mergeCell ref="K638:N638"/>
    <mergeCell ref="A621:I621"/>
    <mergeCell ref="J621:R621"/>
    <mergeCell ref="N623:Q623"/>
    <mergeCell ref="B627:E628"/>
    <mergeCell ref="F627:F628"/>
    <mergeCell ref="G627:G628"/>
    <mergeCell ref="H627:H628"/>
    <mergeCell ref="I627:I628"/>
    <mergeCell ref="K627:N628"/>
    <mergeCell ref="O627:O628"/>
    <mergeCell ref="O598:O599"/>
    <mergeCell ref="P598:P599"/>
    <mergeCell ref="Q598:Q599"/>
    <mergeCell ref="R598:R599"/>
    <mergeCell ref="B602:E602"/>
    <mergeCell ref="B615:E615"/>
    <mergeCell ref="K615:N615"/>
    <mergeCell ref="B595:E595"/>
    <mergeCell ref="K595:N595"/>
    <mergeCell ref="B596:G596"/>
    <mergeCell ref="K596:P596"/>
    <mergeCell ref="B598:E599"/>
    <mergeCell ref="F598:F599"/>
    <mergeCell ref="G598:G599"/>
    <mergeCell ref="H598:H599"/>
    <mergeCell ref="I598:I599"/>
    <mergeCell ref="K598:N599"/>
    <mergeCell ref="O577:O578"/>
    <mergeCell ref="P577:P578"/>
    <mergeCell ref="Q577:Q578"/>
    <mergeCell ref="R577:R578"/>
    <mergeCell ref="B594:E594"/>
    <mergeCell ref="K594:N594"/>
    <mergeCell ref="B577:E578"/>
    <mergeCell ref="F577:F578"/>
    <mergeCell ref="G577:G578"/>
    <mergeCell ref="H577:H578"/>
    <mergeCell ref="I577:I578"/>
    <mergeCell ref="K577:N578"/>
    <mergeCell ref="P565:P566"/>
    <mergeCell ref="Q565:Q566"/>
    <mergeCell ref="R565:R566"/>
    <mergeCell ref="B576:E576"/>
    <mergeCell ref="K576:N576"/>
    <mergeCell ref="A559:I559"/>
    <mergeCell ref="J559:R559"/>
    <mergeCell ref="N561:Q561"/>
    <mergeCell ref="B565:E566"/>
    <mergeCell ref="F565:F566"/>
    <mergeCell ref="G565:G566"/>
    <mergeCell ref="H565:H566"/>
    <mergeCell ref="I565:I566"/>
    <mergeCell ref="K565:N566"/>
    <mergeCell ref="O565:O566"/>
    <mergeCell ref="O536:O537"/>
    <mergeCell ref="P536:P537"/>
    <mergeCell ref="Q536:Q537"/>
    <mergeCell ref="R536:R537"/>
    <mergeCell ref="B553:E553"/>
    <mergeCell ref="K553:N553"/>
    <mergeCell ref="B533:E533"/>
    <mergeCell ref="K533:N533"/>
    <mergeCell ref="B534:G534"/>
    <mergeCell ref="K534:P534"/>
    <mergeCell ref="B536:E537"/>
    <mergeCell ref="F536:F537"/>
    <mergeCell ref="G536:G537"/>
    <mergeCell ref="H536:H537"/>
    <mergeCell ref="I536:I537"/>
    <mergeCell ref="K536:N537"/>
    <mergeCell ref="O515:O516"/>
    <mergeCell ref="P515:P516"/>
    <mergeCell ref="Q515:Q516"/>
    <mergeCell ref="R515:R516"/>
    <mergeCell ref="B532:E532"/>
    <mergeCell ref="K532:N532"/>
    <mergeCell ref="B514:E514"/>
    <mergeCell ref="K514:N514"/>
    <mergeCell ref="B515:E516"/>
    <mergeCell ref="F515:F516"/>
    <mergeCell ref="G515:G516"/>
    <mergeCell ref="H515:H516"/>
    <mergeCell ref="I515:I516"/>
    <mergeCell ref="K515:N516"/>
    <mergeCell ref="O503:O504"/>
    <mergeCell ref="P503:P504"/>
    <mergeCell ref="Q503:Q504"/>
    <mergeCell ref="R503:R504"/>
    <mergeCell ref="A497:I497"/>
    <mergeCell ref="J497:R497"/>
    <mergeCell ref="E499:H499"/>
    <mergeCell ref="N499:Q499"/>
    <mergeCell ref="B503:E504"/>
    <mergeCell ref="F503:F504"/>
    <mergeCell ref="G503:G504"/>
    <mergeCell ref="H503:H504"/>
    <mergeCell ref="I503:I504"/>
    <mergeCell ref="K503:N504"/>
    <mergeCell ref="O474:O475"/>
    <mergeCell ref="P474:P475"/>
    <mergeCell ref="Q474:Q475"/>
    <mergeCell ref="R474:R475"/>
    <mergeCell ref="B491:E491"/>
    <mergeCell ref="K491:N491"/>
    <mergeCell ref="B471:E471"/>
    <mergeCell ref="K471:N471"/>
    <mergeCell ref="B472:G472"/>
    <mergeCell ref="K472:P472"/>
    <mergeCell ref="B474:E475"/>
    <mergeCell ref="F474:F475"/>
    <mergeCell ref="G474:G475"/>
    <mergeCell ref="H474:H475"/>
    <mergeCell ref="I474:I475"/>
    <mergeCell ref="K474:N475"/>
    <mergeCell ref="O453:O454"/>
    <mergeCell ref="P453:P454"/>
    <mergeCell ref="Q453:Q454"/>
    <mergeCell ref="R453:R454"/>
    <mergeCell ref="B470:E470"/>
    <mergeCell ref="K470:N470"/>
    <mergeCell ref="B452:E452"/>
    <mergeCell ref="K452:N452"/>
    <mergeCell ref="B453:E454"/>
    <mergeCell ref="F453:F454"/>
    <mergeCell ref="G453:G454"/>
    <mergeCell ref="H453:H454"/>
    <mergeCell ref="I453:I454"/>
    <mergeCell ref="K453:N454"/>
    <mergeCell ref="O441:O442"/>
    <mergeCell ref="P441:P442"/>
    <mergeCell ref="Q441:Q442"/>
    <mergeCell ref="R441:R442"/>
    <mergeCell ref="K446:L446"/>
    <mergeCell ref="K447:L447"/>
    <mergeCell ref="A435:I435"/>
    <mergeCell ref="J435:R435"/>
    <mergeCell ref="E437:H437"/>
    <mergeCell ref="N437:Q437"/>
    <mergeCell ref="B441:E442"/>
    <mergeCell ref="F441:F442"/>
    <mergeCell ref="G441:G442"/>
    <mergeCell ref="H441:H442"/>
    <mergeCell ref="I441:I442"/>
    <mergeCell ref="K441:N442"/>
    <mergeCell ref="O412:O413"/>
    <mergeCell ref="P412:P413"/>
    <mergeCell ref="Q412:Q413"/>
    <mergeCell ref="R412:R413"/>
    <mergeCell ref="B429:E429"/>
    <mergeCell ref="K429:N429"/>
    <mergeCell ref="B409:E409"/>
    <mergeCell ref="K409:N409"/>
    <mergeCell ref="B410:G410"/>
    <mergeCell ref="K410:P410"/>
    <mergeCell ref="B412:E413"/>
    <mergeCell ref="F412:F413"/>
    <mergeCell ref="G412:G413"/>
    <mergeCell ref="H412:H413"/>
    <mergeCell ref="I412:I413"/>
    <mergeCell ref="K412:N413"/>
    <mergeCell ref="O391:O392"/>
    <mergeCell ref="P391:P392"/>
    <mergeCell ref="Q391:Q392"/>
    <mergeCell ref="R391:R392"/>
    <mergeCell ref="B408:E408"/>
    <mergeCell ref="K408:N408"/>
    <mergeCell ref="B390:E390"/>
    <mergeCell ref="K390:N390"/>
    <mergeCell ref="B391:E392"/>
    <mergeCell ref="F391:F392"/>
    <mergeCell ref="G391:G392"/>
    <mergeCell ref="H391:H392"/>
    <mergeCell ref="I391:I392"/>
    <mergeCell ref="K391:N392"/>
    <mergeCell ref="O379:O380"/>
    <mergeCell ref="P379:P380"/>
    <mergeCell ref="Q379:Q380"/>
    <mergeCell ref="R379:R380"/>
    <mergeCell ref="K384:L384"/>
    <mergeCell ref="K385:L385"/>
    <mergeCell ref="A373:I373"/>
    <mergeCell ref="J373:R373"/>
    <mergeCell ref="E375:H375"/>
    <mergeCell ref="N375:Q375"/>
    <mergeCell ref="B379:E380"/>
    <mergeCell ref="F379:F380"/>
    <mergeCell ref="G379:G380"/>
    <mergeCell ref="H379:H380"/>
    <mergeCell ref="I379:I380"/>
    <mergeCell ref="K379:N380"/>
    <mergeCell ref="O350:O351"/>
    <mergeCell ref="P350:P351"/>
    <mergeCell ref="Q350:Q351"/>
    <mergeCell ref="R350:R351"/>
    <mergeCell ref="B367:E367"/>
    <mergeCell ref="K367:N367"/>
    <mergeCell ref="B347:E347"/>
    <mergeCell ref="K347:N347"/>
    <mergeCell ref="B348:G348"/>
    <mergeCell ref="K348:P348"/>
    <mergeCell ref="B350:E351"/>
    <mergeCell ref="F350:F351"/>
    <mergeCell ref="G350:G351"/>
    <mergeCell ref="H350:H351"/>
    <mergeCell ref="I350:I351"/>
    <mergeCell ref="K350:N351"/>
    <mergeCell ref="O329:O330"/>
    <mergeCell ref="P329:P330"/>
    <mergeCell ref="Q329:Q330"/>
    <mergeCell ref="R329:R330"/>
    <mergeCell ref="B346:E346"/>
    <mergeCell ref="K346:N346"/>
    <mergeCell ref="B328:E328"/>
    <mergeCell ref="K328:N328"/>
    <mergeCell ref="B329:E330"/>
    <mergeCell ref="F329:F330"/>
    <mergeCell ref="G329:G330"/>
    <mergeCell ref="H329:H330"/>
    <mergeCell ref="I329:I330"/>
    <mergeCell ref="K329:N330"/>
    <mergeCell ref="O317:O318"/>
    <mergeCell ref="P317:P318"/>
    <mergeCell ref="Q317:Q318"/>
    <mergeCell ref="R317:R318"/>
    <mergeCell ref="K322:L322"/>
    <mergeCell ref="K323:L323"/>
    <mergeCell ref="A311:I311"/>
    <mergeCell ref="J311:R311"/>
    <mergeCell ref="E313:H313"/>
    <mergeCell ref="N313:Q313"/>
    <mergeCell ref="B317:E318"/>
    <mergeCell ref="F317:F318"/>
    <mergeCell ref="G317:G318"/>
    <mergeCell ref="H317:H318"/>
    <mergeCell ref="I317:I318"/>
    <mergeCell ref="K317:N318"/>
    <mergeCell ref="O288:O289"/>
    <mergeCell ref="P288:P289"/>
    <mergeCell ref="Q288:Q289"/>
    <mergeCell ref="R288:R289"/>
    <mergeCell ref="B305:E305"/>
    <mergeCell ref="K305:N305"/>
    <mergeCell ref="B285:E285"/>
    <mergeCell ref="K285:N285"/>
    <mergeCell ref="B286:G286"/>
    <mergeCell ref="K286:P286"/>
    <mergeCell ref="B288:E289"/>
    <mergeCell ref="F288:F289"/>
    <mergeCell ref="G288:G289"/>
    <mergeCell ref="H288:H289"/>
    <mergeCell ref="I288:I289"/>
    <mergeCell ref="K288:N289"/>
    <mergeCell ref="O267:O268"/>
    <mergeCell ref="P267:P268"/>
    <mergeCell ref="Q267:Q268"/>
    <mergeCell ref="R267:R268"/>
    <mergeCell ref="B284:E284"/>
    <mergeCell ref="K284:N284"/>
    <mergeCell ref="B266:E266"/>
    <mergeCell ref="K266:N266"/>
    <mergeCell ref="B267:E268"/>
    <mergeCell ref="F267:F268"/>
    <mergeCell ref="G267:G268"/>
    <mergeCell ref="H267:H268"/>
    <mergeCell ref="I267:I268"/>
    <mergeCell ref="K267:N268"/>
    <mergeCell ref="O255:O256"/>
    <mergeCell ref="P255:P256"/>
    <mergeCell ref="Q255:Q256"/>
    <mergeCell ref="R255:R256"/>
    <mergeCell ref="A249:I249"/>
    <mergeCell ref="J249:R249"/>
    <mergeCell ref="E251:H251"/>
    <mergeCell ref="N251:Q251"/>
    <mergeCell ref="B255:E256"/>
    <mergeCell ref="F255:F256"/>
    <mergeCell ref="G255:G256"/>
    <mergeCell ref="H255:H256"/>
    <mergeCell ref="I255:I256"/>
    <mergeCell ref="K255:N256"/>
    <mergeCell ref="O226:O227"/>
    <mergeCell ref="P226:P227"/>
    <mergeCell ref="Q226:Q227"/>
    <mergeCell ref="R226:R227"/>
    <mergeCell ref="B243:E243"/>
    <mergeCell ref="K243:N243"/>
    <mergeCell ref="B223:E223"/>
    <mergeCell ref="K223:N223"/>
    <mergeCell ref="B224:G224"/>
    <mergeCell ref="K224:P224"/>
    <mergeCell ref="B226:E227"/>
    <mergeCell ref="F226:F227"/>
    <mergeCell ref="G226:G227"/>
    <mergeCell ref="H226:H227"/>
    <mergeCell ref="I226:I227"/>
    <mergeCell ref="K226:N227"/>
    <mergeCell ref="O205:O206"/>
    <mergeCell ref="P205:P206"/>
    <mergeCell ref="Q205:Q206"/>
    <mergeCell ref="R205:R206"/>
    <mergeCell ref="B222:E222"/>
    <mergeCell ref="K222:N222"/>
    <mergeCell ref="B204:E204"/>
    <mergeCell ref="K204:N204"/>
    <mergeCell ref="B205:E206"/>
    <mergeCell ref="F205:F206"/>
    <mergeCell ref="G205:G206"/>
    <mergeCell ref="H205:H206"/>
    <mergeCell ref="I205:I206"/>
    <mergeCell ref="K205:N206"/>
    <mergeCell ref="Q143:Q144"/>
    <mergeCell ref="R143:R144"/>
    <mergeCell ref="B160:E160"/>
    <mergeCell ref="K160:N160"/>
    <mergeCell ref="B142:E142"/>
    <mergeCell ref="K142:N142"/>
    <mergeCell ref="B143:E144"/>
    <mergeCell ref="F143:F144"/>
    <mergeCell ref="G143:G144"/>
    <mergeCell ref="H143:H144"/>
    <mergeCell ref="I143:I144"/>
    <mergeCell ref="K143:N144"/>
    <mergeCell ref="O193:O194"/>
    <mergeCell ref="P193:P194"/>
    <mergeCell ref="Q193:Q194"/>
    <mergeCell ref="R193:R194"/>
    <mergeCell ref="A187:I187"/>
    <mergeCell ref="J187:R187"/>
    <mergeCell ref="E189:H189"/>
    <mergeCell ref="N189:Q189"/>
    <mergeCell ref="B193:E194"/>
    <mergeCell ref="F193:F194"/>
    <mergeCell ref="G193:G194"/>
    <mergeCell ref="H193:H194"/>
    <mergeCell ref="I193:I194"/>
    <mergeCell ref="K193:N194"/>
    <mergeCell ref="O164:O165"/>
    <mergeCell ref="P164:P165"/>
    <mergeCell ref="Q164:Q165"/>
    <mergeCell ref="R164:R165"/>
    <mergeCell ref="B181:E181"/>
    <mergeCell ref="K181:N181"/>
    <mergeCell ref="I81:I82"/>
    <mergeCell ref="K81:N82"/>
    <mergeCell ref="O131:O132"/>
    <mergeCell ref="P131:P132"/>
    <mergeCell ref="Q131:Q132"/>
    <mergeCell ref="R131:R132"/>
    <mergeCell ref="A125:I125"/>
    <mergeCell ref="J125:R125"/>
    <mergeCell ref="E127:H127"/>
    <mergeCell ref="N127:Q127"/>
    <mergeCell ref="B131:E132"/>
    <mergeCell ref="F131:F132"/>
    <mergeCell ref="G131:G132"/>
    <mergeCell ref="H131:H132"/>
    <mergeCell ref="I131:I132"/>
    <mergeCell ref="K131:N132"/>
    <mergeCell ref="O102:O103"/>
    <mergeCell ref="P102:P103"/>
    <mergeCell ref="Q102:Q103"/>
    <mergeCell ref="R102:R103"/>
    <mergeCell ref="B119:E119"/>
    <mergeCell ref="K119:N119"/>
    <mergeCell ref="T739:W739"/>
    <mergeCell ref="O40:O41"/>
    <mergeCell ref="P40:P41"/>
    <mergeCell ref="Q40:Q41"/>
    <mergeCell ref="R40:R41"/>
    <mergeCell ref="T722:W723"/>
    <mergeCell ref="B40:E41"/>
    <mergeCell ref="F40:F41"/>
    <mergeCell ref="G40:G41"/>
    <mergeCell ref="H40:H41"/>
    <mergeCell ref="I40:I41"/>
    <mergeCell ref="K40:N41"/>
    <mergeCell ref="T57:W57"/>
    <mergeCell ref="T143:W144"/>
    <mergeCell ref="O69:O70"/>
    <mergeCell ref="P69:P70"/>
    <mergeCell ref="Q69:Q70"/>
    <mergeCell ref="R69:R70"/>
    <mergeCell ref="B99:E99"/>
    <mergeCell ref="K99:N99"/>
    <mergeCell ref="B100:G100"/>
    <mergeCell ref="K100:P100"/>
    <mergeCell ref="B102:E103"/>
    <mergeCell ref="F102:F103"/>
    <mergeCell ref="G102:G103"/>
    <mergeCell ref="H102:H103"/>
    <mergeCell ref="I102:I103"/>
    <mergeCell ref="K102:N103"/>
    <mergeCell ref="O81:O82"/>
    <mergeCell ref="P81:P82"/>
    <mergeCell ref="Q81:Q82"/>
    <mergeCell ref="R81:R82"/>
    <mergeCell ref="K69:N70"/>
    <mergeCell ref="B37:E37"/>
    <mergeCell ref="K37:N37"/>
    <mergeCell ref="T719:W719"/>
    <mergeCell ref="B38:G38"/>
    <mergeCell ref="K38:P38"/>
    <mergeCell ref="T720:Y720"/>
    <mergeCell ref="Y701:Y702"/>
    <mergeCell ref="B161:E161"/>
    <mergeCell ref="K161:N161"/>
    <mergeCell ref="B162:G162"/>
    <mergeCell ref="K162:P162"/>
    <mergeCell ref="B164:E165"/>
    <mergeCell ref="F164:F165"/>
    <mergeCell ref="G164:G165"/>
    <mergeCell ref="H164:H165"/>
    <mergeCell ref="I164:I165"/>
    <mergeCell ref="K164:N165"/>
    <mergeCell ref="O143:O144"/>
    <mergeCell ref="P143:P144"/>
    <mergeCell ref="B57:E57"/>
    <mergeCell ref="K57:N57"/>
    <mergeCell ref="Y143:Y144"/>
    <mergeCell ref="B98:E98"/>
    <mergeCell ref="K98:N98"/>
    <mergeCell ref="X143:X144"/>
    <mergeCell ref="B80:E80"/>
    <mergeCell ref="K80:N80"/>
    <mergeCell ref="B81:E82"/>
    <mergeCell ref="F81:F82"/>
    <mergeCell ref="G81:G82"/>
    <mergeCell ref="H81:H82"/>
    <mergeCell ref="B36:E36"/>
    <mergeCell ref="K36:N36"/>
    <mergeCell ref="T718:W718"/>
    <mergeCell ref="O19:O20"/>
    <mergeCell ref="P19:P20"/>
    <mergeCell ref="Q19:Q20"/>
    <mergeCell ref="R19:R20"/>
    <mergeCell ref="T701:W702"/>
    <mergeCell ref="X701:X702"/>
    <mergeCell ref="B19:E20"/>
    <mergeCell ref="F19:F20"/>
    <mergeCell ref="G19:G20"/>
    <mergeCell ref="H19:H20"/>
    <mergeCell ref="I19:I20"/>
    <mergeCell ref="K19:N20"/>
    <mergeCell ref="Z143:Z144"/>
    <mergeCell ref="AA143:AA144"/>
    <mergeCell ref="T160:W160"/>
    <mergeCell ref="T161:W161"/>
    <mergeCell ref="T162:Y162"/>
    <mergeCell ref="T164:W165"/>
    <mergeCell ref="X164:X165"/>
    <mergeCell ref="Y164:Y165"/>
    <mergeCell ref="A63:I63"/>
    <mergeCell ref="J63:R63"/>
    <mergeCell ref="E65:H65"/>
    <mergeCell ref="N65:Q65"/>
    <mergeCell ref="B69:E70"/>
    <mergeCell ref="F69:F70"/>
    <mergeCell ref="G69:G70"/>
    <mergeCell ref="H69:H70"/>
    <mergeCell ref="I69:I70"/>
    <mergeCell ref="A1:I1"/>
    <mergeCell ref="J1:R1"/>
    <mergeCell ref="S683:AA683"/>
    <mergeCell ref="E3:H3"/>
    <mergeCell ref="N3:Q3"/>
    <mergeCell ref="W685:Z685"/>
    <mergeCell ref="Y689:Y690"/>
    <mergeCell ref="Z689:Z690"/>
    <mergeCell ref="AA689:AA690"/>
    <mergeCell ref="T694:U694"/>
    <mergeCell ref="T695:U695"/>
    <mergeCell ref="B18:E18"/>
    <mergeCell ref="K18:N18"/>
    <mergeCell ref="T700:W700"/>
    <mergeCell ref="O7:O8"/>
    <mergeCell ref="P7:P8"/>
    <mergeCell ref="Q7:Q8"/>
    <mergeCell ref="R7:R8"/>
    <mergeCell ref="T689:W690"/>
    <mergeCell ref="X689:X690"/>
    <mergeCell ref="B7:E8"/>
    <mergeCell ref="F7:F8"/>
    <mergeCell ref="G7:G8"/>
    <mergeCell ref="H7:H8"/>
    <mergeCell ref="I7:I8"/>
    <mergeCell ref="K7:N8"/>
    <mergeCell ref="K12:L12"/>
    <mergeCell ref="K13:L13"/>
    <mergeCell ref="S1:AA1"/>
    <mergeCell ref="W3:Z3"/>
    <mergeCell ref="T7:W8"/>
    <mergeCell ref="X7:X8"/>
  </mergeCells>
  <printOptions horizontalCentered="1"/>
  <pageMargins left="0.5" right="0" top="1" bottom="0.75" header="0" footer="0"/>
  <pageSetup paperSize="9" scale="79" orientation="portrait" horizontalDpi="4294967294" verticalDpi="200" r:id="rId1"/>
  <headerFooter differentOddEven="1" differentFirst="1">
    <oddFooter>&amp;C&amp;P+32</oddFooter>
    <evenFooter>&amp;C&amp;N-5</evenFooter>
    <firstFooter>&amp;C60</firstFooter>
  </headerFooter>
  <rowBreaks count="21" manualBreakCount="21">
    <brk id="62" max="16383" man="1"/>
    <brk id="124" max="26" man="1"/>
    <brk id="186" max="26" man="1"/>
    <brk id="248" max="26" man="1"/>
    <brk id="310" max="26" man="1"/>
    <brk id="372" max="26" man="1"/>
    <brk id="434" max="26" man="1"/>
    <brk id="496" max="26" man="1"/>
    <brk id="558" max="26" man="1"/>
    <brk id="620" max="26" man="1"/>
    <brk id="682" max="26" man="1"/>
    <brk id="744" max="26" man="1"/>
    <brk id="806" max="26" man="1"/>
    <brk id="868" max="26" man="1"/>
    <brk id="930" max="26" man="1"/>
    <brk id="992" max="26" man="1"/>
    <brk id="1054" max="26" man="1"/>
    <brk id="1116" max="26" man="1"/>
    <brk id="1178" max="26" man="1"/>
    <brk id="1240" max="26" man="1"/>
    <brk id="130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I124"/>
  <sheetViews>
    <sheetView view="pageBreakPreview" topLeftCell="A118" zoomScale="80" zoomScaleNormal="70" zoomScaleSheetLayoutView="80" workbookViewId="0">
      <selection sqref="A1:I1"/>
    </sheetView>
  </sheetViews>
  <sheetFormatPr defaultColWidth="9.14453125" defaultRowHeight="15" x14ac:dyDescent="0.2"/>
  <cols>
    <col min="1" max="1" width="3.2265625" style="94" customWidth="1"/>
    <col min="2" max="2" width="17.75390625" style="3" customWidth="1"/>
    <col min="3" max="3" width="2.6875" style="4" customWidth="1"/>
    <col min="4" max="4" width="11.56640625" style="4" customWidth="1"/>
    <col min="5" max="5" width="13.44921875" style="5" customWidth="1"/>
    <col min="6" max="8" width="17.08203125" style="3" customWidth="1"/>
    <col min="9" max="9" width="23.9453125" style="3" customWidth="1"/>
    <col min="10" max="16384" width="9.14453125" style="7"/>
  </cols>
  <sheetData>
    <row r="1" spans="1:9" s="1" customFormat="1" x14ac:dyDescent="0.2">
      <c r="A1" s="236" t="s">
        <v>0</v>
      </c>
      <c r="B1" s="236"/>
      <c r="C1" s="236"/>
      <c r="D1" s="236"/>
      <c r="E1" s="236"/>
      <c r="F1" s="236"/>
      <c r="G1" s="236"/>
      <c r="H1" s="236"/>
      <c r="I1" s="236"/>
    </row>
    <row r="3" spans="1:9" x14ac:dyDescent="0.2">
      <c r="A3" s="8" t="s">
        <v>1</v>
      </c>
      <c r="C3" s="4" t="s">
        <v>2</v>
      </c>
      <c r="D3" s="5">
        <v>404</v>
      </c>
      <c r="E3" s="237" t="s">
        <v>405</v>
      </c>
      <c r="F3" s="237"/>
      <c r="G3" s="237"/>
      <c r="H3" s="237"/>
      <c r="I3" s="8"/>
    </row>
    <row r="4" spans="1:9" x14ac:dyDescent="0.2">
      <c r="A4" s="8" t="s">
        <v>7</v>
      </c>
      <c r="C4" s="4" t="s">
        <v>2</v>
      </c>
      <c r="E4" s="2" t="s">
        <v>77</v>
      </c>
      <c r="F4" s="8"/>
      <c r="G4" s="8"/>
      <c r="H4" s="8"/>
    </row>
    <row r="5" spans="1:9" x14ac:dyDescent="0.2">
      <c r="A5" s="8" t="s">
        <v>10</v>
      </c>
      <c r="C5" s="4" t="s">
        <v>2</v>
      </c>
      <c r="E5" s="9">
        <v>180</v>
      </c>
      <c r="F5" s="8"/>
      <c r="G5" s="8"/>
      <c r="H5" s="8"/>
    </row>
    <row r="6" spans="1:9" x14ac:dyDescent="0.2">
      <c r="B6" s="8"/>
      <c r="F6" s="11"/>
      <c r="G6" s="8"/>
      <c r="H6" s="8"/>
      <c r="I6" s="8"/>
    </row>
    <row r="7" spans="1:9" x14ac:dyDescent="0.2">
      <c r="A7" s="95"/>
      <c r="B7" s="238" t="s">
        <v>11</v>
      </c>
      <c r="C7" s="239"/>
      <c r="D7" s="239"/>
      <c r="E7" s="240"/>
      <c r="F7" s="244" t="s">
        <v>12</v>
      </c>
      <c r="G7" s="244" t="s">
        <v>13</v>
      </c>
      <c r="H7" s="244" t="s">
        <v>14</v>
      </c>
      <c r="I7" s="246" t="s">
        <v>15</v>
      </c>
    </row>
    <row r="8" spans="1:9" x14ac:dyDescent="0.2">
      <c r="A8" s="96"/>
      <c r="B8" s="241"/>
      <c r="C8" s="242"/>
      <c r="D8" s="242"/>
      <c r="E8" s="243"/>
      <c r="F8" s="245"/>
      <c r="G8" s="245"/>
      <c r="H8" s="245"/>
      <c r="I8" s="247"/>
    </row>
    <row r="9" spans="1:9" x14ac:dyDescent="0.2">
      <c r="A9" s="96" t="s">
        <v>16</v>
      </c>
      <c r="B9" s="14" t="s">
        <v>17</v>
      </c>
      <c r="C9" s="15"/>
      <c r="D9" s="15"/>
      <c r="E9" s="16"/>
      <c r="F9" s="17"/>
      <c r="G9" s="17"/>
      <c r="H9" s="17"/>
      <c r="I9" s="17"/>
    </row>
    <row r="10" spans="1:9" x14ac:dyDescent="0.2">
      <c r="A10" s="96"/>
      <c r="B10" s="18"/>
      <c r="C10" s="19"/>
      <c r="D10" s="19"/>
      <c r="E10" s="20"/>
      <c r="F10" s="21"/>
      <c r="G10" s="22"/>
      <c r="H10" s="21"/>
      <c r="I10" s="21"/>
    </row>
    <row r="11" spans="1:9" x14ac:dyDescent="0.2">
      <c r="A11" s="96"/>
      <c r="B11" s="24" t="s">
        <v>18</v>
      </c>
      <c r="C11" s="25"/>
      <c r="D11" s="25"/>
      <c r="E11" s="26"/>
      <c r="F11" s="22">
        <v>1</v>
      </c>
      <c r="G11" s="23">
        <v>1</v>
      </c>
      <c r="H11" s="23">
        <v>69.42</v>
      </c>
      <c r="I11" s="23">
        <f>G11*H11*F11</f>
        <v>69.42</v>
      </c>
    </row>
    <row r="12" spans="1:9" x14ac:dyDescent="0.2">
      <c r="A12" s="96"/>
      <c r="B12" s="257" t="s">
        <v>1178</v>
      </c>
      <c r="C12" s="258"/>
      <c r="D12" s="25"/>
      <c r="E12" s="26"/>
      <c r="F12" s="22">
        <v>2</v>
      </c>
      <c r="G12" s="23">
        <v>1</v>
      </c>
      <c r="H12" s="23">
        <v>50.18</v>
      </c>
      <c r="I12" s="23">
        <f>G12*H12*F12</f>
        <v>100.36</v>
      </c>
    </row>
    <row r="13" spans="1:9" x14ac:dyDescent="0.2">
      <c r="A13" s="96"/>
      <c r="B13" s="257" t="s">
        <v>1177</v>
      </c>
      <c r="C13" s="258"/>
      <c r="D13" s="19"/>
      <c r="E13" s="20"/>
      <c r="F13" s="22">
        <v>8</v>
      </c>
      <c r="G13" s="23">
        <v>1</v>
      </c>
      <c r="H13" s="23">
        <v>38.97</v>
      </c>
      <c r="I13" s="23">
        <f>G13*H13*F13</f>
        <v>311.76</v>
      </c>
    </row>
    <row r="14" spans="1:9" x14ac:dyDescent="0.2">
      <c r="A14" s="96"/>
      <c r="B14" s="27"/>
      <c r="C14" s="19"/>
      <c r="D14" s="19"/>
      <c r="E14" s="20"/>
      <c r="F14" s="22"/>
      <c r="G14" s="22"/>
      <c r="H14" s="29"/>
      <c r="I14" s="30"/>
    </row>
    <row r="15" spans="1:9" x14ac:dyDescent="0.2">
      <c r="A15" s="96"/>
      <c r="B15" s="27"/>
      <c r="C15" s="19"/>
      <c r="D15" s="19"/>
      <c r="E15" s="20"/>
      <c r="F15" s="22"/>
      <c r="G15" s="22"/>
      <c r="H15" s="29"/>
      <c r="I15" s="30"/>
    </row>
    <row r="16" spans="1:9" x14ac:dyDescent="0.2">
      <c r="A16" s="96"/>
      <c r="B16" s="18"/>
      <c r="C16" s="19"/>
      <c r="D16" s="19"/>
      <c r="E16" s="20"/>
      <c r="F16" s="22"/>
      <c r="G16" s="22"/>
      <c r="H16" s="28"/>
      <c r="I16" s="23"/>
    </row>
    <row r="17" spans="1:9" x14ac:dyDescent="0.2">
      <c r="A17" s="96"/>
      <c r="B17" s="18"/>
      <c r="C17" s="19"/>
      <c r="D17" s="19"/>
      <c r="E17" s="20"/>
      <c r="F17" s="22"/>
      <c r="G17" s="22"/>
      <c r="H17" s="23"/>
      <c r="I17" s="23"/>
    </row>
    <row r="18" spans="1:9" x14ac:dyDescent="0.2">
      <c r="A18" s="96"/>
      <c r="B18" s="248" t="s">
        <v>20</v>
      </c>
      <c r="C18" s="249"/>
      <c r="D18" s="249"/>
      <c r="E18" s="250"/>
      <c r="F18" s="31"/>
      <c r="G18" s="31"/>
      <c r="H18" s="32"/>
      <c r="I18" s="32">
        <f>SUM(I11:I17)</f>
        <v>481.53999999999996</v>
      </c>
    </row>
    <row r="19" spans="1:9" x14ac:dyDescent="0.2">
      <c r="A19" s="95"/>
      <c r="B19" s="251" t="s">
        <v>21</v>
      </c>
      <c r="C19" s="252"/>
      <c r="D19" s="252"/>
      <c r="E19" s="253"/>
      <c r="F19" s="244" t="s">
        <v>22</v>
      </c>
      <c r="G19" s="244" t="s">
        <v>13</v>
      </c>
      <c r="H19" s="244" t="s">
        <v>14</v>
      </c>
      <c r="I19" s="246" t="s">
        <v>15</v>
      </c>
    </row>
    <row r="20" spans="1:9" x14ac:dyDescent="0.2">
      <c r="A20" s="96"/>
      <c r="B20" s="254"/>
      <c r="C20" s="255"/>
      <c r="D20" s="255"/>
      <c r="E20" s="256"/>
      <c r="F20" s="245"/>
      <c r="G20" s="245"/>
      <c r="H20" s="245"/>
      <c r="I20" s="247"/>
    </row>
    <row r="21" spans="1:9" x14ac:dyDescent="0.2">
      <c r="A21" s="96" t="s">
        <v>23</v>
      </c>
      <c r="B21" s="33" t="s">
        <v>24</v>
      </c>
      <c r="C21" s="15"/>
      <c r="D21" s="15"/>
      <c r="E21" s="16"/>
      <c r="F21" s="34"/>
      <c r="G21" s="34"/>
      <c r="H21" s="35"/>
      <c r="I21" s="35"/>
    </row>
    <row r="22" spans="1:9" x14ac:dyDescent="0.2">
      <c r="A22" s="96"/>
      <c r="B22" s="18"/>
      <c r="C22" s="19"/>
      <c r="D22" s="19"/>
      <c r="E22" s="20"/>
      <c r="F22" s="22"/>
      <c r="G22" s="22"/>
      <c r="H22" s="23"/>
      <c r="I22" s="23"/>
    </row>
    <row r="23" spans="1:9" x14ac:dyDescent="0.2">
      <c r="A23" s="96"/>
      <c r="B23" s="18" t="s">
        <v>406</v>
      </c>
      <c r="C23" s="66"/>
      <c r="D23" s="19"/>
      <c r="E23" s="20"/>
      <c r="F23" s="22">
        <v>1</v>
      </c>
      <c r="G23" s="23">
        <v>0.5</v>
      </c>
      <c r="H23" s="37">
        <v>219.75</v>
      </c>
      <c r="I23" s="37">
        <f>G23*H23*F23</f>
        <v>109.875</v>
      </c>
    </row>
    <row r="24" spans="1:9" x14ac:dyDescent="0.2">
      <c r="A24" s="96"/>
      <c r="B24" s="18" t="s">
        <v>407</v>
      </c>
      <c r="C24" s="66"/>
      <c r="D24" s="19"/>
      <c r="E24" s="20"/>
      <c r="F24" s="22">
        <v>1</v>
      </c>
      <c r="G24" s="23">
        <v>0.5</v>
      </c>
      <c r="H24" s="37">
        <v>351.5</v>
      </c>
      <c r="I24" s="37">
        <f>G24*H24*F24</f>
        <v>175.75</v>
      </c>
    </row>
    <row r="25" spans="1:9" x14ac:dyDescent="0.2">
      <c r="A25" s="96"/>
      <c r="B25" s="18" t="s">
        <v>1228</v>
      </c>
      <c r="C25" s="66"/>
      <c r="D25" s="19"/>
      <c r="E25" s="20"/>
      <c r="F25" s="22">
        <v>1</v>
      </c>
      <c r="G25" s="23">
        <v>0.15</v>
      </c>
      <c r="H25" s="37">
        <v>1212</v>
      </c>
      <c r="I25" s="37">
        <f>G25*H25*F25</f>
        <v>181.79999999999998</v>
      </c>
    </row>
    <row r="26" spans="1:9" x14ac:dyDescent="0.2">
      <c r="A26" s="96"/>
      <c r="B26" s="18"/>
      <c r="C26" s="66"/>
      <c r="F26" s="22"/>
      <c r="G26" s="23"/>
      <c r="H26" s="37"/>
      <c r="I26" s="37"/>
    </row>
    <row r="27" spans="1:9" x14ac:dyDescent="0.2">
      <c r="A27" s="96"/>
      <c r="B27" s="18"/>
      <c r="C27" s="19"/>
      <c r="D27" s="19"/>
      <c r="E27" s="20"/>
      <c r="F27" s="22"/>
      <c r="G27" s="36"/>
      <c r="H27" s="37"/>
      <c r="I27" s="37"/>
    </row>
    <row r="28" spans="1:9" x14ac:dyDescent="0.2">
      <c r="A28" s="96"/>
      <c r="B28" s="18"/>
      <c r="C28" s="19"/>
      <c r="D28" s="19"/>
      <c r="E28" s="20"/>
      <c r="F28" s="22"/>
      <c r="G28" s="36"/>
      <c r="H28" s="37"/>
      <c r="I28" s="37"/>
    </row>
    <row r="29" spans="1:9" x14ac:dyDescent="0.2">
      <c r="A29" s="96"/>
      <c r="B29" s="18"/>
      <c r="C29" s="19"/>
      <c r="D29" s="19"/>
      <c r="E29" s="20"/>
      <c r="F29" s="22"/>
      <c r="G29" s="36"/>
      <c r="H29" s="37"/>
      <c r="I29" s="37"/>
    </row>
    <row r="30" spans="1:9" x14ac:dyDescent="0.2">
      <c r="A30" s="96"/>
      <c r="B30" s="18"/>
      <c r="C30" s="19"/>
      <c r="D30" s="19"/>
      <c r="E30" s="20"/>
      <c r="F30" s="22"/>
      <c r="G30" s="23"/>
      <c r="H30" s="37"/>
      <c r="I30" s="37"/>
    </row>
    <row r="31" spans="1:9" x14ac:dyDescent="0.2">
      <c r="A31" s="96"/>
      <c r="B31" s="18"/>
      <c r="C31" s="19"/>
      <c r="D31" s="19"/>
      <c r="E31" s="20"/>
      <c r="F31" s="22"/>
      <c r="G31" s="23"/>
      <c r="H31" s="37"/>
      <c r="I31" s="37"/>
    </row>
    <row r="32" spans="1:9" x14ac:dyDescent="0.2">
      <c r="A32" s="96"/>
      <c r="B32" s="7"/>
      <c r="C32" s="7"/>
      <c r="D32" s="7"/>
      <c r="E32" s="7"/>
      <c r="F32" s="72"/>
      <c r="G32" s="72"/>
      <c r="H32" s="72"/>
      <c r="I32" s="72"/>
    </row>
    <row r="33" spans="1:9" x14ac:dyDescent="0.2">
      <c r="A33" s="96"/>
      <c r="B33" s="18"/>
      <c r="C33" s="19"/>
      <c r="D33" s="19"/>
      <c r="E33" s="20"/>
      <c r="F33" s="22"/>
      <c r="G33" s="36"/>
      <c r="H33" s="37"/>
      <c r="I33" s="37"/>
    </row>
    <row r="34" spans="1:9" x14ac:dyDescent="0.2">
      <c r="A34" s="96"/>
      <c r="B34" s="18"/>
      <c r="C34" s="19"/>
      <c r="D34" s="19"/>
      <c r="E34" s="20"/>
      <c r="F34" s="22"/>
      <c r="G34" s="36"/>
      <c r="H34" s="37"/>
      <c r="I34" s="37"/>
    </row>
    <row r="35" spans="1:9" x14ac:dyDescent="0.2">
      <c r="A35" s="96"/>
      <c r="B35" s="18"/>
      <c r="C35" s="19"/>
      <c r="D35" s="19"/>
      <c r="E35" s="20"/>
      <c r="F35" s="22"/>
      <c r="G35" s="22"/>
      <c r="H35" s="23"/>
      <c r="I35" s="23"/>
    </row>
    <row r="36" spans="1:9" x14ac:dyDescent="0.2">
      <c r="A36" s="96"/>
      <c r="B36" s="248" t="s">
        <v>30</v>
      </c>
      <c r="C36" s="249"/>
      <c r="D36" s="249"/>
      <c r="E36" s="250"/>
      <c r="F36" s="22"/>
      <c r="G36" s="22"/>
      <c r="H36" s="23"/>
      <c r="I36" s="23">
        <f>SUM(I23:I35)</f>
        <v>467.42499999999995</v>
      </c>
    </row>
    <row r="37" spans="1:9" x14ac:dyDescent="0.2">
      <c r="A37" s="95" t="s">
        <v>31</v>
      </c>
      <c r="B37" s="260" t="s">
        <v>32</v>
      </c>
      <c r="C37" s="261"/>
      <c r="D37" s="261"/>
      <c r="E37" s="261"/>
      <c r="F37" s="39"/>
      <c r="G37" s="39"/>
      <c r="H37" s="40"/>
      <c r="I37" s="41">
        <f>SUM(I36+I18)</f>
        <v>948.96499999999992</v>
      </c>
    </row>
    <row r="38" spans="1:9" x14ac:dyDescent="0.2">
      <c r="A38" s="96" t="s">
        <v>33</v>
      </c>
      <c r="B38" s="315">
        <f>E5</f>
        <v>180</v>
      </c>
      <c r="C38" s="316"/>
      <c r="D38" s="316"/>
      <c r="E38" s="316"/>
      <c r="F38" s="316"/>
      <c r="G38" s="316"/>
      <c r="H38" s="40"/>
      <c r="I38" s="41"/>
    </row>
    <row r="39" spans="1:9" x14ac:dyDescent="0.2">
      <c r="A39" s="96" t="s">
        <v>34</v>
      </c>
      <c r="B39" s="42" t="s">
        <v>35</v>
      </c>
      <c r="C39" s="43"/>
      <c r="D39" s="43"/>
      <c r="E39" s="39"/>
      <c r="F39" s="44"/>
      <c r="G39" s="44"/>
      <c r="H39" s="40"/>
      <c r="I39" s="41">
        <f>I37/E5</f>
        <v>5.2720277777777778</v>
      </c>
    </row>
    <row r="40" spans="1:9" x14ac:dyDescent="0.2">
      <c r="A40" s="95"/>
      <c r="B40" s="251" t="s">
        <v>36</v>
      </c>
      <c r="C40" s="252"/>
      <c r="D40" s="252"/>
      <c r="E40" s="253"/>
      <c r="F40" s="244" t="s">
        <v>37</v>
      </c>
      <c r="G40" s="244" t="s">
        <v>38</v>
      </c>
      <c r="H40" s="244" t="s">
        <v>39</v>
      </c>
      <c r="I40" s="246" t="s">
        <v>15</v>
      </c>
    </row>
    <row r="41" spans="1:9" x14ac:dyDescent="0.2">
      <c r="A41" s="96"/>
      <c r="B41" s="254"/>
      <c r="C41" s="255"/>
      <c r="D41" s="255"/>
      <c r="E41" s="256"/>
      <c r="F41" s="245"/>
      <c r="G41" s="245"/>
      <c r="H41" s="245"/>
      <c r="I41" s="247"/>
    </row>
    <row r="42" spans="1:9" x14ac:dyDescent="0.2">
      <c r="A42" s="96" t="s">
        <v>40</v>
      </c>
      <c r="B42" s="18" t="s">
        <v>41</v>
      </c>
      <c r="C42" s="19"/>
      <c r="D42" s="19"/>
      <c r="E42" s="20"/>
      <c r="F42" s="22"/>
      <c r="G42" s="22"/>
      <c r="H42" s="23"/>
      <c r="I42" s="23"/>
    </row>
    <row r="43" spans="1:9" x14ac:dyDescent="0.2">
      <c r="A43" s="96"/>
      <c r="B43" s="18"/>
      <c r="C43" s="19"/>
      <c r="D43" s="19"/>
      <c r="E43" s="20"/>
      <c r="F43" s="22"/>
      <c r="G43" s="22"/>
      <c r="H43" s="23"/>
      <c r="I43" s="23"/>
    </row>
    <row r="44" spans="1:9" x14ac:dyDescent="0.2">
      <c r="A44" s="96"/>
      <c r="B44" s="18" t="s">
        <v>408</v>
      </c>
      <c r="C44" s="66"/>
      <c r="D44" s="19"/>
      <c r="E44" s="20"/>
      <c r="F44" s="22" t="s">
        <v>77</v>
      </c>
      <c r="G44" s="22">
        <f>G45*0.02</f>
        <v>2.1000000000000001E-2</v>
      </c>
      <c r="H44" s="107">
        <v>47</v>
      </c>
      <c r="I44" s="23">
        <f>H44*G44</f>
        <v>0.9870000000000001</v>
      </c>
    </row>
    <row r="45" spans="1:9" x14ac:dyDescent="0.2">
      <c r="A45" s="96"/>
      <c r="B45" s="18" t="s">
        <v>409</v>
      </c>
      <c r="C45" s="66"/>
      <c r="D45" s="19"/>
      <c r="E45" s="20"/>
      <c r="F45" s="22" t="s">
        <v>77</v>
      </c>
      <c r="G45" s="22">
        <v>1.05</v>
      </c>
      <c r="H45" s="107">
        <v>40</v>
      </c>
      <c r="I45" s="23">
        <f>H45*G45</f>
        <v>42</v>
      </c>
    </row>
    <row r="46" spans="1:9" x14ac:dyDescent="0.2">
      <c r="A46" s="96"/>
      <c r="B46" s="18" t="s">
        <v>322</v>
      </c>
      <c r="C46" s="19"/>
      <c r="D46" s="19"/>
      <c r="E46" s="20"/>
      <c r="F46" s="62"/>
      <c r="G46" s="22"/>
      <c r="H46" s="23"/>
      <c r="I46" s="23"/>
    </row>
    <row r="47" spans="1:9" x14ac:dyDescent="0.2">
      <c r="A47" s="96"/>
      <c r="B47" s="18"/>
      <c r="C47" s="19"/>
      <c r="D47" s="19"/>
      <c r="E47" s="20"/>
      <c r="F47" s="22"/>
      <c r="G47" s="22"/>
      <c r="H47" s="23"/>
      <c r="I47" s="23"/>
    </row>
    <row r="48" spans="1:9" x14ac:dyDescent="0.2">
      <c r="A48" s="96"/>
      <c r="B48" s="18"/>
      <c r="C48" s="19"/>
      <c r="D48" s="19"/>
      <c r="E48" s="20"/>
      <c r="F48" s="22"/>
      <c r="G48" s="22"/>
      <c r="H48" s="23"/>
      <c r="I48" s="23"/>
    </row>
    <row r="49" spans="1:9" x14ac:dyDescent="0.2">
      <c r="A49" s="96"/>
      <c r="B49" s="18"/>
      <c r="C49" s="19"/>
      <c r="D49" s="19"/>
      <c r="E49" s="20"/>
      <c r="F49" s="22"/>
      <c r="G49" s="22"/>
      <c r="H49" s="23"/>
      <c r="I49" s="23"/>
    </row>
    <row r="50" spans="1:9" x14ac:dyDescent="0.2">
      <c r="A50" s="96"/>
      <c r="B50" s="18"/>
      <c r="C50" s="19"/>
      <c r="D50" s="19"/>
      <c r="E50" s="20"/>
      <c r="F50" s="22"/>
      <c r="G50" s="22"/>
      <c r="H50" s="23"/>
      <c r="I50" s="23"/>
    </row>
    <row r="51" spans="1:9" x14ac:dyDescent="0.2">
      <c r="A51" s="96"/>
      <c r="B51" s="18"/>
      <c r="C51" s="19"/>
      <c r="D51" s="19"/>
      <c r="E51" s="20"/>
      <c r="F51" s="22"/>
      <c r="G51" s="22"/>
      <c r="H51" s="23"/>
      <c r="I51" s="23"/>
    </row>
    <row r="52" spans="1:9" x14ac:dyDescent="0.2">
      <c r="A52" s="96"/>
      <c r="B52" s="18"/>
      <c r="C52" s="19"/>
      <c r="D52" s="19"/>
      <c r="E52" s="20"/>
      <c r="F52" s="22"/>
      <c r="G52" s="22"/>
      <c r="H52" s="23"/>
      <c r="I52" s="23"/>
    </row>
    <row r="53" spans="1:9" x14ac:dyDescent="0.2">
      <c r="A53" s="96"/>
      <c r="B53" s="18"/>
      <c r="C53" s="19"/>
      <c r="D53" s="19"/>
      <c r="E53" s="20"/>
      <c r="F53" s="22"/>
      <c r="G53" s="22"/>
      <c r="H53" s="23"/>
      <c r="I53" s="23"/>
    </row>
    <row r="54" spans="1:9" x14ac:dyDescent="0.2">
      <c r="A54" s="96"/>
      <c r="B54" s="18"/>
      <c r="C54" s="19"/>
      <c r="D54" s="19"/>
      <c r="E54" s="20"/>
      <c r="F54" s="22"/>
      <c r="G54" s="22"/>
      <c r="H54" s="23"/>
      <c r="I54" s="23"/>
    </row>
    <row r="55" spans="1:9" x14ac:dyDescent="0.2">
      <c r="A55" s="96"/>
      <c r="B55" s="18"/>
      <c r="C55" s="19"/>
      <c r="D55" s="19"/>
      <c r="E55" s="20"/>
      <c r="F55" s="22"/>
      <c r="G55" s="22"/>
      <c r="H55" s="23"/>
      <c r="I55" s="23"/>
    </row>
    <row r="56" spans="1:9" x14ac:dyDescent="0.2">
      <c r="A56" s="96"/>
      <c r="B56" s="18"/>
      <c r="C56" s="19"/>
      <c r="D56" s="19"/>
      <c r="E56" s="20"/>
      <c r="F56" s="22"/>
      <c r="G56" s="36"/>
      <c r="H56" s="37"/>
      <c r="I56" s="37"/>
    </row>
    <row r="57" spans="1:9" x14ac:dyDescent="0.2">
      <c r="A57" s="96"/>
      <c r="B57" s="248" t="s">
        <v>42</v>
      </c>
      <c r="C57" s="249"/>
      <c r="D57" s="249"/>
      <c r="E57" s="250"/>
      <c r="F57" s="46"/>
      <c r="G57" s="46"/>
      <c r="H57" s="47"/>
      <c r="I57" s="47">
        <f>SUM(I44:I56)</f>
        <v>42.987000000000002</v>
      </c>
    </row>
    <row r="58" spans="1:9" x14ac:dyDescent="0.2">
      <c r="A58" s="95" t="s">
        <v>43</v>
      </c>
      <c r="B58" s="48" t="s">
        <v>44</v>
      </c>
      <c r="C58" s="43"/>
      <c r="D58" s="43"/>
      <c r="E58" s="39"/>
      <c r="F58" s="49"/>
      <c r="G58" s="49"/>
      <c r="H58" s="50"/>
      <c r="I58" s="51">
        <f>SUM(I39+I57)</f>
        <v>48.259027777777781</v>
      </c>
    </row>
    <row r="59" spans="1:9" x14ac:dyDescent="0.2">
      <c r="A59" s="96" t="s">
        <v>45</v>
      </c>
      <c r="B59" s="48" t="s">
        <v>46</v>
      </c>
      <c r="C59" s="43"/>
      <c r="D59" s="43"/>
      <c r="E59" s="39"/>
      <c r="F59" s="49"/>
      <c r="G59" s="52">
        <v>0.09</v>
      </c>
      <c r="H59" s="53" t="s">
        <v>47</v>
      </c>
      <c r="I59" s="51">
        <f>G59*I58</f>
        <v>4.3433125000000006</v>
      </c>
    </row>
    <row r="60" spans="1:9" x14ac:dyDescent="0.2">
      <c r="A60" s="96" t="s">
        <v>48</v>
      </c>
      <c r="B60" s="48" t="s">
        <v>49</v>
      </c>
      <c r="C60" s="43"/>
      <c r="D60" s="43"/>
      <c r="E60" s="39"/>
      <c r="F60" s="49"/>
      <c r="G60" s="52">
        <v>0.08</v>
      </c>
      <c r="H60" s="53" t="s">
        <v>47</v>
      </c>
      <c r="I60" s="51">
        <f>G60*I58</f>
        <v>3.8607222222222224</v>
      </c>
    </row>
    <row r="61" spans="1:9" x14ac:dyDescent="0.2">
      <c r="A61" s="96" t="s">
        <v>50</v>
      </c>
      <c r="B61" s="48" t="s">
        <v>51</v>
      </c>
      <c r="C61" s="43"/>
      <c r="D61" s="43"/>
      <c r="E61" s="39"/>
      <c r="F61" s="49"/>
      <c r="G61" s="52">
        <f>5/100</f>
        <v>0.05</v>
      </c>
      <c r="H61" s="53" t="s">
        <v>52</v>
      </c>
      <c r="I61" s="51">
        <f>G61*(I58+I59+I60)</f>
        <v>2.8231531250000006</v>
      </c>
    </row>
    <row r="62" spans="1:9" x14ac:dyDescent="0.2">
      <c r="A62" s="97" t="s">
        <v>53</v>
      </c>
      <c r="B62" s="48" t="s">
        <v>54</v>
      </c>
      <c r="C62" s="43"/>
      <c r="D62" s="43"/>
      <c r="E62" s="39"/>
      <c r="F62" s="49"/>
      <c r="G62" s="49"/>
      <c r="H62" s="55" t="s">
        <v>55</v>
      </c>
      <c r="I62" s="51">
        <f>SUM(I58+I59+I60+I61)</f>
        <v>59.286215625000004</v>
      </c>
    </row>
    <row r="63" spans="1:9" s="1" customFormat="1" x14ac:dyDescent="0.2">
      <c r="A63" s="236" t="s">
        <v>0</v>
      </c>
      <c r="B63" s="236"/>
      <c r="C63" s="236"/>
      <c r="D63" s="236"/>
      <c r="E63" s="236"/>
      <c r="F63" s="236"/>
      <c r="G63" s="236"/>
      <c r="H63" s="236"/>
      <c r="I63" s="236"/>
    </row>
    <row r="65" spans="1:9" x14ac:dyDescent="0.2">
      <c r="A65" s="8" t="s">
        <v>1</v>
      </c>
      <c r="C65" s="4" t="s">
        <v>2</v>
      </c>
      <c r="D65" s="5">
        <v>405</v>
      </c>
      <c r="E65" s="237" t="s">
        <v>410</v>
      </c>
      <c r="F65" s="237"/>
      <c r="G65" s="237"/>
      <c r="H65" s="237"/>
      <c r="I65" s="8"/>
    </row>
    <row r="66" spans="1:9" x14ac:dyDescent="0.2">
      <c r="A66" s="8" t="s">
        <v>7</v>
      </c>
      <c r="C66" s="4" t="s">
        <v>2</v>
      </c>
      <c r="E66" s="2" t="s">
        <v>9</v>
      </c>
      <c r="F66" s="8"/>
      <c r="G66" s="8"/>
      <c r="H66" s="8"/>
    </row>
    <row r="67" spans="1:9" x14ac:dyDescent="0.2">
      <c r="A67" s="8" t="s">
        <v>10</v>
      </c>
      <c r="C67" s="4" t="s">
        <v>2</v>
      </c>
      <c r="E67" s="9">
        <v>1.4</v>
      </c>
      <c r="F67" s="8"/>
      <c r="G67" s="8"/>
      <c r="H67" s="8"/>
    </row>
    <row r="68" spans="1:9" x14ac:dyDescent="0.2">
      <c r="B68" s="8"/>
      <c r="F68" s="11"/>
      <c r="G68" s="8"/>
      <c r="H68" s="8"/>
      <c r="I68" s="8"/>
    </row>
    <row r="69" spans="1:9" x14ac:dyDescent="0.2">
      <c r="A69" s="95"/>
      <c r="B69" s="238" t="s">
        <v>11</v>
      </c>
      <c r="C69" s="239"/>
      <c r="D69" s="239"/>
      <c r="E69" s="240"/>
      <c r="F69" s="244" t="s">
        <v>12</v>
      </c>
      <c r="G69" s="244" t="s">
        <v>13</v>
      </c>
      <c r="H69" s="244" t="s">
        <v>14</v>
      </c>
      <c r="I69" s="246" t="s">
        <v>15</v>
      </c>
    </row>
    <row r="70" spans="1:9" x14ac:dyDescent="0.2">
      <c r="A70" s="96"/>
      <c r="B70" s="241"/>
      <c r="C70" s="242"/>
      <c r="D70" s="242"/>
      <c r="E70" s="243"/>
      <c r="F70" s="245"/>
      <c r="G70" s="245"/>
      <c r="H70" s="245"/>
      <c r="I70" s="247"/>
    </row>
    <row r="71" spans="1:9" x14ac:dyDescent="0.2">
      <c r="A71" s="96" t="s">
        <v>16</v>
      </c>
      <c r="B71" s="14" t="s">
        <v>17</v>
      </c>
      <c r="C71" s="15"/>
      <c r="D71" s="15"/>
      <c r="E71" s="16"/>
      <c r="F71" s="17"/>
      <c r="G71" s="17"/>
      <c r="H71" s="17"/>
      <c r="I71" s="17"/>
    </row>
    <row r="72" spans="1:9" x14ac:dyDescent="0.2">
      <c r="A72" s="96"/>
      <c r="B72" s="18"/>
      <c r="C72" s="19"/>
      <c r="D72" s="19"/>
      <c r="E72" s="20"/>
      <c r="F72" s="21"/>
      <c r="G72" s="22"/>
      <c r="H72" s="21"/>
      <c r="I72" s="21"/>
    </row>
    <row r="73" spans="1:9" x14ac:dyDescent="0.2">
      <c r="A73" s="96"/>
      <c r="B73" s="24" t="s">
        <v>18</v>
      </c>
      <c r="C73" s="25"/>
      <c r="D73" s="25"/>
      <c r="E73" s="26"/>
      <c r="F73" s="22">
        <v>1</v>
      </c>
      <c r="G73" s="23">
        <v>1</v>
      </c>
      <c r="H73" s="23">
        <v>69.42</v>
      </c>
      <c r="I73" s="23">
        <f>G73*H73*F73</f>
        <v>69.42</v>
      </c>
    </row>
    <row r="74" spans="1:9" x14ac:dyDescent="0.2">
      <c r="A74" s="96"/>
      <c r="B74" s="257" t="s">
        <v>1178</v>
      </c>
      <c r="C74" s="258"/>
      <c r="D74" s="25"/>
      <c r="E74" s="26"/>
      <c r="F74" s="22">
        <v>4</v>
      </c>
      <c r="G74" s="23">
        <v>1</v>
      </c>
      <c r="H74" s="23">
        <v>50.18</v>
      </c>
      <c r="I74" s="23">
        <f>G74*H74*F74</f>
        <v>200.72</v>
      </c>
    </row>
    <row r="75" spans="1:9" x14ac:dyDescent="0.2">
      <c r="A75" s="96"/>
      <c r="B75" s="257" t="s">
        <v>1177</v>
      </c>
      <c r="C75" s="258"/>
      <c r="D75" s="19"/>
      <c r="E75" s="20"/>
      <c r="F75" s="22">
        <v>8</v>
      </c>
      <c r="G75" s="23">
        <v>1</v>
      </c>
      <c r="H75" s="23">
        <v>38.97</v>
      </c>
      <c r="I75" s="23">
        <f>G75*H75*F75</f>
        <v>311.76</v>
      </c>
    </row>
    <row r="76" spans="1:9" x14ac:dyDescent="0.2">
      <c r="A76" s="96"/>
      <c r="B76" s="27"/>
      <c r="C76" s="63"/>
      <c r="D76" s="19"/>
      <c r="E76" s="20"/>
      <c r="F76" s="22"/>
      <c r="G76" s="22"/>
      <c r="H76" s="29"/>
      <c r="I76" s="30"/>
    </row>
    <row r="77" spans="1:9" x14ac:dyDescent="0.2">
      <c r="A77" s="96"/>
      <c r="B77" s="27" t="s">
        <v>411</v>
      </c>
      <c r="C77" s="63"/>
      <c r="D77" s="19"/>
      <c r="E77" s="20"/>
      <c r="F77" s="22"/>
      <c r="G77" s="22"/>
      <c r="H77" s="29"/>
      <c r="I77" s="30"/>
    </row>
    <row r="78" spans="1:9" x14ac:dyDescent="0.2">
      <c r="A78" s="96"/>
      <c r="B78" s="257" t="s">
        <v>1178</v>
      </c>
      <c r="C78" s="258"/>
      <c r="D78" s="25"/>
      <c r="E78" s="26"/>
      <c r="F78" s="22">
        <v>4</v>
      </c>
      <c r="G78" s="23">
        <v>1</v>
      </c>
      <c r="H78" s="23">
        <v>50.18</v>
      </c>
      <c r="I78" s="23">
        <f>G78*H78*F78</f>
        <v>200.72</v>
      </c>
    </row>
    <row r="79" spans="1:9" x14ac:dyDescent="0.2">
      <c r="A79" s="96"/>
      <c r="B79" s="257" t="s">
        <v>1177</v>
      </c>
      <c r="C79" s="258"/>
      <c r="D79" s="19"/>
      <c r="E79" s="20"/>
      <c r="F79" s="22">
        <v>8</v>
      </c>
      <c r="G79" s="23">
        <v>1</v>
      </c>
      <c r="H79" s="23">
        <v>38.97</v>
      </c>
      <c r="I79" s="23">
        <f>G79*H79*F79</f>
        <v>311.76</v>
      </c>
    </row>
    <row r="80" spans="1:9" x14ac:dyDescent="0.2">
      <c r="A80" s="96"/>
      <c r="B80" s="248" t="s">
        <v>20</v>
      </c>
      <c r="C80" s="249"/>
      <c r="D80" s="249"/>
      <c r="E80" s="250"/>
      <c r="F80" s="31"/>
      <c r="G80" s="31"/>
      <c r="H80" s="32"/>
      <c r="I80" s="32">
        <f>SUM(I73:I79)</f>
        <v>1094.3800000000001</v>
      </c>
    </row>
    <row r="81" spans="1:9" x14ac:dyDescent="0.2">
      <c r="A81" s="95"/>
      <c r="B81" s="251" t="s">
        <v>21</v>
      </c>
      <c r="C81" s="252"/>
      <c r="D81" s="252"/>
      <c r="E81" s="253"/>
      <c r="F81" s="244" t="s">
        <v>22</v>
      </c>
      <c r="G81" s="244" t="s">
        <v>13</v>
      </c>
      <c r="H81" s="244" t="s">
        <v>14</v>
      </c>
      <c r="I81" s="246" t="s">
        <v>15</v>
      </c>
    </row>
    <row r="82" spans="1:9" x14ac:dyDescent="0.2">
      <c r="A82" s="96"/>
      <c r="B82" s="254"/>
      <c r="C82" s="255"/>
      <c r="D82" s="255"/>
      <c r="E82" s="256"/>
      <c r="F82" s="245"/>
      <c r="G82" s="245"/>
      <c r="H82" s="245"/>
      <c r="I82" s="247"/>
    </row>
    <row r="83" spans="1:9" x14ac:dyDescent="0.2">
      <c r="A83" s="96" t="s">
        <v>23</v>
      </c>
      <c r="B83" s="33" t="s">
        <v>24</v>
      </c>
      <c r="C83" s="15"/>
      <c r="D83" s="15"/>
      <c r="E83" s="16"/>
      <c r="F83" s="34"/>
      <c r="G83" s="34"/>
      <c r="H83" s="35"/>
      <c r="I83" s="35"/>
    </row>
    <row r="84" spans="1:9" x14ac:dyDescent="0.2">
      <c r="A84" s="96"/>
      <c r="B84" s="18"/>
      <c r="C84" s="19"/>
      <c r="D84" s="19"/>
      <c r="E84" s="20"/>
      <c r="F84" s="22"/>
      <c r="G84" s="22"/>
      <c r="H84" s="23"/>
      <c r="I84" s="23"/>
    </row>
    <row r="85" spans="1:9" x14ac:dyDescent="0.2">
      <c r="A85" s="96"/>
      <c r="B85" s="18" t="s">
        <v>403</v>
      </c>
      <c r="C85" s="66"/>
      <c r="D85" s="19"/>
      <c r="E85" s="20"/>
      <c r="F85" s="22">
        <v>1</v>
      </c>
      <c r="G85" s="23">
        <v>1</v>
      </c>
      <c r="H85" s="37">
        <v>172</v>
      </c>
      <c r="I85" s="37">
        <f>G85*H85*F85</f>
        <v>172</v>
      </c>
    </row>
    <row r="86" spans="1:9" x14ac:dyDescent="0.2">
      <c r="A86" s="96"/>
      <c r="B86" s="18" t="s">
        <v>341</v>
      </c>
      <c r="C86" s="19"/>
      <c r="D86" s="19"/>
      <c r="E86" s="20"/>
      <c r="F86" s="22">
        <v>1</v>
      </c>
      <c r="G86" s="23">
        <v>1</v>
      </c>
      <c r="H86" s="37">
        <v>91.25</v>
      </c>
      <c r="I86" s="37">
        <f>G86*H86*F86</f>
        <v>91.25</v>
      </c>
    </row>
    <row r="87" spans="1:9" x14ac:dyDescent="0.2">
      <c r="A87" s="96"/>
      <c r="B87" s="18" t="s">
        <v>1174</v>
      </c>
      <c r="C87" s="19"/>
      <c r="D87" s="19"/>
      <c r="E87" s="20"/>
      <c r="F87" s="22">
        <v>1</v>
      </c>
      <c r="G87" s="23">
        <v>0.1</v>
      </c>
      <c r="H87" s="37">
        <v>2450</v>
      </c>
      <c r="I87" s="37">
        <f>G87*H87*F87</f>
        <v>245</v>
      </c>
    </row>
    <row r="88" spans="1:9" x14ac:dyDescent="0.2">
      <c r="A88" s="96"/>
      <c r="B88" s="18" t="s">
        <v>260</v>
      </c>
      <c r="C88" s="66"/>
      <c r="F88" s="22"/>
      <c r="G88" s="23"/>
      <c r="I88" s="37">
        <f>I80*0.05</f>
        <v>54.719000000000008</v>
      </c>
    </row>
    <row r="89" spans="1:9" x14ac:dyDescent="0.2">
      <c r="A89" s="96"/>
      <c r="B89" s="18"/>
      <c r="C89" s="19"/>
      <c r="D89" s="19"/>
      <c r="E89" s="20"/>
      <c r="F89" s="22"/>
      <c r="G89" s="36"/>
      <c r="H89" s="37"/>
      <c r="I89" s="37"/>
    </row>
    <row r="90" spans="1:9" x14ac:dyDescent="0.2">
      <c r="A90" s="96"/>
      <c r="B90" s="18"/>
      <c r="C90" s="19"/>
      <c r="D90" s="19"/>
      <c r="E90" s="20"/>
      <c r="F90" s="22"/>
      <c r="G90" s="36"/>
      <c r="H90" s="37"/>
      <c r="I90" s="37"/>
    </row>
    <row r="91" spans="1:9" x14ac:dyDescent="0.2">
      <c r="A91" s="96"/>
      <c r="B91" s="18"/>
      <c r="C91" s="19"/>
      <c r="D91" s="19"/>
      <c r="E91" s="20"/>
      <c r="F91" s="22"/>
      <c r="G91" s="36"/>
      <c r="H91" s="37"/>
      <c r="I91" s="37"/>
    </row>
    <row r="92" spans="1:9" x14ac:dyDescent="0.2">
      <c r="A92" s="96"/>
      <c r="B92" s="18"/>
      <c r="C92" s="19"/>
      <c r="D92" s="19"/>
      <c r="E92" s="20"/>
      <c r="F92" s="22"/>
      <c r="G92" s="23"/>
      <c r="H92" s="37"/>
      <c r="I92" s="37"/>
    </row>
    <row r="93" spans="1:9" x14ac:dyDescent="0.2">
      <c r="A93" s="96"/>
      <c r="B93" s="18"/>
      <c r="C93" s="19"/>
      <c r="D93" s="19"/>
      <c r="E93" s="20"/>
      <c r="F93" s="22"/>
      <c r="G93" s="23"/>
      <c r="H93" s="37"/>
      <c r="I93" s="37"/>
    </row>
    <row r="94" spans="1:9" x14ac:dyDescent="0.2">
      <c r="A94" s="96"/>
      <c r="B94" s="7"/>
      <c r="C94" s="7"/>
      <c r="D94" s="7"/>
      <c r="E94" s="7"/>
      <c r="F94" s="72"/>
      <c r="G94" s="72"/>
      <c r="H94" s="72"/>
      <c r="I94" s="72"/>
    </row>
    <row r="95" spans="1:9" x14ac:dyDescent="0.2">
      <c r="A95" s="96"/>
      <c r="B95" s="18"/>
      <c r="C95" s="19"/>
      <c r="D95" s="19"/>
      <c r="E95" s="20"/>
      <c r="F95" s="22"/>
      <c r="G95" s="36"/>
      <c r="H95" s="37"/>
      <c r="I95" s="37"/>
    </row>
    <row r="96" spans="1:9" x14ac:dyDescent="0.2">
      <c r="A96" s="96"/>
      <c r="B96" s="18"/>
      <c r="C96" s="19"/>
      <c r="D96" s="19"/>
      <c r="E96" s="20"/>
      <c r="F96" s="22"/>
      <c r="G96" s="36"/>
      <c r="H96" s="37"/>
      <c r="I96" s="37"/>
    </row>
    <row r="97" spans="1:9" x14ac:dyDescent="0.2">
      <c r="A97" s="96"/>
      <c r="B97" s="18"/>
      <c r="C97" s="19"/>
      <c r="D97" s="19"/>
      <c r="E97" s="20"/>
      <c r="F97" s="22"/>
      <c r="G97" s="22"/>
      <c r="H97" s="23"/>
      <c r="I97" s="23"/>
    </row>
    <row r="98" spans="1:9" x14ac:dyDescent="0.2">
      <c r="A98" s="96"/>
      <c r="B98" s="248" t="s">
        <v>30</v>
      </c>
      <c r="C98" s="249"/>
      <c r="D98" s="249"/>
      <c r="E98" s="250"/>
      <c r="F98" s="22"/>
      <c r="G98" s="22"/>
      <c r="H98" s="23"/>
      <c r="I98" s="23">
        <f>SUM(I85:I97)</f>
        <v>562.96900000000005</v>
      </c>
    </row>
    <row r="99" spans="1:9" x14ac:dyDescent="0.2">
      <c r="A99" s="95" t="s">
        <v>31</v>
      </c>
      <c r="B99" s="260" t="s">
        <v>32</v>
      </c>
      <c r="C99" s="261"/>
      <c r="D99" s="261"/>
      <c r="E99" s="261"/>
      <c r="F99" s="39"/>
      <c r="G99" s="39"/>
      <c r="H99" s="40"/>
      <c r="I99" s="41">
        <f>SUM(I98+I80)</f>
        <v>1657.3490000000002</v>
      </c>
    </row>
    <row r="100" spans="1:9" x14ac:dyDescent="0.2">
      <c r="A100" s="96" t="s">
        <v>33</v>
      </c>
      <c r="B100" s="319">
        <f>E67</f>
        <v>1.4</v>
      </c>
      <c r="C100" s="320"/>
      <c r="D100" s="320"/>
      <c r="E100" s="320"/>
      <c r="F100" s="320"/>
      <c r="G100" s="320"/>
      <c r="H100" s="40"/>
      <c r="I100" s="41"/>
    </row>
    <row r="101" spans="1:9" x14ac:dyDescent="0.2">
      <c r="A101" s="96" t="s">
        <v>34</v>
      </c>
      <c r="B101" s="42" t="s">
        <v>35</v>
      </c>
      <c r="C101" s="43"/>
      <c r="D101" s="43"/>
      <c r="E101" s="39"/>
      <c r="F101" s="44"/>
      <c r="G101" s="44"/>
      <c r="H101" s="40"/>
      <c r="I101" s="41">
        <f>I99/E67</f>
        <v>1183.8207142857145</v>
      </c>
    </row>
    <row r="102" spans="1:9" x14ac:dyDescent="0.2">
      <c r="A102" s="95"/>
      <c r="B102" s="251" t="s">
        <v>36</v>
      </c>
      <c r="C102" s="252"/>
      <c r="D102" s="252"/>
      <c r="E102" s="253"/>
      <c r="F102" s="244" t="s">
        <v>37</v>
      </c>
      <c r="G102" s="244" t="s">
        <v>38</v>
      </c>
      <c r="H102" s="244" t="s">
        <v>39</v>
      </c>
      <c r="I102" s="246" t="s">
        <v>15</v>
      </c>
    </row>
    <row r="103" spans="1:9" x14ac:dyDescent="0.2">
      <c r="A103" s="96"/>
      <c r="B103" s="254"/>
      <c r="C103" s="255"/>
      <c r="D103" s="255"/>
      <c r="E103" s="256"/>
      <c r="F103" s="245"/>
      <c r="G103" s="245"/>
      <c r="H103" s="245"/>
      <c r="I103" s="247"/>
    </row>
    <row r="104" spans="1:9" x14ac:dyDescent="0.2">
      <c r="A104" s="96" t="s">
        <v>40</v>
      </c>
      <c r="B104" s="18" t="s">
        <v>41</v>
      </c>
      <c r="C104" s="19"/>
      <c r="D104" s="19"/>
      <c r="E104" s="20"/>
      <c r="F104" s="22"/>
      <c r="G104" s="22"/>
      <c r="H104" s="23"/>
      <c r="I104" s="23"/>
    </row>
    <row r="105" spans="1:9" x14ac:dyDescent="0.2">
      <c r="A105" s="96"/>
      <c r="B105" s="18"/>
      <c r="C105" s="19"/>
      <c r="D105" s="19"/>
      <c r="E105" s="20"/>
      <c r="F105" s="22"/>
      <c r="G105" s="22"/>
      <c r="H105" s="23"/>
      <c r="I105" s="23"/>
    </row>
    <row r="106" spans="1:9" x14ac:dyDescent="0.2">
      <c r="A106" s="96"/>
      <c r="B106" s="18" t="s">
        <v>412</v>
      </c>
      <c r="C106" s="66"/>
      <c r="D106" s="19"/>
      <c r="E106" s="20"/>
      <c r="F106" s="22" t="s">
        <v>413</v>
      </c>
      <c r="G106" s="98">
        <v>70</v>
      </c>
      <c r="H106" s="107">
        <v>40</v>
      </c>
      <c r="I106" s="23">
        <f>H106*G106/4</f>
        <v>700</v>
      </c>
    </row>
    <row r="107" spans="1:9" x14ac:dyDescent="0.2">
      <c r="A107" s="96"/>
      <c r="B107" s="18" t="s">
        <v>414</v>
      </c>
      <c r="C107" s="66"/>
      <c r="D107" s="19"/>
      <c r="E107" s="20"/>
      <c r="F107" s="22" t="s">
        <v>80</v>
      </c>
      <c r="G107" s="99">
        <v>1.6</v>
      </c>
      <c r="H107" s="107">
        <v>700</v>
      </c>
      <c r="I107" s="23">
        <f>H107*G107/4</f>
        <v>280</v>
      </c>
    </row>
    <row r="108" spans="1:9" x14ac:dyDescent="0.2">
      <c r="A108" s="96"/>
      <c r="B108" s="18" t="s">
        <v>415</v>
      </c>
      <c r="C108" s="19"/>
      <c r="D108" s="19"/>
      <c r="E108" s="20"/>
      <c r="F108" s="22" t="s">
        <v>77</v>
      </c>
      <c r="G108" s="100">
        <v>0.7</v>
      </c>
      <c r="H108" s="107">
        <v>68</v>
      </c>
      <c r="I108" s="23">
        <f>H108*G108</f>
        <v>47.599999999999994</v>
      </c>
    </row>
    <row r="109" spans="1:9" x14ac:dyDescent="0.2">
      <c r="A109" s="96"/>
      <c r="B109" s="18" t="s">
        <v>416</v>
      </c>
      <c r="C109" s="19"/>
      <c r="D109" s="19"/>
      <c r="E109" s="20"/>
      <c r="F109" s="22" t="s">
        <v>227</v>
      </c>
      <c r="G109" s="62">
        <v>9.5</v>
      </c>
      <c r="H109" s="107">
        <v>220</v>
      </c>
      <c r="I109" s="23">
        <f>H109*G109</f>
        <v>2090</v>
      </c>
    </row>
    <row r="110" spans="1:9" x14ac:dyDescent="0.2">
      <c r="A110" s="96"/>
      <c r="B110" s="18" t="s">
        <v>268</v>
      </c>
      <c r="C110" s="19"/>
      <c r="D110" s="19"/>
      <c r="E110" s="20"/>
      <c r="F110" s="22" t="s">
        <v>9</v>
      </c>
      <c r="G110" s="62">
        <v>0.5</v>
      </c>
      <c r="H110" s="107">
        <v>850</v>
      </c>
      <c r="I110" s="23">
        <f>H110*G110</f>
        <v>425</v>
      </c>
    </row>
    <row r="111" spans="1:9" x14ac:dyDescent="0.2">
      <c r="A111" s="96"/>
      <c r="B111" s="18" t="s">
        <v>269</v>
      </c>
      <c r="C111" s="19"/>
      <c r="D111" s="19"/>
      <c r="E111" s="20"/>
      <c r="F111" s="22" t="s">
        <v>9</v>
      </c>
      <c r="G111" s="62">
        <v>1</v>
      </c>
      <c r="H111" s="107">
        <v>650</v>
      </c>
      <c r="I111" s="23">
        <f>H111*G111</f>
        <v>650</v>
      </c>
    </row>
    <row r="112" spans="1:9" x14ac:dyDescent="0.2">
      <c r="A112" s="96"/>
      <c r="B112" s="101"/>
      <c r="C112" s="19"/>
      <c r="D112" s="19"/>
      <c r="E112" s="20"/>
      <c r="F112" s="22"/>
      <c r="G112" s="22"/>
      <c r="H112" s="23"/>
      <c r="I112" s="23"/>
    </row>
    <row r="113" spans="1:9" x14ac:dyDescent="0.2">
      <c r="A113" s="96"/>
      <c r="B113" s="18" t="s">
        <v>417</v>
      </c>
      <c r="C113" s="19"/>
      <c r="D113" s="19"/>
      <c r="E113" s="20"/>
      <c r="F113" s="22"/>
      <c r="G113" s="22"/>
      <c r="H113" s="23"/>
      <c r="I113" s="23"/>
    </row>
    <row r="114" spans="1:9" x14ac:dyDescent="0.2">
      <c r="A114" s="96"/>
      <c r="B114" s="301" t="s">
        <v>418</v>
      </c>
      <c r="C114" s="317"/>
      <c r="D114" s="317"/>
      <c r="E114" s="318"/>
      <c r="F114" s="22"/>
      <c r="G114" s="22"/>
      <c r="H114" s="23"/>
      <c r="I114" s="23"/>
    </row>
    <row r="115" spans="1:9" x14ac:dyDescent="0.2">
      <c r="A115" s="96"/>
      <c r="B115" s="301"/>
      <c r="C115" s="317"/>
      <c r="D115" s="317"/>
      <c r="E115" s="318"/>
      <c r="F115" s="22"/>
      <c r="G115" s="22"/>
      <c r="H115" s="23"/>
      <c r="I115" s="23"/>
    </row>
    <row r="116" spans="1:9" x14ac:dyDescent="0.2">
      <c r="A116" s="96"/>
      <c r="B116" s="301" t="s">
        <v>419</v>
      </c>
      <c r="C116" s="317"/>
      <c r="D116" s="317"/>
      <c r="E116" s="318"/>
      <c r="F116" s="22"/>
      <c r="G116" s="22"/>
      <c r="H116" s="23"/>
      <c r="I116" s="23"/>
    </row>
    <row r="117" spans="1:9" x14ac:dyDescent="0.2">
      <c r="A117" s="96"/>
      <c r="B117" s="301"/>
      <c r="C117" s="317"/>
      <c r="D117" s="317"/>
      <c r="E117" s="318"/>
      <c r="F117" s="22"/>
      <c r="G117" s="36"/>
      <c r="H117" s="37"/>
      <c r="I117" s="37"/>
    </row>
    <row r="118" spans="1:9" x14ac:dyDescent="0.2">
      <c r="A118" s="96"/>
      <c r="B118" s="102"/>
      <c r="C118" s="103"/>
      <c r="D118" s="103"/>
      <c r="E118" s="104"/>
      <c r="F118" s="22"/>
      <c r="G118" s="36"/>
      <c r="H118" s="37"/>
      <c r="I118" s="37"/>
    </row>
    <row r="119" spans="1:9" x14ac:dyDescent="0.2">
      <c r="A119" s="96"/>
      <c r="B119" s="248" t="s">
        <v>42</v>
      </c>
      <c r="C119" s="249"/>
      <c r="D119" s="249"/>
      <c r="E119" s="250"/>
      <c r="F119" s="46"/>
      <c r="G119" s="46"/>
      <c r="H119" s="47"/>
      <c r="I119" s="47">
        <f>SUM(I106:I117)</f>
        <v>4192.6000000000004</v>
      </c>
    </row>
    <row r="120" spans="1:9" x14ac:dyDescent="0.2">
      <c r="A120" s="95" t="s">
        <v>43</v>
      </c>
      <c r="B120" s="48" t="s">
        <v>44</v>
      </c>
      <c r="C120" s="43"/>
      <c r="D120" s="43"/>
      <c r="E120" s="39"/>
      <c r="F120" s="49"/>
      <c r="G120" s="49"/>
      <c r="H120" s="50"/>
      <c r="I120" s="51">
        <f>SUM(I101+I119)</f>
        <v>5376.4207142857149</v>
      </c>
    </row>
    <row r="121" spans="1:9" x14ac:dyDescent="0.2">
      <c r="A121" s="96" t="s">
        <v>45</v>
      </c>
      <c r="B121" s="48" t="s">
        <v>46</v>
      </c>
      <c r="C121" s="43"/>
      <c r="D121" s="43"/>
      <c r="E121" s="39"/>
      <c r="F121" s="49"/>
      <c r="G121" s="52">
        <v>0.09</v>
      </c>
      <c r="H121" s="53" t="s">
        <v>47</v>
      </c>
      <c r="I121" s="51">
        <f>G121*I120</f>
        <v>483.87786428571434</v>
      </c>
    </row>
    <row r="122" spans="1:9" x14ac:dyDescent="0.2">
      <c r="A122" s="96" t="s">
        <v>48</v>
      </c>
      <c r="B122" s="48" t="s">
        <v>49</v>
      </c>
      <c r="C122" s="43"/>
      <c r="D122" s="43"/>
      <c r="E122" s="39"/>
      <c r="F122" s="49"/>
      <c r="G122" s="52">
        <v>0.08</v>
      </c>
      <c r="H122" s="53" t="s">
        <v>47</v>
      </c>
      <c r="I122" s="51">
        <f>G122*I120</f>
        <v>430.11365714285722</v>
      </c>
    </row>
    <row r="123" spans="1:9" x14ac:dyDescent="0.2">
      <c r="A123" s="96" t="s">
        <v>50</v>
      </c>
      <c r="B123" s="48" t="s">
        <v>51</v>
      </c>
      <c r="C123" s="43"/>
      <c r="D123" s="43"/>
      <c r="E123" s="39"/>
      <c r="F123" s="49"/>
      <c r="G123" s="52">
        <f>5/100</f>
        <v>0.05</v>
      </c>
      <c r="H123" s="53" t="s">
        <v>52</v>
      </c>
      <c r="I123" s="51">
        <f>G123*(I120+I121+I122)</f>
        <v>314.52061178571432</v>
      </c>
    </row>
    <row r="124" spans="1:9" x14ac:dyDescent="0.2">
      <c r="A124" s="97" t="s">
        <v>53</v>
      </c>
      <c r="B124" s="48" t="s">
        <v>54</v>
      </c>
      <c r="C124" s="43"/>
      <c r="D124" s="43"/>
      <c r="E124" s="39"/>
      <c r="F124" s="49"/>
      <c r="G124" s="49"/>
      <c r="H124" s="55" t="s">
        <v>55</v>
      </c>
      <c r="I124" s="51">
        <f>SUM(I120+I121+I122+I123)</f>
        <v>6604.9328475000002</v>
      </c>
    </row>
  </sheetData>
  <sheetProtection selectLockedCells="1" selectUnlockedCells="1"/>
  <mergeCells count="52">
    <mergeCell ref="B114:E115"/>
    <mergeCell ref="B116:E117"/>
    <mergeCell ref="B119:E119"/>
    <mergeCell ref="B100:G100"/>
    <mergeCell ref="B102:E103"/>
    <mergeCell ref="F102:F103"/>
    <mergeCell ref="G102:G103"/>
    <mergeCell ref="H102:H103"/>
    <mergeCell ref="I102:I103"/>
    <mergeCell ref="F81:F82"/>
    <mergeCell ref="G81:G82"/>
    <mergeCell ref="H81:H82"/>
    <mergeCell ref="I81:I82"/>
    <mergeCell ref="B98:E98"/>
    <mergeCell ref="B99:E99"/>
    <mergeCell ref="B74:C74"/>
    <mergeCell ref="B75:C75"/>
    <mergeCell ref="B78:C78"/>
    <mergeCell ref="B79:C79"/>
    <mergeCell ref="B80:E80"/>
    <mergeCell ref="B81:E82"/>
    <mergeCell ref="B57:E57"/>
    <mergeCell ref="A63:I63"/>
    <mergeCell ref="E65:H65"/>
    <mergeCell ref="B69:E70"/>
    <mergeCell ref="F69:F70"/>
    <mergeCell ref="G69:G70"/>
    <mergeCell ref="H69:H70"/>
    <mergeCell ref="I69:I70"/>
    <mergeCell ref="H19:H20"/>
    <mergeCell ref="I19:I20"/>
    <mergeCell ref="B36:E36"/>
    <mergeCell ref="B37:E37"/>
    <mergeCell ref="B38:G38"/>
    <mergeCell ref="G19:G20"/>
    <mergeCell ref="B40:E41"/>
    <mergeCell ref="F40:F41"/>
    <mergeCell ref="G40:G41"/>
    <mergeCell ref="H40:H41"/>
    <mergeCell ref="I40:I41"/>
    <mergeCell ref="B12:C12"/>
    <mergeCell ref="B13:C13"/>
    <mergeCell ref="B18:E18"/>
    <mergeCell ref="B19:E20"/>
    <mergeCell ref="F19:F20"/>
    <mergeCell ref="A1:I1"/>
    <mergeCell ref="E3:H3"/>
    <mergeCell ref="B7:E8"/>
    <mergeCell ref="F7:F8"/>
    <mergeCell ref="G7:G8"/>
    <mergeCell ref="H7:H8"/>
    <mergeCell ref="I7:I8"/>
  </mergeCells>
  <printOptions horizontalCentered="1"/>
  <pageMargins left="0.5" right="0" top="1" bottom="0.75" header="0" footer="0"/>
  <pageSetup paperSize="9" scale="79" orientation="portrait" horizontalDpi="4294967294" verticalDpi="200" r:id="rId1"/>
  <rowBreaks count="1" manualBreakCount="1">
    <brk id="62" max="1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T1674"/>
  <sheetViews>
    <sheetView view="pageBreakPreview" topLeftCell="E864" zoomScale="80" zoomScaleNormal="70" zoomScaleSheetLayoutView="80" workbookViewId="0">
      <selection activeCell="K877" sqref="K877"/>
    </sheetView>
  </sheetViews>
  <sheetFormatPr defaultColWidth="9.14453125" defaultRowHeight="15" x14ac:dyDescent="0.2"/>
  <cols>
    <col min="1" max="1" width="3.2265625" style="10" customWidth="1"/>
    <col min="2" max="2" width="17.75390625" style="3" customWidth="1"/>
    <col min="3" max="3" width="2.6875" style="4" customWidth="1"/>
    <col min="4" max="4" width="11.56640625" style="4" customWidth="1"/>
    <col min="5" max="5" width="13.44921875" style="5" customWidth="1"/>
    <col min="6" max="8" width="17.08203125" style="3" customWidth="1"/>
    <col min="9" max="9" width="23.9453125" style="3" customWidth="1"/>
    <col min="10" max="10" width="3.2265625" style="10" customWidth="1"/>
    <col min="11" max="11" width="17.75390625" style="3" customWidth="1"/>
    <col min="12" max="12" width="2.6875" style="4" customWidth="1"/>
    <col min="13" max="13" width="11.56640625" style="4" customWidth="1"/>
    <col min="14" max="14" width="13.44921875" style="5" customWidth="1"/>
    <col min="15" max="17" width="17.08203125" style="3" customWidth="1"/>
    <col min="18" max="18" width="23.9453125" style="3" customWidth="1"/>
    <col min="19" max="16384" width="9.14453125" style="7"/>
  </cols>
  <sheetData>
    <row r="1" spans="1:18" s="1" customFormat="1" x14ac:dyDescent="0.2">
      <c r="A1" s="236" t="s">
        <v>0</v>
      </c>
      <c r="B1" s="236"/>
      <c r="C1" s="236"/>
      <c r="D1" s="236"/>
      <c r="E1" s="236"/>
      <c r="F1" s="236"/>
      <c r="G1" s="236"/>
      <c r="H1" s="236"/>
      <c r="I1" s="236"/>
      <c r="J1" s="236" t="s">
        <v>0</v>
      </c>
      <c r="K1" s="236"/>
      <c r="L1" s="236"/>
      <c r="M1" s="236"/>
      <c r="N1" s="236"/>
      <c r="O1" s="236"/>
      <c r="P1" s="236"/>
      <c r="Q1" s="236"/>
      <c r="R1" s="236"/>
    </row>
    <row r="3" spans="1:18" x14ac:dyDescent="0.2">
      <c r="A3" s="2" t="s">
        <v>1</v>
      </c>
      <c r="C3" s="4" t="s">
        <v>2</v>
      </c>
      <c r="D3" s="5" t="s">
        <v>420</v>
      </c>
      <c r="E3" s="237" t="s">
        <v>421</v>
      </c>
      <c r="F3" s="237"/>
      <c r="G3" s="237"/>
      <c r="H3" s="237"/>
      <c r="I3" s="8"/>
      <c r="J3" s="158" t="s">
        <v>1</v>
      </c>
      <c r="L3" s="4" t="s">
        <v>2</v>
      </c>
      <c r="M3" s="5" t="s">
        <v>422</v>
      </c>
      <c r="N3" s="158" t="s">
        <v>423</v>
      </c>
      <c r="O3" s="158"/>
      <c r="P3" s="158"/>
      <c r="Q3" s="158"/>
    </row>
    <row r="4" spans="1:18" x14ac:dyDescent="0.2">
      <c r="A4" s="2" t="s">
        <v>7</v>
      </c>
      <c r="C4" s="4" t="s">
        <v>2</v>
      </c>
      <c r="E4" s="152" t="s">
        <v>66</v>
      </c>
      <c r="F4" s="8"/>
      <c r="G4" s="8"/>
      <c r="H4" s="8"/>
      <c r="J4" s="158" t="s">
        <v>7</v>
      </c>
      <c r="L4" s="4" t="s">
        <v>2</v>
      </c>
      <c r="N4" s="158" t="s">
        <v>1153</v>
      </c>
      <c r="O4" s="8"/>
      <c r="P4" s="8"/>
      <c r="Q4" s="8"/>
    </row>
    <row r="5" spans="1:18" x14ac:dyDescent="0.2">
      <c r="A5" s="2" t="s">
        <v>10</v>
      </c>
      <c r="C5" s="4" t="s">
        <v>2</v>
      </c>
      <c r="E5" s="9">
        <v>1</v>
      </c>
      <c r="F5" s="8"/>
      <c r="G5" s="8"/>
      <c r="H5" s="8"/>
      <c r="J5" s="158" t="s">
        <v>10</v>
      </c>
      <c r="L5" s="4" t="s">
        <v>2</v>
      </c>
      <c r="N5" s="9">
        <v>3.75</v>
      </c>
      <c r="O5" s="8"/>
      <c r="P5" s="8"/>
      <c r="Q5" s="8"/>
    </row>
    <row r="6" spans="1:18" x14ac:dyDescent="0.2">
      <c r="B6" s="8"/>
      <c r="F6" s="11"/>
      <c r="G6" s="8"/>
      <c r="H6" s="8"/>
      <c r="I6" s="8"/>
      <c r="K6" s="8"/>
      <c r="O6" s="11"/>
      <c r="P6" s="8"/>
      <c r="Q6" s="8"/>
      <c r="R6" s="8"/>
    </row>
    <row r="7" spans="1:18" x14ac:dyDescent="0.2">
      <c r="A7" s="12"/>
      <c r="B7" s="238" t="s">
        <v>11</v>
      </c>
      <c r="C7" s="239"/>
      <c r="D7" s="239"/>
      <c r="E7" s="240"/>
      <c r="F7" s="244" t="s">
        <v>12</v>
      </c>
      <c r="G7" s="244" t="s">
        <v>13</v>
      </c>
      <c r="H7" s="244" t="s">
        <v>14</v>
      </c>
      <c r="I7" s="246" t="s">
        <v>15</v>
      </c>
      <c r="J7" s="12"/>
      <c r="K7" s="238" t="s">
        <v>11</v>
      </c>
      <c r="L7" s="239"/>
      <c r="M7" s="239"/>
      <c r="N7" s="240"/>
      <c r="O7" s="244" t="s">
        <v>12</v>
      </c>
      <c r="P7" s="244" t="s">
        <v>13</v>
      </c>
      <c r="Q7" s="244" t="s">
        <v>14</v>
      </c>
      <c r="R7" s="246" t="s">
        <v>15</v>
      </c>
    </row>
    <row r="8" spans="1:18" x14ac:dyDescent="0.2">
      <c r="A8" s="13"/>
      <c r="B8" s="241"/>
      <c r="C8" s="242"/>
      <c r="D8" s="242"/>
      <c r="E8" s="243"/>
      <c r="F8" s="245"/>
      <c r="G8" s="245"/>
      <c r="H8" s="245"/>
      <c r="I8" s="247"/>
      <c r="J8" s="13"/>
      <c r="K8" s="241"/>
      <c r="L8" s="242"/>
      <c r="M8" s="242"/>
      <c r="N8" s="243"/>
      <c r="O8" s="245"/>
      <c r="P8" s="245"/>
      <c r="Q8" s="245"/>
      <c r="R8" s="247"/>
    </row>
    <row r="9" spans="1:18" x14ac:dyDescent="0.2">
      <c r="A9" s="13" t="s">
        <v>16</v>
      </c>
      <c r="B9" s="14" t="s">
        <v>17</v>
      </c>
      <c r="C9" s="15"/>
      <c r="D9" s="15"/>
      <c r="E9" s="16"/>
      <c r="F9" s="17"/>
      <c r="G9" s="17"/>
      <c r="H9" s="17"/>
      <c r="I9" s="17"/>
      <c r="J9" s="13" t="s">
        <v>16</v>
      </c>
      <c r="K9" s="14" t="s">
        <v>17</v>
      </c>
      <c r="L9" s="15"/>
      <c r="M9" s="15"/>
      <c r="N9" s="16"/>
      <c r="O9" s="17"/>
      <c r="P9" s="17"/>
      <c r="Q9" s="17"/>
      <c r="R9" s="17"/>
    </row>
    <row r="10" spans="1:18" x14ac:dyDescent="0.2">
      <c r="A10" s="13"/>
      <c r="B10" s="18"/>
      <c r="C10" s="19"/>
      <c r="D10" s="19"/>
      <c r="E10" s="20"/>
      <c r="F10" s="21"/>
      <c r="G10" s="22"/>
      <c r="H10" s="21"/>
      <c r="I10" s="21"/>
      <c r="J10" s="13"/>
      <c r="K10" s="18"/>
      <c r="L10" s="19"/>
      <c r="M10" s="19"/>
      <c r="N10" s="20"/>
      <c r="O10" s="21"/>
      <c r="P10" s="22"/>
      <c r="Q10" s="21"/>
      <c r="R10" s="21"/>
    </row>
    <row r="11" spans="1:18" x14ac:dyDescent="0.2">
      <c r="A11" s="13"/>
      <c r="B11" s="24" t="s">
        <v>18</v>
      </c>
      <c r="C11" s="25"/>
      <c r="D11" s="25"/>
      <c r="E11" s="26"/>
      <c r="F11" s="22">
        <v>1</v>
      </c>
      <c r="G11" s="23">
        <v>0.44</v>
      </c>
      <c r="H11" s="23">
        <v>69.42</v>
      </c>
      <c r="I11" s="23">
        <f>G11*H11*F11</f>
        <v>30.544800000000002</v>
      </c>
      <c r="J11" s="13"/>
      <c r="K11" s="24" t="s">
        <v>18</v>
      </c>
      <c r="L11" s="25"/>
      <c r="M11" s="25"/>
      <c r="N11" s="26"/>
      <c r="O11" s="22">
        <v>1</v>
      </c>
      <c r="P11" s="23">
        <v>1</v>
      </c>
      <c r="Q11" s="23">
        <v>69.42</v>
      </c>
      <c r="R11" s="23">
        <f>P11*Q11*O11</f>
        <v>69.42</v>
      </c>
    </row>
    <row r="12" spans="1:18" x14ac:dyDescent="0.2">
      <c r="A12" s="13"/>
      <c r="B12" s="257" t="s">
        <v>1178</v>
      </c>
      <c r="C12" s="258"/>
      <c r="D12" s="25"/>
      <c r="E12" s="26"/>
      <c r="F12" s="22">
        <v>2</v>
      </c>
      <c r="G12" s="23">
        <v>0.44</v>
      </c>
      <c r="H12" s="23">
        <v>50.18</v>
      </c>
      <c r="I12" s="23">
        <f>G12*H12*F12</f>
        <v>44.1584</v>
      </c>
      <c r="J12" s="13"/>
      <c r="K12" s="257" t="s">
        <v>1178</v>
      </c>
      <c r="L12" s="258"/>
      <c r="M12" s="25"/>
      <c r="N12" s="26"/>
      <c r="O12" s="22">
        <v>2</v>
      </c>
      <c r="P12" s="23">
        <v>1</v>
      </c>
      <c r="Q12" s="23">
        <v>50.18</v>
      </c>
      <c r="R12" s="23">
        <f>P12*Q12*O12</f>
        <v>100.36</v>
      </c>
    </row>
    <row r="13" spans="1:18" x14ac:dyDescent="0.2">
      <c r="A13" s="13"/>
      <c r="B13" s="257" t="s">
        <v>1177</v>
      </c>
      <c r="C13" s="258"/>
      <c r="D13" s="19"/>
      <c r="E13" s="20"/>
      <c r="F13" s="22">
        <v>4</v>
      </c>
      <c r="G13" s="23">
        <v>0.44</v>
      </c>
      <c r="H13" s="23">
        <v>38.97</v>
      </c>
      <c r="I13" s="23">
        <f>G13*H13*F13</f>
        <v>68.587199999999996</v>
      </c>
      <c r="J13" s="13"/>
      <c r="K13" s="257" t="s">
        <v>1177</v>
      </c>
      <c r="L13" s="258"/>
      <c r="M13" s="19"/>
      <c r="N13" s="20"/>
      <c r="O13" s="22">
        <v>4</v>
      </c>
      <c r="P13" s="23">
        <v>1</v>
      </c>
      <c r="Q13" s="23">
        <v>38.97</v>
      </c>
      <c r="R13" s="23">
        <f>P13*Q13*O13</f>
        <v>155.88</v>
      </c>
    </row>
    <row r="14" spans="1:18" ht="15" customHeight="1" x14ac:dyDescent="0.2">
      <c r="A14" s="13"/>
      <c r="B14" s="27"/>
      <c r="C14" s="63"/>
      <c r="D14" s="19"/>
      <c r="E14" s="20"/>
      <c r="F14" s="22"/>
      <c r="G14" s="22"/>
      <c r="H14" s="29"/>
      <c r="I14" s="30"/>
      <c r="J14" s="13"/>
      <c r="K14" s="159"/>
      <c r="L14" s="19"/>
      <c r="M14" s="19"/>
      <c r="N14" s="20"/>
      <c r="O14" s="22"/>
      <c r="P14" s="22"/>
      <c r="Q14" s="29"/>
      <c r="R14" s="30"/>
    </row>
    <row r="15" spans="1:18" x14ac:dyDescent="0.2">
      <c r="A15" s="13"/>
      <c r="B15" s="27"/>
      <c r="C15" s="63"/>
      <c r="D15" s="19"/>
      <c r="E15" s="20"/>
      <c r="F15" s="22"/>
      <c r="G15" s="22"/>
      <c r="H15" s="29"/>
      <c r="I15" s="30"/>
      <c r="J15" s="13"/>
      <c r="K15" s="159"/>
      <c r="L15" s="19"/>
      <c r="M15" s="19"/>
      <c r="N15" s="20"/>
      <c r="O15" s="22"/>
      <c r="P15" s="22"/>
      <c r="Q15" s="29"/>
      <c r="R15" s="30"/>
    </row>
    <row r="16" spans="1:18" x14ac:dyDescent="0.2">
      <c r="A16" s="13"/>
      <c r="B16" s="24"/>
      <c r="C16" s="25"/>
      <c r="D16" s="19"/>
      <c r="E16" s="20"/>
      <c r="F16" s="22"/>
      <c r="G16" s="22"/>
      <c r="H16" s="23"/>
      <c r="I16" s="23"/>
      <c r="J16" s="13"/>
      <c r="K16" s="18"/>
      <c r="L16" s="19"/>
      <c r="M16" s="19"/>
      <c r="N16" s="20"/>
      <c r="O16" s="22"/>
      <c r="P16" s="22"/>
      <c r="Q16" s="28"/>
      <c r="R16" s="23"/>
    </row>
    <row r="17" spans="1:18" x14ac:dyDescent="0.2">
      <c r="A17" s="13"/>
      <c r="B17" s="24"/>
      <c r="C17" s="25"/>
      <c r="D17" s="19"/>
      <c r="E17" s="20"/>
      <c r="F17" s="22"/>
      <c r="G17" s="22"/>
      <c r="H17" s="23"/>
      <c r="I17" s="23"/>
      <c r="J17" s="13"/>
      <c r="K17" s="18"/>
      <c r="L17" s="19"/>
      <c r="M17" s="19"/>
      <c r="N17" s="20"/>
      <c r="O17" s="22"/>
      <c r="P17" s="22"/>
      <c r="Q17" s="23"/>
      <c r="R17" s="23"/>
    </row>
    <row r="18" spans="1:18" x14ac:dyDescent="0.2">
      <c r="A18" s="13"/>
      <c r="B18" s="248" t="s">
        <v>20</v>
      </c>
      <c r="C18" s="249"/>
      <c r="D18" s="249"/>
      <c r="E18" s="250"/>
      <c r="F18" s="31"/>
      <c r="G18" s="31"/>
      <c r="H18" s="32"/>
      <c r="I18" s="32">
        <f>SUM(I11:I17)</f>
        <v>143.29040000000001</v>
      </c>
      <c r="J18" s="13"/>
      <c r="K18" s="248" t="s">
        <v>20</v>
      </c>
      <c r="L18" s="249"/>
      <c r="M18" s="249"/>
      <c r="N18" s="250"/>
      <c r="O18" s="31"/>
      <c r="P18" s="31"/>
      <c r="Q18" s="32"/>
      <c r="R18" s="32">
        <f>SUM(R11:R17)</f>
        <v>325.65999999999997</v>
      </c>
    </row>
    <row r="19" spans="1:18" x14ac:dyDescent="0.2">
      <c r="A19" s="12"/>
      <c r="B19" s="251" t="s">
        <v>21</v>
      </c>
      <c r="C19" s="252"/>
      <c r="D19" s="252"/>
      <c r="E19" s="253"/>
      <c r="F19" s="244" t="s">
        <v>22</v>
      </c>
      <c r="G19" s="244" t="s">
        <v>13</v>
      </c>
      <c r="H19" s="244" t="s">
        <v>14</v>
      </c>
      <c r="I19" s="246" t="s">
        <v>15</v>
      </c>
      <c r="J19" s="12"/>
      <c r="K19" s="251" t="s">
        <v>21</v>
      </c>
      <c r="L19" s="252"/>
      <c r="M19" s="252"/>
      <c r="N19" s="253"/>
      <c r="O19" s="244" t="s">
        <v>22</v>
      </c>
      <c r="P19" s="244" t="s">
        <v>13</v>
      </c>
      <c r="Q19" s="244" t="s">
        <v>14</v>
      </c>
      <c r="R19" s="246" t="s">
        <v>15</v>
      </c>
    </row>
    <row r="20" spans="1:18" x14ac:dyDescent="0.2">
      <c r="A20" s="13"/>
      <c r="B20" s="254"/>
      <c r="C20" s="255"/>
      <c r="D20" s="255"/>
      <c r="E20" s="256"/>
      <c r="F20" s="245"/>
      <c r="G20" s="245"/>
      <c r="H20" s="245"/>
      <c r="I20" s="247"/>
      <c r="J20" s="13"/>
      <c r="K20" s="254"/>
      <c r="L20" s="255"/>
      <c r="M20" s="255"/>
      <c r="N20" s="256"/>
      <c r="O20" s="245"/>
      <c r="P20" s="245"/>
      <c r="Q20" s="245"/>
      <c r="R20" s="247"/>
    </row>
    <row r="21" spans="1:18" x14ac:dyDescent="0.2">
      <c r="A21" s="13" t="s">
        <v>23</v>
      </c>
      <c r="B21" s="33" t="s">
        <v>24</v>
      </c>
      <c r="C21" s="15"/>
      <c r="D21" s="15"/>
      <c r="E21" s="16"/>
      <c r="F21" s="34"/>
      <c r="G21" s="34"/>
      <c r="H21" s="35"/>
      <c r="I21" s="35"/>
      <c r="J21" s="13" t="s">
        <v>23</v>
      </c>
      <c r="K21" s="33" t="s">
        <v>24</v>
      </c>
      <c r="L21" s="15"/>
      <c r="M21" s="15"/>
      <c r="N21" s="16"/>
      <c r="O21" s="34"/>
      <c r="P21" s="34"/>
      <c r="Q21" s="35"/>
      <c r="R21" s="35"/>
    </row>
    <row r="22" spans="1:18" x14ac:dyDescent="0.2">
      <c r="A22" s="13"/>
      <c r="B22" s="18"/>
      <c r="C22" s="19"/>
      <c r="D22" s="19"/>
      <c r="E22" s="20"/>
      <c r="F22" s="22"/>
      <c r="G22" s="22"/>
      <c r="H22" s="23"/>
      <c r="I22" s="23"/>
      <c r="J22" s="13"/>
      <c r="K22" s="18"/>
      <c r="L22" s="19"/>
      <c r="M22" s="19"/>
      <c r="N22" s="20"/>
      <c r="O22" s="22"/>
      <c r="P22" s="22"/>
      <c r="Q22" s="23"/>
      <c r="R22" s="23"/>
    </row>
    <row r="23" spans="1:18" x14ac:dyDescent="0.2">
      <c r="A23" s="13"/>
      <c r="B23" s="18" t="s">
        <v>62</v>
      </c>
      <c r="C23" s="19"/>
      <c r="D23" s="19"/>
      <c r="E23" s="20"/>
      <c r="F23" s="22">
        <v>1</v>
      </c>
      <c r="G23" s="23">
        <v>0.22</v>
      </c>
      <c r="H23" s="37">
        <v>1537</v>
      </c>
      <c r="I23" s="37">
        <f>G23*H23*F23</f>
        <v>338.14</v>
      </c>
      <c r="J23" s="13"/>
      <c r="K23" s="18" t="s">
        <v>1228</v>
      </c>
      <c r="L23" s="66"/>
      <c r="M23" s="19"/>
      <c r="N23" s="20"/>
      <c r="O23" s="22">
        <v>1</v>
      </c>
      <c r="P23" s="23">
        <v>1</v>
      </c>
      <c r="Q23" s="37">
        <v>1212</v>
      </c>
      <c r="R23" s="37">
        <f>O23*P23*Q23</f>
        <v>1212</v>
      </c>
    </row>
    <row r="24" spans="1:18" x14ac:dyDescent="0.2">
      <c r="A24" s="13"/>
      <c r="B24" s="18" t="s">
        <v>424</v>
      </c>
      <c r="C24" s="19"/>
      <c r="D24" s="19"/>
      <c r="E24" s="20"/>
      <c r="F24" s="22">
        <v>1</v>
      </c>
      <c r="G24" s="23">
        <v>0.22</v>
      </c>
      <c r="H24" s="37">
        <v>123</v>
      </c>
      <c r="I24" s="37">
        <f>G24*H24*F24</f>
        <v>27.06</v>
      </c>
      <c r="J24" s="13"/>
      <c r="K24" s="18" t="s">
        <v>92</v>
      </c>
      <c r="L24" s="19"/>
      <c r="M24" s="19"/>
      <c r="N24" s="20"/>
      <c r="O24" s="22"/>
      <c r="P24" s="23"/>
      <c r="R24" s="37">
        <f>R18*0.1</f>
        <v>32.565999999999995</v>
      </c>
    </row>
    <row r="25" spans="1:18" x14ac:dyDescent="0.2">
      <c r="A25" s="13"/>
      <c r="B25" s="18" t="s">
        <v>1194</v>
      </c>
      <c r="C25" s="66"/>
      <c r="D25" s="19"/>
      <c r="E25" s="20"/>
      <c r="F25" s="22"/>
      <c r="G25" s="71"/>
      <c r="I25" s="37">
        <f>0.1*I18</f>
        <v>14.329040000000001</v>
      </c>
      <c r="J25" s="13"/>
      <c r="K25" s="18"/>
      <c r="L25" s="66"/>
      <c r="M25" s="19"/>
      <c r="N25" s="20"/>
      <c r="O25" s="22"/>
      <c r="P25" s="23"/>
      <c r="Q25" s="37"/>
      <c r="R25" s="37"/>
    </row>
    <row r="26" spans="1:18" x14ac:dyDescent="0.2">
      <c r="A26" s="13"/>
      <c r="B26" s="18"/>
      <c r="C26" s="66"/>
      <c r="F26" s="22"/>
      <c r="G26" s="23"/>
      <c r="H26" s="37"/>
      <c r="I26" s="37"/>
      <c r="J26" s="13"/>
      <c r="K26" s="18"/>
      <c r="L26" s="66"/>
      <c r="M26" s="19"/>
      <c r="N26" s="20"/>
      <c r="O26" s="22"/>
      <c r="P26" s="71"/>
      <c r="Q26" s="37"/>
      <c r="R26" s="37"/>
    </row>
    <row r="27" spans="1:18" x14ac:dyDescent="0.2">
      <c r="A27" s="13"/>
      <c r="B27" s="18"/>
      <c r="C27" s="19"/>
      <c r="D27" s="19"/>
      <c r="E27" s="20"/>
      <c r="F27" s="22"/>
      <c r="G27" s="36"/>
      <c r="H27" s="37"/>
      <c r="I27" s="37"/>
      <c r="J27" s="13"/>
      <c r="K27" s="18"/>
      <c r="L27" s="66"/>
      <c r="M27" s="19"/>
      <c r="N27" s="20"/>
      <c r="O27" s="22"/>
      <c r="P27" s="71"/>
      <c r="Q27" s="37"/>
      <c r="R27" s="37"/>
    </row>
    <row r="28" spans="1:18" x14ac:dyDescent="0.2">
      <c r="A28" s="13"/>
      <c r="B28" s="18"/>
      <c r="C28" s="19"/>
      <c r="D28" s="19"/>
      <c r="E28" s="20"/>
      <c r="F28" s="22"/>
      <c r="G28" s="36"/>
      <c r="H28" s="37"/>
      <c r="I28" s="37"/>
      <c r="J28" s="13"/>
      <c r="K28" s="18"/>
      <c r="L28" s="66"/>
      <c r="M28" s="19"/>
      <c r="N28" s="20"/>
      <c r="O28" s="22"/>
      <c r="P28" s="71"/>
      <c r="Q28" s="37"/>
      <c r="R28" s="37"/>
    </row>
    <row r="29" spans="1:18" x14ac:dyDescent="0.2">
      <c r="A29" s="13"/>
      <c r="B29" s="18"/>
      <c r="C29" s="19"/>
      <c r="D29" s="19"/>
      <c r="E29" s="20"/>
      <c r="F29" s="22"/>
      <c r="G29" s="36"/>
      <c r="H29" s="37"/>
      <c r="I29" s="37"/>
      <c r="J29" s="13"/>
      <c r="K29" s="18"/>
      <c r="L29" s="19"/>
      <c r="M29" s="19"/>
      <c r="N29" s="20"/>
      <c r="O29" s="22"/>
      <c r="P29" s="36"/>
      <c r="Q29" s="38"/>
      <c r="R29" s="38"/>
    </row>
    <row r="30" spans="1:18" x14ac:dyDescent="0.2">
      <c r="A30" s="13"/>
      <c r="B30" s="18"/>
      <c r="C30" s="19"/>
      <c r="D30" s="19"/>
      <c r="E30" s="20"/>
      <c r="F30" s="22"/>
      <c r="G30" s="23"/>
      <c r="H30" s="37"/>
      <c r="I30" s="37"/>
      <c r="J30" s="13"/>
      <c r="K30" s="18"/>
      <c r="L30" s="19"/>
      <c r="M30" s="19"/>
      <c r="N30" s="20"/>
      <c r="O30" s="22"/>
      <c r="P30" s="36"/>
      <c r="Q30" s="38"/>
      <c r="R30" s="38"/>
    </row>
    <row r="31" spans="1:18" x14ac:dyDescent="0.2">
      <c r="A31" s="13"/>
      <c r="B31" s="18"/>
      <c r="C31" s="19"/>
      <c r="D31" s="19"/>
      <c r="E31" s="20"/>
      <c r="F31" s="22"/>
      <c r="G31" s="23"/>
      <c r="H31" s="37"/>
      <c r="I31" s="37"/>
      <c r="J31" s="13"/>
      <c r="K31" s="18"/>
      <c r="L31" s="19"/>
      <c r="M31" s="19"/>
      <c r="N31" s="20"/>
      <c r="O31" s="22"/>
      <c r="P31" s="36"/>
      <c r="Q31" s="38"/>
      <c r="R31" s="38"/>
    </row>
    <row r="32" spans="1:18" x14ac:dyDescent="0.2">
      <c r="A32" s="13"/>
      <c r="B32" s="7"/>
      <c r="C32" s="7"/>
      <c r="D32" s="7"/>
      <c r="E32" s="7"/>
      <c r="F32" s="72"/>
      <c r="G32" s="72"/>
      <c r="H32" s="72"/>
      <c r="I32" s="72"/>
      <c r="J32" s="13"/>
      <c r="K32" s="18"/>
      <c r="L32" s="19"/>
      <c r="M32" s="19"/>
      <c r="N32" s="20"/>
      <c r="O32" s="22"/>
      <c r="P32" s="36"/>
      <c r="Q32" s="37"/>
      <c r="R32" s="37"/>
    </row>
    <row r="33" spans="1:18" x14ac:dyDescent="0.2">
      <c r="A33" s="13"/>
      <c r="B33" s="18"/>
      <c r="C33" s="19"/>
      <c r="D33" s="19"/>
      <c r="E33" s="20"/>
      <c r="F33" s="22"/>
      <c r="G33" s="36"/>
      <c r="H33" s="37"/>
      <c r="I33" s="37"/>
      <c r="J33" s="13"/>
      <c r="K33" s="18"/>
      <c r="L33" s="19"/>
      <c r="M33" s="19"/>
      <c r="N33" s="20"/>
      <c r="O33" s="22"/>
      <c r="P33" s="36"/>
      <c r="Q33" s="37"/>
      <c r="R33" s="37"/>
    </row>
    <row r="34" spans="1:18" ht="15" customHeight="1" x14ac:dyDescent="0.2">
      <c r="A34" s="13"/>
      <c r="B34" s="18"/>
      <c r="C34" s="19"/>
      <c r="D34" s="19"/>
      <c r="E34" s="20"/>
      <c r="F34" s="22"/>
      <c r="G34" s="36"/>
      <c r="H34" s="37"/>
      <c r="I34" s="37"/>
      <c r="J34" s="13"/>
      <c r="K34" s="18"/>
      <c r="L34" s="19"/>
      <c r="M34" s="19"/>
      <c r="N34" s="20"/>
      <c r="O34" s="22"/>
      <c r="P34" s="36"/>
      <c r="Q34" s="37"/>
      <c r="R34" s="37"/>
    </row>
    <row r="35" spans="1:18" x14ac:dyDescent="0.2">
      <c r="A35" s="13"/>
      <c r="B35" s="18"/>
      <c r="C35" s="19"/>
      <c r="D35" s="19"/>
      <c r="E35" s="20"/>
      <c r="F35" s="22"/>
      <c r="G35" s="22"/>
      <c r="H35" s="23"/>
      <c r="I35" s="23"/>
      <c r="J35" s="13"/>
      <c r="K35" s="18"/>
      <c r="L35" s="19"/>
      <c r="M35" s="19"/>
      <c r="N35" s="20"/>
      <c r="O35" s="22"/>
      <c r="P35" s="22"/>
      <c r="Q35" s="23"/>
      <c r="R35" s="23"/>
    </row>
    <row r="36" spans="1:18" x14ac:dyDescent="0.2">
      <c r="A36" s="13"/>
      <c r="B36" s="248" t="s">
        <v>30</v>
      </c>
      <c r="C36" s="249"/>
      <c r="D36" s="249"/>
      <c r="E36" s="250"/>
      <c r="F36" s="22"/>
      <c r="G36" s="22"/>
      <c r="H36" s="23"/>
      <c r="I36" s="23">
        <f>SUM(I23:I35)</f>
        <v>379.52904000000001</v>
      </c>
      <c r="J36" s="13"/>
      <c r="K36" s="248" t="s">
        <v>30</v>
      </c>
      <c r="L36" s="249"/>
      <c r="M36" s="249"/>
      <c r="N36" s="250"/>
      <c r="O36" s="22"/>
      <c r="P36" s="22"/>
      <c r="Q36" s="23"/>
      <c r="R36" s="23">
        <f>SUM(R23:R35)</f>
        <v>1244.566</v>
      </c>
    </row>
    <row r="37" spans="1:18" x14ac:dyDescent="0.2">
      <c r="A37" s="12" t="s">
        <v>31</v>
      </c>
      <c r="B37" s="260" t="s">
        <v>32</v>
      </c>
      <c r="C37" s="261"/>
      <c r="D37" s="261"/>
      <c r="E37" s="261"/>
      <c r="F37" s="39"/>
      <c r="G37" s="39"/>
      <c r="H37" s="40"/>
      <c r="I37" s="41">
        <f>SUM(I36+I18)</f>
        <v>522.81943999999999</v>
      </c>
      <c r="J37" s="12" t="s">
        <v>31</v>
      </c>
      <c r="K37" s="260" t="s">
        <v>32</v>
      </c>
      <c r="L37" s="261"/>
      <c r="M37" s="261"/>
      <c r="N37" s="261"/>
      <c r="O37" s="161"/>
      <c r="P37" s="161"/>
      <c r="Q37" s="40"/>
      <c r="R37" s="41">
        <f>SUM(R36+R18)</f>
        <v>1570.2260000000001</v>
      </c>
    </row>
    <row r="38" spans="1:18" x14ac:dyDescent="0.2">
      <c r="A38" s="13" t="s">
        <v>33</v>
      </c>
      <c r="B38" s="321">
        <f>E5</f>
        <v>1</v>
      </c>
      <c r="C38" s="322"/>
      <c r="D38" s="322"/>
      <c r="E38" s="322"/>
      <c r="F38" s="322"/>
      <c r="G38" s="322"/>
      <c r="H38" s="40"/>
      <c r="I38" s="41"/>
      <c r="J38" s="13" t="s">
        <v>33</v>
      </c>
      <c r="K38" s="321">
        <f>N5</f>
        <v>3.75</v>
      </c>
      <c r="L38" s="322"/>
      <c r="M38" s="322"/>
      <c r="N38" s="322"/>
      <c r="O38" s="322"/>
      <c r="P38" s="322"/>
      <c r="Q38" s="40"/>
      <c r="R38" s="41"/>
    </row>
    <row r="39" spans="1:18" x14ac:dyDescent="0.2">
      <c r="A39" s="13" t="s">
        <v>34</v>
      </c>
      <c r="B39" s="42" t="s">
        <v>35</v>
      </c>
      <c r="C39" s="43"/>
      <c r="D39" s="43"/>
      <c r="E39" s="39"/>
      <c r="F39" s="44"/>
      <c r="G39" s="44"/>
      <c r="H39" s="40"/>
      <c r="I39" s="41">
        <f>I37/E5</f>
        <v>522.81943999999999</v>
      </c>
      <c r="J39" s="13" t="s">
        <v>34</v>
      </c>
      <c r="K39" s="162" t="s">
        <v>35</v>
      </c>
      <c r="L39" s="43"/>
      <c r="M39" s="43"/>
      <c r="N39" s="161"/>
      <c r="O39" s="163"/>
      <c r="P39" s="163"/>
      <c r="Q39" s="40"/>
      <c r="R39" s="41">
        <f>R37/N5</f>
        <v>418.72693333333336</v>
      </c>
    </row>
    <row r="40" spans="1:18" x14ac:dyDescent="0.2">
      <c r="A40" s="12"/>
      <c r="B40" s="251" t="s">
        <v>36</v>
      </c>
      <c r="C40" s="252"/>
      <c r="D40" s="252"/>
      <c r="E40" s="253"/>
      <c r="F40" s="244" t="s">
        <v>37</v>
      </c>
      <c r="G40" s="244" t="s">
        <v>38</v>
      </c>
      <c r="H40" s="244" t="s">
        <v>39</v>
      </c>
      <c r="I40" s="246" t="s">
        <v>15</v>
      </c>
      <c r="J40" s="12"/>
      <c r="K40" s="251" t="s">
        <v>36</v>
      </c>
      <c r="L40" s="252"/>
      <c r="M40" s="252"/>
      <c r="N40" s="253"/>
      <c r="O40" s="244" t="s">
        <v>37</v>
      </c>
      <c r="P40" s="244" t="s">
        <v>38</v>
      </c>
      <c r="Q40" s="244" t="s">
        <v>39</v>
      </c>
      <c r="R40" s="246" t="s">
        <v>15</v>
      </c>
    </row>
    <row r="41" spans="1:18" x14ac:dyDescent="0.2">
      <c r="A41" s="13"/>
      <c r="B41" s="254"/>
      <c r="C41" s="255"/>
      <c r="D41" s="255"/>
      <c r="E41" s="256"/>
      <c r="F41" s="245"/>
      <c r="G41" s="245"/>
      <c r="H41" s="245"/>
      <c r="I41" s="247"/>
      <c r="J41" s="13"/>
      <c r="K41" s="254"/>
      <c r="L41" s="255"/>
      <c r="M41" s="255"/>
      <c r="N41" s="256"/>
      <c r="O41" s="245"/>
      <c r="P41" s="245"/>
      <c r="Q41" s="245"/>
      <c r="R41" s="247"/>
    </row>
    <row r="42" spans="1:18" x14ac:dyDescent="0.2">
      <c r="A42" s="13" t="s">
        <v>40</v>
      </c>
      <c r="B42" s="18" t="s">
        <v>41</v>
      </c>
      <c r="C42" s="19"/>
      <c r="D42" s="19"/>
      <c r="E42" s="20"/>
      <c r="F42" s="22"/>
      <c r="G42" s="22"/>
      <c r="H42" s="23"/>
      <c r="I42" s="23"/>
      <c r="J42" s="13" t="s">
        <v>40</v>
      </c>
      <c r="K42" s="18" t="s">
        <v>41</v>
      </c>
      <c r="L42" s="19"/>
      <c r="M42" s="19"/>
      <c r="N42" s="20"/>
      <c r="O42" s="22"/>
      <c r="P42" s="22"/>
      <c r="Q42" s="23"/>
      <c r="R42" s="23"/>
    </row>
    <row r="43" spans="1:18" x14ac:dyDescent="0.2">
      <c r="A43" s="13"/>
      <c r="B43" s="18"/>
      <c r="C43" s="19"/>
      <c r="D43" s="19"/>
      <c r="E43" s="20"/>
      <c r="F43" s="22"/>
      <c r="G43" s="22"/>
      <c r="H43" s="23"/>
      <c r="I43" s="23"/>
      <c r="J43" s="13"/>
      <c r="K43" s="18"/>
      <c r="L43" s="19"/>
      <c r="M43" s="19"/>
      <c r="N43" s="20"/>
      <c r="O43" s="22"/>
      <c r="P43" s="22"/>
      <c r="Q43" s="23"/>
      <c r="R43" s="23"/>
    </row>
    <row r="44" spans="1:18" x14ac:dyDescent="0.2">
      <c r="A44" s="13"/>
      <c r="B44" s="18" t="s">
        <v>425</v>
      </c>
      <c r="C44" s="66"/>
      <c r="D44" s="19"/>
      <c r="E44" s="20"/>
      <c r="F44" s="22" t="s">
        <v>227</v>
      </c>
      <c r="G44" s="70">
        <f>'[1]Drawing (Cost Estimate)'!D28</f>
        <v>0.77400000000000002</v>
      </c>
      <c r="H44" s="23">
        <v>240</v>
      </c>
      <c r="I44" s="23">
        <f>H44*G44</f>
        <v>185.76</v>
      </c>
      <c r="J44" s="13"/>
      <c r="K44" s="18"/>
      <c r="L44" s="20"/>
      <c r="M44" s="66"/>
      <c r="N44" s="160"/>
      <c r="O44" s="22"/>
      <c r="P44" s="62"/>
      <c r="Q44" s="23"/>
      <c r="R44" s="23"/>
    </row>
    <row r="45" spans="1:18" x14ac:dyDescent="0.2">
      <c r="A45" s="13"/>
      <c r="B45" s="18" t="s">
        <v>426</v>
      </c>
      <c r="C45" s="66"/>
      <c r="D45" s="19"/>
      <c r="E45" s="20"/>
      <c r="F45" s="22" t="s">
        <v>9</v>
      </c>
      <c r="G45" s="70">
        <f>'[1]Drawing (Cost Estimate)'!D31</f>
        <v>4.3999999999999997E-2</v>
      </c>
      <c r="H45" s="23">
        <v>500</v>
      </c>
      <c r="I45" s="23">
        <f>H45*G45</f>
        <v>22</v>
      </c>
      <c r="J45" s="13"/>
      <c r="K45" s="18"/>
      <c r="L45" s="20"/>
      <c r="M45" s="19"/>
      <c r="N45" s="20"/>
      <c r="O45" s="22"/>
      <c r="P45" s="70"/>
      <c r="Q45" s="23"/>
      <c r="R45" s="23"/>
    </row>
    <row r="46" spans="1:18" x14ac:dyDescent="0.2">
      <c r="A46" s="13"/>
      <c r="B46" s="18" t="s">
        <v>427</v>
      </c>
      <c r="C46" s="19"/>
      <c r="D46" s="19"/>
      <c r="E46" s="20"/>
      <c r="F46" s="22" t="s">
        <v>80</v>
      </c>
      <c r="G46" s="62">
        <v>1</v>
      </c>
      <c r="H46" s="23">
        <v>1000</v>
      </c>
      <c r="I46" s="23">
        <f>H46*G46</f>
        <v>1000</v>
      </c>
      <c r="J46" s="13"/>
      <c r="K46" s="18"/>
      <c r="L46" s="20"/>
      <c r="M46" s="19"/>
      <c r="N46" s="20"/>
      <c r="O46" s="22"/>
      <c r="P46" s="70"/>
      <c r="Q46" s="23"/>
      <c r="R46" s="23"/>
    </row>
    <row r="47" spans="1:18" x14ac:dyDescent="0.2">
      <c r="A47" s="13"/>
      <c r="B47" s="18" t="s">
        <v>428</v>
      </c>
      <c r="C47" s="19"/>
      <c r="D47" s="19"/>
      <c r="E47" s="20"/>
      <c r="F47" s="22" t="s">
        <v>9</v>
      </c>
      <c r="G47" s="22">
        <f>'[1]Drawing (Cost Estimate)'!D36</f>
        <v>8.7999999999999995E-2</v>
      </c>
      <c r="H47" s="23">
        <v>500</v>
      </c>
      <c r="I47" s="23">
        <f>H47*G47</f>
        <v>44</v>
      </c>
      <c r="J47" s="13"/>
      <c r="K47" s="18"/>
      <c r="L47" s="19"/>
      <c r="M47" s="19"/>
      <c r="N47" s="20"/>
      <c r="O47" s="22"/>
      <c r="P47" s="22"/>
      <c r="Q47" s="38"/>
      <c r="R47" s="38"/>
    </row>
    <row r="48" spans="1:18" x14ac:dyDescent="0.2">
      <c r="A48" s="13"/>
      <c r="B48" s="18"/>
      <c r="C48" s="19"/>
      <c r="D48" s="19"/>
      <c r="E48" s="20"/>
      <c r="F48" s="22"/>
      <c r="G48" s="22"/>
      <c r="H48" s="23"/>
      <c r="I48" s="23"/>
      <c r="J48" s="13"/>
      <c r="K48" s="18"/>
      <c r="L48" s="19"/>
      <c r="M48" s="19"/>
      <c r="N48" s="20"/>
      <c r="O48" s="22"/>
      <c r="P48" s="22"/>
      <c r="Q48" s="45"/>
      <c r="R48" s="45"/>
    </row>
    <row r="49" spans="1:18" x14ac:dyDescent="0.2">
      <c r="A49" s="13"/>
      <c r="B49" s="18"/>
      <c r="C49" s="19"/>
      <c r="D49" s="19"/>
      <c r="E49" s="20"/>
      <c r="F49" s="22"/>
      <c r="G49" s="22"/>
      <c r="H49" s="23"/>
      <c r="I49" s="23"/>
      <c r="J49" s="13"/>
      <c r="K49" s="18"/>
      <c r="L49" s="19"/>
      <c r="M49" s="19"/>
      <c r="N49" s="20"/>
      <c r="O49" s="22"/>
      <c r="P49" s="22"/>
      <c r="Q49" s="45"/>
      <c r="R49" s="45"/>
    </row>
    <row r="50" spans="1:18" ht="15" customHeight="1" x14ac:dyDescent="0.2">
      <c r="A50" s="13"/>
      <c r="B50" s="18"/>
      <c r="C50" s="19"/>
      <c r="D50" s="19"/>
      <c r="E50" s="20"/>
      <c r="F50" s="22"/>
      <c r="G50" s="22"/>
      <c r="H50" s="23"/>
      <c r="I50" s="23"/>
      <c r="J50" s="13"/>
      <c r="K50" s="18"/>
      <c r="L50" s="19"/>
      <c r="M50" s="19"/>
      <c r="N50" s="20"/>
      <c r="O50" s="22"/>
      <c r="P50" s="22"/>
      <c r="Q50" s="23"/>
      <c r="R50" s="23"/>
    </row>
    <row r="51" spans="1:18" x14ac:dyDescent="0.2">
      <c r="A51" s="13"/>
      <c r="B51" s="18"/>
      <c r="C51" s="19"/>
      <c r="D51" s="19"/>
      <c r="E51" s="20"/>
      <c r="F51" s="22"/>
      <c r="G51" s="22"/>
      <c r="H51" s="23"/>
      <c r="I51" s="23"/>
      <c r="J51" s="13"/>
      <c r="K51" s="18"/>
      <c r="L51" s="19"/>
      <c r="M51" s="19"/>
      <c r="N51" s="20"/>
      <c r="O51" s="22"/>
      <c r="P51" s="22"/>
      <c r="Q51" s="23"/>
      <c r="R51" s="23"/>
    </row>
    <row r="52" spans="1:18" x14ac:dyDescent="0.2">
      <c r="A52" s="13"/>
      <c r="B52" s="18"/>
      <c r="C52" s="19"/>
      <c r="D52" s="19"/>
      <c r="E52" s="20"/>
      <c r="F52" s="22"/>
      <c r="G52" s="22"/>
      <c r="H52" s="23"/>
      <c r="I52" s="23"/>
      <c r="J52" s="13"/>
      <c r="K52" s="18"/>
      <c r="L52" s="19"/>
      <c r="M52" s="19"/>
      <c r="N52" s="20"/>
      <c r="O52" s="22"/>
      <c r="P52" s="22"/>
      <c r="Q52" s="23"/>
      <c r="R52" s="23"/>
    </row>
    <row r="53" spans="1:18" x14ac:dyDescent="0.2">
      <c r="A53" s="13"/>
      <c r="B53" s="18"/>
      <c r="C53" s="19"/>
      <c r="D53" s="19"/>
      <c r="E53" s="20"/>
      <c r="F53" s="22"/>
      <c r="G53" s="22"/>
      <c r="H53" s="23"/>
      <c r="I53" s="23"/>
      <c r="J53" s="13"/>
      <c r="K53" s="18"/>
      <c r="L53" s="19"/>
      <c r="M53" s="19"/>
      <c r="N53" s="20"/>
      <c r="O53" s="22"/>
      <c r="P53" s="22"/>
      <c r="Q53" s="23"/>
      <c r="R53" s="23"/>
    </row>
    <row r="54" spans="1:18" x14ac:dyDescent="0.2">
      <c r="A54" s="13"/>
      <c r="B54" s="18"/>
      <c r="C54" s="19"/>
      <c r="D54" s="19"/>
      <c r="E54" s="20"/>
      <c r="F54" s="22"/>
      <c r="G54" s="22"/>
      <c r="H54" s="23"/>
      <c r="I54" s="23"/>
      <c r="J54" s="13"/>
      <c r="K54" s="18"/>
      <c r="L54" s="19"/>
      <c r="M54" s="19"/>
      <c r="N54" s="20"/>
      <c r="O54" s="22"/>
      <c r="P54" s="22"/>
      <c r="Q54" s="23"/>
      <c r="R54" s="23"/>
    </row>
    <row r="55" spans="1:18" x14ac:dyDescent="0.2">
      <c r="A55" s="13"/>
      <c r="B55" s="18"/>
      <c r="C55" s="19"/>
      <c r="D55" s="19"/>
      <c r="E55" s="20"/>
      <c r="F55" s="22"/>
      <c r="G55" s="22"/>
      <c r="H55" s="23"/>
      <c r="I55" s="23"/>
      <c r="J55" s="13"/>
      <c r="K55" s="18"/>
      <c r="L55" s="19"/>
      <c r="M55" s="19"/>
      <c r="N55" s="20"/>
      <c r="O55" s="22"/>
      <c r="P55" s="22"/>
      <c r="Q55" s="23"/>
      <c r="R55" s="23"/>
    </row>
    <row r="56" spans="1:18" x14ac:dyDescent="0.2">
      <c r="A56" s="13"/>
      <c r="B56" s="18"/>
      <c r="C56" s="19"/>
      <c r="D56" s="19"/>
      <c r="E56" s="20"/>
      <c r="F56" s="22"/>
      <c r="G56" s="36"/>
      <c r="H56" s="37"/>
      <c r="I56" s="37"/>
      <c r="J56" s="13"/>
      <c r="K56" s="18"/>
      <c r="L56" s="19"/>
      <c r="M56" s="19"/>
      <c r="N56" s="20"/>
      <c r="O56" s="22"/>
      <c r="P56" s="36"/>
      <c r="Q56" s="37"/>
      <c r="R56" s="37"/>
    </row>
    <row r="57" spans="1:18" x14ac:dyDescent="0.2">
      <c r="A57" s="13"/>
      <c r="B57" s="248" t="s">
        <v>42</v>
      </c>
      <c r="C57" s="249"/>
      <c r="D57" s="249"/>
      <c r="E57" s="250"/>
      <c r="F57" s="46"/>
      <c r="G57" s="46"/>
      <c r="H57" s="47"/>
      <c r="I57" s="47">
        <f>SUM(I44:I56)</f>
        <v>1251.76</v>
      </c>
      <c r="J57" s="13"/>
      <c r="K57" s="248" t="s">
        <v>42</v>
      </c>
      <c r="L57" s="249"/>
      <c r="M57" s="249"/>
      <c r="N57" s="250"/>
      <c r="O57" s="46"/>
      <c r="P57" s="46"/>
      <c r="Q57" s="47"/>
      <c r="R57" s="47">
        <f>SUM(R44:R56)</f>
        <v>0</v>
      </c>
    </row>
    <row r="58" spans="1:18" x14ac:dyDescent="0.2">
      <c r="A58" s="12" t="s">
        <v>43</v>
      </c>
      <c r="B58" s="48" t="s">
        <v>44</v>
      </c>
      <c r="C58" s="43"/>
      <c r="D58" s="43"/>
      <c r="E58" s="39"/>
      <c r="F58" s="49"/>
      <c r="G58" s="49"/>
      <c r="H58" s="50"/>
      <c r="I58" s="51">
        <f>SUM(I39+I57)</f>
        <v>1774.57944</v>
      </c>
      <c r="J58" s="12" t="s">
        <v>43</v>
      </c>
      <c r="K58" s="48" t="s">
        <v>44</v>
      </c>
      <c r="L58" s="43"/>
      <c r="M58" s="43"/>
      <c r="N58" s="161"/>
      <c r="O58" s="49"/>
      <c r="P58" s="49"/>
      <c r="Q58" s="50"/>
      <c r="R58" s="51">
        <f>SUM(R39+R57)</f>
        <v>418.72693333333336</v>
      </c>
    </row>
    <row r="59" spans="1:18" x14ac:dyDescent="0.2">
      <c r="A59" s="13" t="s">
        <v>45</v>
      </c>
      <c r="B59" s="48" t="s">
        <v>46</v>
      </c>
      <c r="C59" s="43"/>
      <c r="D59" s="43"/>
      <c r="E59" s="39"/>
      <c r="F59" s="49"/>
      <c r="G59" s="52">
        <v>0.09</v>
      </c>
      <c r="H59" s="53" t="s">
        <v>47</v>
      </c>
      <c r="I59" s="51">
        <f>G59*I58</f>
        <v>159.7121496</v>
      </c>
      <c r="J59" s="13" t="s">
        <v>45</v>
      </c>
      <c r="K59" s="48" t="s">
        <v>46</v>
      </c>
      <c r="L59" s="43"/>
      <c r="M59" s="43"/>
      <c r="N59" s="161"/>
      <c r="O59" s="49"/>
      <c r="P59" s="52">
        <v>0.09</v>
      </c>
      <c r="Q59" s="53" t="s">
        <v>47</v>
      </c>
      <c r="R59" s="51">
        <f>P59*R58</f>
        <v>37.685424000000005</v>
      </c>
    </row>
    <row r="60" spans="1:18" x14ac:dyDescent="0.2">
      <c r="A60" s="13" t="s">
        <v>48</v>
      </c>
      <c r="B60" s="48" t="s">
        <v>49</v>
      </c>
      <c r="C60" s="43"/>
      <c r="D60" s="43"/>
      <c r="E60" s="39"/>
      <c r="F60" s="49"/>
      <c r="G60" s="52">
        <v>0.08</v>
      </c>
      <c r="H60" s="53" t="s">
        <v>47</v>
      </c>
      <c r="I60" s="51">
        <f>G60*I58</f>
        <v>141.96635520000001</v>
      </c>
      <c r="J60" s="13" t="s">
        <v>48</v>
      </c>
      <c r="K60" s="48" t="s">
        <v>49</v>
      </c>
      <c r="L60" s="43"/>
      <c r="M60" s="43"/>
      <c r="N60" s="161"/>
      <c r="O60" s="49"/>
      <c r="P60" s="52">
        <v>0.08</v>
      </c>
      <c r="Q60" s="53" t="s">
        <v>47</v>
      </c>
      <c r="R60" s="51">
        <f>P60*R58</f>
        <v>33.498154666666672</v>
      </c>
    </row>
    <row r="61" spans="1:18" x14ac:dyDescent="0.2">
      <c r="A61" s="13" t="s">
        <v>50</v>
      </c>
      <c r="B61" s="48" t="s">
        <v>51</v>
      </c>
      <c r="C61" s="43"/>
      <c r="D61" s="43"/>
      <c r="E61" s="39"/>
      <c r="F61" s="49"/>
      <c r="G61" s="52">
        <f>5/100</f>
        <v>0.05</v>
      </c>
      <c r="H61" s="53" t="s">
        <v>52</v>
      </c>
      <c r="I61" s="51">
        <f>G61*(I58+I59+I60)</f>
        <v>103.81289724000001</v>
      </c>
      <c r="J61" s="13" t="s">
        <v>50</v>
      </c>
      <c r="K61" s="48" t="s">
        <v>51</v>
      </c>
      <c r="L61" s="43"/>
      <c r="M61" s="43"/>
      <c r="N61" s="161"/>
      <c r="O61" s="49"/>
      <c r="P61" s="52">
        <v>0.05</v>
      </c>
      <c r="Q61" s="53" t="s">
        <v>52</v>
      </c>
      <c r="R61" s="51">
        <f>P61*(R58+R59+R60)</f>
        <v>24.495525600000004</v>
      </c>
    </row>
    <row r="62" spans="1:18" x14ac:dyDescent="0.2">
      <c r="A62" s="54" t="s">
        <v>53</v>
      </c>
      <c r="B62" s="48" t="s">
        <v>54</v>
      </c>
      <c r="C62" s="43"/>
      <c r="D62" s="43"/>
      <c r="E62" s="39"/>
      <c r="F62" s="49"/>
      <c r="G62" s="49"/>
      <c r="H62" s="55" t="s">
        <v>55</v>
      </c>
      <c r="I62" s="51">
        <f>SUM(I58+I59+I60+I61)</f>
        <v>2180.0708420400001</v>
      </c>
      <c r="J62" s="54" t="s">
        <v>53</v>
      </c>
      <c r="K62" s="48" t="s">
        <v>54</v>
      </c>
      <c r="L62" s="43"/>
      <c r="M62" s="43"/>
      <c r="N62" s="161"/>
      <c r="O62" s="49"/>
      <c r="P62" s="49"/>
      <c r="Q62" s="55" t="s">
        <v>55</v>
      </c>
      <c r="R62" s="51">
        <f>SUM(R58+R59+R60+R61)</f>
        <v>514.40603759999999</v>
      </c>
    </row>
    <row r="63" spans="1:18" s="1" customFormat="1" x14ac:dyDescent="0.2">
      <c r="A63" s="236" t="s">
        <v>0</v>
      </c>
      <c r="B63" s="236"/>
      <c r="C63" s="236"/>
      <c r="D63" s="236"/>
      <c r="E63" s="236"/>
      <c r="F63" s="236"/>
      <c r="G63" s="236"/>
      <c r="H63" s="236"/>
      <c r="I63" s="236"/>
      <c r="J63" s="236" t="s">
        <v>0</v>
      </c>
      <c r="K63" s="236"/>
      <c r="L63" s="236"/>
      <c r="M63" s="236"/>
      <c r="N63" s="236"/>
      <c r="O63" s="236"/>
      <c r="P63" s="236"/>
      <c r="Q63" s="236"/>
      <c r="R63" s="236"/>
    </row>
    <row r="65" spans="1:18" x14ac:dyDescent="0.2">
      <c r="A65" s="2" t="s">
        <v>1</v>
      </c>
      <c r="C65" s="4" t="s">
        <v>2</v>
      </c>
      <c r="D65" s="5" t="s">
        <v>429</v>
      </c>
      <c r="E65" s="237" t="s">
        <v>430</v>
      </c>
      <c r="F65" s="237"/>
      <c r="G65" s="237"/>
      <c r="H65" s="237"/>
      <c r="I65" s="8"/>
      <c r="J65" s="158" t="s">
        <v>1</v>
      </c>
      <c r="L65" s="4" t="s">
        <v>2</v>
      </c>
      <c r="M65" s="5" t="s">
        <v>431</v>
      </c>
      <c r="N65" s="158" t="s">
        <v>432</v>
      </c>
      <c r="O65" s="158"/>
      <c r="P65" s="158"/>
      <c r="Q65" s="158"/>
    </row>
    <row r="66" spans="1:18" x14ac:dyDescent="0.2">
      <c r="A66" s="2" t="s">
        <v>7</v>
      </c>
      <c r="C66" s="4" t="s">
        <v>2</v>
      </c>
      <c r="E66" s="152" t="s">
        <v>1153</v>
      </c>
      <c r="F66" s="8"/>
      <c r="G66" s="8"/>
      <c r="H66" s="8"/>
      <c r="J66" s="158" t="s">
        <v>7</v>
      </c>
      <c r="L66" s="4" t="s">
        <v>2</v>
      </c>
      <c r="N66" s="158" t="s">
        <v>1153</v>
      </c>
      <c r="O66" s="8"/>
      <c r="P66" s="8"/>
      <c r="Q66" s="8"/>
    </row>
    <row r="67" spans="1:18" x14ac:dyDescent="0.2">
      <c r="A67" s="2" t="s">
        <v>10</v>
      </c>
      <c r="C67" s="4" t="s">
        <v>2</v>
      </c>
      <c r="E67" s="9">
        <v>1</v>
      </c>
      <c r="F67" s="8"/>
      <c r="G67" s="8"/>
      <c r="H67" s="8"/>
      <c r="J67" s="158" t="s">
        <v>10</v>
      </c>
      <c r="L67" s="4" t="s">
        <v>2</v>
      </c>
      <c r="N67" s="9">
        <f>CEILING(1.169*4*2/(PI()*1.07^2),0.25)</f>
        <v>2.75</v>
      </c>
      <c r="O67" s="8"/>
      <c r="P67" s="8"/>
      <c r="Q67" s="8"/>
    </row>
    <row r="68" spans="1:18" x14ac:dyDescent="0.2">
      <c r="B68" s="8"/>
      <c r="F68" s="11"/>
      <c r="G68" s="8"/>
      <c r="H68" s="8"/>
      <c r="I68" s="8"/>
      <c r="K68" s="8"/>
      <c r="O68" s="11"/>
      <c r="P68" s="8"/>
      <c r="Q68" s="8"/>
      <c r="R68" s="8"/>
    </row>
    <row r="69" spans="1:18" x14ac:dyDescent="0.2">
      <c r="A69" s="12"/>
      <c r="B69" s="238" t="s">
        <v>11</v>
      </c>
      <c r="C69" s="239"/>
      <c r="D69" s="239"/>
      <c r="E69" s="240"/>
      <c r="F69" s="244" t="s">
        <v>12</v>
      </c>
      <c r="G69" s="244" t="s">
        <v>13</v>
      </c>
      <c r="H69" s="244" t="s">
        <v>14</v>
      </c>
      <c r="I69" s="246" t="s">
        <v>15</v>
      </c>
      <c r="J69" s="12"/>
      <c r="K69" s="238" t="s">
        <v>11</v>
      </c>
      <c r="L69" s="239"/>
      <c r="M69" s="239"/>
      <c r="N69" s="240"/>
      <c r="O69" s="244" t="s">
        <v>12</v>
      </c>
      <c r="P69" s="244" t="s">
        <v>13</v>
      </c>
      <c r="Q69" s="244" t="s">
        <v>14</v>
      </c>
      <c r="R69" s="246" t="s">
        <v>15</v>
      </c>
    </row>
    <row r="70" spans="1:18" x14ac:dyDescent="0.2">
      <c r="A70" s="13"/>
      <c r="B70" s="241"/>
      <c r="C70" s="242"/>
      <c r="D70" s="242"/>
      <c r="E70" s="243"/>
      <c r="F70" s="245"/>
      <c r="G70" s="245"/>
      <c r="H70" s="245"/>
      <c r="I70" s="247"/>
      <c r="J70" s="13"/>
      <c r="K70" s="241"/>
      <c r="L70" s="242"/>
      <c r="M70" s="242"/>
      <c r="N70" s="243"/>
      <c r="O70" s="245"/>
      <c r="P70" s="245"/>
      <c r="Q70" s="245"/>
      <c r="R70" s="247"/>
    </row>
    <row r="71" spans="1:18" x14ac:dyDescent="0.2">
      <c r="A71" s="13" t="s">
        <v>16</v>
      </c>
      <c r="B71" s="14" t="s">
        <v>17</v>
      </c>
      <c r="C71" s="15"/>
      <c r="D71" s="15"/>
      <c r="E71" s="16"/>
      <c r="F71" s="17"/>
      <c r="G71" s="17"/>
      <c r="H71" s="17"/>
      <c r="I71" s="17"/>
      <c r="J71" s="13" t="s">
        <v>16</v>
      </c>
      <c r="K71" s="14" t="s">
        <v>17</v>
      </c>
      <c r="L71" s="15"/>
      <c r="M71" s="15"/>
      <c r="N71" s="16"/>
      <c r="O71" s="17"/>
      <c r="P71" s="17"/>
      <c r="Q71" s="17"/>
      <c r="R71" s="17"/>
    </row>
    <row r="72" spans="1:18" x14ac:dyDescent="0.2">
      <c r="A72" s="13"/>
      <c r="B72" s="18"/>
      <c r="C72" s="19"/>
      <c r="D72" s="19"/>
      <c r="E72" s="20"/>
      <c r="F72" s="21"/>
      <c r="G72" s="22"/>
      <c r="H72" s="21"/>
      <c r="I72" s="21"/>
      <c r="J72" s="13"/>
      <c r="K72" s="18"/>
      <c r="L72" s="19"/>
      <c r="M72" s="19"/>
      <c r="N72" s="20"/>
      <c r="O72" s="21"/>
      <c r="P72" s="22"/>
      <c r="Q72" s="21"/>
      <c r="R72" s="21"/>
    </row>
    <row r="73" spans="1:18" x14ac:dyDescent="0.2">
      <c r="A73" s="13"/>
      <c r="B73" s="24" t="s">
        <v>18</v>
      </c>
      <c r="C73" s="25"/>
      <c r="D73" s="25"/>
      <c r="E73" s="26"/>
      <c r="F73" s="22">
        <v>1</v>
      </c>
      <c r="G73" s="23">
        <v>0.5</v>
      </c>
      <c r="H73" s="23">
        <v>69.42</v>
      </c>
      <c r="I73" s="23">
        <f>G73*H73*F73</f>
        <v>34.71</v>
      </c>
      <c r="J73" s="13"/>
      <c r="K73" s="24" t="s">
        <v>18</v>
      </c>
      <c r="L73" s="25"/>
      <c r="M73" s="25"/>
      <c r="N73" s="26"/>
      <c r="O73" s="22">
        <v>1</v>
      </c>
      <c r="P73" s="23">
        <v>1</v>
      </c>
      <c r="Q73" s="23">
        <v>69.42</v>
      </c>
      <c r="R73" s="23">
        <f>P73*Q73*O73</f>
        <v>69.42</v>
      </c>
    </row>
    <row r="74" spans="1:18" x14ac:dyDescent="0.2">
      <c r="A74" s="13"/>
      <c r="B74" s="257" t="s">
        <v>1178</v>
      </c>
      <c r="C74" s="258"/>
      <c r="D74" s="25"/>
      <c r="E74" s="26"/>
      <c r="F74" s="22">
        <v>2</v>
      </c>
      <c r="G74" s="23">
        <v>0.5</v>
      </c>
      <c r="H74" s="23">
        <v>50.18</v>
      </c>
      <c r="I74" s="23">
        <f>G74*H74*F74</f>
        <v>50.18</v>
      </c>
      <c r="J74" s="13"/>
      <c r="K74" s="257" t="s">
        <v>1178</v>
      </c>
      <c r="L74" s="258"/>
      <c r="M74" s="25"/>
      <c r="N74" s="26"/>
      <c r="O74" s="22">
        <v>2</v>
      </c>
      <c r="P74" s="23">
        <v>1</v>
      </c>
      <c r="Q74" s="23">
        <v>50.18</v>
      </c>
      <c r="R74" s="23">
        <f>P74*Q74*O74</f>
        <v>100.36</v>
      </c>
    </row>
    <row r="75" spans="1:18" x14ac:dyDescent="0.2">
      <c r="A75" s="13"/>
      <c r="B75" s="257" t="s">
        <v>1177</v>
      </c>
      <c r="C75" s="258"/>
      <c r="D75" s="19"/>
      <c r="E75" s="20"/>
      <c r="F75" s="22">
        <v>4</v>
      </c>
      <c r="G75" s="23">
        <v>0.5</v>
      </c>
      <c r="H75" s="23">
        <v>38.97</v>
      </c>
      <c r="I75" s="23">
        <f>G75*H75*F75</f>
        <v>77.94</v>
      </c>
      <c r="J75" s="13"/>
      <c r="K75" s="257" t="s">
        <v>1177</v>
      </c>
      <c r="L75" s="258"/>
      <c r="M75" s="19"/>
      <c r="N75" s="20"/>
      <c r="O75" s="22">
        <v>4</v>
      </c>
      <c r="P75" s="23">
        <v>1</v>
      </c>
      <c r="Q75" s="23">
        <v>38.97</v>
      </c>
      <c r="R75" s="23">
        <f>P75*Q75*O75</f>
        <v>155.88</v>
      </c>
    </row>
    <row r="76" spans="1:18" ht="15" customHeight="1" x14ac:dyDescent="0.2">
      <c r="A76" s="13"/>
      <c r="B76" s="27"/>
      <c r="C76" s="63"/>
      <c r="D76" s="19"/>
      <c r="E76" s="20"/>
      <c r="F76" s="22"/>
      <c r="G76" s="22"/>
      <c r="H76" s="29"/>
      <c r="I76" s="30"/>
      <c r="J76" s="13"/>
      <c r="K76" s="159"/>
      <c r="L76" s="19"/>
      <c r="M76" s="19"/>
      <c r="N76" s="20"/>
      <c r="O76" s="22"/>
      <c r="P76" s="22"/>
      <c r="Q76" s="29"/>
      <c r="R76" s="30"/>
    </row>
    <row r="77" spans="1:18" x14ac:dyDescent="0.2">
      <c r="A77" s="13"/>
      <c r="B77" s="27"/>
      <c r="C77" s="63"/>
      <c r="D77" s="19"/>
      <c r="E77" s="20"/>
      <c r="F77" s="22"/>
      <c r="G77" s="22"/>
      <c r="H77" s="29"/>
      <c r="I77" s="30"/>
      <c r="J77" s="13"/>
      <c r="K77" s="159"/>
      <c r="L77" s="19"/>
      <c r="M77" s="19"/>
      <c r="N77" s="20"/>
      <c r="O77" s="22"/>
      <c r="P77" s="22"/>
      <c r="Q77" s="29"/>
      <c r="R77" s="30"/>
    </row>
    <row r="78" spans="1:18" x14ac:dyDescent="0.2">
      <c r="A78" s="13"/>
      <c r="B78" s="24"/>
      <c r="C78" s="25"/>
      <c r="D78" s="19"/>
      <c r="E78" s="20"/>
      <c r="F78" s="22"/>
      <c r="G78" s="22"/>
      <c r="H78" s="23"/>
      <c r="I78" s="23"/>
      <c r="J78" s="13"/>
      <c r="K78" s="18"/>
      <c r="L78" s="19"/>
      <c r="M78" s="19"/>
      <c r="N78" s="20"/>
      <c r="O78" s="22"/>
      <c r="P78" s="22"/>
      <c r="Q78" s="28"/>
      <c r="R78" s="23"/>
    </row>
    <row r="79" spans="1:18" x14ac:dyDescent="0.2">
      <c r="A79" s="13"/>
      <c r="B79" s="24"/>
      <c r="C79" s="25"/>
      <c r="D79" s="19"/>
      <c r="E79" s="20"/>
      <c r="F79" s="22"/>
      <c r="G79" s="22"/>
      <c r="H79" s="23"/>
      <c r="I79" s="23"/>
      <c r="J79" s="13"/>
      <c r="K79" s="18"/>
      <c r="L79" s="19"/>
      <c r="M79" s="19"/>
      <c r="N79" s="20"/>
      <c r="O79" s="22"/>
      <c r="P79" s="22"/>
      <c r="Q79" s="23"/>
      <c r="R79" s="23"/>
    </row>
    <row r="80" spans="1:18" x14ac:dyDescent="0.2">
      <c r="A80" s="13"/>
      <c r="B80" s="248" t="s">
        <v>20</v>
      </c>
      <c r="C80" s="249"/>
      <c r="D80" s="249"/>
      <c r="E80" s="250"/>
      <c r="F80" s="31"/>
      <c r="G80" s="31"/>
      <c r="H80" s="32"/>
      <c r="I80" s="32">
        <f>SUM(I73:I79)</f>
        <v>162.82999999999998</v>
      </c>
      <c r="J80" s="13"/>
      <c r="K80" s="248" t="s">
        <v>20</v>
      </c>
      <c r="L80" s="249"/>
      <c r="M80" s="249"/>
      <c r="N80" s="250"/>
      <c r="O80" s="31"/>
      <c r="P80" s="31"/>
      <c r="Q80" s="32"/>
      <c r="R80" s="32">
        <f>SUM(R73:R79)</f>
        <v>325.65999999999997</v>
      </c>
    </row>
    <row r="81" spans="1:18" x14ac:dyDescent="0.2">
      <c r="A81" s="12"/>
      <c r="B81" s="251" t="s">
        <v>21</v>
      </c>
      <c r="C81" s="252"/>
      <c r="D81" s="252"/>
      <c r="E81" s="253"/>
      <c r="F81" s="244" t="s">
        <v>22</v>
      </c>
      <c r="G81" s="244" t="s">
        <v>13</v>
      </c>
      <c r="H81" s="244" t="s">
        <v>14</v>
      </c>
      <c r="I81" s="246" t="s">
        <v>15</v>
      </c>
      <c r="J81" s="12"/>
      <c r="K81" s="251" t="s">
        <v>21</v>
      </c>
      <c r="L81" s="252"/>
      <c r="M81" s="252"/>
      <c r="N81" s="253"/>
      <c r="O81" s="244" t="s">
        <v>22</v>
      </c>
      <c r="P81" s="244" t="s">
        <v>13</v>
      </c>
      <c r="Q81" s="244" t="s">
        <v>14</v>
      </c>
      <c r="R81" s="246" t="s">
        <v>15</v>
      </c>
    </row>
    <row r="82" spans="1:18" x14ac:dyDescent="0.2">
      <c r="A82" s="13"/>
      <c r="B82" s="254"/>
      <c r="C82" s="255"/>
      <c r="D82" s="255"/>
      <c r="E82" s="256"/>
      <c r="F82" s="245"/>
      <c r="G82" s="245"/>
      <c r="H82" s="245"/>
      <c r="I82" s="247"/>
      <c r="J82" s="13"/>
      <c r="K82" s="254"/>
      <c r="L82" s="255"/>
      <c r="M82" s="255"/>
      <c r="N82" s="256"/>
      <c r="O82" s="245"/>
      <c r="P82" s="245"/>
      <c r="Q82" s="245"/>
      <c r="R82" s="247"/>
    </row>
    <row r="83" spans="1:18" x14ac:dyDescent="0.2">
      <c r="A83" s="13" t="s">
        <v>23</v>
      </c>
      <c r="B83" s="33" t="s">
        <v>24</v>
      </c>
      <c r="C83" s="15"/>
      <c r="D83" s="15"/>
      <c r="E83" s="16"/>
      <c r="F83" s="34"/>
      <c r="G83" s="34"/>
      <c r="H83" s="35"/>
      <c r="I83" s="35"/>
      <c r="J83" s="13" t="s">
        <v>23</v>
      </c>
      <c r="K83" s="33" t="s">
        <v>24</v>
      </c>
      <c r="L83" s="15"/>
      <c r="M83" s="15"/>
      <c r="N83" s="16"/>
      <c r="O83" s="34"/>
      <c r="P83" s="34"/>
      <c r="Q83" s="35"/>
      <c r="R83" s="35"/>
    </row>
    <row r="84" spans="1:18" x14ac:dyDescent="0.2">
      <c r="A84" s="13"/>
      <c r="B84" s="18"/>
      <c r="C84" s="19"/>
      <c r="D84" s="19"/>
      <c r="E84" s="20"/>
      <c r="F84" s="22"/>
      <c r="G84" s="22"/>
      <c r="H84" s="23"/>
      <c r="I84" s="23"/>
      <c r="J84" s="13"/>
      <c r="K84" s="18"/>
      <c r="L84" s="19"/>
      <c r="M84" s="19"/>
      <c r="N84" s="20"/>
      <c r="O84" s="22"/>
      <c r="P84" s="22"/>
      <c r="Q84" s="23"/>
      <c r="R84" s="23"/>
    </row>
    <row r="85" spans="1:18" ht="17.25" customHeight="1" x14ac:dyDescent="0.2">
      <c r="A85" s="13"/>
      <c r="B85" s="18" t="s">
        <v>62</v>
      </c>
      <c r="C85" s="66"/>
      <c r="D85" s="19"/>
      <c r="E85" s="20"/>
      <c r="F85" s="22">
        <v>1</v>
      </c>
      <c r="G85" s="23">
        <v>0.25</v>
      </c>
      <c r="H85" s="37">
        <v>1537</v>
      </c>
      <c r="I85" s="37">
        <f>G85*H85*F85</f>
        <v>384.25</v>
      </c>
      <c r="J85" s="13"/>
      <c r="K85" s="18" t="s">
        <v>1228</v>
      </c>
      <c r="L85" s="66"/>
      <c r="M85" s="19"/>
      <c r="N85" s="20"/>
      <c r="O85" s="22">
        <v>1</v>
      </c>
      <c r="P85" s="23">
        <v>1</v>
      </c>
      <c r="Q85" s="37">
        <v>1212</v>
      </c>
      <c r="R85" s="37">
        <f>O85*P85*Q85</f>
        <v>1212</v>
      </c>
    </row>
    <row r="86" spans="1:18" ht="17.25" customHeight="1" x14ac:dyDescent="0.2">
      <c r="A86" s="13"/>
      <c r="B86" s="18" t="s">
        <v>424</v>
      </c>
      <c r="C86" s="66"/>
      <c r="D86" s="19"/>
      <c r="E86" s="20"/>
      <c r="F86" s="22">
        <v>1</v>
      </c>
      <c r="G86" s="23">
        <v>0.25</v>
      </c>
      <c r="H86" s="37">
        <v>123</v>
      </c>
      <c r="I86" s="37">
        <f>G86*H86*F86</f>
        <v>30.75</v>
      </c>
      <c r="J86" s="13"/>
      <c r="K86" s="18" t="s">
        <v>92</v>
      </c>
      <c r="L86" s="19"/>
      <c r="M86" s="19"/>
      <c r="N86" s="20"/>
      <c r="O86" s="22"/>
      <c r="P86" s="23"/>
      <c r="R86" s="37">
        <f>R80*0.1</f>
        <v>32.565999999999995</v>
      </c>
    </row>
    <row r="87" spans="1:18" x14ac:dyDescent="0.2">
      <c r="A87" s="13"/>
      <c r="B87" s="18" t="s">
        <v>1194</v>
      </c>
      <c r="C87" s="66"/>
      <c r="D87" s="19"/>
      <c r="E87" s="20"/>
      <c r="F87" s="22"/>
      <c r="G87" s="71"/>
      <c r="I87" s="37">
        <f>0.1*I80</f>
        <v>16.282999999999998</v>
      </c>
      <c r="J87" s="13"/>
      <c r="K87" s="18"/>
      <c r="L87" s="66"/>
      <c r="M87" s="19"/>
      <c r="N87" s="20"/>
      <c r="O87" s="22"/>
      <c r="P87" s="23"/>
      <c r="Q87" s="37"/>
      <c r="R87" s="37"/>
    </row>
    <row r="88" spans="1:18" x14ac:dyDescent="0.2">
      <c r="A88" s="13"/>
      <c r="B88" s="18"/>
      <c r="C88" s="66"/>
      <c r="F88" s="22"/>
      <c r="G88" s="23"/>
      <c r="H88" s="37"/>
      <c r="I88" s="37"/>
      <c r="J88" s="13"/>
      <c r="K88" s="18"/>
      <c r="L88" s="66"/>
      <c r="M88" s="19"/>
      <c r="N88" s="20"/>
      <c r="O88" s="22"/>
      <c r="P88" s="71"/>
      <c r="Q88" s="37"/>
      <c r="R88" s="37"/>
    </row>
    <row r="89" spans="1:18" x14ac:dyDescent="0.2">
      <c r="A89" s="13"/>
      <c r="B89" s="18"/>
      <c r="C89" s="19"/>
      <c r="D89" s="19"/>
      <c r="E89" s="20"/>
      <c r="F89" s="22"/>
      <c r="G89" s="36"/>
      <c r="H89" s="37"/>
      <c r="I89" s="37"/>
      <c r="J89" s="13"/>
      <c r="K89" s="18"/>
      <c r="L89" s="66"/>
      <c r="M89" s="19"/>
      <c r="N89" s="20"/>
      <c r="O89" s="22"/>
      <c r="P89" s="71"/>
      <c r="Q89" s="37"/>
      <c r="R89" s="37"/>
    </row>
    <row r="90" spans="1:18" x14ac:dyDescent="0.2">
      <c r="A90" s="13"/>
      <c r="B90" s="18"/>
      <c r="C90" s="19"/>
      <c r="D90" s="19"/>
      <c r="E90" s="20"/>
      <c r="F90" s="22"/>
      <c r="G90" s="36"/>
      <c r="H90" s="37"/>
      <c r="I90" s="37"/>
      <c r="J90" s="13"/>
      <c r="K90" s="18"/>
      <c r="L90" s="66"/>
      <c r="M90" s="19"/>
      <c r="N90" s="20"/>
      <c r="O90" s="22"/>
      <c r="P90" s="71"/>
      <c r="Q90" s="37"/>
      <c r="R90" s="37"/>
    </row>
    <row r="91" spans="1:18" x14ac:dyDescent="0.2">
      <c r="A91" s="13"/>
      <c r="B91" s="18"/>
      <c r="C91" s="19"/>
      <c r="D91" s="19"/>
      <c r="E91" s="20"/>
      <c r="F91" s="22"/>
      <c r="G91" s="36"/>
      <c r="H91" s="37"/>
      <c r="I91" s="37"/>
      <c r="J91" s="13"/>
      <c r="K91" s="18"/>
      <c r="L91" s="19"/>
      <c r="M91" s="19"/>
      <c r="N91" s="20"/>
      <c r="O91" s="22"/>
      <c r="P91" s="36"/>
      <c r="Q91" s="38"/>
      <c r="R91" s="38"/>
    </row>
    <row r="92" spans="1:18" x14ac:dyDescent="0.2">
      <c r="A92" s="13"/>
      <c r="B92" s="18"/>
      <c r="C92" s="19"/>
      <c r="D92" s="19"/>
      <c r="E92" s="20"/>
      <c r="F92" s="22"/>
      <c r="G92" s="23"/>
      <c r="H92" s="37"/>
      <c r="I92" s="37"/>
      <c r="J92" s="13"/>
      <c r="K92" s="18"/>
      <c r="L92" s="19"/>
      <c r="M92" s="19"/>
      <c r="N92" s="20"/>
      <c r="O92" s="22"/>
      <c r="P92" s="36"/>
      <c r="Q92" s="38"/>
      <c r="R92" s="38"/>
    </row>
    <row r="93" spans="1:18" x14ac:dyDescent="0.2">
      <c r="A93" s="13"/>
      <c r="B93" s="18"/>
      <c r="C93" s="19"/>
      <c r="D93" s="19"/>
      <c r="E93" s="20"/>
      <c r="F93" s="22"/>
      <c r="G93" s="23"/>
      <c r="H93" s="37"/>
      <c r="I93" s="37"/>
      <c r="J93" s="13"/>
      <c r="K93" s="18"/>
      <c r="L93" s="19"/>
      <c r="M93" s="19"/>
      <c r="N93" s="20"/>
      <c r="O93" s="22"/>
      <c r="P93" s="36"/>
      <c r="Q93" s="38"/>
      <c r="R93" s="38"/>
    </row>
    <row r="94" spans="1:18" x14ac:dyDescent="0.2">
      <c r="A94" s="13"/>
      <c r="B94" s="7"/>
      <c r="C94" s="7"/>
      <c r="D94" s="7"/>
      <c r="E94" s="7"/>
      <c r="F94" s="72"/>
      <c r="G94" s="72"/>
      <c r="H94" s="72"/>
      <c r="I94" s="72"/>
      <c r="J94" s="13"/>
      <c r="K94" s="18"/>
      <c r="L94" s="19"/>
      <c r="M94" s="19"/>
      <c r="N94" s="20"/>
      <c r="O94" s="22"/>
      <c r="P94" s="36"/>
      <c r="Q94" s="37"/>
      <c r="R94" s="37"/>
    </row>
    <row r="95" spans="1:18" x14ac:dyDescent="0.2">
      <c r="A95" s="13"/>
      <c r="B95" s="18"/>
      <c r="C95" s="19"/>
      <c r="D95" s="19"/>
      <c r="E95" s="20"/>
      <c r="F95" s="22"/>
      <c r="G95" s="36"/>
      <c r="H95" s="37"/>
      <c r="I95" s="37"/>
      <c r="J95" s="13"/>
      <c r="K95" s="18"/>
      <c r="L95" s="19"/>
      <c r="M95" s="19"/>
      <c r="N95" s="20"/>
      <c r="O95" s="22"/>
      <c r="P95" s="36"/>
      <c r="Q95" s="37"/>
      <c r="R95" s="37"/>
    </row>
    <row r="96" spans="1:18" ht="15" customHeight="1" x14ac:dyDescent="0.2">
      <c r="A96" s="13"/>
      <c r="B96" s="18"/>
      <c r="C96" s="19"/>
      <c r="D96" s="19"/>
      <c r="E96" s="20"/>
      <c r="F96" s="22"/>
      <c r="G96" s="36"/>
      <c r="H96" s="37"/>
      <c r="I96" s="37"/>
      <c r="J96" s="13"/>
      <c r="K96" s="18"/>
      <c r="L96" s="19"/>
      <c r="M96" s="19"/>
      <c r="N96" s="20"/>
      <c r="O96" s="22"/>
      <c r="P96" s="36"/>
      <c r="Q96" s="37"/>
      <c r="R96" s="37"/>
    </row>
    <row r="97" spans="1:18" x14ac:dyDescent="0.2">
      <c r="A97" s="13"/>
      <c r="B97" s="18"/>
      <c r="C97" s="19"/>
      <c r="D97" s="19"/>
      <c r="E97" s="20"/>
      <c r="F97" s="22"/>
      <c r="G97" s="22"/>
      <c r="H97" s="23"/>
      <c r="I97" s="23"/>
      <c r="J97" s="13"/>
      <c r="K97" s="18"/>
      <c r="L97" s="19"/>
      <c r="M97" s="19"/>
      <c r="N97" s="20"/>
      <c r="O97" s="22"/>
      <c r="P97" s="22"/>
      <c r="Q97" s="23"/>
      <c r="R97" s="23"/>
    </row>
    <row r="98" spans="1:18" x14ac:dyDescent="0.2">
      <c r="A98" s="13"/>
      <c r="B98" s="248" t="s">
        <v>30</v>
      </c>
      <c r="C98" s="249"/>
      <c r="D98" s="249"/>
      <c r="E98" s="250"/>
      <c r="F98" s="22"/>
      <c r="G98" s="22"/>
      <c r="H98" s="23"/>
      <c r="I98" s="23">
        <f>SUM(I85:I97)</f>
        <v>431.28300000000002</v>
      </c>
      <c r="J98" s="13"/>
      <c r="K98" s="248" t="s">
        <v>30</v>
      </c>
      <c r="L98" s="249"/>
      <c r="M98" s="249"/>
      <c r="N98" s="250"/>
      <c r="O98" s="22"/>
      <c r="P98" s="22"/>
      <c r="Q98" s="23"/>
      <c r="R98" s="23">
        <f>SUM(R85:R97)</f>
        <v>1244.566</v>
      </c>
    </row>
    <row r="99" spans="1:18" x14ac:dyDescent="0.2">
      <c r="A99" s="12" t="s">
        <v>31</v>
      </c>
      <c r="B99" s="260" t="s">
        <v>32</v>
      </c>
      <c r="C99" s="261"/>
      <c r="D99" s="261"/>
      <c r="E99" s="261"/>
      <c r="F99" s="39"/>
      <c r="G99" s="39"/>
      <c r="H99" s="40"/>
      <c r="I99" s="41">
        <f>SUM(I98+I80)</f>
        <v>594.11300000000006</v>
      </c>
      <c r="J99" s="12" t="s">
        <v>31</v>
      </c>
      <c r="K99" s="260" t="s">
        <v>32</v>
      </c>
      <c r="L99" s="261"/>
      <c r="M99" s="261"/>
      <c r="N99" s="261"/>
      <c r="O99" s="161"/>
      <c r="P99" s="161"/>
      <c r="Q99" s="40"/>
      <c r="R99" s="41">
        <f>SUM(R98+R80)</f>
        <v>1570.2260000000001</v>
      </c>
    </row>
    <row r="100" spans="1:18" x14ac:dyDescent="0.2">
      <c r="A100" s="13" t="s">
        <v>33</v>
      </c>
      <c r="B100" s="321">
        <f>E67</f>
        <v>1</v>
      </c>
      <c r="C100" s="322"/>
      <c r="D100" s="322"/>
      <c r="E100" s="322"/>
      <c r="F100" s="322"/>
      <c r="G100" s="322"/>
      <c r="H100" s="40"/>
      <c r="I100" s="41"/>
      <c r="J100" s="13" t="s">
        <v>33</v>
      </c>
      <c r="K100" s="323">
        <f>N67</f>
        <v>2.75</v>
      </c>
      <c r="L100" s="324"/>
      <c r="M100" s="324"/>
      <c r="N100" s="324"/>
      <c r="O100" s="324"/>
      <c r="P100" s="324"/>
      <c r="Q100" s="40"/>
      <c r="R100" s="41"/>
    </row>
    <row r="101" spans="1:18" x14ac:dyDescent="0.2">
      <c r="A101" s="13" t="s">
        <v>34</v>
      </c>
      <c r="B101" s="42" t="s">
        <v>35</v>
      </c>
      <c r="C101" s="43"/>
      <c r="D101" s="43"/>
      <c r="E101" s="39"/>
      <c r="F101" s="44"/>
      <c r="G101" s="44"/>
      <c r="H101" s="40"/>
      <c r="I101" s="41">
        <f>I99/E67</f>
        <v>594.11300000000006</v>
      </c>
      <c r="J101" s="13" t="s">
        <v>34</v>
      </c>
      <c r="K101" s="162" t="s">
        <v>35</v>
      </c>
      <c r="L101" s="43"/>
      <c r="M101" s="43"/>
      <c r="N101" s="161"/>
      <c r="O101" s="163"/>
      <c r="P101" s="163"/>
      <c r="Q101" s="40"/>
      <c r="R101" s="41">
        <f>R99/N67</f>
        <v>570.99127272727276</v>
      </c>
    </row>
    <row r="102" spans="1:18" x14ac:dyDescent="0.2">
      <c r="A102" s="12"/>
      <c r="B102" s="251" t="s">
        <v>36</v>
      </c>
      <c r="C102" s="252"/>
      <c r="D102" s="252"/>
      <c r="E102" s="253"/>
      <c r="F102" s="244" t="s">
        <v>37</v>
      </c>
      <c r="G102" s="244" t="s">
        <v>38</v>
      </c>
      <c r="H102" s="244" t="s">
        <v>39</v>
      </c>
      <c r="I102" s="246" t="s">
        <v>15</v>
      </c>
      <c r="J102" s="12"/>
      <c r="K102" s="251" t="s">
        <v>36</v>
      </c>
      <c r="L102" s="252"/>
      <c r="M102" s="252"/>
      <c r="N102" s="253"/>
      <c r="O102" s="244" t="s">
        <v>37</v>
      </c>
      <c r="P102" s="244" t="s">
        <v>38</v>
      </c>
      <c r="Q102" s="244" t="s">
        <v>39</v>
      </c>
      <c r="R102" s="246" t="s">
        <v>15</v>
      </c>
    </row>
    <row r="103" spans="1:18" x14ac:dyDescent="0.2">
      <c r="A103" s="13"/>
      <c r="B103" s="254"/>
      <c r="C103" s="255"/>
      <c r="D103" s="255"/>
      <c r="E103" s="256"/>
      <c r="F103" s="245"/>
      <c r="G103" s="245"/>
      <c r="H103" s="245"/>
      <c r="I103" s="247"/>
      <c r="J103" s="13"/>
      <c r="K103" s="254"/>
      <c r="L103" s="255"/>
      <c r="M103" s="255"/>
      <c r="N103" s="256"/>
      <c r="O103" s="245"/>
      <c r="P103" s="245"/>
      <c r="Q103" s="245"/>
      <c r="R103" s="247"/>
    </row>
    <row r="104" spans="1:18" x14ac:dyDescent="0.2">
      <c r="A104" s="13" t="s">
        <v>40</v>
      </c>
      <c r="B104" s="18" t="s">
        <v>41</v>
      </c>
      <c r="C104" s="19"/>
      <c r="D104" s="19"/>
      <c r="E104" s="20"/>
      <c r="F104" s="22"/>
      <c r="G104" s="22"/>
      <c r="H104" s="23"/>
      <c r="I104" s="23"/>
      <c r="J104" s="13" t="s">
        <v>40</v>
      </c>
      <c r="K104" s="18" t="s">
        <v>41</v>
      </c>
      <c r="L104" s="19"/>
      <c r="M104" s="19"/>
      <c r="N104" s="20"/>
      <c r="O104" s="22"/>
      <c r="P104" s="22"/>
      <c r="Q104" s="23"/>
      <c r="R104" s="23"/>
    </row>
    <row r="105" spans="1:18" x14ac:dyDescent="0.2">
      <c r="A105" s="13"/>
      <c r="B105" s="18"/>
      <c r="C105" s="19"/>
      <c r="D105" s="19"/>
      <c r="E105" s="20"/>
      <c r="F105" s="22"/>
      <c r="G105" s="22"/>
      <c r="H105" s="23"/>
      <c r="I105" s="23"/>
      <c r="J105" s="13"/>
      <c r="K105" s="18"/>
      <c r="L105" s="19"/>
      <c r="M105" s="19"/>
      <c r="N105" s="20"/>
      <c r="O105" s="22"/>
      <c r="P105" s="22"/>
      <c r="Q105" s="23"/>
      <c r="R105" s="23"/>
    </row>
    <row r="106" spans="1:18" x14ac:dyDescent="0.2">
      <c r="A106" s="13"/>
      <c r="B106" s="18" t="s">
        <v>425</v>
      </c>
      <c r="C106" s="66"/>
      <c r="D106" s="19"/>
      <c r="E106" s="20"/>
      <c r="F106" s="22" t="s">
        <v>227</v>
      </c>
      <c r="G106" s="70">
        <f>'[1]Drawing (Cost Estimate)'!D49</f>
        <v>0.91800000000000004</v>
      </c>
      <c r="H106" s="107">
        <v>220</v>
      </c>
      <c r="I106" s="23">
        <f>H106*G106</f>
        <v>201.96</v>
      </c>
      <c r="J106" s="13"/>
      <c r="K106" s="18"/>
      <c r="L106" s="20"/>
      <c r="M106" s="66"/>
      <c r="N106" s="160"/>
      <c r="O106" s="22"/>
      <c r="P106" s="62"/>
      <c r="Q106" s="23"/>
      <c r="R106" s="23"/>
    </row>
    <row r="107" spans="1:18" x14ac:dyDescent="0.2">
      <c r="A107" s="13"/>
      <c r="B107" s="18" t="s">
        <v>426</v>
      </c>
      <c r="C107" s="66"/>
      <c r="D107" s="19"/>
      <c r="E107" s="20"/>
      <c r="F107" s="22" t="s">
        <v>9</v>
      </c>
      <c r="G107" s="70">
        <f>'[1]Drawing (Cost Estimate)'!D52</f>
        <v>5.1999999999999998E-2</v>
      </c>
      <c r="H107" s="107">
        <v>850</v>
      </c>
      <c r="I107" s="23">
        <f>H107*G107</f>
        <v>44.199999999999996</v>
      </c>
      <c r="J107" s="13"/>
      <c r="K107" s="18"/>
      <c r="L107" s="20"/>
      <c r="M107" s="19"/>
      <c r="N107" s="20"/>
      <c r="O107" s="22"/>
      <c r="P107" s="70"/>
      <c r="Q107" s="23"/>
      <c r="R107" s="23"/>
    </row>
    <row r="108" spans="1:18" x14ac:dyDescent="0.2">
      <c r="A108" s="13"/>
      <c r="B108" s="18" t="s">
        <v>433</v>
      </c>
      <c r="C108" s="19"/>
      <c r="D108" s="19"/>
      <c r="E108" s="20"/>
      <c r="F108" s="22" t="s">
        <v>80</v>
      </c>
      <c r="G108" s="62">
        <v>1</v>
      </c>
      <c r="H108" s="107">
        <v>1750</v>
      </c>
      <c r="I108" s="23">
        <f>H108*G108</f>
        <v>1750</v>
      </c>
      <c r="J108" s="13"/>
      <c r="K108" s="18"/>
      <c r="L108" s="20"/>
      <c r="M108" s="19"/>
      <c r="N108" s="20"/>
      <c r="O108" s="22"/>
      <c r="P108" s="70"/>
      <c r="Q108" s="23"/>
      <c r="R108" s="23"/>
    </row>
    <row r="109" spans="1:18" x14ac:dyDescent="0.2">
      <c r="A109" s="13"/>
      <c r="B109" s="18" t="s">
        <v>428</v>
      </c>
      <c r="C109" s="19"/>
      <c r="D109" s="19"/>
      <c r="E109" s="20"/>
      <c r="F109" s="22" t="s">
        <v>9</v>
      </c>
      <c r="G109" s="22">
        <f>'[1]Drawing (Cost Estimate)'!D57</f>
        <v>0.108</v>
      </c>
      <c r="H109" s="107">
        <v>850</v>
      </c>
      <c r="I109" s="23">
        <f>H109*G109</f>
        <v>91.8</v>
      </c>
      <c r="J109" s="13"/>
      <c r="K109" s="18"/>
      <c r="L109" s="19"/>
      <c r="M109" s="19"/>
      <c r="N109" s="20"/>
      <c r="O109" s="22"/>
      <c r="P109" s="22"/>
      <c r="Q109" s="38"/>
      <c r="R109" s="38"/>
    </row>
    <row r="110" spans="1:18" x14ac:dyDescent="0.2">
      <c r="A110" s="13"/>
      <c r="B110" s="18"/>
      <c r="C110" s="19"/>
      <c r="D110" s="19"/>
      <c r="E110" s="20"/>
      <c r="F110" s="22"/>
      <c r="G110" s="22"/>
      <c r="H110" s="23"/>
      <c r="I110" s="23"/>
      <c r="J110" s="13"/>
      <c r="K110" s="18"/>
      <c r="L110" s="19"/>
      <c r="M110" s="19"/>
      <c r="N110" s="20"/>
      <c r="O110" s="22"/>
      <c r="P110" s="22"/>
      <c r="Q110" s="45"/>
      <c r="R110" s="45"/>
    </row>
    <row r="111" spans="1:18" x14ac:dyDescent="0.2">
      <c r="A111" s="13"/>
      <c r="B111" s="18"/>
      <c r="C111" s="19"/>
      <c r="D111" s="19"/>
      <c r="E111" s="20"/>
      <c r="F111" s="22"/>
      <c r="G111" s="22"/>
      <c r="H111" s="23"/>
      <c r="I111" s="23"/>
      <c r="J111" s="13"/>
      <c r="K111" s="18"/>
      <c r="L111" s="19"/>
      <c r="M111" s="19"/>
      <c r="N111" s="20"/>
      <c r="O111" s="22"/>
      <c r="P111" s="22"/>
      <c r="Q111" s="45"/>
      <c r="R111" s="45"/>
    </row>
    <row r="112" spans="1:18" ht="15" customHeight="1" x14ac:dyDescent="0.2">
      <c r="A112" s="13"/>
      <c r="B112" s="18"/>
      <c r="C112" s="19"/>
      <c r="D112" s="19"/>
      <c r="E112" s="20"/>
      <c r="F112" s="22"/>
      <c r="G112" s="22"/>
      <c r="H112" s="23"/>
      <c r="I112" s="23"/>
      <c r="J112" s="13"/>
      <c r="K112" s="18"/>
      <c r="L112" s="19"/>
      <c r="M112" s="19"/>
      <c r="N112" s="20"/>
      <c r="O112" s="22"/>
      <c r="P112" s="22"/>
      <c r="Q112" s="23"/>
      <c r="R112" s="23"/>
    </row>
    <row r="113" spans="1:18" x14ac:dyDescent="0.2">
      <c r="A113" s="13"/>
      <c r="B113" s="18"/>
      <c r="C113" s="19"/>
      <c r="D113" s="19"/>
      <c r="E113" s="20"/>
      <c r="F113" s="22"/>
      <c r="G113" s="22"/>
      <c r="H113" s="23"/>
      <c r="I113" s="23"/>
      <c r="J113" s="13"/>
      <c r="K113" s="18"/>
      <c r="L113" s="19"/>
      <c r="M113" s="19"/>
      <c r="N113" s="20"/>
      <c r="O113" s="22"/>
      <c r="P113" s="22"/>
      <c r="Q113" s="23"/>
      <c r="R113" s="23"/>
    </row>
    <row r="114" spans="1:18" x14ac:dyDescent="0.2">
      <c r="A114" s="13"/>
      <c r="B114" s="18"/>
      <c r="C114" s="19"/>
      <c r="D114" s="19"/>
      <c r="E114" s="20"/>
      <c r="F114" s="22"/>
      <c r="G114" s="22"/>
      <c r="H114" s="23"/>
      <c r="I114" s="23"/>
      <c r="J114" s="13"/>
      <c r="K114" s="18"/>
      <c r="L114" s="19"/>
      <c r="M114" s="19"/>
      <c r="N114" s="20"/>
      <c r="O114" s="22"/>
      <c r="P114" s="22"/>
      <c r="Q114" s="23"/>
      <c r="R114" s="23"/>
    </row>
    <row r="115" spans="1:18" x14ac:dyDescent="0.2">
      <c r="A115" s="13"/>
      <c r="B115" s="18"/>
      <c r="C115" s="19"/>
      <c r="D115" s="19"/>
      <c r="E115" s="20"/>
      <c r="F115" s="22"/>
      <c r="G115" s="22"/>
      <c r="H115" s="23"/>
      <c r="I115" s="23"/>
      <c r="J115" s="13"/>
      <c r="K115" s="18"/>
      <c r="L115" s="19"/>
      <c r="M115" s="19"/>
      <c r="N115" s="20"/>
      <c r="O115" s="22"/>
      <c r="P115" s="22"/>
      <c r="Q115" s="23"/>
      <c r="R115" s="23"/>
    </row>
    <row r="116" spans="1:18" x14ac:dyDescent="0.2">
      <c r="A116" s="13"/>
      <c r="B116" s="18"/>
      <c r="C116" s="19"/>
      <c r="D116" s="19"/>
      <c r="E116" s="20"/>
      <c r="F116" s="22"/>
      <c r="G116" s="22"/>
      <c r="H116" s="23"/>
      <c r="I116" s="23"/>
      <c r="J116" s="13"/>
      <c r="K116" s="18"/>
      <c r="L116" s="19"/>
      <c r="M116" s="19"/>
      <c r="N116" s="20"/>
      <c r="O116" s="22"/>
      <c r="P116" s="22"/>
      <c r="Q116" s="23"/>
      <c r="R116" s="23"/>
    </row>
    <row r="117" spans="1:18" x14ac:dyDescent="0.2">
      <c r="A117" s="13"/>
      <c r="B117" s="18"/>
      <c r="C117" s="19"/>
      <c r="D117" s="19"/>
      <c r="E117" s="20"/>
      <c r="F117" s="22"/>
      <c r="G117" s="22"/>
      <c r="H117" s="23"/>
      <c r="I117" s="23"/>
      <c r="J117" s="13"/>
      <c r="K117" s="18"/>
      <c r="L117" s="19"/>
      <c r="M117" s="19"/>
      <c r="N117" s="20"/>
      <c r="O117" s="22"/>
      <c r="P117" s="22"/>
      <c r="Q117" s="23"/>
      <c r="R117" s="23"/>
    </row>
    <row r="118" spans="1:18" x14ac:dyDescent="0.2">
      <c r="A118" s="13"/>
      <c r="B118" s="18"/>
      <c r="C118" s="19"/>
      <c r="D118" s="19"/>
      <c r="E118" s="20"/>
      <c r="F118" s="22"/>
      <c r="G118" s="36"/>
      <c r="H118" s="37"/>
      <c r="I118" s="37"/>
      <c r="J118" s="13"/>
      <c r="K118" s="18"/>
      <c r="L118" s="19"/>
      <c r="M118" s="19"/>
      <c r="N118" s="20"/>
      <c r="O118" s="22"/>
      <c r="P118" s="36"/>
      <c r="Q118" s="37"/>
      <c r="R118" s="37"/>
    </row>
    <row r="119" spans="1:18" x14ac:dyDescent="0.2">
      <c r="A119" s="13"/>
      <c r="B119" s="248" t="s">
        <v>42</v>
      </c>
      <c r="C119" s="249"/>
      <c r="D119" s="249"/>
      <c r="E119" s="250"/>
      <c r="F119" s="46"/>
      <c r="G119" s="46"/>
      <c r="H119" s="47"/>
      <c r="I119" s="47">
        <f>SUM(I106:I118)</f>
        <v>2087.96</v>
      </c>
      <c r="J119" s="13"/>
      <c r="K119" s="248" t="s">
        <v>42</v>
      </c>
      <c r="L119" s="249"/>
      <c r="M119" s="249"/>
      <c r="N119" s="250"/>
      <c r="O119" s="46"/>
      <c r="P119" s="46"/>
      <c r="Q119" s="47"/>
      <c r="R119" s="47">
        <f>SUM(R106:R118)</f>
        <v>0</v>
      </c>
    </row>
    <row r="120" spans="1:18" x14ac:dyDescent="0.2">
      <c r="A120" s="12" t="s">
        <v>43</v>
      </c>
      <c r="B120" s="48" t="s">
        <v>44</v>
      </c>
      <c r="C120" s="43"/>
      <c r="D120" s="43"/>
      <c r="E120" s="39"/>
      <c r="F120" s="49"/>
      <c r="G120" s="49"/>
      <c r="H120" s="50"/>
      <c r="I120" s="51">
        <f>SUM(I101+I119)</f>
        <v>2682.0730000000003</v>
      </c>
      <c r="J120" s="12" t="s">
        <v>43</v>
      </c>
      <c r="K120" s="48" t="s">
        <v>44</v>
      </c>
      <c r="L120" s="43"/>
      <c r="M120" s="43"/>
      <c r="N120" s="161"/>
      <c r="O120" s="49"/>
      <c r="P120" s="49"/>
      <c r="Q120" s="50"/>
      <c r="R120" s="51">
        <f>SUM(R101+R119)</f>
        <v>570.99127272727276</v>
      </c>
    </row>
    <row r="121" spans="1:18" x14ac:dyDescent="0.2">
      <c r="A121" s="13" t="s">
        <v>45</v>
      </c>
      <c r="B121" s="48" t="s">
        <v>46</v>
      </c>
      <c r="C121" s="43"/>
      <c r="D121" s="43"/>
      <c r="E121" s="39"/>
      <c r="F121" s="49"/>
      <c r="G121" s="52">
        <v>0.09</v>
      </c>
      <c r="H121" s="53" t="s">
        <v>47</v>
      </c>
      <c r="I121" s="51">
        <f>G121*I120</f>
        <v>241.38657000000001</v>
      </c>
      <c r="J121" s="13" t="s">
        <v>45</v>
      </c>
      <c r="K121" s="48" t="s">
        <v>46</v>
      </c>
      <c r="L121" s="43"/>
      <c r="M121" s="43"/>
      <c r="N121" s="161"/>
      <c r="O121" s="49"/>
      <c r="P121" s="52">
        <v>0.09</v>
      </c>
      <c r="Q121" s="53" t="s">
        <v>47</v>
      </c>
      <c r="R121" s="51">
        <f>P121*R120</f>
        <v>51.389214545454543</v>
      </c>
    </row>
    <row r="122" spans="1:18" x14ac:dyDescent="0.2">
      <c r="A122" s="13" t="s">
        <v>48</v>
      </c>
      <c r="B122" s="48" t="s">
        <v>49</v>
      </c>
      <c r="C122" s="43"/>
      <c r="D122" s="43"/>
      <c r="E122" s="39"/>
      <c r="F122" s="49"/>
      <c r="G122" s="52">
        <v>0.08</v>
      </c>
      <c r="H122" s="53" t="s">
        <v>47</v>
      </c>
      <c r="I122" s="51">
        <f>G122*I120</f>
        <v>214.56584000000004</v>
      </c>
      <c r="J122" s="13" t="s">
        <v>48</v>
      </c>
      <c r="K122" s="48" t="s">
        <v>49</v>
      </c>
      <c r="L122" s="43"/>
      <c r="M122" s="43"/>
      <c r="N122" s="161"/>
      <c r="O122" s="49"/>
      <c r="P122" s="52">
        <v>0.08</v>
      </c>
      <c r="Q122" s="53" t="s">
        <v>47</v>
      </c>
      <c r="R122" s="51">
        <f>P122*R120</f>
        <v>45.67930181818182</v>
      </c>
    </row>
    <row r="123" spans="1:18" x14ac:dyDescent="0.2">
      <c r="A123" s="13" t="s">
        <v>50</v>
      </c>
      <c r="B123" s="48" t="s">
        <v>51</v>
      </c>
      <c r="C123" s="43"/>
      <c r="D123" s="43"/>
      <c r="E123" s="39"/>
      <c r="F123" s="49"/>
      <c r="G123" s="52">
        <f>5/100</f>
        <v>0.05</v>
      </c>
      <c r="H123" s="53" t="s">
        <v>52</v>
      </c>
      <c r="I123" s="51">
        <f>G123*(I120+I121+I122)</f>
        <v>156.90127050000004</v>
      </c>
      <c r="J123" s="13" t="s">
        <v>50</v>
      </c>
      <c r="K123" s="48" t="s">
        <v>51</v>
      </c>
      <c r="L123" s="43"/>
      <c r="M123" s="43"/>
      <c r="N123" s="161"/>
      <c r="O123" s="49"/>
      <c r="P123" s="52">
        <v>0.05</v>
      </c>
      <c r="Q123" s="53" t="s">
        <v>52</v>
      </c>
      <c r="R123" s="51">
        <f>P123*(R120+R121+R122)</f>
        <v>33.402989454545455</v>
      </c>
    </row>
    <row r="124" spans="1:18" x14ac:dyDescent="0.2">
      <c r="A124" s="54" t="s">
        <v>53</v>
      </c>
      <c r="B124" s="48" t="s">
        <v>54</v>
      </c>
      <c r="C124" s="43"/>
      <c r="D124" s="43"/>
      <c r="E124" s="39"/>
      <c r="F124" s="49"/>
      <c r="G124" s="49"/>
      <c r="H124" s="55" t="s">
        <v>55</v>
      </c>
      <c r="I124" s="51">
        <f>SUM(I120+I121+I122+I123)</f>
        <v>3294.9266805000007</v>
      </c>
      <c r="J124" s="54" t="s">
        <v>53</v>
      </c>
      <c r="K124" s="48" t="s">
        <v>54</v>
      </c>
      <c r="L124" s="43"/>
      <c r="M124" s="43"/>
      <c r="N124" s="161"/>
      <c r="O124" s="49"/>
      <c r="P124" s="49"/>
      <c r="Q124" s="55" t="s">
        <v>55</v>
      </c>
      <c r="R124" s="51">
        <f>SUM(R120+R121+R122+R123)</f>
        <v>701.46277854545463</v>
      </c>
    </row>
    <row r="125" spans="1:18" s="1" customFormat="1" x14ac:dyDescent="0.2">
      <c r="A125" s="236" t="s">
        <v>0</v>
      </c>
      <c r="B125" s="236"/>
      <c r="C125" s="236"/>
      <c r="D125" s="236"/>
      <c r="E125" s="236"/>
      <c r="F125" s="236"/>
      <c r="G125" s="236"/>
      <c r="H125" s="236"/>
      <c r="I125" s="236"/>
      <c r="J125" s="236" t="s">
        <v>0</v>
      </c>
      <c r="K125" s="236"/>
      <c r="L125" s="236"/>
      <c r="M125" s="236"/>
      <c r="N125" s="236"/>
      <c r="O125" s="236"/>
      <c r="P125" s="236"/>
      <c r="Q125" s="236"/>
      <c r="R125" s="236"/>
    </row>
    <row r="127" spans="1:18" x14ac:dyDescent="0.2">
      <c r="A127" s="2" t="s">
        <v>1</v>
      </c>
      <c r="C127" s="4" t="s">
        <v>2</v>
      </c>
      <c r="D127" s="5" t="s">
        <v>434</v>
      </c>
      <c r="E127" s="237" t="s">
        <v>435</v>
      </c>
      <c r="F127" s="237"/>
      <c r="G127" s="237"/>
      <c r="H127" s="237"/>
      <c r="I127" s="8"/>
      <c r="J127" s="158" t="s">
        <v>1</v>
      </c>
      <c r="L127" s="4" t="s">
        <v>2</v>
      </c>
      <c r="M127" s="5" t="s">
        <v>436</v>
      </c>
      <c r="N127" s="158" t="s">
        <v>437</v>
      </c>
      <c r="O127" s="158"/>
      <c r="P127" s="158"/>
      <c r="Q127" s="158"/>
    </row>
    <row r="128" spans="1:18" x14ac:dyDescent="0.2">
      <c r="A128" s="2" t="s">
        <v>7</v>
      </c>
      <c r="C128" s="4" t="s">
        <v>2</v>
      </c>
      <c r="E128" s="152" t="s">
        <v>1153</v>
      </c>
      <c r="F128" s="8"/>
      <c r="G128" s="8"/>
      <c r="H128" s="8"/>
      <c r="J128" s="158" t="s">
        <v>7</v>
      </c>
      <c r="L128" s="4" t="s">
        <v>2</v>
      </c>
      <c r="N128" s="158" t="s">
        <v>1153</v>
      </c>
      <c r="O128" s="8"/>
      <c r="P128" s="8"/>
      <c r="Q128" s="8"/>
    </row>
    <row r="129" spans="1:18" x14ac:dyDescent="0.2">
      <c r="A129" s="2" t="s">
        <v>10</v>
      </c>
      <c r="C129" s="4" t="s">
        <v>2</v>
      </c>
      <c r="E129" s="9">
        <v>1</v>
      </c>
      <c r="F129" s="8"/>
      <c r="G129" s="8"/>
      <c r="H129" s="8"/>
      <c r="J129" s="158" t="s">
        <v>10</v>
      </c>
      <c r="L129" s="4" t="s">
        <v>2</v>
      </c>
      <c r="N129" s="9">
        <f>ROUND(1.169*4*2/(PI()*1.22^2),2)</f>
        <v>2</v>
      </c>
      <c r="O129" s="8"/>
      <c r="P129" s="8"/>
      <c r="Q129" s="8"/>
    </row>
    <row r="130" spans="1:18" x14ac:dyDescent="0.2">
      <c r="B130" s="8"/>
      <c r="F130" s="11"/>
      <c r="G130" s="8"/>
      <c r="H130" s="8"/>
      <c r="I130" s="8"/>
      <c r="K130" s="8"/>
      <c r="O130" s="11"/>
      <c r="P130" s="8"/>
      <c r="Q130" s="8"/>
      <c r="R130" s="8"/>
    </row>
    <row r="131" spans="1:18" x14ac:dyDescent="0.2">
      <c r="A131" s="12"/>
      <c r="B131" s="238" t="s">
        <v>11</v>
      </c>
      <c r="C131" s="239"/>
      <c r="D131" s="239"/>
      <c r="E131" s="240"/>
      <c r="F131" s="244" t="s">
        <v>12</v>
      </c>
      <c r="G131" s="244" t="s">
        <v>13</v>
      </c>
      <c r="H131" s="244" t="s">
        <v>14</v>
      </c>
      <c r="I131" s="246" t="s">
        <v>15</v>
      </c>
      <c r="J131" s="12"/>
      <c r="K131" s="238" t="s">
        <v>11</v>
      </c>
      <c r="L131" s="239"/>
      <c r="M131" s="239"/>
      <c r="N131" s="240"/>
      <c r="O131" s="244" t="s">
        <v>12</v>
      </c>
      <c r="P131" s="244" t="s">
        <v>13</v>
      </c>
      <c r="Q131" s="244" t="s">
        <v>14</v>
      </c>
      <c r="R131" s="246" t="s">
        <v>15</v>
      </c>
    </row>
    <row r="132" spans="1:18" x14ac:dyDescent="0.2">
      <c r="A132" s="13"/>
      <c r="B132" s="241"/>
      <c r="C132" s="242"/>
      <c r="D132" s="242"/>
      <c r="E132" s="243"/>
      <c r="F132" s="245"/>
      <c r="G132" s="245"/>
      <c r="H132" s="245"/>
      <c r="I132" s="247"/>
      <c r="J132" s="13"/>
      <c r="K132" s="241"/>
      <c r="L132" s="242"/>
      <c r="M132" s="242"/>
      <c r="N132" s="243"/>
      <c r="O132" s="245"/>
      <c r="P132" s="245"/>
      <c r="Q132" s="245"/>
      <c r="R132" s="247"/>
    </row>
    <row r="133" spans="1:18" x14ac:dyDescent="0.2">
      <c r="A133" s="13" t="s">
        <v>16</v>
      </c>
      <c r="B133" s="14" t="s">
        <v>17</v>
      </c>
      <c r="C133" s="15"/>
      <c r="D133" s="15"/>
      <c r="E133" s="16"/>
      <c r="F133" s="17"/>
      <c r="G133" s="17"/>
      <c r="H133" s="17"/>
      <c r="I133" s="17"/>
      <c r="J133" s="13" t="s">
        <v>16</v>
      </c>
      <c r="K133" s="14" t="s">
        <v>17</v>
      </c>
      <c r="L133" s="15"/>
      <c r="M133" s="15"/>
      <c r="N133" s="16"/>
      <c r="O133" s="17"/>
      <c r="P133" s="17"/>
      <c r="Q133" s="17"/>
      <c r="R133" s="17"/>
    </row>
    <row r="134" spans="1:18" x14ac:dyDescent="0.2">
      <c r="A134" s="13"/>
      <c r="B134" s="18"/>
      <c r="C134" s="19"/>
      <c r="D134" s="19"/>
      <c r="E134" s="20"/>
      <c r="F134" s="21"/>
      <c r="G134" s="22"/>
      <c r="H134" s="21"/>
      <c r="I134" s="21"/>
      <c r="J134" s="13"/>
      <c r="K134" s="18"/>
      <c r="L134" s="19"/>
      <c r="M134" s="19"/>
      <c r="N134" s="20"/>
      <c r="O134" s="21"/>
      <c r="P134" s="22"/>
      <c r="Q134" s="21"/>
      <c r="R134" s="21"/>
    </row>
    <row r="135" spans="1:18" x14ac:dyDescent="0.2">
      <c r="A135" s="13"/>
      <c r="B135" s="24" t="s">
        <v>18</v>
      </c>
      <c r="C135" s="25"/>
      <c r="D135" s="25"/>
      <c r="E135" s="26"/>
      <c r="F135" s="22">
        <v>1</v>
      </c>
      <c r="G135" s="23">
        <v>0.56999999999999995</v>
      </c>
      <c r="H135" s="23">
        <v>69.42</v>
      </c>
      <c r="I135" s="23">
        <f>G135*H135*F135</f>
        <v>39.569399999999995</v>
      </c>
      <c r="J135" s="13"/>
      <c r="K135" s="24" t="s">
        <v>18</v>
      </c>
      <c r="L135" s="25"/>
      <c r="M135" s="25"/>
      <c r="N135" s="26"/>
      <c r="O135" s="22">
        <v>1</v>
      </c>
      <c r="P135" s="23">
        <v>1</v>
      </c>
      <c r="Q135" s="23">
        <v>69.42</v>
      </c>
      <c r="R135" s="23">
        <f>P135*Q135*O135</f>
        <v>69.42</v>
      </c>
    </row>
    <row r="136" spans="1:18" x14ac:dyDescent="0.2">
      <c r="A136" s="13"/>
      <c r="B136" s="257" t="s">
        <v>1178</v>
      </c>
      <c r="C136" s="258"/>
      <c r="D136" s="25"/>
      <c r="E136" s="26"/>
      <c r="F136" s="22">
        <v>2</v>
      </c>
      <c r="G136" s="23">
        <v>0.56999999999999995</v>
      </c>
      <c r="H136" s="23">
        <v>50.18</v>
      </c>
      <c r="I136" s="23">
        <f>G136*H136*F136</f>
        <v>57.205199999999998</v>
      </c>
      <c r="J136" s="13"/>
      <c r="K136" s="257" t="s">
        <v>1178</v>
      </c>
      <c r="L136" s="258"/>
      <c r="M136" s="25"/>
      <c r="N136" s="26"/>
      <c r="O136" s="22">
        <v>2</v>
      </c>
      <c r="P136" s="23">
        <v>1</v>
      </c>
      <c r="Q136" s="23">
        <v>50.18</v>
      </c>
      <c r="R136" s="23">
        <f>P136*Q136*O136</f>
        <v>100.36</v>
      </c>
    </row>
    <row r="137" spans="1:18" x14ac:dyDescent="0.2">
      <c r="A137" s="13"/>
      <c r="B137" s="257" t="s">
        <v>1177</v>
      </c>
      <c r="C137" s="258"/>
      <c r="D137" s="19"/>
      <c r="E137" s="20"/>
      <c r="F137" s="22">
        <v>4</v>
      </c>
      <c r="G137" s="23">
        <v>0.56999999999999995</v>
      </c>
      <c r="H137" s="23">
        <v>38.97</v>
      </c>
      <c r="I137" s="23">
        <f>G137*H137*F137</f>
        <v>88.851599999999991</v>
      </c>
      <c r="J137" s="13"/>
      <c r="K137" s="257" t="s">
        <v>1177</v>
      </c>
      <c r="L137" s="258"/>
      <c r="M137" s="19"/>
      <c r="N137" s="20"/>
      <c r="O137" s="22">
        <v>4</v>
      </c>
      <c r="P137" s="23">
        <v>1</v>
      </c>
      <c r="Q137" s="23">
        <v>38.97</v>
      </c>
      <c r="R137" s="23">
        <f>P137*Q137*O137</f>
        <v>155.88</v>
      </c>
    </row>
    <row r="138" spans="1:18" ht="15" customHeight="1" x14ac:dyDescent="0.2">
      <c r="A138" s="13"/>
      <c r="B138" s="27"/>
      <c r="C138" s="63"/>
      <c r="D138" s="19"/>
      <c r="E138" s="20"/>
      <c r="F138" s="22"/>
      <c r="G138" s="22"/>
      <c r="H138" s="29"/>
      <c r="I138" s="30"/>
      <c r="J138" s="13"/>
      <c r="K138" s="159"/>
      <c r="L138" s="19"/>
      <c r="M138" s="19"/>
      <c r="N138" s="20"/>
      <c r="O138" s="22"/>
      <c r="P138" s="22"/>
      <c r="Q138" s="29"/>
      <c r="R138" s="30"/>
    </row>
    <row r="139" spans="1:18" x14ac:dyDescent="0.2">
      <c r="A139" s="13"/>
      <c r="B139" s="27"/>
      <c r="C139" s="63"/>
      <c r="D139" s="19"/>
      <c r="E139" s="20"/>
      <c r="F139" s="22"/>
      <c r="G139" s="22"/>
      <c r="H139" s="29"/>
      <c r="I139" s="30"/>
      <c r="J139" s="13"/>
      <c r="K139" s="159"/>
      <c r="L139" s="19"/>
      <c r="M139" s="19"/>
      <c r="N139" s="20"/>
      <c r="O139" s="22"/>
      <c r="P139" s="22"/>
      <c r="Q139" s="29"/>
      <c r="R139" s="30"/>
    </row>
    <row r="140" spans="1:18" x14ac:dyDescent="0.2">
      <c r="A140" s="13"/>
      <c r="B140" s="24"/>
      <c r="C140" s="25"/>
      <c r="D140" s="19"/>
      <c r="E140" s="20"/>
      <c r="F140" s="22"/>
      <c r="G140" s="22"/>
      <c r="H140" s="23"/>
      <c r="I140" s="23"/>
      <c r="J140" s="13"/>
      <c r="K140" s="18"/>
      <c r="L140" s="19"/>
      <c r="M140" s="19"/>
      <c r="N140" s="20"/>
      <c r="O140" s="22"/>
      <c r="P140" s="22"/>
      <c r="Q140" s="28"/>
      <c r="R140" s="23"/>
    </row>
    <row r="141" spans="1:18" x14ac:dyDescent="0.2">
      <c r="A141" s="13"/>
      <c r="B141" s="24"/>
      <c r="C141" s="25"/>
      <c r="D141" s="19"/>
      <c r="E141" s="20"/>
      <c r="F141" s="22"/>
      <c r="G141" s="22"/>
      <c r="H141" s="23"/>
      <c r="I141" s="23"/>
      <c r="J141" s="13"/>
      <c r="K141" s="18"/>
      <c r="L141" s="19"/>
      <c r="M141" s="19"/>
      <c r="N141" s="20"/>
      <c r="O141" s="22"/>
      <c r="P141" s="22"/>
      <c r="Q141" s="23"/>
      <c r="R141" s="23"/>
    </row>
    <row r="142" spans="1:18" x14ac:dyDescent="0.2">
      <c r="A142" s="13"/>
      <c r="B142" s="248" t="s">
        <v>20</v>
      </c>
      <c r="C142" s="249"/>
      <c r="D142" s="249"/>
      <c r="E142" s="250"/>
      <c r="F142" s="31"/>
      <c r="G142" s="31"/>
      <c r="H142" s="32"/>
      <c r="I142" s="32">
        <f>SUM(I135:I141)</f>
        <v>185.62619999999998</v>
      </c>
      <c r="J142" s="13"/>
      <c r="K142" s="248" t="s">
        <v>20</v>
      </c>
      <c r="L142" s="249"/>
      <c r="M142" s="249"/>
      <c r="N142" s="250"/>
      <c r="O142" s="31"/>
      <c r="P142" s="31"/>
      <c r="Q142" s="32"/>
      <c r="R142" s="32">
        <f>SUM(R135:R141)</f>
        <v>325.65999999999997</v>
      </c>
    </row>
    <row r="143" spans="1:18" x14ac:dyDescent="0.2">
      <c r="A143" s="12"/>
      <c r="B143" s="251" t="s">
        <v>21</v>
      </c>
      <c r="C143" s="252"/>
      <c r="D143" s="252"/>
      <c r="E143" s="253"/>
      <c r="F143" s="244" t="s">
        <v>22</v>
      </c>
      <c r="G143" s="244" t="s">
        <v>13</v>
      </c>
      <c r="H143" s="244" t="s">
        <v>14</v>
      </c>
      <c r="I143" s="246" t="s">
        <v>15</v>
      </c>
      <c r="J143" s="12"/>
      <c r="K143" s="251" t="s">
        <v>21</v>
      </c>
      <c r="L143" s="252"/>
      <c r="M143" s="252"/>
      <c r="N143" s="253"/>
      <c r="O143" s="244" t="s">
        <v>22</v>
      </c>
      <c r="P143" s="244" t="s">
        <v>13</v>
      </c>
      <c r="Q143" s="244" t="s">
        <v>14</v>
      </c>
      <c r="R143" s="246" t="s">
        <v>15</v>
      </c>
    </row>
    <row r="144" spans="1:18" x14ac:dyDescent="0.2">
      <c r="A144" s="13"/>
      <c r="B144" s="254"/>
      <c r="C144" s="255"/>
      <c r="D144" s="255"/>
      <c r="E144" s="256"/>
      <c r="F144" s="245"/>
      <c r="G144" s="245"/>
      <c r="H144" s="245"/>
      <c r="I144" s="247"/>
      <c r="J144" s="13"/>
      <c r="K144" s="254"/>
      <c r="L144" s="255"/>
      <c r="M144" s="255"/>
      <c r="N144" s="256"/>
      <c r="O144" s="245"/>
      <c r="P144" s="245"/>
      <c r="Q144" s="245"/>
      <c r="R144" s="247"/>
    </row>
    <row r="145" spans="1:18" x14ac:dyDescent="0.2">
      <c r="A145" s="13" t="s">
        <v>23</v>
      </c>
      <c r="B145" s="33" t="s">
        <v>24</v>
      </c>
      <c r="C145" s="15"/>
      <c r="D145" s="15"/>
      <c r="E145" s="16"/>
      <c r="F145" s="34"/>
      <c r="G145" s="34"/>
      <c r="H145" s="35"/>
      <c r="I145" s="35"/>
      <c r="J145" s="13" t="s">
        <v>23</v>
      </c>
      <c r="K145" s="33" t="s">
        <v>24</v>
      </c>
      <c r="L145" s="15"/>
      <c r="M145" s="15"/>
      <c r="N145" s="16"/>
      <c r="O145" s="34"/>
      <c r="P145" s="34"/>
      <c r="Q145" s="35"/>
      <c r="R145" s="35"/>
    </row>
    <row r="146" spans="1:18" x14ac:dyDescent="0.2">
      <c r="A146" s="13"/>
      <c r="B146" s="18"/>
      <c r="C146" s="19"/>
      <c r="D146" s="19"/>
      <c r="E146" s="20"/>
      <c r="F146" s="22"/>
      <c r="G146" s="22"/>
      <c r="H146" s="23"/>
      <c r="I146" s="23"/>
      <c r="J146" s="13"/>
      <c r="K146" s="18"/>
      <c r="L146" s="19"/>
      <c r="M146" s="19"/>
      <c r="N146" s="20"/>
      <c r="O146" s="22"/>
      <c r="P146" s="22"/>
      <c r="Q146" s="23"/>
      <c r="R146" s="23"/>
    </row>
    <row r="147" spans="1:18" ht="17.25" customHeight="1" x14ac:dyDescent="0.2">
      <c r="A147" s="13"/>
      <c r="B147" s="18" t="s">
        <v>62</v>
      </c>
      <c r="C147" s="66"/>
      <c r="D147" s="19"/>
      <c r="E147" s="20"/>
      <c r="F147" s="22">
        <v>1</v>
      </c>
      <c r="G147" s="23">
        <v>0.28999999999999998</v>
      </c>
      <c r="H147" s="37">
        <v>1537</v>
      </c>
      <c r="I147" s="37">
        <f>G147*H147*F147</f>
        <v>445.72999999999996</v>
      </c>
      <c r="J147" s="13"/>
      <c r="K147" s="18" t="s">
        <v>1228</v>
      </c>
      <c r="L147" s="66"/>
      <c r="M147" s="19"/>
      <c r="N147" s="20"/>
      <c r="O147" s="22">
        <v>1</v>
      </c>
      <c r="P147" s="23">
        <v>1</v>
      </c>
      <c r="Q147" s="37">
        <v>1212</v>
      </c>
      <c r="R147" s="37">
        <f>O147*P147*Q147</f>
        <v>1212</v>
      </c>
    </row>
    <row r="148" spans="1:18" ht="17.25" customHeight="1" x14ac:dyDescent="0.2">
      <c r="A148" s="13"/>
      <c r="B148" s="18" t="s">
        <v>424</v>
      </c>
      <c r="C148" s="66"/>
      <c r="D148" s="19"/>
      <c r="E148" s="20"/>
      <c r="F148" s="22">
        <v>1</v>
      </c>
      <c r="G148" s="23">
        <v>0.28999999999999998</v>
      </c>
      <c r="H148" s="37">
        <v>123</v>
      </c>
      <c r="I148" s="37">
        <f>G148*H148*F148</f>
        <v>35.669999999999995</v>
      </c>
      <c r="J148" s="13"/>
      <c r="K148" s="18" t="s">
        <v>92</v>
      </c>
      <c r="L148" s="19"/>
      <c r="M148" s="19"/>
      <c r="N148" s="20"/>
      <c r="O148" s="22"/>
      <c r="P148" s="23"/>
      <c r="R148" s="37">
        <f>R142*0.1</f>
        <v>32.565999999999995</v>
      </c>
    </row>
    <row r="149" spans="1:18" x14ac:dyDescent="0.2">
      <c r="A149" s="13"/>
      <c r="B149" s="18" t="s">
        <v>1194</v>
      </c>
      <c r="C149" s="66"/>
      <c r="D149" s="19"/>
      <c r="E149" s="20"/>
      <c r="F149" s="22"/>
      <c r="G149" s="71"/>
      <c r="I149" s="37">
        <f>0.1*I142</f>
        <v>18.562619999999999</v>
      </c>
      <c r="J149" s="13"/>
      <c r="K149" s="18"/>
      <c r="L149" s="66"/>
      <c r="M149" s="19"/>
      <c r="N149" s="20"/>
      <c r="O149" s="22"/>
      <c r="P149" s="23"/>
      <c r="Q149" s="37"/>
      <c r="R149" s="37"/>
    </row>
    <row r="150" spans="1:18" x14ac:dyDescent="0.2">
      <c r="A150" s="13"/>
      <c r="B150" s="18"/>
      <c r="C150" s="66"/>
      <c r="F150" s="22"/>
      <c r="G150" s="23"/>
      <c r="H150" s="37"/>
      <c r="I150" s="37"/>
      <c r="J150" s="13"/>
      <c r="K150" s="18"/>
      <c r="L150" s="66"/>
      <c r="M150" s="19"/>
      <c r="N150" s="20"/>
      <c r="O150" s="22"/>
      <c r="P150" s="71"/>
      <c r="Q150" s="37"/>
      <c r="R150" s="37"/>
    </row>
    <row r="151" spans="1:18" x14ac:dyDescent="0.2">
      <c r="A151" s="13"/>
      <c r="B151" s="18"/>
      <c r="C151" s="19"/>
      <c r="D151" s="19"/>
      <c r="E151" s="20"/>
      <c r="F151" s="22"/>
      <c r="G151" s="36"/>
      <c r="H151" s="37"/>
      <c r="I151" s="37"/>
      <c r="J151" s="13"/>
      <c r="K151" s="18"/>
      <c r="L151" s="66"/>
      <c r="M151" s="19"/>
      <c r="N151" s="20"/>
      <c r="O151" s="22"/>
      <c r="P151" s="71"/>
      <c r="Q151" s="37"/>
      <c r="R151" s="37"/>
    </row>
    <row r="152" spans="1:18" x14ac:dyDescent="0.2">
      <c r="A152" s="13"/>
      <c r="B152" s="18"/>
      <c r="C152" s="19"/>
      <c r="D152" s="19"/>
      <c r="E152" s="20"/>
      <c r="F152" s="22"/>
      <c r="G152" s="36"/>
      <c r="H152" s="37"/>
      <c r="I152" s="37"/>
      <c r="J152" s="13"/>
      <c r="K152" s="18"/>
      <c r="L152" s="66"/>
      <c r="M152" s="19"/>
      <c r="N152" s="20"/>
      <c r="O152" s="22"/>
      <c r="P152" s="71"/>
      <c r="Q152" s="37"/>
      <c r="R152" s="37"/>
    </row>
    <row r="153" spans="1:18" x14ac:dyDescent="0.2">
      <c r="A153" s="13"/>
      <c r="B153" s="18"/>
      <c r="C153" s="19"/>
      <c r="D153" s="19"/>
      <c r="E153" s="20"/>
      <c r="F153" s="22"/>
      <c r="G153" s="36"/>
      <c r="H153" s="37"/>
      <c r="I153" s="37"/>
      <c r="J153" s="13"/>
      <c r="K153" s="18"/>
      <c r="L153" s="19"/>
      <c r="M153" s="19"/>
      <c r="N153" s="20"/>
      <c r="O153" s="22"/>
      <c r="P153" s="36"/>
      <c r="Q153" s="38"/>
      <c r="R153" s="38"/>
    </row>
    <row r="154" spans="1:18" x14ac:dyDescent="0.2">
      <c r="A154" s="13"/>
      <c r="B154" s="18"/>
      <c r="C154" s="19"/>
      <c r="D154" s="19"/>
      <c r="E154" s="20"/>
      <c r="F154" s="22"/>
      <c r="G154" s="23"/>
      <c r="H154" s="37"/>
      <c r="I154" s="37"/>
      <c r="J154" s="13"/>
      <c r="K154" s="18"/>
      <c r="L154" s="19"/>
      <c r="M154" s="19"/>
      <c r="N154" s="20"/>
      <c r="O154" s="22"/>
      <c r="P154" s="36"/>
      <c r="Q154" s="38"/>
      <c r="R154" s="38"/>
    </row>
    <row r="155" spans="1:18" x14ac:dyDescent="0.2">
      <c r="A155" s="13"/>
      <c r="B155" s="18"/>
      <c r="C155" s="19"/>
      <c r="D155" s="19"/>
      <c r="E155" s="20"/>
      <c r="F155" s="22"/>
      <c r="G155" s="23"/>
      <c r="H155" s="37"/>
      <c r="I155" s="37"/>
      <c r="J155" s="13"/>
      <c r="K155" s="18"/>
      <c r="L155" s="19"/>
      <c r="M155" s="19"/>
      <c r="N155" s="20"/>
      <c r="O155" s="22"/>
      <c r="P155" s="36"/>
      <c r="Q155" s="38"/>
      <c r="R155" s="38"/>
    </row>
    <row r="156" spans="1:18" x14ac:dyDescent="0.2">
      <c r="A156" s="13"/>
      <c r="B156" s="7"/>
      <c r="C156" s="7"/>
      <c r="D156" s="7"/>
      <c r="E156" s="7"/>
      <c r="F156" s="72"/>
      <c r="G156" s="72"/>
      <c r="H156" s="72"/>
      <c r="I156" s="72"/>
      <c r="J156" s="13"/>
      <c r="K156" s="18"/>
      <c r="L156" s="19"/>
      <c r="M156" s="19"/>
      <c r="N156" s="20"/>
      <c r="O156" s="22"/>
      <c r="P156" s="36"/>
      <c r="Q156" s="37"/>
      <c r="R156" s="37"/>
    </row>
    <row r="157" spans="1:18" x14ac:dyDescent="0.2">
      <c r="A157" s="13"/>
      <c r="B157" s="18"/>
      <c r="C157" s="19"/>
      <c r="D157" s="19"/>
      <c r="E157" s="20"/>
      <c r="F157" s="22"/>
      <c r="G157" s="36"/>
      <c r="H157" s="37"/>
      <c r="I157" s="37"/>
      <c r="J157" s="13"/>
      <c r="K157" s="18"/>
      <c r="L157" s="19"/>
      <c r="M157" s="19"/>
      <c r="N157" s="20"/>
      <c r="O157" s="22"/>
      <c r="P157" s="36"/>
      <c r="Q157" s="37"/>
      <c r="R157" s="37"/>
    </row>
    <row r="158" spans="1:18" ht="15" customHeight="1" x14ac:dyDescent="0.2">
      <c r="A158" s="13"/>
      <c r="B158" s="18"/>
      <c r="C158" s="19"/>
      <c r="D158" s="19"/>
      <c r="E158" s="20"/>
      <c r="F158" s="22"/>
      <c r="G158" s="36"/>
      <c r="H158" s="37"/>
      <c r="I158" s="37"/>
      <c r="J158" s="13"/>
      <c r="K158" s="18"/>
      <c r="L158" s="19"/>
      <c r="M158" s="19"/>
      <c r="N158" s="20"/>
      <c r="O158" s="22"/>
      <c r="P158" s="36"/>
      <c r="Q158" s="37"/>
      <c r="R158" s="37"/>
    </row>
    <row r="159" spans="1:18" x14ac:dyDescent="0.2">
      <c r="A159" s="13"/>
      <c r="B159" s="18"/>
      <c r="C159" s="19"/>
      <c r="D159" s="19"/>
      <c r="E159" s="20"/>
      <c r="F159" s="22"/>
      <c r="G159" s="22"/>
      <c r="H159" s="23"/>
      <c r="I159" s="23"/>
      <c r="J159" s="13"/>
      <c r="K159" s="18"/>
      <c r="L159" s="19"/>
      <c r="M159" s="19"/>
      <c r="N159" s="20"/>
      <c r="O159" s="22"/>
      <c r="P159" s="22"/>
      <c r="Q159" s="23"/>
      <c r="R159" s="23"/>
    </row>
    <row r="160" spans="1:18" x14ac:dyDescent="0.2">
      <c r="A160" s="13"/>
      <c r="B160" s="248" t="s">
        <v>30</v>
      </c>
      <c r="C160" s="249"/>
      <c r="D160" s="249"/>
      <c r="E160" s="250"/>
      <c r="F160" s="22"/>
      <c r="G160" s="22"/>
      <c r="H160" s="23"/>
      <c r="I160" s="23">
        <f>SUM(I147:I159)</f>
        <v>499.96261999999996</v>
      </c>
      <c r="J160" s="13"/>
      <c r="K160" s="248" t="s">
        <v>30</v>
      </c>
      <c r="L160" s="249"/>
      <c r="M160" s="249"/>
      <c r="N160" s="250"/>
      <c r="O160" s="22"/>
      <c r="P160" s="22"/>
      <c r="Q160" s="23"/>
      <c r="R160" s="23">
        <f>SUM(R147:R159)</f>
        <v>1244.566</v>
      </c>
    </row>
    <row r="161" spans="1:18" x14ac:dyDescent="0.2">
      <c r="A161" s="12" t="s">
        <v>31</v>
      </c>
      <c r="B161" s="260" t="s">
        <v>32</v>
      </c>
      <c r="C161" s="261"/>
      <c r="D161" s="261"/>
      <c r="E161" s="261"/>
      <c r="F161" s="39"/>
      <c r="G161" s="39"/>
      <c r="H161" s="40"/>
      <c r="I161" s="41">
        <f>SUM(I160+I142)</f>
        <v>685.58881999999994</v>
      </c>
      <c r="J161" s="12" t="s">
        <v>31</v>
      </c>
      <c r="K161" s="260" t="s">
        <v>32</v>
      </c>
      <c r="L161" s="261"/>
      <c r="M161" s="261"/>
      <c r="N161" s="261"/>
      <c r="O161" s="161"/>
      <c r="P161" s="161"/>
      <c r="Q161" s="40"/>
      <c r="R161" s="41">
        <f>SUM(R160+R142)</f>
        <v>1570.2260000000001</v>
      </c>
    </row>
    <row r="162" spans="1:18" x14ac:dyDescent="0.2">
      <c r="A162" s="13" t="s">
        <v>33</v>
      </c>
      <c r="B162" s="321">
        <f>E129</f>
        <v>1</v>
      </c>
      <c r="C162" s="322"/>
      <c r="D162" s="322"/>
      <c r="E162" s="322"/>
      <c r="F162" s="322"/>
      <c r="G162" s="322"/>
      <c r="H162" s="40"/>
      <c r="I162" s="41"/>
      <c r="J162" s="13" t="s">
        <v>33</v>
      </c>
      <c r="K162" s="321">
        <f>N129</f>
        <v>2</v>
      </c>
      <c r="L162" s="322"/>
      <c r="M162" s="322"/>
      <c r="N162" s="322"/>
      <c r="O162" s="322"/>
      <c r="P162" s="322"/>
      <c r="Q162" s="40"/>
      <c r="R162" s="41"/>
    </row>
    <row r="163" spans="1:18" x14ac:dyDescent="0.2">
      <c r="A163" s="13" t="s">
        <v>34</v>
      </c>
      <c r="B163" s="42" t="s">
        <v>35</v>
      </c>
      <c r="C163" s="43"/>
      <c r="D163" s="43"/>
      <c r="E163" s="39"/>
      <c r="F163" s="44"/>
      <c r="G163" s="44"/>
      <c r="H163" s="40"/>
      <c r="I163" s="41">
        <f>I161/E129</f>
        <v>685.58881999999994</v>
      </c>
      <c r="J163" s="13" t="s">
        <v>34</v>
      </c>
      <c r="K163" s="162" t="s">
        <v>35</v>
      </c>
      <c r="L163" s="43"/>
      <c r="M163" s="43"/>
      <c r="N163" s="161"/>
      <c r="O163" s="163"/>
      <c r="P163" s="163"/>
      <c r="Q163" s="40"/>
      <c r="R163" s="41">
        <f>R161/N129</f>
        <v>785.11300000000006</v>
      </c>
    </row>
    <row r="164" spans="1:18" x14ac:dyDescent="0.2">
      <c r="A164" s="12"/>
      <c r="B164" s="251" t="s">
        <v>36</v>
      </c>
      <c r="C164" s="252"/>
      <c r="D164" s="252"/>
      <c r="E164" s="253"/>
      <c r="F164" s="244" t="s">
        <v>37</v>
      </c>
      <c r="G164" s="244" t="s">
        <v>38</v>
      </c>
      <c r="H164" s="244" t="s">
        <v>39</v>
      </c>
      <c r="I164" s="246" t="s">
        <v>15</v>
      </c>
      <c r="J164" s="12"/>
      <c r="K164" s="251" t="s">
        <v>36</v>
      </c>
      <c r="L164" s="252"/>
      <c r="M164" s="252"/>
      <c r="N164" s="253"/>
      <c r="O164" s="244" t="s">
        <v>37</v>
      </c>
      <c r="P164" s="244" t="s">
        <v>38</v>
      </c>
      <c r="Q164" s="244" t="s">
        <v>39</v>
      </c>
      <c r="R164" s="246" t="s">
        <v>15</v>
      </c>
    </row>
    <row r="165" spans="1:18" x14ac:dyDescent="0.2">
      <c r="A165" s="13"/>
      <c r="B165" s="254"/>
      <c r="C165" s="255"/>
      <c r="D165" s="255"/>
      <c r="E165" s="256"/>
      <c r="F165" s="245"/>
      <c r="G165" s="245"/>
      <c r="H165" s="245"/>
      <c r="I165" s="247"/>
      <c r="J165" s="13"/>
      <c r="K165" s="254"/>
      <c r="L165" s="255"/>
      <c r="M165" s="255"/>
      <c r="N165" s="256"/>
      <c r="O165" s="245"/>
      <c r="P165" s="245"/>
      <c r="Q165" s="245"/>
      <c r="R165" s="247"/>
    </row>
    <row r="166" spans="1:18" x14ac:dyDescent="0.2">
      <c r="A166" s="13" t="s">
        <v>40</v>
      </c>
      <c r="B166" s="18" t="s">
        <v>41</v>
      </c>
      <c r="C166" s="19"/>
      <c r="D166" s="19"/>
      <c r="E166" s="20"/>
      <c r="F166" s="22"/>
      <c r="G166" s="22"/>
      <c r="H166" s="23"/>
      <c r="I166" s="23"/>
      <c r="J166" s="13" t="s">
        <v>40</v>
      </c>
      <c r="K166" s="18" t="s">
        <v>41</v>
      </c>
      <c r="L166" s="19"/>
      <c r="M166" s="19"/>
      <c r="N166" s="20"/>
      <c r="O166" s="22"/>
      <c r="P166" s="22"/>
      <c r="Q166" s="23"/>
      <c r="R166" s="23"/>
    </row>
    <row r="167" spans="1:18" x14ac:dyDescent="0.2">
      <c r="A167" s="13"/>
      <c r="B167" s="18"/>
      <c r="C167" s="19"/>
      <c r="D167" s="19"/>
      <c r="E167" s="20"/>
      <c r="F167" s="22"/>
      <c r="G167" s="22"/>
      <c r="H167" s="23"/>
      <c r="I167" s="23"/>
      <c r="J167" s="13"/>
      <c r="K167" s="18"/>
      <c r="L167" s="19"/>
      <c r="M167" s="19"/>
      <c r="N167" s="20"/>
      <c r="O167" s="22"/>
      <c r="P167" s="22"/>
      <c r="Q167" s="23"/>
      <c r="R167" s="23"/>
    </row>
    <row r="168" spans="1:18" x14ac:dyDescent="0.2">
      <c r="A168" s="13"/>
      <c r="B168" s="18" t="s">
        <v>425</v>
      </c>
      <c r="C168" s="66"/>
      <c r="D168" s="19"/>
      <c r="E168" s="20"/>
      <c r="F168" s="22" t="s">
        <v>227</v>
      </c>
      <c r="G168" s="70">
        <f>'[1]Drawing (Cost Estimate)'!D85</f>
        <v>1.08</v>
      </c>
      <c r="H168" s="107">
        <v>220</v>
      </c>
      <c r="I168" s="23">
        <f>H168*G168</f>
        <v>237.60000000000002</v>
      </c>
      <c r="J168" s="13"/>
      <c r="K168" s="18"/>
      <c r="L168" s="20"/>
      <c r="M168" s="66"/>
      <c r="N168" s="160"/>
      <c r="O168" s="22"/>
      <c r="P168" s="62"/>
      <c r="Q168" s="23"/>
      <c r="R168" s="23"/>
    </row>
    <row r="169" spans="1:18" x14ac:dyDescent="0.2">
      <c r="A169" s="13"/>
      <c r="B169" s="18" t="s">
        <v>426</v>
      </c>
      <c r="C169" s="66"/>
      <c r="D169" s="19"/>
      <c r="E169" s="20"/>
      <c r="F169" s="22" t="s">
        <v>9</v>
      </c>
      <c r="G169" s="70">
        <f>'[1]Drawing (Cost Estimate)'!D88</f>
        <v>6.0999999999999999E-2</v>
      </c>
      <c r="H169" s="107">
        <v>850</v>
      </c>
      <c r="I169" s="23">
        <f>H169*G169</f>
        <v>51.85</v>
      </c>
      <c r="J169" s="13"/>
      <c r="K169" s="18"/>
      <c r="L169" s="20"/>
      <c r="M169" s="19"/>
      <c r="N169" s="20"/>
      <c r="O169" s="22"/>
      <c r="P169" s="70"/>
      <c r="Q169" s="23"/>
      <c r="R169" s="23"/>
    </row>
    <row r="170" spans="1:18" x14ac:dyDescent="0.2">
      <c r="A170" s="13"/>
      <c r="B170" s="18" t="s">
        <v>438</v>
      </c>
      <c r="C170" s="19"/>
      <c r="D170" s="19"/>
      <c r="E170" s="20"/>
      <c r="F170" s="22" t="s">
        <v>80</v>
      </c>
      <c r="G170" s="62">
        <v>1</v>
      </c>
      <c r="H170" s="107">
        <v>2170</v>
      </c>
      <c r="I170" s="23">
        <f>H170*G170</f>
        <v>2170</v>
      </c>
      <c r="J170" s="13"/>
      <c r="K170" s="18"/>
      <c r="L170" s="20"/>
      <c r="M170" s="19"/>
      <c r="N170" s="20"/>
      <c r="O170" s="22"/>
      <c r="P170" s="70"/>
      <c r="Q170" s="23"/>
      <c r="R170" s="23"/>
    </row>
    <row r="171" spans="1:18" x14ac:dyDescent="0.2">
      <c r="A171" s="13"/>
      <c r="B171" s="18" t="s">
        <v>428</v>
      </c>
      <c r="C171" s="19"/>
      <c r="D171" s="19"/>
      <c r="E171" s="20"/>
      <c r="F171" s="22" t="s">
        <v>9</v>
      </c>
      <c r="G171" s="22">
        <f>'[1]Drawing (Cost Estimate)'!D93</f>
        <v>0.128</v>
      </c>
      <c r="H171" s="107">
        <v>850</v>
      </c>
      <c r="I171" s="23">
        <f>H171*G171</f>
        <v>108.8</v>
      </c>
      <c r="J171" s="13"/>
      <c r="K171" s="18"/>
      <c r="L171" s="19"/>
      <c r="M171" s="19"/>
      <c r="N171" s="20"/>
      <c r="O171" s="22"/>
      <c r="P171" s="22"/>
      <c r="Q171" s="38"/>
      <c r="R171" s="38"/>
    </row>
    <row r="172" spans="1:18" x14ac:dyDescent="0.2">
      <c r="A172" s="13"/>
      <c r="B172" s="18"/>
      <c r="C172" s="19"/>
      <c r="D172" s="19"/>
      <c r="E172" s="20"/>
      <c r="F172" s="22"/>
      <c r="G172" s="22"/>
      <c r="H172" s="23"/>
      <c r="I172" s="23"/>
      <c r="J172" s="13"/>
      <c r="K172" s="18"/>
      <c r="L172" s="19"/>
      <c r="M172" s="19"/>
      <c r="N172" s="20"/>
      <c r="O172" s="22"/>
      <c r="P172" s="22"/>
      <c r="Q172" s="45"/>
      <c r="R172" s="45"/>
    </row>
    <row r="173" spans="1:18" x14ac:dyDescent="0.2">
      <c r="A173" s="13"/>
      <c r="B173" s="18"/>
      <c r="C173" s="19"/>
      <c r="D173" s="19"/>
      <c r="E173" s="20"/>
      <c r="F173" s="22"/>
      <c r="G173" s="22"/>
      <c r="H173" s="23"/>
      <c r="I173" s="23"/>
      <c r="J173" s="13"/>
      <c r="K173" s="18"/>
      <c r="L173" s="19"/>
      <c r="M173" s="19"/>
      <c r="N173" s="20"/>
      <c r="O173" s="22"/>
      <c r="P173" s="22"/>
      <c r="Q173" s="45"/>
      <c r="R173" s="45"/>
    </row>
    <row r="174" spans="1:18" ht="15" customHeight="1" x14ac:dyDescent="0.2">
      <c r="A174" s="13"/>
      <c r="B174" s="18"/>
      <c r="C174" s="19"/>
      <c r="D174" s="19"/>
      <c r="E174" s="20"/>
      <c r="F174" s="22"/>
      <c r="G174" s="22"/>
      <c r="H174" s="23"/>
      <c r="I174" s="23"/>
      <c r="J174" s="13"/>
      <c r="K174" s="18"/>
      <c r="L174" s="19"/>
      <c r="M174" s="19"/>
      <c r="N174" s="20"/>
      <c r="O174" s="22"/>
      <c r="P174" s="22"/>
      <c r="Q174" s="23"/>
      <c r="R174" s="23"/>
    </row>
    <row r="175" spans="1:18" x14ac:dyDescent="0.2">
      <c r="A175" s="13"/>
      <c r="B175" s="18"/>
      <c r="C175" s="19"/>
      <c r="D175" s="19"/>
      <c r="E175" s="20"/>
      <c r="F175" s="22"/>
      <c r="G175" s="22"/>
      <c r="H175" s="23"/>
      <c r="I175" s="23"/>
      <c r="J175" s="13"/>
      <c r="K175" s="18"/>
      <c r="L175" s="19"/>
      <c r="M175" s="19"/>
      <c r="N175" s="20"/>
      <c r="O175" s="22"/>
      <c r="P175" s="22"/>
      <c r="Q175" s="23"/>
      <c r="R175" s="23"/>
    </row>
    <row r="176" spans="1:18" x14ac:dyDescent="0.2">
      <c r="A176" s="13"/>
      <c r="B176" s="18"/>
      <c r="C176" s="19"/>
      <c r="D176" s="19"/>
      <c r="E176" s="20"/>
      <c r="F176" s="22"/>
      <c r="G176" s="22"/>
      <c r="H176" s="23"/>
      <c r="I176" s="23"/>
      <c r="J176" s="13"/>
      <c r="K176" s="18"/>
      <c r="L176" s="19"/>
      <c r="M176" s="19"/>
      <c r="N176" s="20"/>
      <c r="O176" s="22"/>
      <c r="P176" s="22"/>
      <c r="Q176" s="23"/>
      <c r="R176" s="23"/>
    </row>
    <row r="177" spans="1:18" x14ac:dyDescent="0.2">
      <c r="A177" s="13"/>
      <c r="B177" s="18"/>
      <c r="C177" s="19"/>
      <c r="D177" s="19"/>
      <c r="E177" s="20"/>
      <c r="F177" s="22"/>
      <c r="G177" s="22"/>
      <c r="H177" s="23"/>
      <c r="I177" s="23"/>
      <c r="J177" s="13"/>
      <c r="K177" s="18"/>
      <c r="L177" s="19"/>
      <c r="M177" s="19"/>
      <c r="N177" s="20"/>
      <c r="O177" s="22"/>
      <c r="P177" s="22"/>
      <c r="Q177" s="23"/>
      <c r="R177" s="23"/>
    </row>
    <row r="178" spans="1:18" x14ac:dyDescent="0.2">
      <c r="A178" s="13"/>
      <c r="B178" s="18"/>
      <c r="C178" s="19"/>
      <c r="D178" s="19"/>
      <c r="E178" s="20"/>
      <c r="F178" s="22"/>
      <c r="G178" s="22"/>
      <c r="H178" s="23"/>
      <c r="I178" s="23"/>
      <c r="J178" s="13"/>
      <c r="K178" s="18"/>
      <c r="L178" s="19"/>
      <c r="M178" s="19"/>
      <c r="N178" s="20"/>
      <c r="O178" s="22"/>
      <c r="P178" s="22"/>
      <c r="Q178" s="23"/>
      <c r="R178" s="23"/>
    </row>
    <row r="179" spans="1:18" x14ac:dyDescent="0.2">
      <c r="A179" s="13"/>
      <c r="B179" s="18"/>
      <c r="C179" s="19"/>
      <c r="D179" s="19"/>
      <c r="E179" s="20"/>
      <c r="F179" s="22"/>
      <c r="G179" s="22"/>
      <c r="H179" s="23"/>
      <c r="I179" s="23"/>
      <c r="J179" s="13"/>
      <c r="K179" s="18"/>
      <c r="L179" s="19"/>
      <c r="M179" s="19"/>
      <c r="N179" s="20"/>
      <c r="O179" s="22"/>
      <c r="P179" s="22"/>
      <c r="Q179" s="23"/>
      <c r="R179" s="23"/>
    </row>
    <row r="180" spans="1:18" x14ac:dyDescent="0.2">
      <c r="A180" s="13"/>
      <c r="B180" s="18"/>
      <c r="C180" s="19"/>
      <c r="D180" s="19"/>
      <c r="E180" s="20"/>
      <c r="F180" s="22"/>
      <c r="G180" s="36"/>
      <c r="H180" s="37"/>
      <c r="I180" s="37"/>
      <c r="J180" s="13"/>
      <c r="K180" s="18"/>
      <c r="L180" s="19"/>
      <c r="M180" s="19"/>
      <c r="N180" s="20"/>
      <c r="O180" s="22"/>
      <c r="P180" s="36"/>
      <c r="Q180" s="37"/>
      <c r="R180" s="37"/>
    </row>
    <row r="181" spans="1:18" x14ac:dyDescent="0.2">
      <c r="A181" s="13"/>
      <c r="B181" s="248" t="s">
        <v>42</v>
      </c>
      <c r="C181" s="249"/>
      <c r="D181" s="249"/>
      <c r="E181" s="250"/>
      <c r="F181" s="46"/>
      <c r="G181" s="46"/>
      <c r="H181" s="47"/>
      <c r="I181" s="47">
        <f>SUM(I168:I180)</f>
        <v>2568.25</v>
      </c>
      <c r="J181" s="13"/>
      <c r="K181" s="248" t="s">
        <v>42</v>
      </c>
      <c r="L181" s="249"/>
      <c r="M181" s="249"/>
      <c r="N181" s="250"/>
      <c r="O181" s="46"/>
      <c r="P181" s="46"/>
      <c r="Q181" s="47"/>
      <c r="R181" s="47">
        <f>SUM(R168:R180)</f>
        <v>0</v>
      </c>
    </row>
    <row r="182" spans="1:18" x14ac:dyDescent="0.2">
      <c r="A182" s="12" t="s">
        <v>43</v>
      </c>
      <c r="B182" s="48" t="s">
        <v>44</v>
      </c>
      <c r="C182" s="43"/>
      <c r="D182" s="43"/>
      <c r="E182" s="39"/>
      <c r="F182" s="49"/>
      <c r="G182" s="49"/>
      <c r="H182" s="50"/>
      <c r="I182" s="51">
        <f>SUM(I163+I181)</f>
        <v>3253.8388199999999</v>
      </c>
      <c r="J182" s="12" t="s">
        <v>43</v>
      </c>
      <c r="K182" s="48" t="s">
        <v>44</v>
      </c>
      <c r="L182" s="43"/>
      <c r="M182" s="43"/>
      <c r="N182" s="161"/>
      <c r="O182" s="49"/>
      <c r="P182" s="49"/>
      <c r="Q182" s="50"/>
      <c r="R182" s="51">
        <f>SUM(R163+R181)</f>
        <v>785.11300000000006</v>
      </c>
    </row>
    <row r="183" spans="1:18" x14ac:dyDescent="0.2">
      <c r="A183" s="13" t="s">
        <v>45</v>
      </c>
      <c r="B183" s="48" t="s">
        <v>46</v>
      </c>
      <c r="C183" s="43"/>
      <c r="D183" s="43"/>
      <c r="E183" s="39"/>
      <c r="F183" s="49"/>
      <c r="G183" s="52">
        <v>0.09</v>
      </c>
      <c r="H183" s="53" t="s">
        <v>47</v>
      </c>
      <c r="I183" s="51">
        <f>G183*I182</f>
        <v>292.84549379999999</v>
      </c>
      <c r="J183" s="13" t="s">
        <v>45</v>
      </c>
      <c r="K183" s="48" t="s">
        <v>46</v>
      </c>
      <c r="L183" s="43"/>
      <c r="M183" s="43"/>
      <c r="N183" s="161"/>
      <c r="O183" s="49"/>
      <c r="P183" s="52">
        <v>0.09</v>
      </c>
      <c r="Q183" s="53" t="s">
        <v>47</v>
      </c>
      <c r="R183" s="51">
        <f>P183*R182</f>
        <v>70.660170000000008</v>
      </c>
    </row>
    <row r="184" spans="1:18" x14ac:dyDescent="0.2">
      <c r="A184" s="13" t="s">
        <v>48</v>
      </c>
      <c r="B184" s="48" t="s">
        <v>49</v>
      </c>
      <c r="C184" s="43"/>
      <c r="D184" s="43"/>
      <c r="E184" s="39"/>
      <c r="F184" s="49"/>
      <c r="G184" s="52">
        <v>0.08</v>
      </c>
      <c r="H184" s="53" t="s">
        <v>47</v>
      </c>
      <c r="I184" s="51">
        <f>G184*I182</f>
        <v>260.3071056</v>
      </c>
      <c r="J184" s="13" t="s">
        <v>48</v>
      </c>
      <c r="K184" s="48" t="s">
        <v>49</v>
      </c>
      <c r="L184" s="43"/>
      <c r="M184" s="43"/>
      <c r="N184" s="161"/>
      <c r="O184" s="49"/>
      <c r="P184" s="52">
        <v>0.08</v>
      </c>
      <c r="Q184" s="53" t="s">
        <v>47</v>
      </c>
      <c r="R184" s="51">
        <f>P184*R182</f>
        <v>62.809040000000003</v>
      </c>
    </row>
    <row r="185" spans="1:18" x14ac:dyDescent="0.2">
      <c r="A185" s="13" t="s">
        <v>50</v>
      </c>
      <c r="B185" s="48" t="s">
        <v>51</v>
      </c>
      <c r="C185" s="43"/>
      <c r="D185" s="43"/>
      <c r="E185" s="39"/>
      <c r="F185" s="49"/>
      <c r="G185" s="52">
        <v>0.05</v>
      </c>
      <c r="H185" s="53" t="s">
        <v>52</v>
      </c>
      <c r="I185" s="51">
        <f>G185*(I182+I183+I184)</f>
        <v>190.34957097</v>
      </c>
      <c r="J185" s="13" t="s">
        <v>50</v>
      </c>
      <c r="K185" s="48" t="s">
        <v>51</v>
      </c>
      <c r="L185" s="43"/>
      <c r="M185" s="43"/>
      <c r="N185" s="161"/>
      <c r="O185" s="49"/>
      <c r="P185" s="52">
        <v>0.05</v>
      </c>
      <c r="Q185" s="53" t="s">
        <v>52</v>
      </c>
      <c r="R185" s="51">
        <f>P185*(R182+R183+R184)</f>
        <v>45.929110500000007</v>
      </c>
    </row>
    <row r="186" spans="1:18" x14ac:dyDescent="0.2">
      <c r="A186" s="54" t="s">
        <v>53</v>
      </c>
      <c r="B186" s="48" t="s">
        <v>54</v>
      </c>
      <c r="C186" s="43"/>
      <c r="D186" s="43"/>
      <c r="E186" s="39"/>
      <c r="F186" s="49"/>
      <c r="G186" s="49"/>
      <c r="H186" s="55" t="s">
        <v>55</v>
      </c>
      <c r="I186" s="51">
        <f>SUM(I182+I183+I184+I185)</f>
        <v>3997.3409903699999</v>
      </c>
      <c r="J186" s="54" t="s">
        <v>53</v>
      </c>
      <c r="K186" s="48" t="s">
        <v>54</v>
      </c>
      <c r="L186" s="43"/>
      <c r="M186" s="43"/>
      <c r="N186" s="161"/>
      <c r="O186" s="49"/>
      <c r="P186" s="49"/>
      <c r="Q186" s="55" t="s">
        <v>55</v>
      </c>
      <c r="R186" s="51">
        <f>SUM(R182+R183+R184+R185)</f>
        <v>964.51132050000001</v>
      </c>
    </row>
    <row r="187" spans="1:18" s="1" customFormat="1" x14ac:dyDescent="0.2">
      <c r="A187" s="236" t="s">
        <v>0</v>
      </c>
      <c r="B187" s="236"/>
      <c r="C187" s="236"/>
      <c r="D187" s="236"/>
      <c r="E187" s="236"/>
      <c r="F187" s="236"/>
      <c r="G187" s="236"/>
      <c r="H187" s="236"/>
      <c r="I187" s="236"/>
      <c r="J187" s="236" t="s">
        <v>0</v>
      </c>
      <c r="K187" s="236"/>
      <c r="L187" s="236"/>
      <c r="M187" s="236"/>
      <c r="N187" s="236"/>
      <c r="O187" s="236"/>
      <c r="P187" s="236"/>
      <c r="Q187" s="236"/>
      <c r="R187" s="236"/>
    </row>
    <row r="189" spans="1:18" x14ac:dyDescent="0.2">
      <c r="A189" s="2" t="s">
        <v>1</v>
      </c>
      <c r="C189" s="4" t="s">
        <v>2</v>
      </c>
      <c r="D189" s="5" t="s">
        <v>439</v>
      </c>
      <c r="E189" s="237" t="s">
        <v>440</v>
      </c>
      <c r="F189" s="237"/>
      <c r="G189" s="237"/>
      <c r="H189" s="237"/>
      <c r="I189" s="8"/>
      <c r="J189" s="158" t="s">
        <v>1</v>
      </c>
      <c r="L189" s="4" t="s">
        <v>2</v>
      </c>
      <c r="M189" s="5" t="s">
        <v>441</v>
      </c>
      <c r="N189" s="158" t="s">
        <v>442</v>
      </c>
      <c r="O189" s="158"/>
      <c r="P189" s="158"/>
      <c r="Q189" s="158"/>
    </row>
    <row r="190" spans="1:18" x14ac:dyDescent="0.2">
      <c r="A190" s="2" t="s">
        <v>7</v>
      </c>
      <c r="C190" s="4" t="s">
        <v>2</v>
      </c>
      <c r="E190" s="152" t="s">
        <v>1153</v>
      </c>
      <c r="F190" s="8"/>
      <c r="G190" s="8"/>
      <c r="H190" s="8"/>
      <c r="J190" s="158" t="s">
        <v>7</v>
      </c>
      <c r="L190" s="4" t="s">
        <v>2</v>
      </c>
      <c r="N190" s="158" t="s">
        <v>1153</v>
      </c>
      <c r="O190" s="8"/>
      <c r="P190" s="8"/>
      <c r="Q190" s="8"/>
    </row>
    <row r="191" spans="1:18" x14ac:dyDescent="0.2">
      <c r="A191" s="2" t="s">
        <v>10</v>
      </c>
      <c r="C191" s="4" t="s">
        <v>2</v>
      </c>
      <c r="E191" s="9">
        <v>1</v>
      </c>
      <c r="F191" s="8"/>
      <c r="G191" s="8"/>
      <c r="H191" s="8"/>
      <c r="J191" s="158" t="s">
        <v>10</v>
      </c>
      <c r="L191" s="4" t="s">
        <v>2</v>
      </c>
      <c r="N191" s="9">
        <f>CEILING(1.169*4*2/(PI()*1.52^2),0.25)</f>
        <v>1.5</v>
      </c>
      <c r="O191" s="8"/>
      <c r="P191" s="8"/>
      <c r="Q191" s="8"/>
    </row>
    <row r="192" spans="1:18" x14ac:dyDescent="0.2">
      <c r="B192" s="8"/>
      <c r="F192" s="11"/>
      <c r="G192" s="8"/>
      <c r="H192" s="8"/>
      <c r="I192" s="8"/>
      <c r="K192" s="8"/>
      <c r="O192" s="11"/>
      <c r="P192" s="8"/>
      <c r="Q192" s="8"/>
      <c r="R192" s="8"/>
    </row>
    <row r="193" spans="1:18" x14ac:dyDescent="0.2">
      <c r="A193" s="12"/>
      <c r="B193" s="238" t="s">
        <v>11</v>
      </c>
      <c r="C193" s="239"/>
      <c r="D193" s="239"/>
      <c r="E193" s="240"/>
      <c r="F193" s="244" t="s">
        <v>12</v>
      </c>
      <c r="G193" s="244" t="s">
        <v>13</v>
      </c>
      <c r="H193" s="244" t="s">
        <v>14</v>
      </c>
      <c r="I193" s="246" t="s">
        <v>15</v>
      </c>
      <c r="J193" s="12"/>
      <c r="K193" s="238" t="s">
        <v>11</v>
      </c>
      <c r="L193" s="239"/>
      <c r="M193" s="239"/>
      <c r="N193" s="240"/>
      <c r="O193" s="244" t="s">
        <v>12</v>
      </c>
      <c r="P193" s="244" t="s">
        <v>13</v>
      </c>
      <c r="Q193" s="244" t="s">
        <v>14</v>
      </c>
      <c r="R193" s="246" t="s">
        <v>15</v>
      </c>
    </row>
    <row r="194" spans="1:18" x14ac:dyDescent="0.2">
      <c r="A194" s="13"/>
      <c r="B194" s="241"/>
      <c r="C194" s="242"/>
      <c r="D194" s="242"/>
      <c r="E194" s="243"/>
      <c r="F194" s="245"/>
      <c r="G194" s="245"/>
      <c r="H194" s="245"/>
      <c r="I194" s="247"/>
      <c r="J194" s="13"/>
      <c r="K194" s="241"/>
      <c r="L194" s="242"/>
      <c r="M194" s="242"/>
      <c r="N194" s="243"/>
      <c r="O194" s="245"/>
      <c r="P194" s="245"/>
      <c r="Q194" s="245"/>
      <c r="R194" s="247"/>
    </row>
    <row r="195" spans="1:18" x14ac:dyDescent="0.2">
      <c r="A195" s="13" t="s">
        <v>16</v>
      </c>
      <c r="B195" s="14" t="s">
        <v>17</v>
      </c>
      <c r="C195" s="15"/>
      <c r="D195" s="15"/>
      <c r="E195" s="16"/>
      <c r="F195" s="17"/>
      <c r="G195" s="17"/>
      <c r="H195" s="17"/>
      <c r="I195" s="17"/>
      <c r="J195" s="13" t="s">
        <v>16</v>
      </c>
      <c r="K195" s="14" t="s">
        <v>17</v>
      </c>
      <c r="L195" s="15"/>
      <c r="M195" s="15"/>
      <c r="N195" s="16"/>
      <c r="O195" s="17"/>
      <c r="P195" s="17"/>
      <c r="Q195" s="17"/>
      <c r="R195" s="17"/>
    </row>
    <row r="196" spans="1:18" x14ac:dyDescent="0.2">
      <c r="A196" s="13"/>
      <c r="B196" s="18"/>
      <c r="C196" s="19"/>
      <c r="D196" s="19"/>
      <c r="E196" s="20"/>
      <c r="F196" s="21"/>
      <c r="G196" s="22"/>
      <c r="H196" s="21"/>
      <c r="I196" s="21"/>
      <c r="J196" s="13"/>
      <c r="K196" s="18"/>
      <c r="L196" s="19"/>
      <c r="M196" s="19"/>
      <c r="N196" s="20"/>
      <c r="O196" s="21"/>
      <c r="P196" s="22"/>
      <c r="Q196" s="21"/>
      <c r="R196" s="21"/>
    </row>
    <row r="197" spans="1:18" x14ac:dyDescent="0.2">
      <c r="A197" s="13"/>
      <c r="B197" s="24" t="s">
        <v>18</v>
      </c>
      <c r="C197" s="25"/>
      <c r="D197" s="25"/>
      <c r="E197" s="26"/>
      <c r="F197" s="22">
        <v>1</v>
      </c>
      <c r="G197" s="23">
        <v>0.67</v>
      </c>
      <c r="H197" s="23">
        <v>69.42</v>
      </c>
      <c r="I197" s="23">
        <f>G197*H197*F197</f>
        <v>46.511400000000002</v>
      </c>
      <c r="J197" s="13"/>
      <c r="K197" s="24" t="s">
        <v>18</v>
      </c>
      <c r="L197" s="25"/>
      <c r="M197" s="25"/>
      <c r="N197" s="26"/>
      <c r="O197" s="22">
        <v>1</v>
      </c>
      <c r="P197" s="23">
        <v>1</v>
      </c>
      <c r="Q197" s="23">
        <v>69.42</v>
      </c>
      <c r="R197" s="23">
        <f>P197*Q197*O197</f>
        <v>69.42</v>
      </c>
    </row>
    <row r="198" spans="1:18" x14ac:dyDescent="0.2">
      <c r="A198" s="13"/>
      <c r="B198" s="257" t="s">
        <v>1178</v>
      </c>
      <c r="C198" s="258"/>
      <c r="D198" s="25"/>
      <c r="E198" s="26"/>
      <c r="F198" s="22">
        <v>2</v>
      </c>
      <c r="G198" s="23">
        <v>0.67</v>
      </c>
      <c r="H198" s="23">
        <v>50.18</v>
      </c>
      <c r="I198" s="23">
        <f>G198*H198*F198</f>
        <v>67.241200000000006</v>
      </c>
      <c r="J198" s="13"/>
      <c r="K198" s="257" t="s">
        <v>1178</v>
      </c>
      <c r="L198" s="258"/>
      <c r="M198" s="25"/>
      <c r="N198" s="26"/>
      <c r="O198" s="22">
        <v>2</v>
      </c>
      <c r="P198" s="23">
        <v>1</v>
      </c>
      <c r="Q198" s="23">
        <v>50.18</v>
      </c>
      <c r="R198" s="23">
        <f>P198*Q198*O198</f>
        <v>100.36</v>
      </c>
    </row>
    <row r="199" spans="1:18" x14ac:dyDescent="0.2">
      <c r="A199" s="13"/>
      <c r="B199" s="257" t="s">
        <v>1177</v>
      </c>
      <c r="C199" s="258"/>
      <c r="D199" s="19"/>
      <c r="E199" s="20"/>
      <c r="F199" s="22">
        <v>4</v>
      </c>
      <c r="G199" s="23">
        <v>0.67</v>
      </c>
      <c r="H199" s="23">
        <v>38.97</v>
      </c>
      <c r="I199" s="23">
        <f>G199*H199*F199</f>
        <v>104.4396</v>
      </c>
      <c r="J199" s="13"/>
      <c r="K199" s="257" t="s">
        <v>1177</v>
      </c>
      <c r="L199" s="258"/>
      <c r="M199" s="19"/>
      <c r="N199" s="20"/>
      <c r="O199" s="22">
        <v>4</v>
      </c>
      <c r="P199" s="23">
        <v>1</v>
      </c>
      <c r="Q199" s="23">
        <v>38.97</v>
      </c>
      <c r="R199" s="23">
        <f>P199*Q199*O199</f>
        <v>155.88</v>
      </c>
    </row>
    <row r="200" spans="1:18" ht="15" customHeight="1" x14ac:dyDescent="0.2">
      <c r="A200" s="13"/>
      <c r="B200" s="27"/>
      <c r="C200" s="63"/>
      <c r="D200" s="19"/>
      <c r="E200" s="20"/>
      <c r="F200" s="22"/>
      <c r="G200" s="22"/>
      <c r="H200" s="29"/>
      <c r="I200" s="30"/>
      <c r="J200" s="13"/>
      <c r="K200" s="159"/>
      <c r="L200" s="19"/>
      <c r="M200" s="19"/>
      <c r="N200" s="20"/>
      <c r="O200" s="22"/>
      <c r="P200" s="22"/>
      <c r="Q200" s="29"/>
      <c r="R200" s="30"/>
    </row>
    <row r="201" spans="1:18" x14ac:dyDescent="0.2">
      <c r="A201" s="13"/>
      <c r="B201" s="27"/>
      <c r="C201" s="63"/>
      <c r="D201" s="19"/>
      <c r="E201" s="20"/>
      <c r="F201" s="22"/>
      <c r="G201" s="22"/>
      <c r="H201" s="29"/>
      <c r="I201" s="30"/>
      <c r="J201" s="13"/>
      <c r="K201" s="159"/>
      <c r="L201" s="19"/>
      <c r="M201" s="19"/>
      <c r="N201" s="20"/>
      <c r="O201" s="22"/>
      <c r="P201" s="22"/>
      <c r="Q201" s="29"/>
      <c r="R201" s="30"/>
    </row>
    <row r="202" spans="1:18" x14ac:dyDescent="0.2">
      <c r="A202" s="13"/>
      <c r="B202" s="24"/>
      <c r="C202" s="25"/>
      <c r="D202" s="19"/>
      <c r="E202" s="20"/>
      <c r="F202" s="22"/>
      <c r="G202" s="22"/>
      <c r="H202" s="23"/>
      <c r="I202" s="23"/>
      <c r="J202" s="13"/>
      <c r="K202" s="18"/>
      <c r="L202" s="19"/>
      <c r="M202" s="19"/>
      <c r="N202" s="20"/>
      <c r="O202" s="22"/>
      <c r="P202" s="22"/>
      <c r="Q202" s="28"/>
      <c r="R202" s="23"/>
    </row>
    <row r="203" spans="1:18" x14ac:dyDescent="0.2">
      <c r="A203" s="13"/>
      <c r="B203" s="24"/>
      <c r="C203" s="25"/>
      <c r="D203" s="19"/>
      <c r="E203" s="20"/>
      <c r="F203" s="22"/>
      <c r="G203" s="22"/>
      <c r="H203" s="23"/>
      <c r="I203" s="23"/>
      <c r="J203" s="13"/>
      <c r="K203" s="18"/>
      <c r="L203" s="19"/>
      <c r="M203" s="19"/>
      <c r="N203" s="20"/>
      <c r="O203" s="22"/>
      <c r="P203" s="22"/>
      <c r="Q203" s="23"/>
      <c r="R203" s="23"/>
    </row>
    <row r="204" spans="1:18" x14ac:dyDescent="0.2">
      <c r="A204" s="13"/>
      <c r="B204" s="248" t="s">
        <v>20</v>
      </c>
      <c r="C204" s="249"/>
      <c r="D204" s="249"/>
      <c r="E204" s="250"/>
      <c r="F204" s="31"/>
      <c r="G204" s="31"/>
      <c r="H204" s="32"/>
      <c r="I204" s="32">
        <f>SUM(I197:I203)</f>
        <v>218.19220000000001</v>
      </c>
      <c r="J204" s="13"/>
      <c r="K204" s="248" t="s">
        <v>20</v>
      </c>
      <c r="L204" s="249"/>
      <c r="M204" s="249"/>
      <c r="N204" s="250"/>
      <c r="O204" s="31"/>
      <c r="P204" s="31"/>
      <c r="Q204" s="32"/>
      <c r="R204" s="32">
        <f>SUM(R197:R203)</f>
        <v>325.65999999999997</v>
      </c>
    </row>
    <row r="205" spans="1:18" x14ac:dyDescent="0.2">
      <c r="A205" s="12"/>
      <c r="B205" s="251" t="s">
        <v>21</v>
      </c>
      <c r="C205" s="252"/>
      <c r="D205" s="252"/>
      <c r="E205" s="253"/>
      <c r="F205" s="244" t="s">
        <v>22</v>
      </c>
      <c r="G205" s="244" t="s">
        <v>13</v>
      </c>
      <c r="H205" s="244" t="s">
        <v>14</v>
      </c>
      <c r="I205" s="246" t="s">
        <v>15</v>
      </c>
      <c r="J205" s="12"/>
      <c r="K205" s="251" t="s">
        <v>21</v>
      </c>
      <c r="L205" s="252"/>
      <c r="M205" s="252"/>
      <c r="N205" s="253"/>
      <c r="O205" s="244" t="s">
        <v>22</v>
      </c>
      <c r="P205" s="244" t="s">
        <v>13</v>
      </c>
      <c r="Q205" s="244" t="s">
        <v>14</v>
      </c>
      <c r="R205" s="246" t="s">
        <v>15</v>
      </c>
    </row>
    <row r="206" spans="1:18" x14ac:dyDescent="0.2">
      <c r="A206" s="13"/>
      <c r="B206" s="254"/>
      <c r="C206" s="255"/>
      <c r="D206" s="255"/>
      <c r="E206" s="256"/>
      <c r="F206" s="245"/>
      <c r="G206" s="245"/>
      <c r="H206" s="245"/>
      <c r="I206" s="247"/>
      <c r="J206" s="13"/>
      <c r="K206" s="254"/>
      <c r="L206" s="255"/>
      <c r="M206" s="255"/>
      <c r="N206" s="256"/>
      <c r="O206" s="245"/>
      <c r="P206" s="245"/>
      <c r="Q206" s="245"/>
      <c r="R206" s="247"/>
    </row>
    <row r="207" spans="1:18" x14ac:dyDescent="0.2">
      <c r="A207" s="13" t="s">
        <v>23</v>
      </c>
      <c r="B207" s="33" t="s">
        <v>24</v>
      </c>
      <c r="C207" s="15"/>
      <c r="D207" s="15"/>
      <c r="E207" s="16"/>
      <c r="F207" s="34"/>
      <c r="G207" s="34"/>
      <c r="H207" s="35"/>
      <c r="I207" s="35"/>
      <c r="J207" s="13" t="s">
        <v>23</v>
      </c>
      <c r="K207" s="33" t="s">
        <v>24</v>
      </c>
      <c r="L207" s="15"/>
      <c r="M207" s="15"/>
      <c r="N207" s="16"/>
      <c r="O207" s="34"/>
      <c r="P207" s="34"/>
      <c r="Q207" s="35"/>
      <c r="R207" s="35"/>
    </row>
    <row r="208" spans="1:18" x14ac:dyDescent="0.2">
      <c r="A208" s="13"/>
      <c r="B208" s="18"/>
      <c r="C208" s="19"/>
      <c r="D208" s="19"/>
      <c r="E208" s="20"/>
      <c r="F208" s="22"/>
      <c r="G208" s="22"/>
      <c r="H208" s="23"/>
      <c r="I208" s="23"/>
      <c r="J208" s="13"/>
      <c r="K208" s="18"/>
      <c r="L208" s="19"/>
      <c r="M208" s="19"/>
      <c r="N208" s="20"/>
      <c r="O208" s="22"/>
      <c r="P208" s="22"/>
      <c r="Q208" s="23"/>
      <c r="R208" s="23"/>
    </row>
    <row r="209" spans="1:18" ht="17.25" customHeight="1" x14ac:dyDescent="0.2">
      <c r="A209" s="13"/>
      <c r="B209" s="18" t="s">
        <v>62</v>
      </c>
      <c r="C209" s="66"/>
      <c r="D209" s="19"/>
      <c r="E209" s="20"/>
      <c r="F209" s="22">
        <v>1</v>
      </c>
      <c r="G209" s="23">
        <v>0.33</v>
      </c>
      <c r="H209" s="37">
        <v>1537</v>
      </c>
      <c r="I209" s="37">
        <f>G209*H209*F209</f>
        <v>507.21000000000004</v>
      </c>
      <c r="J209" s="13"/>
      <c r="K209" s="18" t="s">
        <v>1228</v>
      </c>
      <c r="L209" s="66"/>
      <c r="M209" s="19"/>
      <c r="N209" s="20"/>
      <c r="O209" s="22">
        <v>1</v>
      </c>
      <c r="P209" s="23">
        <v>1</v>
      </c>
      <c r="Q209" s="37">
        <v>1212</v>
      </c>
      <c r="R209" s="37">
        <f>O209*P209*Q209</f>
        <v>1212</v>
      </c>
    </row>
    <row r="210" spans="1:18" ht="17.25" customHeight="1" x14ac:dyDescent="0.2">
      <c r="A210" s="13"/>
      <c r="B210" s="18" t="s">
        <v>424</v>
      </c>
      <c r="C210" s="66"/>
      <c r="D210" s="19"/>
      <c r="E210" s="20"/>
      <c r="F210" s="22">
        <v>1</v>
      </c>
      <c r="G210" s="23">
        <v>0.33</v>
      </c>
      <c r="H210" s="37">
        <v>123</v>
      </c>
      <c r="I210" s="37">
        <f>G210*H210*F210</f>
        <v>40.590000000000003</v>
      </c>
      <c r="J210" s="13"/>
      <c r="K210" s="18" t="s">
        <v>92</v>
      </c>
      <c r="L210" s="19"/>
      <c r="M210" s="19"/>
      <c r="N210" s="20"/>
      <c r="O210" s="22"/>
      <c r="P210" s="23"/>
      <c r="R210" s="37">
        <f>R204*0.1</f>
        <v>32.565999999999995</v>
      </c>
    </row>
    <row r="211" spans="1:18" x14ac:dyDescent="0.2">
      <c r="A211" s="13"/>
      <c r="B211" s="18" t="s">
        <v>1194</v>
      </c>
      <c r="C211" s="66"/>
      <c r="D211" s="19"/>
      <c r="E211" s="20"/>
      <c r="F211" s="22"/>
      <c r="G211" s="71"/>
      <c r="I211" s="37">
        <f>0.1*I204</f>
        <v>21.819220000000001</v>
      </c>
      <c r="J211" s="13"/>
      <c r="K211" s="18"/>
      <c r="L211" s="66"/>
      <c r="M211" s="19"/>
      <c r="N211" s="20"/>
      <c r="O211" s="22"/>
      <c r="P211" s="23"/>
      <c r="Q211" s="37"/>
      <c r="R211" s="37"/>
    </row>
    <row r="212" spans="1:18" x14ac:dyDescent="0.2">
      <c r="A212" s="13"/>
      <c r="B212" s="18"/>
      <c r="C212" s="66"/>
      <c r="F212" s="22"/>
      <c r="G212" s="23"/>
      <c r="H212" s="37"/>
      <c r="I212" s="37"/>
      <c r="J212" s="13"/>
      <c r="K212" s="18"/>
      <c r="L212" s="66"/>
      <c r="M212" s="19"/>
      <c r="N212" s="20"/>
      <c r="O212" s="22"/>
      <c r="P212" s="71"/>
      <c r="Q212" s="37"/>
      <c r="R212" s="37"/>
    </row>
    <row r="213" spans="1:18" x14ac:dyDescent="0.2">
      <c r="A213" s="13"/>
      <c r="B213" s="18"/>
      <c r="C213" s="19"/>
      <c r="D213" s="19"/>
      <c r="E213" s="20"/>
      <c r="F213" s="22"/>
      <c r="G213" s="36"/>
      <c r="H213" s="37"/>
      <c r="I213" s="37"/>
      <c r="J213" s="13"/>
      <c r="K213" s="18"/>
      <c r="L213" s="66"/>
      <c r="M213" s="19"/>
      <c r="N213" s="20"/>
      <c r="O213" s="22"/>
      <c r="P213" s="71"/>
      <c r="Q213" s="37"/>
      <c r="R213" s="37"/>
    </row>
    <row r="214" spans="1:18" x14ac:dyDescent="0.2">
      <c r="A214" s="13"/>
      <c r="B214" s="18"/>
      <c r="C214" s="19"/>
      <c r="D214" s="19"/>
      <c r="E214" s="20"/>
      <c r="F214" s="22"/>
      <c r="G214" s="36"/>
      <c r="H214" s="37"/>
      <c r="I214" s="37"/>
      <c r="J214" s="13"/>
      <c r="K214" s="18"/>
      <c r="L214" s="66"/>
      <c r="M214" s="19"/>
      <c r="N214" s="20"/>
      <c r="O214" s="22"/>
      <c r="P214" s="71"/>
      <c r="Q214" s="37"/>
      <c r="R214" s="37"/>
    </row>
    <row r="215" spans="1:18" x14ac:dyDescent="0.2">
      <c r="A215" s="13"/>
      <c r="B215" s="18"/>
      <c r="C215" s="19"/>
      <c r="D215" s="19"/>
      <c r="E215" s="20"/>
      <c r="F215" s="22"/>
      <c r="G215" s="36"/>
      <c r="H215" s="37"/>
      <c r="I215" s="37"/>
      <c r="J215" s="13"/>
      <c r="K215" s="18"/>
      <c r="L215" s="19"/>
      <c r="M215" s="19"/>
      <c r="N215" s="20"/>
      <c r="O215" s="22"/>
      <c r="P215" s="36"/>
      <c r="Q215" s="38"/>
      <c r="R215" s="38"/>
    </row>
    <row r="216" spans="1:18" x14ac:dyDescent="0.2">
      <c r="A216" s="13"/>
      <c r="B216" s="18"/>
      <c r="C216" s="19"/>
      <c r="D216" s="19"/>
      <c r="E216" s="20"/>
      <c r="F216" s="22"/>
      <c r="G216" s="23"/>
      <c r="H216" s="37"/>
      <c r="I216" s="37"/>
      <c r="J216" s="13"/>
      <c r="K216" s="18"/>
      <c r="L216" s="19"/>
      <c r="M216" s="19"/>
      <c r="N216" s="20"/>
      <c r="O216" s="22"/>
      <c r="P216" s="36"/>
      <c r="Q216" s="38"/>
      <c r="R216" s="38"/>
    </row>
    <row r="217" spans="1:18" x14ac:dyDescent="0.2">
      <c r="A217" s="13"/>
      <c r="B217" s="18"/>
      <c r="C217" s="19"/>
      <c r="D217" s="19"/>
      <c r="E217" s="20"/>
      <c r="F217" s="22"/>
      <c r="G217" s="23"/>
      <c r="H217" s="37"/>
      <c r="I217" s="37"/>
      <c r="J217" s="13"/>
      <c r="K217" s="18"/>
      <c r="L217" s="19"/>
      <c r="M217" s="19"/>
      <c r="N217" s="20"/>
      <c r="O217" s="22"/>
      <c r="P217" s="36"/>
      <c r="Q217" s="38"/>
      <c r="R217" s="38"/>
    </row>
    <row r="218" spans="1:18" x14ac:dyDescent="0.2">
      <c r="A218" s="13"/>
      <c r="B218" s="7"/>
      <c r="C218" s="7"/>
      <c r="D218" s="7"/>
      <c r="E218" s="7"/>
      <c r="F218" s="72"/>
      <c r="G218" s="72"/>
      <c r="H218" s="72"/>
      <c r="I218" s="72"/>
      <c r="J218" s="13"/>
      <c r="K218" s="18"/>
      <c r="L218" s="19"/>
      <c r="M218" s="19"/>
      <c r="N218" s="20"/>
      <c r="O218" s="22"/>
      <c r="P218" s="36"/>
      <c r="Q218" s="37"/>
      <c r="R218" s="37"/>
    </row>
    <row r="219" spans="1:18" x14ac:dyDescent="0.2">
      <c r="A219" s="13"/>
      <c r="B219" s="18"/>
      <c r="C219" s="19"/>
      <c r="D219" s="19"/>
      <c r="E219" s="20"/>
      <c r="F219" s="22"/>
      <c r="G219" s="36"/>
      <c r="H219" s="37"/>
      <c r="I219" s="37"/>
      <c r="J219" s="13"/>
      <c r="K219" s="18"/>
      <c r="L219" s="19"/>
      <c r="M219" s="19"/>
      <c r="N219" s="20"/>
      <c r="O219" s="22"/>
      <c r="P219" s="36"/>
      <c r="Q219" s="37"/>
      <c r="R219" s="37"/>
    </row>
    <row r="220" spans="1:18" ht="15" customHeight="1" x14ac:dyDescent="0.2">
      <c r="A220" s="13"/>
      <c r="B220" s="18"/>
      <c r="C220" s="19"/>
      <c r="D220" s="19"/>
      <c r="E220" s="20"/>
      <c r="F220" s="22"/>
      <c r="G220" s="36"/>
      <c r="H220" s="37"/>
      <c r="I220" s="37"/>
      <c r="J220" s="13"/>
      <c r="K220" s="18"/>
      <c r="L220" s="19"/>
      <c r="M220" s="19"/>
      <c r="N220" s="20"/>
      <c r="O220" s="22"/>
      <c r="P220" s="36"/>
      <c r="Q220" s="37"/>
      <c r="R220" s="37"/>
    </row>
    <row r="221" spans="1:18" x14ac:dyDescent="0.2">
      <c r="A221" s="13"/>
      <c r="B221" s="18"/>
      <c r="C221" s="19"/>
      <c r="D221" s="19"/>
      <c r="E221" s="20"/>
      <c r="F221" s="22"/>
      <c r="G221" s="22"/>
      <c r="H221" s="23"/>
      <c r="I221" s="23"/>
      <c r="J221" s="13"/>
      <c r="K221" s="18"/>
      <c r="L221" s="19"/>
      <c r="M221" s="19"/>
      <c r="N221" s="20"/>
      <c r="O221" s="22"/>
      <c r="P221" s="22"/>
      <c r="Q221" s="23"/>
      <c r="R221" s="23"/>
    </row>
    <row r="222" spans="1:18" x14ac:dyDescent="0.2">
      <c r="A222" s="13"/>
      <c r="B222" s="248" t="s">
        <v>30</v>
      </c>
      <c r="C222" s="249"/>
      <c r="D222" s="249"/>
      <c r="E222" s="250"/>
      <c r="F222" s="22"/>
      <c r="G222" s="22"/>
      <c r="H222" s="23"/>
      <c r="I222" s="23">
        <f>SUM(I209:I221)</f>
        <v>569.61922000000004</v>
      </c>
      <c r="J222" s="13"/>
      <c r="K222" s="248" t="s">
        <v>30</v>
      </c>
      <c r="L222" s="249"/>
      <c r="M222" s="249"/>
      <c r="N222" s="250"/>
      <c r="O222" s="22"/>
      <c r="P222" s="22"/>
      <c r="Q222" s="23"/>
      <c r="R222" s="23">
        <f>SUM(R209:R221)</f>
        <v>1244.566</v>
      </c>
    </row>
    <row r="223" spans="1:18" x14ac:dyDescent="0.2">
      <c r="A223" s="12" t="s">
        <v>31</v>
      </c>
      <c r="B223" s="260" t="s">
        <v>32</v>
      </c>
      <c r="C223" s="261"/>
      <c r="D223" s="261"/>
      <c r="E223" s="261"/>
      <c r="F223" s="39"/>
      <c r="G223" s="39"/>
      <c r="H223" s="40"/>
      <c r="I223" s="41">
        <f>SUM(I222+I204)</f>
        <v>787.81142</v>
      </c>
      <c r="J223" s="12" t="s">
        <v>31</v>
      </c>
      <c r="K223" s="260" t="s">
        <v>32</v>
      </c>
      <c r="L223" s="261"/>
      <c r="M223" s="261"/>
      <c r="N223" s="261"/>
      <c r="O223" s="161"/>
      <c r="P223" s="161"/>
      <c r="Q223" s="40"/>
      <c r="R223" s="41">
        <f>SUM(R222+R204)</f>
        <v>1570.2260000000001</v>
      </c>
    </row>
    <row r="224" spans="1:18" x14ac:dyDescent="0.2">
      <c r="A224" s="13" t="s">
        <v>33</v>
      </c>
      <c r="B224" s="321">
        <f>E191</f>
        <v>1</v>
      </c>
      <c r="C224" s="322"/>
      <c r="D224" s="322"/>
      <c r="E224" s="322"/>
      <c r="F224" s="322"/>
      <c r="G224" s="322"/>
      <c r="H224" s="40"/>
      <c r="I224" s="41"/>
      <c r="J224" s="13" t="s">
        <v>33</v>
      </c>
      <c r="K224" s="321">
        <f>N191</f>
        <v>1.5</v>
      </c>
      <c r="L224" s="322"/>
      <c r="M224" s="322"/>
      <c r="N224" s="322"/>
      <c r="O224" s="322"/>
      <c r="P224" s="322"/>
      <c r="Q224" s="40"/>
      <c r="R224" s="41"/>
    </row>
    <row r="225" spans="1:18" x14ac:dyDescent="0.2">
      <c r="A225" s="13" t="s">
        <v>34</v>
      </c>
      <c r="B225" s="42" t="s">
        <v>35</v>
      </c>
      <c r="C225" s="43"/>
      <c r="D225" s="43"/>
      <c r="E225" s="39"/>
      <c r="F225" s="44"/>
      <c r="G225" s="44"/>
      <c r="H225" s="40"/>
      <c r="I225" s="41">
        <f>I223/E191</f>
        <v>787.81142</v>
      </c>
      <c r="J225" s="13" t="s">
        <v>34</v>
      </c>
      <c r="K225" s="162" t="s">
        <v>35</v>
      </c>
      <c r="L225" s="43"/>
      <c r="M225" s="43"/>
      <c r="N225" s="161"/>
      <c r="O225" s="163"/>
      <c r="P225" s="163"/>
      <c r="Q225" s="40"/>
      <c r="R225" s="41">
        <f>R223/N191</f>
        <v>1046.8173333333334</v>
      </c>
    </row>
    <row r="226" spans="1:18" x14ac:dyDescent="0.2">
      <c r="A226" s="12"/>
      <c r="B226" s="251" t="s">
        <v>36</v>
      </c>
      <c r="C226" s="252"/>
      <c r="D226" s="252"/>
      <c r="E226" s="253"/>
      <c r="F226" s="244" t="s">
        <v>37</v>
      </c>
      <c r="G226" s="244" t="s">
        <v>38</v>
      </c>
      <c r="H226" s="244" t="s">
        <v>39</v>
      </c>
      <c r="I226" s="246" t="s">
        <v>15</v>
      </c>
      <c r="J226" s="12"/>
      <c r="K226" s="251" t="s">
        <v>36</v>
      </c>
      <c r="L226" s="252"/>
      <c r="M226" s="252"/>
      <c r="N226" s="253"/>
      <c r="O226" s="244" t="s">
        <v>37</v>
      </c>
      <c r="P226" s="244" t="s">
        <v>38</v>
      </c>
      <c r="Q226" s="244" t="s">
        <v>39</v>
      </c>
      <c r="R226" s="246" t="s">
        <v>15</v>
      </c>
    </row>
    <row r="227" spans="1:18" x14ac:dyDescent="0.2">
      <c r="A227" s="13"/>
      <c r="B227" s="254"/>
      <c r="C227" s="255"/>
      <c r="D227" s="255"/>
      <c r="E227" s="256"/>
      <c r="F227" s="245"/>
      <c r="G227" s="245"/>
      <c r="H227" s="245"/>
      <c r="I227" s="247"/>
      <c r="J227" s="13"/>
      <c r="K227" s="254"/>
      <c r="L227" s="255"/>
      <c r="M227" s="255"/>
      <c r="N227" s="256"/>
      <c r="O227" s="245"/>
      <c r="P227" s="245"/>
      <c r="Q227" s="245"/>
      <c r="R227" s="247"/>
    </row>
    <row r="228" spans="1:18" x14ac:dyDescent="0.2">
      <c r="A228" s="13" t="s">
        <v>40</v>
      </c>
      <c r="B228" s="18" t="s">
        <v>41</v>
      </c>
      <c r="C228" s="19"/>
      <c r="D228" s="19"/>
      <c r="E228" s="20"/>
      <c r="F228" s="22"/>
      <c r="G228" s="22"/>
      <c r="H228" s="23"/>
      <c r="I228" s="23"/>
      <c r="J228" s="13" t="s">
        <v>40</v>
      </c>
      <c r="K228" s="18" t="s">
        <v>41</v>
      </c>
      <c r="L228" s="19"/>
      <c r="M228" s="19"/>
      <c r="N228" s="20"/>
      <c r="O228" s="22"/>
      <c r="P228" s="22"/>
      <c r="Q228" s="23"/>
      <c r="R228" s="23"/>
    </row>
    <row r="229" spans="1:18" x14ac:dyDescent="0.2">
      <c r="A229" s="13"/>
      <c r="B229" s="18"/>
      <c r="C229" s="19"/>
      <c r="D229" s="19"/>
      <c r="E229" s="20"/>
      <c r="F229" s="22"/>
      <c r="G229" s="22"/>
      <c r="H229" s="23"/>
      <c r="I229" s="23"/>
      <c r="J229" s="13"/>
      <c r="K229" s="18"/>
      <c r="L229" s="19"/>
      <c r="M229" s="19"/>
      <c r="N229" s="20"/>
      <c r="O229" s="22"/>
      <c r="P229" s="22"/>
      <c r="Q229" s="23"/>
      <c r="R229" s="23"/>
    </row>
    <row r="230" spans="1:18" x14ac:dyDescent="0.2">
      <c r="A230" s="13"/>
      <c r="B230" s="18" t="s">
        <v>425</v>
      </c>
      <c r="C230" s="66"/>
      <c r="D230" s="19"/>
      <c r="E230" s="20"/>
      <c r="F230" s="22" t="s">
        <v>227</v>
      </c>
      <c r="G230" s="70">
        <f>'[1]Drawing (Cost Estimate)'!D106</f>
        <v>1.242</v>
      </c>
      <c r="H230" s="107">
        <v>220</v>
      </c>
      <c r="I230" s="23">
        <f>H230*G230</f>
        <v>273.24</v>
      </c>
      <c r="J230" s="13"/>
      <c r="K230" s="18"/>
      <c r="L230" s="20"/>
      <c r="M230" s="66"/>
      <c r="N230" s="160"/>
      <c r="O230" s="22"/>
      <c r="P230" s="62"/>
      <c r="Q230" s="23"/>
      <c r="R230" s="23"/>
    </row>
    <row r="231" spans="1:18" x14ac:dyDescent="0.2">
      <c r="A231" s="13"/>
      <c r="B231" s="18" t="s">
        <v>426</v>
      </c>
      <c r="C231" s="66"/>
      <c r="D231" s="19"/>
      <c r="E231" s="20"/>
      <c r="F231" s="22" t="s">
        <v>9</v>
      </c>
      <c r="G231" s="70">
        <f>'[1]Drawing (Cost Estimate)'!D109</f>
        <v>7.0000000000000007E-2</v>
      </c>
      <c r="H231" s="107">
        <v>850</v>
      </c>
      <c r="I231" s="23">
        <f>H231*G231</f>
        <v>59.500000000000007</v>
      </c>
      <c r="J231" s="13"/>
      <c r="K231" s="18"/>
      <c r="L231" s="20"/>
      <c r="M231" s="19"/>
      <c r="N231" s="20"/>
      <c r="O231" s="22"/>
      <c r="P231" s="70"/>
      <c r="Q231" s="23"/>
      <c r="R231" s="23"/>
    </row>
    <row r="232" spans="1:18" x14ac:dyDescent="0.2">
      <c r="A232" s="13"/>
      <c r="B232" s="18" t="s">
        <v>443</v>
      </c>
      <c r="C232" s="19"/>
      <c r="D232" s="19"/>
      <c r="E232" s="20"/>
      <c r="F232" s="22" t="s">
        <v>80</v>
      </c>
      <c r="G232" s="62">
        <v>1</v>
      </c>
      <c r="H232" s="107">
        <v>2900</v>
      </c>
      <c r="I232" s="23">
        <f>H232*G232</f>
        <v>2900</v>
      </c>
      <c r="J232" s="13"/>
      <c r="K232" s="18"/>
      <c r="L232" s="20"/>
      <c r="M232" s="19"/>
      <c r="N232" s="20"/>
      <c r="O232" s="22"/>
      <c r="P232" s="70"/>
      <c r="Q232" s="23"/>
      <c r="R232" s="23"/>
    </row>
    <row r="233" spans="1:18" x14ac:dyDescent="0.2">
      <c r="A233" s="13"/>
      <c r="B233" s="18" t="s">
        <v>428</v>
      </c>
      <c r="C233" s="19"/>
      <c r="D233" s="19"/>
      <c r="E233" s="20"/>
      <c r="F233" s="22" t="s">
        <v>9</v>
      </c>
      <c r="G233" s="22">
        <f>'[1]Drawing (Cost Estimate)'!D114</f>
        <v>0.14899999999999999</v>
      </c>
      <c r="H233" s="107">
        <v>850</v>
      </c>
      <c r="I233" s="23">
        <f>H233*G233</f>
        <v>126.64999999999999</v>
      </c>
      <c r="J233" s="13"/>
      <c r="K233" s="18"/>
      <c r="L233" s="19"/>
      <c r="M233" s="19"/>
      <c r="N233" s="20"/>
      <c r="O233" s="22"/>
      <c r="P233" s="22"/>
      <c r="Q233" s="38"/>
      <c r="R233" s="38"/>
    </row>
    <row r="234" spans="1:18" x14ac:dyDescent="0.2">
      <c r="A234" s="13"/>
      <c r="B234" s="18"/>
      <c r="C234" s="19"/>
      <c r="D234" s="19"/>
      <c r="E234" s="20"/>
      <c r="F234" s="22"/>
      <c r="G234" s="22"/>
      <c r="H234" s="23"/>
      <c r="I234" s="23"/>
      <c r="J234" s="13"/>
      <c r="K234" s="18"/>
      <c r="L234" s="19"/>
      <c r="M234" s="19"/>
      <c r="N234" s="20"/>
      <c r="O234" s="22"/>
      <c r="P234" s="22"/>
      <c r="Q234" s="45"/>
      <c r="R234" s="45"/>
    </row>
    <row r="235" spans="1:18" x14ac:dyDescent="0.2">
      <c r="A235" s="13"/>
      <c r="B235" s="18"/>
      <c r="C235" s="19"/>
      <c r="D235" s="19"/>
      <c r="E235" s="20"/>
      <c r="F235" s="22"/>
      <c r="G235" s="22"/>
      <c r="H235" s="23"/>
      <c r="I235" s="23"/>
      <c r="J235" s="13"/>
      <c r="K235" s="18"/>
      <c r="L235" s="19"/>
      <c r="M235" s="19"/>
      <c r="N235" s="20"/>
      <c r="O235" s="22"/>
      <c r="P235" s="22"/>
      <c r="Q235" s="45"/>
      <c r="R235" s="45"/>
    </row>
    <row r="236" spans="1:18" ht="15" customHeight="1" x14ac:dyDescent="0.2">
      <c r="A236" s="13"/>
      <c r="B236" s="18"/>
      <c r="C236" s="19"/>
      <c r="D236" s="19"/>
      <c r="E236" s="20"/>
      <c r="F236" s="22"/>
      <c r="G236" s="22"/>
      <c r="H236" s="23"/>
      <c r="I236" s="23"/>
      <c r="J236" s="13"/>
      <c r="K236" s="18"/>
      <c r="L236" s="19"/>
      <c r="M236" s="19"/>
      <c r="N236" s="20"/>
      <c r="O236" s="22"/>
      <c r="P236" s="22"/>
      <c r="Q236" s="23"/>
      <c r="R236" s="23"/>
    </row>
    <row r="237" spans="1:18" x14ac:dyDescent="0.2">
      <c r="A237" s="13"/>
      <c r="B237" s="18"/>
      <c r="C237" s="19"/>
      <c r="D237" s="19"/>
      <c r="E237" s="20"/>
      <c r="F237" s="22"/>
      <c r="G237" s="22"/>
      <c r="H237" s="23"/>
      <c r="I237" s="23"/>
      <c r="J237" s="13"/>
      <c r="K237" s="18"/>
      <c r="L237" s="19"/>
      <c r="M237" s="19"/>
      <c r="N237" s="20"/>
      <c r="O237" s="22"/>
      <c r="P237" s="22"/>
      <c r="Q237" s="23"/>
      <c r="R237" s="23"/>
    </row>
    <row r="238" spans="1:18" x14ac:dyDescent="0.2">
      <c r="A238" s="13"/>
      <c r="B238" s="18"/>
      <c r="C238" s="19"/>
      <c r="D238" s="19"/>
      <c r="E238" s="20"/>
      <c r="F238" s="22"/>
      <c r="G238" s="22"/>
      <c r="H238" s="23"/>
      <c r="I238" s="23"/>
      <c r="J238" s="13"/>
      <c r="K238" s="18"/>
      <c r="L238" s="19"/>
      <c r="M238" s="19"/>
      <c r="N238" s="20"/>
      <c r="O238" s="22"/>
      <c r="P238" s="22"/>
      <c r="Q238" s="23"/>
      <c r="R238" s="23"/>
    </row>
    <row r="239" spans="1:18" x14ac:dyDescent="0.2">
      <c r="A239" s="13"/>
      <c r="B239" s="18"/>
      <c r="C239" s="19"/>
      <c r="D239" s="19"/>
      <c r="E239" s="20"/>
      <c r="F239" s="22"/>
      <c r="G239" s="22"/>
      <c r="H239" s="23"/>
      <c r="I239" s="23"/>
      <c r="J239" s="13"/>
      <c r="K239" s="18"/>
      <c r="L239" s="19"/>
      <c r="M239" s="19"/>
      <c r="N239" s="20"/>
      <c r="O239" s="22"/>
      <c r="P239" s="22"/>
      <c r="Q239" s="23"/>
      <c r="R239" s="23"/>
    </row>
    <row r="240" spans="1:18" x14ac:dyDescent="0.2">
      <c r="A240" s="13"/>
      <c r="B240" s="18"/>
      <c r="C240" s="19"/>
      <c r="D240" s="19"/>
      <c r="E240" s="20"/>
      <c r="F240" s="22"/>
      <c r="G240" s="22"/>
      <c r="H240" s="23"/>
      <c r="I240" s="23"/>
      <c r="J240" s="13"/>
      <c r="K240" s="18"/>
      <c r="L240" s="19"/>
      <c r="M240" s="19"/>
      <c r="N240" s="20"/>
      <c r="O240" s="22"/>
      <c r="P240" s="22"/>
      <c r="Q240" s="23"/>
      <c r="R240" s="23"/>
    </row>
    <row r="241" spans="1:18" x14ac:dyDescent="0.2">
      <c r="A241" s="13"/>
      <c r="B241" s="18"/>
      <c r="C241" s="19"/>
      <c r="D241" s="19"/>
      <c r="E241" s="20"/>
      <c r="F241" s="22"/>
      <c r="G241" s="22"/>
      <c r="H241" s="23"/>
      <c r="I241" s="23"/>
      <c r="J241" s="13"/>
      <c r="K241" s="18"/>
      <c r="L241" s="19"/>
      <c r="M241" s="19"/>
      <c r="N241" s="20"/>
      <c r="O241" s="22"/>
      <c r="P241" s="22"/>
      <c r="Q241" s="23"/>
      <c r="R241" s="23"/>
    </row>
    <row r="242" spans="1:18" x14ac:dyDescent="0.2">
      <c r="A242" s="13"/>
      <c r="B242" s="18"/>
      <c r="C242" s="19"/>
      <c r="D242" s="19"/>
      <c r="E242" s="20"/>
      <c r="F242" s="22"/>
      <c r="G242" s="36"/>
      <c r="H242" s="37"/>
      <c r="I242" s="37"/>
      <c r="J242" s="13"/>
      <c r="K242" s="18"/>
      <c r="L242" s="19"/>
      <c r="M242" s="19"/>
      <c r="N242" s="20"/>
      <c r="O242" s="22"/>
      <c r="P242" s="36"/>
      <c r="Q242" s="37"/>
      <c r="R242" s="37"/>
    </row>
    <row r="243" spans="1:18" x14ac:dyDescent="0.2">
      <c r="A243" s="13"/>
      <c r="B243" s="248" t="s">
        <v>42</v>
      </c>
      <c r="C243" s="249"/>
      <c r="D243" s="249"/>
      <c r="E243" s="250"/>
      <c r="F243" s="46"/>
      <c r="G243" s="46"/>
      <c r="H243" s="47"/>
      <c r="I243" s="47">
        <f>SUM(I230:I242)</f>
        <v>3359.39</v>
      </c>
      <c r="J243" s="13"/>
      <c r="K243" s="248" t="s">
        <v>42</v>
      </c>
      <c r="L243" s="249"/>
      <c r="M243" s="249"/>
      <c r="N243" s="250"/>
      <c r="O243" s="46"/>
      <c r="P243" s="46"/>
      <c r="Q243" s="47"/>
      <c r="R243" s="47">
        <f>SUM(R230:R242)</f>
        <v>0</v>
      </c>
    </row>
    <row r="244" spans="1:18" x14ac:dyDescent="0.2">
      <c r="A244" s="12" t="s">
        <v>43</v>
      </c>
      <c r="B244" s="48" t="s">
        <v>44</v>
      </c>
      <c r="C244" s="43"/>
      <c r="D244" s="43"/>
      <c r="E244" s="39"/>
      <c r="F244" s="49"/>
      <c r="G244" s="49"/>
      <c r="H244" s="50"/>
      <c r="I244" s="51">
        <f>SUM(I225+I243)</f>
        <v>4147.2014199999994</v>
      </c>
      <c r="J244" s="12" t="s">
        <v>43</v>
      </c>
      <c r="K244" s="48" t="s">
        <v>44</v>
      </c>
      <c r="L244" s="43"/>
      <c r="M244" s="43"/>
      <c r="N244" s="161"/>
      <c r="O244" s="49"/>
      <c r="P244" s="49"/>
      <c r="Q244" s="50"/>
      <c r="R244" s="51">
        <f>SUM(R225+R243)</f>
        <v>1046.8173333333334</v>
      </c>
    </row>
    <row r="245" spans="1:18" x14ac:dyDescent="0.2">
      <c r="A245" s="13" t="s">
        <v>45</v>
      </c>
      <c r="B245" s="48" t="s">
        <v>46</v>
      </c>
      <c r="C245" s="43"/>
      <c r="D245" s="43"/>
      <c r="E245" s="39"/>
      <c r="F245" s="49"/>
      <c r="G245" s="52">
        <v>0.09</v>
      </c>
      <c r="H245" s="53" t="s">
        <v>47</v>
      </c>
      <c r="I245" s="51">
        <f>G245*I244</f>
        <v>373.24812779999991</v>
      </c>
      <c r="J245" s="13" t="s">
        <v>45</v>
      </c>
      <c r="K245" s="48" t="s">
        <v>46</v>
      </c>
      <c r="L245" s="43"/>
      <c r="M245" s="43"/>
      <c r="N245" s="161"/>
      <c r="O245" s="49"/>
      <c r="P245" s="52">
        <v>0.09</v>
      </c>
      <c r="Q245" s="53" t="s">
        <v>47</v>
      </c>
      <c r="R245" s="51">
        <f>P245*R244</f>
        <v>94.213560000000001</v>
      </c>
    </row>
    <row r="246" spans="1:18" x14ac:dyDescent="0.2">
      <c r="A246" s="13" t="s">
        <v>48</v>
      </c>
      <c r="B246" s="48" t="s">
        <v>49</v>
      </c>
      <c r="C246" s="43"/>
      <c r="D246" s="43"/>
      <c r="E246" s="39"/>
      <c r="F246" s="49"/>
      <c r="G246" s="52">
        <v>0.08</v>
      </c>
      <c r="H246" s="53" t="s">
        <v>47</v>
      </c>
      <c r="I246" s="51">
        <f>G246*I244</f>
        <v>331.77611359999997</v>
      </c>
      <c r="J246" s="13" t="s">
        <v>48</v>
      </c>
      <c r="K246" s="48" t="s">
        <v>49</v>
      </c>
      <c r="L246" s="43"/>
      <c r="M246" s="43"/>
      <c r="N246" s="161"/>
      <c r="O246" s="49"/>
      <c r="P246" s="52">
        <v>0.08</v>
      </c>
      <c r="Q246" s="53" t="s">
        <v>47</v>
      </c>
      <c r="R246" s="51">
        <f>P246*R244</f>
        <v>83.745386666666676</v>
      </c>
    </row>
    <row r="247" spans="1:18" x14ac:dyDescent="0.2">
      <c r="A247" s="13" t="s">
        <v>50</v>
      </c>
      <c r="B247" s="48" t="s">
        <v>51</v>
      </c>
      <c r="C247" s="43"/>
      <c r="D247" s="43"/>
      <c r="E247" s="39"/>
      <c r="F247" s="49"/>
      <c r="G247" s="52">
        <f>5/100</f>
        <v>0.05</v>
      </c>
      <c r="H247" s="53" t="s">
        <v>52</v>
      </c>
      <c r="I247" s="51">
        <f>G247*(I244+I245+I246)</f>
        <v>242.61128306999996</v>
      </c>
      <c r="J247" s="13" t="s">
        <v>50</v>
      </c>
      <c r="K247" s="48" t="s">
        <v>51</v>
      </c>
      <c r="L247" s="43"/>
      <c r="M247" s="43"/>
      <c r="N247" s="161"/>
      <c r="O247" s="49"/>
      <c r="P247" s="52">
        <v>0.05</v>
      </c>
      <c r="Q247" s="53" t="s">
        <v>52</v>
      </c>
      <c r="R247" s="51">
        <f>P247*(R244+R245+R246)</f>
        <v>61.238814000000005</v>
      </c>
    </row>
    <row r="248" spans="1:18" x14ac:dyDescent="0.2">
      <c r="A248" s="54" t="s">
        <v>53</v>
      </c>
      <c r="B248" s="48" t="s">
        <v>54</v>
      </c>
      <c r="C248" s="43"/>
      <c r="D248" s="43"/>
      <c r="E248" s="39"/>
      <c r="F248" s="49"/>
      <c r="G248" s="49"/>
      <c r="H248" s="55" t="s">
        <v>55</v>
      </c>
      <c r="I248" s="51">
        <f>SUM(I244+I245+I246+I247)</f>
        <v>5094.8369444699993</v>
      </c>
      <c r="J248" s="54" t="s">
        <v>53</v>
      </c>
      <c r="K248" s="48" t="s">
        <v>54</v>
      </c>
      <c r="L248" s="43"/>
      <c r="M248" s="43"/>
      <c r="N248" s="161"/>
      <c r="O248" s="49"/>
      <c r="P248" s="49"/>
      <c r="Q248" s="55" t="s">
        <v>55</v>
      </c>
      <c r="R248" s="51">
        <f>SUM(R244+R245+R246+R247)</f>
        <v>1286.0150940000001</v>
      </c>
    </row>
    <row r="249" spans="1:18" s="1" customFormat="1" x14ac:dyDescent="0.2">
      <c r="A249" s="236" t="s">
        <v>0</v>
      </c>
      <c r="B249" s="236"/>
      <c r="C249" s="236"/>
      <c r="D249" s="236"/>
      <c r="E249" s="236"/>
      <c r="F249" s="236"/>
      <c r="G249" s="236"/>
      <c r="H249" s="236"/>
      <c r="I249" s="236"/>
      <c r="J249" s="236" t="s">
        <v>0</v>
      </c>
      <c r="K249" s="236"/>
      <c r="L249" s="236"/>
      <c r="M249" s="236"/>
      <c r="N249" s="236"/>
      <c r="O249" s="236"/>
      <c r="P249" s="236"/>
      <c r="Q249" s="236"/>
      <c r="R249" s="236"/>
    </row>
    <row r="251" spans="1:18" x14ac:dyDescent="0.2">
      <c r="A251" s="2" t="s">
        <v>1</v>
      </c>
      <c r="C251" s="4" t="s">
        <v>2</v>
      </c>
      <c r="D251" s="5" t="s">
        <v>444</v>
      </c>
      <c r="E251" s="237" t="s">
        <v>445</v>
      </c>
      <c r="F251" s="237"/>
      <c r="G251" s="237"/>
      <c r="H251" s="237"/>
      <c r="I251" s="8"/>
      <c r="J251" s="158" t="s">
        <v>1</v>
      </c>
      <c r="L251" s="4" t="s">
        <v>2</v>
      </c>
      <c r="M251" s="5" t="s">
        <v>446</v>
      </c>
      <c r="N251" s="158" t="s">
        <v>447</v>
      </c>
      <c r="O251" s="158"/>
      <c r="P251" s="158"/>
      <c r="Q251" s="158"/>
    </row>
    <row r="252" spans="1:18" x14ac:dyDescent="0.2">
      <c r="A252" s="2" t="s">
        <v>7</v>
      </c>
      <c r="C252" s="4" t="s">
        <v>2</v>
      </c>
      <c r="E252" s="152" t="s">
        <v>1153</v>
      </c>
      <c r="F252" s="8"/>
      <c r="G252" s="8"/>
      <c r="H252" s="8"/>
      <c r="J252" s="158" t="s">
        <v>7</v>
      </c>
      <c r="L252" s="4" t="s">
        <v>2</v>
      </c>
      <c r="N252" s="158" t="s">
        <v>59</v>
      </c>
      <c r="O252" s="8"/>
      <c r="P252" s="8"/>
      <c r="Q252" s="8"/>
    </row>
    <row r="253" spans="1:18" x14ac:dyDescent="0.2">
      <c r="A253" s="2" t="s">
        <v>10</v>
      </c>
      <c r="C253" s="4" t="s">
        <v>2</v>
      </c>
      <c r="E253" s="9">
        <v>1</v>
      </c>
      <c r="F253" s="8"/>
      <c r="G253" s="8"/>
      <c r="H253" s="8"/>
      <c r="J253" s="158" t="s">
        <v>147</v>
      </c>
      <c r="L253" s="4" t="s">
        <v>2</v>
      </c>
      <c r="N253" s="9">
        <v>1</v>
      </c>
      <c r="O253" s="8"/>
      <c r="P253" s="8"/>
      <c r="Q253" s="8"/>
    </row>
    <row r="254" spans="1:18" x14ac:dyDescent="0.2">
      <c r="B254" s="8"/>
      <c r="F254" s="11"/>
      <c r="G254" s="8"/>
      <c r="H254" s="8"/>
      <c r="I254" s="8"/>
      <c r="K254" s="8"/>
      <c r="O254" s="11"/>
      <c r="P254" s="8"/>
      <c r="Q254" s="8"/>
      <c r="R254" s="8"/>
    </row>
    <row r="255" spans="1:18" x14ac:dyDescent="0.2">
      <c r="A255" s="12"/>
      <c r="B255" s="238" t="s">
        <v>11</v>
      </c>
      <c r="C255" s="239"/>
      <c r="D255" s="239"/>
      <c r="E255" s="240"/>
      <c r="F255" s="244" t="s">
        <v>12</v>
      </c>
      <c r="G255" s="244" t="s">
        <v>13</v>
      </c>
      <c r="H255" s="244" t="s">
        <v>14</v>
      </c>
      <c r="I255" s="246" t="s">
        <v>15</v>
      </c>
      <c r="J255" s="12"/>
      <c r="K255" s="238" t="s">
        <v>11</v>
      </c>
      <c r="L255" s="239"/>
      <c r="M255" s="239"/>
      <c r="N255" s="240"/>
      <c r="O255" s="244" t="s">
        <v>12</v>
      </c>
      <c r="P255" s="244" t="s">
        <v>13</v>
      </c>
      <c r="Q255" s="244" t="s">
        <v>14</v>
      </c>
      <c r="R255" s="246" t="s">
        <v>15</v>
      </c>
    </row>
    <row r="256" spans="1:18" x14ac:dyDescent="0.2">
      <c r="A256" s="13"/>
      <c r="B256" s="241"/>
      <c r="C256" s="242"/>
      <c r="D256" s="242"/>
      <c r="E256" s="243"/>
      <c r="F256" s="245"/>
      <c r="G256" s="245"/>
      <c r="H256" s="245"/>
      <c r="I256" s="247"/>
      <c r="J256" s="13"/>
      <c r="K256" s="241"/>
      <c r="L256" s="242"/>
      <c r="M256" s="242"/>
      <c r="N256" s="243"/>
      <c r="O256" s="245"/>
      <c r="P256" s="245"/>
      <c r="Q256" s="245"/>
      <c r="R256" s="247"/>
    </row>
    <row r="257" spans="1:18" x14ac:dyDescent="0.2">
      <c r="A257" s="13" t="s">
        <v>16</v>
      </c>
      <c r="B257" s="14" t="s">
        <v>17</v>
      </c>
      <c r="C257" s="15"/>
      <c r="D257" s="15"/>
      <c r="E257" s="16"/>
      <c r="F257" s="17"/>
      <c r="G257" s="17"/>
      <c r="H257" s="17"/>
      <c r="I257" s="17"/>
      <c r="J257" s="13" t="s">
        <v>16</v>
      </c>
      <c r="K257" s="14" t="s">
        <v>17</v>
      </c>
      <c r="L257" s="15"/>
      <c r="M257" s="15"/>
      <c r="N257" s="16"/>
      <c r="O257" s="17"/>
      <c r="P257" s="17"/>
      <c r="Q257" s="17"/>
      <c r="R257" s="17"/>
    </row>
    <row r="258" spans="1:18" x14ac:dyDescent="0.2">
      <c r="A258" s="13"/>
      <c r="B258" s="18"/>
      <c r="C258" s="19"/>
      <c r="D258" s="19"/>
      <c r="E258" s="20"/>
      <c r="F258" s="21"/>
      <c r="G258" s="22"/>
      <c r="H258" s="21"/>
      <c r="I258" s="21"/>
      <c r="J258" s="13"/>
      <c r="K258" s="18"/>
      <c r="L258" s="19"/>
      <c r="M258" s="19"/>
      <c r="N258" s="20"/>
      <c r="O258" s="21"/>
      <c r="P258" s="22"/>
      <c r="Q258" s="21"/>
      <c r="R258" s="21"/>
    </row>
    <row r="259" spans="1:18" x14ac:dyDescent="0.2">
      <c r="A259" s="13"/>
      <c r="B259" s="24" t="s">
        <v>18</v>
      </c>
      <c r="C259" s="25"/>
      <c r="D259" s="25"/>
      <c r="E259" s="26"/>
      <c r="F259" s="22">
        <v>1</v>
      </c>
      <c r="G259" s="23">
        <v>0.8</v>
      </c>
      <c r="H259" s="23">
        <v>69.42</v>
      </c>
      <c r="I259" s="23">
        <f>G259*H259*F259</f>
        <v>55.536000000000001</v>
      </c>
      <c r="J259" s="13"/>
      <c r="K259" s="24" t="s">
        <v>18</v>
      </c>
      <c r="L259" s="25"/>
      <c r="M259" s="25"/>
      <c r="N259" s="26"/>
      <c r="O259" s="22">
        <v>1</v>
      </c>
      <c r="P259" s="23">
        <v>0.5</v>
      </c>
      <c r="Q259" s="23">
        <v>69.42</v>
      </c>
      <c r="R259" s="23">
        <f>P259*Q259*O259</f>
        <v>34.71</v>
      </c>
    </row>
    <row r="260" spans="1:18" x14ac:dyDescent="0.2">
      <c r="A260" s="13"/>
      <c r="B260" s="257" t="s">
        <v>1178</v>
      </c>
      <c r="C260" s="258"/>
      <c r="D260" s="25"/>
      <c r="E260" s="26"/>
      <c r="F260" s="22">
        <v>2</v>
      </c>
      <c r="G260" s="23">
        <v>0.8</v>
      </c>
      <c r="H260" s="23">
        <v>50.18</v>
      </c>
      <c r="I260" s="23">
        <f>G260*H260*F260</f>
        <v>80.288000000000011</v>
      </c>
      <c r="J260" s="13"/>
      <c r="K260" s="257" t="s">
        <v>1178</v>
      </c>
      <c r="L260" s="258"/>
      <c r="M260" s="25"/>
      <c r="N260" s="26"/>
      <c r="O260" s="22">
        <v>1</v>
      </c>
      <c r="P260" s="23">
        <v>0.5</v>
      </c>
      <c r="Q260" s="23">
        <v>50.18</v>
      </c>
      <c r="R260" s="23">
        <f>P260*Q260*O260</f>
        <v>25.09</v>
      </c>
    </row>
    <row r="261" spans="1:18" x14ac:dyDescent="0.2">
      <c r="A261" s="13"/>
      <c r="B261" s="257" t="s">
        <v>1177</v>
      </c>
      <c r="C261" s="258"/>
      <c r="D261" s="19"/>
      <c r="E261" s="20"/>
      <c r="F261" s="22">
        <v>4</v>
      </c>
      <c r="G261" s="23">
        <v>0.8</v>
      </c>
      <c r="H261" s="23">
        <v>38.97</v>
      </c>
      <c r="I261" s="23">
        <f>G261*H261*F261</f>
        <v>124.70400000000001</v>
      </c>
      <c r="J261" s="13"/>
      <c r="K261" s="257" t="s">
        <v>1177</v>
      </c>
      <c r="L261" s="258"/>
      <c r="M261" s="19"/>
      <c r="N261" s="20"/>
      <c r="O261" s="22">
        <v>2</v>
      </c>
      <c r="P261" s="23">
        <v>0.5</v>
      </c>
      <c r="Q261" s="23">
        <v>38.97</v>
      </c>
      <c r="R261" s="23">
        <f>P261*Q261*O261</f>
        <v>38.97</v>
      </c>
    </row>
    <row r="262" spans="1:18" ht="15" customHeight="1" x14ac:dyDescent="0.2">
      <c r="A262" s="13"/>
      <c r="B262" s="27"/>
      <c r="C262" s="63"/>
      <c r="D262" s="19"/>
      <c r="E262" s="20"/>
      <c r="F262" s="22"/>
      <c r="G262" s="22"/>
      <c r="H262" s="29"/>
      <c r="I262" s="30"/>
      <c r="J262" s="13"/>
      <c r="K262" s="159"/>
      <c r="L262" s="19"/>
      <c r="M262" s="19"/>
      <c r="N262" s="20"/>
      <c r="O262" s="22"/>
      <c r="P262" s="22"/>
      <c r="Q262" s="29"/>
      <c r="R262" s="30"/>
    </row>
    <row r="263" spans="1:18" x14ac:dyDescent="0.2">
      <c r="A263" s="13"/>
      <c r="B263" s="27"/>
      <c r="C263" s="63"/>
      <c r="D263" s="19"/>
      <c r="E263" s="20"/>
      <c r="F263" s="22"/>
      <c r="G263" s="22"/>
      <c r="H263" s="29"/>
      <c r="I263" s="30"/>
      <c r="J263" s="13"/>
      <c r="K263" s="159"/>
      <c r="L263" s="19"/>
      <c r="M263" s="19"/>
      <c r="N263" s="20"/>
      <c r="O263" s="22"/>
      <c r="P263" s="22"/>
      <c r="Q263" s="29"/>
      <c r="R263" s="30"/>
    </row>
    <row r="264" spans="1:18" x14ac:dyDescent="0.2">
      <c r="A264" s="13"/>
      <c r="B264" s="24"/>
      <c r="C264" s="25"/>
      <c r="D264" s="19"/>
      <c r="E264" s="20"/>
      <c r="F264" s="22"/>
      <c r="G264" s="22"/>
      <c r="H264" s="23"/>
      <c r="I264" s="23"/>
      <c r="J264" s="13"/>
      <c r="K264" s="18"/>
      <c r="L264" s="19"/>
      <c r="M264" s="19"/>
      <c r="N264" s="20"/>
      <c r="O264" s="22"/>
      <c r="P264" s="22"/>
      <c r="Q264" s="28"/>
      <c r="R264" s="23"/>
    </row>
    <row r="265" spans="1:18" x14ac:dyDescent="0.2">
      <c r="A265" s="13"/>
      <c r="B265" s="24"/>
      <c r="C265" s="25"/>
      <c r="D265" s="19"/>
      <c r="E265" s="20"/>
      <c r="F265" s="22"/>
      <c r="G265" s="22"/>
      <c r="H265" s="23"/>
      <c r="I265" s="23"/>
      <c r="J265" s="13"/>
      <c r="K265" s="18"/>
      <c r="L265" s="19"/>
      <c r="M265" s="19"/>
      <c r="N265" s="20"/>
      <c r="O265" s="22"/>
      <c r="P265" s="22"/>
      <c r="Q265" s="23"/>
      <c r="R265" s="23"/>
    </row>
    <row r="266" spans="1:18" x14ac:dyDescent="0.2">
      <c r="A266" s="13"/>
      <c r="B266" s="248" t="s">
        <v>20</v>
      </c>
      <c r="C266" s="249"/>
      <c r="D266" s="249"/>
      <c r="E266" s="250"/>
      <c r="F266" s="31"/>
      <c r="G266" s="31"/>
      <c r="H266" s="32"/>
      <c r="I266" s="32">
        <f>SUM(I259:I265)</f>
        <v>260.52800000000002</v>
      </c>
      <c r="J266" s="13"/>
      <c r="K266" s="248" t="s">
        <v>20</v>
      </c>
      <c r="L266" s="249"/>
      <c r="M266" s="249"/>
      <c r="N266" s="250"/>
      <c r="O266" s="31"/>
      <c r="P266" s="31"/>
      <c r="Q266" s="32"/>
      <c r="R266" s="32">
        <f>SUM(R259:R265)</f>
        <v>98.77</v>
      </c>
    </row>
    <row r="267" spans="1:18" x14ac:dyDescent="0.2">
      <c r="A267" s="12"/>
      <c r="B267" s="251" t="s">
        <v>21</v>
      </c>
      <c r="C267" s="252"/>
      <c r="D267" s="252"/>
      <c r="E267" s="253"/>
      <c r="F267" s="244" t="s">
        <v>22</v>
      </c>
      <c r="G267" s="244" t="s">
        <v>13</v>
      </c>
      <c r="H267" s="244" t="s">
        <v>14</v>
      </c>
      <c r="I267" s="246" t="s">
        <v>15</v>
      </c>
      <c r="J267" s="12"/>
      <c r="K267" s="251" t="s">
        <v>21</v>
      </c>
      <c r="L267" s="252"/>
      <c r="M267" s="252"/>
      <c r="N267" s="253"/>
      <c r="O267" s="244" t="s">
        <v>22</v>
      </c>
      <c r="P267" s="244" t="s">
        <v>13</v>
      </c>
      <c r="Q267" s="244" t="s">
        <v>14</v>
      </c>
      <c r="R267" s="246" t="s">
        <v>15</v>
      </c>
    </row>
    <row r="268" spans="1:18" x14ac:dyDescent="0.2">
      <c r="A268" s="13"/>
      <c r="B268" s="254"/>
      <c r="C268" s="255"/>
      <c r="D268" s="255"/>
      <c r="E268" s="256"/>
      <c r="F268" s="245"/>
      <c r="G268" s="245"/>
      <c r="H268" s="245"/>
      <c r="I268" s="247"/>
      <c r="J268" s="13"/>
      <c r="K268" s="254"/>
      <c r="L268" s="255"/>
      <c r="M268" s="255"/>
      <c r="N268" s="256"/>
      <c r="O268" s="245"/>
      <c r="P268" s="245"/>
      <c r="Q268" s="245"/>
      <c r="R268" s="247"/>
    </row>
    <row r="269" spans="1:18" x14ac:dyDescent="0.2">
      <c r="A269" s="13" t="s">
        <v>23</v>
      </c>
      <c r="B269" s="33" t="s">
        <v>24</v>
      </c>
      <c r="C269" s="15"/>
      <c r="D269" s="15"/>
      <c r="E269" s="16"/>
      <c r="F269" s="34"/>
      <c r="G269" s="34"/>
      <c r="H269" s="35"/>
      <c r="I269" s="35"/>
      <c r="J269" s="13" t="s">
        <v>23</v>
      </c>
      <c r="K269" s="33" t="s">
        <v>24</v>
      </c>
      <c r="L269" s="15"/>
      <c r="M269" s="15"/>
      <c r="N269" s="16"/>
      <c r="O269" s="34"/>
      <c r="P269" s="34"/>
      <c r="Q269" s="35"/>
      <c r="R269" s="35"/>
    </row>
    <row r="270" spans="1:18" x14ac:dyDescent="0.2">
      <c r="A270" s="13"/>
      <c r="B270" s="18"/>
      <c r="C270" s="19"/>
      <c r="D270" s="19"/>
      <c r="E270" s="20"/>
      <c r="F270" s="22"/>
      <c r="G270" s="22"/>
      <c r="H270" s="23"/>
      <c r="I270" s="23"/>
      <c r="J270" s="13"/>
      <c r="K270" s="18"/>
      <c r="L270" s="19"/>
      <c r="M270" s="19"/>
      <c r="N270" s="20"/>
      <c r="O270" s="22"/>
      <c r="P270" s="22"/>
      <c r="Q270" s="23"/>
      <c r="R270" s="23"/>
    </row>
    <row r="271" spans="1:18" ht="17.25" customHeight="1" x14ac:dyDescent="0.2">
      <c r="A271" s="13"/>
      <c r="B271" s="18" t="s">
        <v>62</v>
      </c>
      <c r="C271" s="66"/>
      <c r="D271" s="19"/>
      <c r="E271" s="20"/>
      <c r="F271" s="22">
        <v>1</v>
      </c>
      <c r="G271" s="23">
        <v>0.4</v>
      </c>
      <c r="H271" s="37">
        <v>1537</v>
      </c>
      <c r="I271" s="37">
        <f>G271*H271*F271</f>
        <v>614.80000000000007</v>
      </c>
      <c r="J271" s="13"/>
      <c r="K271" s="18" t="s">
        <v>1228</v>
      </c>
      <c r="L271" s="66"/>
      <c r="M271" s="19"/>
      <c r="N271" s="20"/>
      <c r="O271" s="22">
        <v>1</v>
      </c>
      <c r="P271" s="23">
        <v>0.25</v>
      </c>
      <c r="Q271" s="37">
        <v>1212</v>
      </c>
      <c r="R271" s="37">
        <f>O271*P271*Q271</f>
        <v>303</v>
      </c>
    </row>
    <row r="272" spans="1:18" ht="17.25" customHeight="1" x14ac:dyDescent="0.2">
      <c r="A272" s="13"/>
      <c r="B272" s="18" t="s">
        <v>424</v>
      </c>
      <c r="C272" s="66"/>
      <c r="D272" s="19"/>
      <c r="E272" s="20"/>
      <c r="F272" s="22">
        <v>1</v>
      </c>
      <c r="G272" s="23">
        <v>0.4</v>
      </c>
      <c r="H272" s="37">
        <v>123</v>
      </c>
      <c r="I272" s="37">
        <f>G272*H272*F272</f>
        <v>49.2</v>
      </c>
      <c r="J272" s="13"/>
      <c r="K272" s="18" t="s">
        <v>448</v>
      </c>
      <c r="L272" s="66"/>
      <c r="M272" s="19"/>
      <c r="N272" s="20"/>
      <c r="O272" s="22">
        <v>1</v>
      </c>
      <c r="P272" s="23">
        <v>0.5</v>
      </c>
      <c r="Q272" s="37">
        <v>200</v>
      </c>
      <c r="R272" s="37">
        <f>O272*P272*Q272/4</f>
        <v>25</v>
      </c>
    </row>
    <row r="273" spans="1:18" x14ac:dyDescent="0.2">
      <c r="A273" s="13"/>
      <c r="B273" s="18" t="s">
        <v>1194</v>
      </c>
      <c r="C273" s="66"/>
      <c r="D273" s="19"/>
      <c r="E273" s="20"/>
      <c r="F273" s="22"/>
      <c r="G273" s="71"/>
      <c r="I273" s="37">
        <f>0.1*I266</f>
        <v>26.052800000000005</v>
      </c>
      <c r="J273" s="13"/>
      <c r="K273" s="18" t="s">
        <v>92</v>
      </c>
      <c r="L273" s="66"/>
      <c r="M273" s="19"/>
      <c r="N273" s="20"/>
      <c r="O273" s="22"/>
      <c r="P273" s="36"/>
      <c r="R273" s="37">
        <f>R266*0.1</f>
        <v>9.8770000000000007</v>
      </c>
    </row>
    <row r="274" spans="1:18" x14ac:dyDescent="0.2">
      <c r="A274" s="13"/>
      <c r="B274" s="18"/>
      <c r="C274" s="66"/>
      <c r="F274" s="22"/>
      <c r="G274" s="23"/>
      <c r="H274" s="37"/>
      <c r="I274" s="37"/>
      <c r="J274" s="13"/>
      <c r="K274" s="18"/>
      <c r="L274" s="66"/>
      <c r="M274" s="19"/>
      <c r="N274" s="20"/>
      <c r="O274" s="22"/>
      <c r="P274" s="71"/>
      <c r="Q274" s="37"/>
      <c r="R274" s="37"/>
    </row>
    <row r="275" spans="1:18" x14ac:dyDescent="0.2">
      <c r="A275" s="13"/>
      <c r="B275" s="18"/>
      <c r="C275" s="19"/>
      <c r="D275" s="19"/>
      <c r="E275" s="20"/>
      <c r="F275" s="22"/>
      <c r="G275" s="36"/>
      <c r="H275" s="37"/>
      <c r="I275" s="37"/>
      <c r="J275" s="13"/>
      <c r="K275" s="18"/>
      <c r="L275" s="66"/>
      <c r="M275" s="19"/>
      <c r="N275" s="20"/>
      <c r="O275" s="22"/>
      <c r="P275" s="71"/>
      <c r="Q275" s="37"/>
      <c r="R275" s="37"/>
    </row>
    <row r="276" spans="1:18" x14ac:dyDescent="0.2">
      <c r="A276" s="13"/>
      <c r="B276" s="18"/>
      <c r="C276" s="19"/>
      <c r="D276" s="19"/>
      <c r="E276" s="20"/>
      <c r="F276" s="22"/>
      <c r="G276" s="36"/>
      <c r="H276" s="37"/>
      <c r="I276" s="37"/>
      <c r="J276" s="13"/>
      <c r="K276" s="18"/>
      <c r="L276" s="66"/>
      <c r="M276" s="19"/>
      <c r="N276" s="20"/>
      <c r="O276" s="22"/>
      <c r="P276" s="71"/>
      <c r="Q276" s="37"/>
      <c r="R276" s="37"/>
    </row>
    <row r="277" spans="1:18" x14ac:dyDescent="0.2">
      <c r="A277" s="13"/>
      <c r="B277" s="18"/>
      <c r="C277" s="19"/>
      <c r="D277" s="19"/>
      <c r="E277" s="20"/>
      <c r="F277" s="22"/>
      <c r="G277" s="36"/>
      <c r="H277" s="37"/>
      <c r="I277" s="37"/>
      <c r="J277" s="13"/>
      <c r="K277" s="18"/>
      <c r="L277" s="19"/>
      <c r="M277" s="19"/>
      <c r="N277" s="20"/>
      <c r="O277" s="22"/>
      <c r="P277" s="36"/>
      <c r="Q277" s="38"/>
      <c r="R277" s="38"/>
    </row>
    <row r="278" spans="1:18" x14ac:dyDescent="0.2">
      <c r="A278" s="13"/>
      <c r="B278" s="18"/>
      <c r="C278" s="19"/>
      <c r="D278" s="19"/>
      <c r="E278" s="20"/>
      <c r="F278" s="22"/>
      <c r="G278" s="23"/>
      <c r="H278" s="37"/>
      <c r="I278" s="37"/>
      <c r="J278" s="13"/>
      <c r="K278" s="18"/>
      <c r="L278" s="19"/>
      <c r="M278" s="19"/>
      <c r="N278" s="20"/>
      <c r="O278" s="22"/>
      <c r="P278" s="36"/>
      <c r="Q278" s="38"/>
      <c r="R278" s="38"/>
    </row>
    <row r="279" spans="1:18" x14ac:dyDescent="0.2">
      <c r="A279" s="13"/>
      <c r="B279" s="18"/>
      <c r="C279" s="19"/>
      <c r="D279" s="19"/>
      <c r="E279" s="20"/>
      <c r="F279" s="22"/>
      <c r="G279" s="23"/>
      <c r="H279" s="37"/>
      <c r="I279" s="37"/>
      <c r="J279" s="13"/>
      <c r="K279" s="18"/>
      <c r="L279" s="19"/>
      <c r="M279" s="19"/>
      <c r="N279" s="20"/>
      <c r="O279" s="22"/>
      <c r="P279" s="36"/>
      <c r="Q279" s="38"/>
      <c r="R279" s="38"/>
    </row>
    <row r="280" spans="1:18" x14ac:dyDescent="0.2">
      <c r="A280" s="13"/>
      <c r="B280" s="7"/>
      <c r="C280" s="7"/>
      <c r="D280" s="7"/>
      <c r="E280" s="7"/>
      <c r="F280" s="72"/>
      <c r="G280" s="72"/>
      <c r="H280" s="72"/>
      <c r="I280" s="72"/>
      <c r="J280" s="13"/>
      <c r="K280" s="18"/>
      <c r="L280" s="19"/>
      <c r="M280" s="19"/>
      <c r="N280" s="20"/>
      <c r="O280" s="22"/>
      <c r="P280" s="36"/>
      <c r="Q280" s="37"/>
      <c r="R280" s="37"/>
    </row>
    <row r="281" spans="1:18" x14ac:dyDescent="0.2">
      <c r="A281" s="13"/>
      <c r="B281" s="18"/>
      <c r="C281" s="19"/>
      <c r="D281" s="19"/>
      <c r="E281" s="20"/>
      <c r="F281" s="22"/>
      <c r="G281" s="36"/>
      <c r="H281" s="37"/>
      <c r="I281" s="37"/>
      <c r="J281" s="13"/>
      <c r="K281" s="18"/>
      <c r="L281" s="19"/>
      <c r="M281" s="19"/>
      <c r="N281" s="20"/>
      <c r="O281" s="22"/>
      <c r="P281" s="36"/>
      <c r="Q281" s="37"/>
      <c r="R281" s="37"/>
    </row>
    <row r="282" spans="1:18" ht="15" customHeight="1" x14ac:dyDescent="0.2">
      <c r="A282" s="13"/>
      <c r="B282" s="18"/>
      <c r="C282" s="19"/>
      <c r="D282" s="19"/>
      <c r="E282" s="20"/>
      <c r="F282" s="22"/>
      <c r="G282" s="36"/>
      <c r="H282" s="37"/>
      <c r="I282" s="37"/>
      <c r="J282" s="13"/>
      <c r="K282" s="18"/>
      <c r="L282" s="19"/>
      <c r="M282" s="19"/>
      <c r="N282" s="20"/>
      <c r="O282" s="22"/>
      <c r="P282" s="36"/>
      <c r="Q282" s="37"/>
      <c r="R282" s="37"/>
    </row>
    <row r="283" spans="1:18" x14ac:dyDescent="0.2">
      <c r="A283" s="13"/>
      <c r="B283" s="18"/>
      <c r="C283" s="19"/>
      <c r="D283" s="19"/>
      <c r="E283" s="20"/>
      <c r="F283" s="22"/>
      <c r="G283" s="22"/>
      <c r="H283" s="23"/>
      <c r="I283" s="23"/>
      <c r="J283" s="13"/>
      <c r="K283" s="18"/>
      <c r="L283" s="19"/>
      <c r="M283" s="19"/>
      <c r="N283" s="20"/>
      <c r="O283" s="22"/>
      <c r="P283" s="22"/>
      <c r="Q283" s="23"/>
      <c r="R283" s="23"/>
    </row>
    <row r="284" spans="1:18" x14ac:dyDescent="0.2">
      <c r="A284" s="13"/>
      <c r="B284" s="248" t="s">
        <v>30</v>
      </c>
      <c r="C284" s="249"/>
      <c r="D284" s="249"/>
      <c r="E284" s="250"/>
      <c r="F284" s="22"/>
      <c r="G284" s="22"/>
      <c r="H284" s="23"/>
      <c r="I284" s="23">
        <f>SUM(I271:I283)</f>
        <v>690.05280000000016</v>
      </c>
      <c r="J284" s="13"/>
      <c r="K284" s="248" t="s">
        <v>30</v>
      </c>
      <c r="L284" s="249"/>
      <c r="M284" s="249"/>
      <c r="N284" s="250"/>
      <c r="O284" s="22"/>
      <c r="P284" s="22"/>
      <c r="Q284" s="23"/>
      <c r="R284" s="23">
        <f>SUM(R271:R283)</f>
        <v>337.87700000000001</v>
      </c>
    </row>
    <row r="285" spans="1:18" x14ac:dyDescent="0.2">
      <c r="A285" s="12" t="s">
        <v>31</v>
      </c>
      <c r="B285" s="260" t="s">
        <v>32</v>
      </c>
      <c r="C285" s="261"/>
      <c r="D285" s="261"/>
      <c r="E285" s="261"/>
      <c r="F285" s="39"/>
      <c r="G285" s="39"/>
      <c r="H285" s="40"/>
      <c r="I285" s="41">
        <f>SUM(I284+I266)</f>
        <v>950.58080000000018</v>
      </c>
      <c r="J285" s="12" t="s">
        <v>31</v>
      </c>
      <c r="K285" s="260" t="s">
        <v>32</v>
      </c>
      <c r="L285" s="261"/>
      <c r="M285" s="261"/>
      <c r="N285" s="261"/>
      <c r="O285" s="161"/>
      <c r="P285" s="161"/>
      <c r="Q285" s="40"/>
      <c r="R285" s="41">
        <f>SUM(R284+R266)</f>
        <v>436.64699999999999</v>
      </c>
    </row>
    <row r="286" spans="1:18" x14ac:dyDescent="0.2">
      <c r="A286" s="13" t="s">
        <v>33</v>
      </c>
      <c r="B286" s="321">
        <f>E253</f>
        <v>1</v>
      </c>
      <c r="C286" s="322"/>
      <c r="D286" s="322"/>
      <c r="E286" s="322"/>
      <c r="F286" s="322"/>
      <c r="G286" s="322"/>
      <c r="H286" s="40"/>
      <c r="I286" s="41"/>
      <c r="J286" s="13" t="s">
        <v>33</v>
      </c>
      <c r="K286" s="325">
        <f>N253</f>
        <v>1</v>
      </c>
      <c r="L286" s="326"/>
      <c r="M286" s="326"/>
      <c r="N286" s="326"/>
      <c r="O286" s="326"/>
      <c r="P286" s="326"/>
      <c r="Q286" s="40"/>
      <c r="R286" s="41"/>
    </row>
    <row r="287" spans="1:18" x14ac:dyDescent="0.2">
      <c r="A287" s="13" t="s">
        <v>34</v>
      </c>
      <c r="B287" s="42" t="s">
        <v>35</v>
      </c>
      <c r="C287" s="43"/>
      <c r="D287" s="43"/>
      <c r="E287" s="39"/>
      <c r="F287" s="44"/>
      <c r="G287" s="44"/>
      <c r="H287" s="40"/>
      <c r="I287" s="41">
        <f>I285/E253</f>
        <v>950.58080000000018</v>
      </c>
      <c r="J287" s="13" t="s">
        <v>34</v>
      </c>
      <c r="K287" s="162" t="s">
        <v>35</v>
      </c>
      <c r="L287" s="43"/>
      <c r="M287" s="43"/>
      <c r="N287" s="161"/>
      <c r="O287" s="163"/>
      <c r="P287" s="163"/>
      <c r="Q287" s="40"/>
      <c r="R287" s="41">
        <f>R285/N253</f>
        <v>436.64699999999999</v>
      </c>
    </row>
    <row r="288" spans="1:18" x14ac:dyDescent="0.2">
      <c r="A288" s="12"/>
      <c r="B288" s="251" t="s">
        <v>36</v>
      </c>
      <c r="C288" s="252"/>
      <c r="D288" s="252"/>
      <c r="E288" s="253"/>
      <c r="F288" s="244" t="s">
        <v>37</v>
      </c>
      <c r="G288" s="244" t="s">
        <v>38</v>
      </c>
      <c r="H288" s="244" t="s">
        <v>39</v>
      </c>
      <c r="I288" s="246" t="s">
        <v>15</v>
      </c>
      <c r="J288" s="12"/>
      <c r="K288" s="251" t="s">
        <v>36</v>
      </c>
      <c r="L288" s="252"/>
      <c r="M288" s="252"/>
      <c r="N288" s="253"/>
      <c r="O288" s="244" t="s">
        <v>37</v>
      </c>
      <c r="P288" s="244" t="s">
        <v>38</v>
      </c>
      <c r="Q288" s="244" t="s">
        <v>39</v>
      </c>
      <c r="R288" s="246" t="s">
        <v>15</v>
      </c>
    </row>
    <row r="289" spans="1:18" x14ac:dyDescent="0.2">
      <c r="A289" s="13"/>
      <c r="B289" s="254"/>
      <c r="C289" s="255"/>
      <c r="D289" s="255"/>
      <c r="E289" s="256"/>
      <c r="F289" s="245"/>
      <c r="G289" s="245"/>
      <c r="H289" s="245"/>
      <c r="I289" s="247"/>
      <c r="J289" s="13"/>
      <c r="K289" s="254"/>
      <c r="L289" s="255"/>
      <c r="M289" s="255"/>
      <c r="N289" s="256"/>
      <c r="O289" s="245"/>
      <c r="P289" s="245"/>
      <c r="Q289" s="245"/>
      <c r="R289" s="247"/>
    </row>
    <row r="290" spans="1:18" x14ac:dyDescent="0.2">
      <c r="A290" s="13" t="s">
        <v>40</v>
      </c>
      <c r="B290" s="18" t="s">
        <v>41</v>
      </c>
      <c r="C290" s="19"/>
      <c r="D290" s="19"/>
      <c r="E290" s="20"/>
      <c r="F290" s="22"/>
      <c r="G290" s="22"/>
      <c r="H290" s="23"/>
      <c r="I290" s="23"/>
      <c r="J290" s="13" t="s">
        <v>40</v>
      </c>
      <c r="K290" s="18" t="s">
        <v>41</v>
      </c>
      <c r="L290" s="19"/>
      <c r="M290" s="19"/>
      <c r="N290" s="20"/>
      <c r="O290" s="22"/>
      <c r="P290" s="22"/>
      <c r="Q290" s="23"/>
      <c r="R290" s="23"/>
    </row>
    <row r="291" spans="1:18" x14ac:dyDescent="0.2">
      <c r="A291" s="13"/>
      <c r="B291" s="18"/>
      <c r="C291" s="19"/>
      <c r="D291" s="19"/>
      <c r="E291" s="20"/>
      <c r="F291" s="22"/>
      <c r="G291" s="22"/>
      <c r="H291" s="23"/>
      <c r="I291" s="23"/>
      <c r="J291" s="13"/>
      <c r="K291" s="18"/>
      <c r="L291" s="19"/>
      <c r="M291" s="19"/>
      <c r="N291" s="20"/>
      <c r="O291" s="22"/>
      <c r="P291" s="22"/>
      <c r="Q291" s="23"/>
      <c r="R291" s="23"/>
    </row>
    <row r="292" spans="1:18" x14ac:dyDescent="0.2">
      <c r="A292" s="13"/>
      <c r="B292" s="18" t="s">
        <v>425</v>
      </c>
      <c r="C292" s="66"/>
      <c r="D292" s="19"/>
      <c r="E292" s="20"/>
      <c r="F292" s="22" t="s">
        <v>227</v>
      </c>
      <c r="G292" s="70">
        <f>'[1]Drawing (Cost Estimate)'!D142</f>
        <v>1.4039999999999999</v>
      </c>
      <c r="H292" s="107">
        <v>220</v>
      </c>
      <c r="I292" s="23">
        <f>H292*G292</f>
        <v>308.88</v>
      </c>
      <c r="J292" s="13"/>
      <c r="K292" s="266" t="s">
        <v>449</v>
      </c>
      <c r="L292" s="267"/>
      <c r="M292" s="267"/>
      <c r="N292" s="268"/>
      <c r="O292" s="22"/>
      <c r="P292" s="62"/>
      <c r="Q292" s="23"/>
      <c r="R292" s="23"/>
    </row>
    <row r="293" spans="1:18" x14ac:dyDescent="0.2">
      <c r="A293" s="13"/>
      <c r="B293" s="18" t="s">
        <v>426</v>
      </c>
      <c r="C293" s="66"/>
      <c r="D293" s="19"/>
      <c r="E293" s="20"/>
      <c r="F293" s="22" t="s">
        <v>9</v>
      </c>
      <c r="G293" s="70">
        <f>'[1]Drawing (Cost Estimate)'!D145</f>
        <v>0.08</v>
      </c>
      <c r="H293" s="107">
        <v>850</v>
      </c>
      <c r="I293" s="23">
        <f>H293*G293</f>
        <v>68</v>
      </c>
      <c r="J293" s="13"/>
      <c r="K293" s="266"/>
      <c r="L293" s="267"/>
      <c r="M293" s="267"/>
      <c r="N293" s="268"/>
      <c r="O293" s="22"/>
      <c r="P293" s="70"/>
      <c r="Q293" s="23"/>
      <c r="R293" s="23"/>
    </row>
    <row r="294" spans="1:18" x14ac:dyDescent="0.2">
      <c r="A294" s="13"/>
      <c r="B294" s="18" t="s">
        <v>450</v>
      </c>
      <c r="C294" s="19"/>
      <c r="D294" s="19"/>
      <c r="E294" s="20"/>
      <c r="F294" s="22" t="s">
        <v>80</v>
      </c>
      <c r="G294" s="62">
        <v>1</v>
      </c>
      <c r="H294" s="107">
        <v>3800</v>
      </c>
      <c r="I294" s="23">
        <f>H294*G294</f>
        <v>3800</v>
      </c>
      <c r="J294" s="13"/>
      <c r="K294" s="266"/>
      <c r="L294" s="267"/>
      <c r="M294" s="267"/>
      <c r="N294" s="268"/>
      <c r="O294" s="22"/>
      <c r="P294" s="70"/>
      <c r="Q294" s="23"/>
      <c r="R294" s="23"/>
    </row>
    <row r="295" spans="1:18" x14ac:dyDescent="0.2">
      <c r="A295" s="13"/>
      <c r="B295" s="18" t="s">
        <v>428</v>
      </c>
      <c r="C295" s="19"/>
      <c r="D295" s="19"/>
      <c r="E295" s="20"/>
      <c r="F295" s="22" t="s">
        <v>9</v>
      </c>
      <c r="G295" s="70">
        <f>'[1]Drawing (Cost Estimate)'!D150</f>
        <v>0.17</v>
      </c>
      <c r="H295" s="107">
        <v>850</v>
      </c>
      <c r="I295" s="23">
        <f>H295*G295</f>
        <v>144.5</v>
      </c>
      <c r="J295" s="13"/>
      <c r="K295" s="18"/>
      <c r="L295" s="19"/>
      <c r="M295" s="19"/>
      <c r="N295" s="20"/>
      <c r="O295" s="22"/>
      <c r="P295" s="22"/>
      <c r="Q295" s="38"/>
      <c r="R295" s="38"/>
    </row>
    <row r="296" spans="1:18" x14ac:dyDescent="0.2">
      <c r="A296" s="13"/>
      <c r="B296" s="18"/>
      <c r="C296" s="19"/>
      <c r="D296" s="19"/>
      <c r="E296" s="20"/>
      <c r="F296" s="22"/>
      <c r="G296" s="22"/>
      <c r="H296" s="23"/>
      <c r="I296" s="23"/>
      <c r="J296" s="13"/>
      <c r="K296" s="18"/>
      <c r="L296" s="19"/>
      <c r="M296" s="19"/>
      <c r="N296" s="20"/>
      <c r="O296" s="22"/>
      <c r="P296" s="22"/>
      <c r="Q296" s="45"/>
      <c r="R296" s="45"/>
    </row>
    <row r="297" spans="1:18" x14ac:dyDescent="0.2">
      <c r="A297" s="13"/>
      <c r="B297" s="18"/>
      <c r="C297" s="19"/>
      <c r="D297" s="19"/>
      <c r="E297" s="20"/>
      <c r="F297" s="22"/>
      <c r="G297" s="22"/>
      <c r="H297" s="23"/>
      <c r="I297" s="23"/>
      <c r="J297" s="13"/>
      <c r="K297" s="18"/>
      <c r="L297" s="19"/>
      <c r="M297" s="19"/>
      <c r="N297" s="20"/>
      <c r="O297" s="22"/>
      <c r="P297" s="22"/>
      <c r="Q297" s="45"/>
      <c r="R297" s="45"/>
    </row>
    <row r="298" spans="1:18" ht="15" customHeight="1" x14ac:dyDescent="0.2">
      <c r="A298" s="13"/>
      <c r="B298" s="18"/>
      <c r="C298" s="19"/>
      <c r="D298" s="19"/>
      <c r="E298" s="20"/>
      <c r="F298" s="22"/>
      <c r="G298" s="22"/>
      <c r="H298" s="23"/>
      <c r="I298" s="23"/>
      <c r="J298" s="13"/>
      <c r="K298" s="18"/>
      <c r="L298" s="19"/>
      <c r="M298" s="19"/>
      <c r="N298" s="20"/>
      <c r="O298" s="22"/>
      <c r="P298" s="22"/>
      <c r="Q298" s="23"/>
      <c r="R298" s="23"/>
    </row>
    <row r="299" spans="1:18" x14ac:dyDescent="0.2">
      <c r="A299" s="13"/>
      <c r="B299" s="18"/>
      <c r="C299" s="19"/>
      <c r="D299" s="19"/>
      <c r="E299" s="20"/>
      <c r="F299" s="22"/>
      <c r="G299" s="22"/>
      <c r="H299" s="23"/>
      <c r="I299" s="23"/>
      <c r="J299" s="13"/>
      <c r="K299" s="18"/>
      <c r="L299" s="19"/>
      <c r="M299" s="19"/>
      <c r="N299" s="20"/>
      <c r="O299" s="22"/>
      <c r="P299" s="22"/>
      <c r="Q299" s="23"/>
      <c r="R299" s="23"/>
    </row>
    <row r="300" spans="1:18" x14ac:dyDescent="0.2">
      <c r="A300" s="13"/>
      <c r="B300" s="18"/>
      <c r="C300" s="19"/>
      <c r="D300" s="19"/>
      <c r="E300" s="20"/>
      <c r="F300" s="22"/>
      <c r="G300" s="22"/>
      <c r="H300" s="23"/>
      <c r="I300" s="23"/>
      <c r="J300" s="13"/>
      <c r="K300" s="18"/>
      <c r="L300" s="19"/>
      <c r="M300" s="19"/>
      <c r="N300" s="20"/>
      <c r="O300" s="22"/>
      <c r="P300" s="22"/>
      <c r="Q300" s="23"/>
      <c r="R300" s="23"/>
    </row>
    <row r="301" spans="1:18" x14ac:dyDescent="0.2">
      <c r="A301" s="13"/>
      <c r="B301" s="18"/>
      <c r="C301" s="19"/>
      <c r="D301" s="19"/>
      <c r="E301" s="20"/>
      <c r="F301" s="22"/>
      <c r="G301" s="22"/>
      <c r="H301" s="23"/>
      <c r="I301" s="23"/>
      <c r="J301" s="13"/>
      <c r="K301" s="18"/>
      <c r="L301" s="19"/>
      <c r="M301" s="19"/>
      <c r="N301" s="20"/>
      <c r="O301" s="22"/>
      <c r="P301" s="22"/>
      <c r="Q301" s="23"/>
      <c r="R301" s="23"/>
    </row>
    <row r="302" spans="1:18" x14ac:dyDescent="0.2">
      <c r="A302" s="13"/>
      <c r="B302" s="18"/>
      <c r="C302" s="19"/>
      <c r="D302" s="19"/>
      <c r="E302" s="20"/>
      <c r="F302" s="22"/>
      <c r="G302" s="22"/>
      <c r="H302" s="23"/>
      <c r="I302" s="23"/>
      <c r="J302" s="13"/>
      <c r="K302" s="18"/>
      <c r="L302" s="19"/>
      <c r="M302" s="19"/>
      <c r="N302" s="20"/>
      <c r="O302" s="22"/>
      <c r="P302" s="22"/>
      <c r="Q302" s="23"/>
      <c r="R302" s="23"/>
    </row>
    <row r="303" spans="1:18" x14ac:dyDescent="0.2">
      <c r="A303" s="13"/>
      <c r="B303" s="18"/>
      <c r="C303" s="19"/>
      <c r="D303" s="19"/>
      <c r="E303" s="20"/>
      <c r="F303" s="22"/>
      <c r="G303" s="22"/>
      <c r="H303" s="23"/>
      <c r="I303" s="23"/>
      <c r="J303" s="13"/>
      <c r="K303" s="18"/>
      <c r="L303" s="19"/>
      <c r="M303" s="19"/>
      <c r="N303" s="20"/>
      <c r="O303" s="22"/>
      <c r="P303" s="22"/>
      <c r="Q303" s="23"/>
      <c r="R303" s="23"/>
    </row>
    <row r="304" spans="1:18" x14ac:dyDescent="0.2">
      <c r="A304" s="13"/>
      <c r="B304" s="18"/>
      <c r="C304" s="19"/>
      <c r="D304" s="19"/>
      <c r="E304" s="20"/>
      <c r="F304" s="22"/>
      <c r="G304" s="36"/>
      <c r="H304" s="37"/>
      <c r="I304" s="37"/>
      <c r="J304" s="13"/>
      <c r="K304" s="18"/>
      <c r="L304" s="19"/>
      <c r="M304" s="19"/>
      <c r="N304" s="20"/>
      <c r="O304" s="22"/>
      <c r="P304" s="36"/>
      <c r="Q304" s="37"/>
      <c r="R304" s="37"/>
    </row>
    <row r="305" spans="1:18" x14ac:dyDescent="0.2">
      <c r="A305" s="13"/>
      <c r="B305" s="248" t="s">
        <v>42</v>
      </c>
      <c r="C305" s="249"/>
      <c r="D305" s="249"/>
      <c r="E305" s="250"/>
      <c r="F305" s="46"/>
      <c r="G305" s="46"/>
      <c r="H305" s="47"/>
      <c r="I305" s="47">
        <f>SUM(I292:I304)</f>
        <v>4321.38</v>
      </c>
      <c r="J305" s="13"/>
      <c r="K305" s="248" t="s">
        <v>42</v>
      </c>
      <c r="L305" s="249"/>
      <c r="M305" s="249"/>
      <c r="N305" s="250"/>
      <c r="O305" s="46"/>
      <c r="P305" s="46"/>
      <c r="Q305" s="47"/>
      <c r="R305" s="47">
        <f>SUM(R292:R304)</f>
        <v>0</v>
      </c>
    </row>
    <row r="306" spans="1:18" x14ac:dyDescent="0.2">
      <c r="A306" s="12" t="s">
        <v>43</v>
      </c>
      <c r="B306" s="48" t="s">
        <v>44</v>
      </c>
      <c r="C306" s="43"/>
      <c r="D306" s="43"/>
      <c r="E306" s="39"/>
      <c r="F306" s="49"/>
      <c r="G306" s="49"/>
      <c r="H306" s="50"/>
      <c r="I306" s="51">
        <f>SUM(I287+I305)</f>
        <v>5271.9608000000007</v>
      </c>
      <c r="J306" s="12" t="s">
        <v>43</v>
      </c>
      <c r="K306" s="48" t="s">
        <v>44</v>
      </c>
      <c r="L306" s="43"/>
      <c r="M306" s="43"/>
      <c r="N306" s="161"/>
      <c r="O306" s="49"/>
      <c r="P306" s="49"/>
      <c r="Q306" s="50"/>
      <c r="R306" s="51">
        <f>SUM(R287+R305)</f>
        <v>436.64699999999999</v>
      </c>
    </row>
    <row r="307" spans="1:18" x14ac:dyDescent="0.2">
      <c r="A307" s="13" t="s">
        <v>45</v>
      </c>
      <c r="B307" s="48" t="s">
        <v>46</v>
      </c>
      <c r="C307" s="43"/>
      <c r="D307" s="43"/>
      <c r="E307" s="39"/>
      <c r="F307" s="49"/>
      <c r="G307" s="52">
        <v>0.09</v>
      </c>
      <c r="H307" s="53" t="s">
        <v>47</v>
      </c>
      <c r="I307" s="51">
        <f>G307*I306</f>
        <v>474.47647200000006</v>
      </c>
      <c r="J307" s="13" t="s">
        <v>45</v>
      </c>
      <c r="K307" s="48" t="s">
        <v>46</v>
      </c>
      <c r="L307" s="43"/>
      <c r="M307" s="43"/>
      <c r="N307" s="161"/>
      <c r="O307" s="49"/>
      <c r="P307" s="52">
        <v>0.09</v>
      </c>
      <c r="Q307" s="53" t="s">
        <v>47</v>
      </c>
      <c r="R307" s="51">
        <f>P307*R306</f>
        <v>39.298229999999997</v>
      </c>
    </row>
    <row r="308" spans="1:18" x14ac:dyDescent="0.2">
      <c r="A308" s="13" t="s">
        <v>48</v>
      </c>
      <c r="B308" s="48" t="s">
        <v>49</v>
      </c>
      <c r="C308" s="43"/>
      <c r="D308" s="43"/>
      <c r="E308" s="39"/>
      <c r="F308" s="49"/>
      <c r="G308" s="52">
        <v>0.08</v>
      </c>
      <c r="H308" s="53" t="s">
        <v>47</v>
      </c>
      <c r="I308" s="51">
        <f>G308*I306</f>
        <v>421.75686400000006</v>
      </c>
      <c r="J308" s="13" t="s">
        <v>48</v>
      </c>
      <c r="K308" s="48" t="s">
        <v>49</v>
      </c>
      <c r="L308" s="43"/>
      <c r="M308" s="43"/>
      <c r="N308" s="161"/>
      <c r="O308" s="49"/>
      <c r="P308" s="52">
        <v>0.08</v>
      </c>
      <c r="Q308" s="53" t="s">
        <v>47</v>
      </c>
      <c r="R308" s="51">
        <f>P308*R306</f>
        <v>34.931759999999997</v>
      </c>
    </row>
    <row r="309" spans="1:18" x14ac:dyDescent="0.2">
      <c r="A309" s="13" t="s">
        <v>50</v>
      </c>
      <c r="B309" s="48" t="s">
        <v>51</v>
      </c>
      <c r="C309" s="43"/>
      <c r="D309" s="43"/>
      <c r="E309" s="39"/>
      <c r="F309" s="49"/>
      <c r="G309" s="52">
        <f>5/100</f>
        <v>0.05</v>
      </c>
      <c r="H309" s="53" t="s">
        <v>52</v>
      </c>
      <c r="I309" s="51">
        <f>G309*(I306+I307+I308)</f>
        <v>308.40970680000009</v>
      </c>
      <c r="J309" s="13" t="s">
        <v>50</v>
      </c>
      <c r="K309" s="48" t="s">
        <v>51</v>
      </c>
      <c r="L309" s="43"/>
      <c r="M309" s="43"/>
      <c r="N309" s="161"/>
      <c r="O309" s="49"/>
      <c r="P309" s="52">
        <v>0.05</v>
      </c>
      <c r="Q309" s="53" t="s">
        <v>52</v>
      </c>
      <c r="R309" s="51">
        <f>P309*(R306+R307+R308)</f>
        <v>25.5438495</v>
      </c>
    </row>
    <row r="310" spans="1:18" x14ac:dyDescent="0.2">
      <c r="A310" s="54" t="s">
        <v>53</v>
      </c>
      <c r="B310" s="48" t="s">
        <v>54</v>
      </c>
      <c r="C310" s="43"/>
      <c r="D310" s="43"/>
      <c r="E310" s="39"/>
      <c r="F310" s="49"/>
      <c r="G310" s="49"/>
      <c r="H310" s="55" t="s">
        <v>55</v>
      </c>
      <c r="I310" s="51">
        <f>SUM(I306+I307+I308+I309)</f>
        <v>6476.6038428000011</v>
      </c>
      <c r="J310" s="54" t="s">
        <v>53</v>
      </c>
      <c r="K310" s="48" t="s">
        <v>54</v>
      </c>
      <c r="L310" s="43"/>
      <c r="M310" s="43"/>
      <c r="N310" s="161"/>
      <c r="O310" s="49"/>
      <c r="P310" s="49"/>
      <c r="Q310" s="55" t="s">
        <v>55</v>
      </c>
      <c r="R310" s="51">
        <f>SUM(R306+R307+R308+R309)</f>
        <v>536.42083949999994</v>
      </c>
    </row>
    <row r="311" spans="1:18" s="1" customFormat="1" x14ac:dyDescent="0.2">
      <c r="A311" s="236" t="s">
        <v>0</v>
      </c>
      <c r="B311" s="236"/>
      <c r="C311" s="236"/>
      <c r="D311" s="236"/>
      <c r="E311" s="236"/>
      <c r="F311" s="236"/>
      <c r="G311" s="236"/>
      <c r="H311" s="236"/>
      <c r="I311" s="236"/>
      <c r="J311" s="236" t="s">
        <v>0</v>
      </c>
      <c r="K311" s="236"/>
      <c r="L311" s="236"/>
      <c r="M311" s="236"/>
      <c r="N311" s="236"/>
      <c r="O311" s="236"/>
      <c r="P311" s="236"/>
      <c r="Q311" s="236"/>
      <c r="R311" s="236"/>
    </row>
    <row r="313" spans="1:18" x14ac:dyDescent="0.2">
      <c r="A313" s="2" t="s">
        <v>1</v>
      </c>
      <c r="C313" s="4" t="s">
        <v>2</v>
      </c>
      <c r="D313" s="5" t="s">
        <v>451</v>
      </c>
      <c r="E313" s="237" t="s">
        <v>452</v>
      </c>
      <c r="F313" s="237"/>
      <c r="G313" s="237"/>
      <c r="H313" s="237"/>
      <c r="I313" s="8"/>
      <c r="J313" s="2" t="s">
        <v>1</v>
      </c>
      <c r="L313" s="4" t="s">
        <v>2</v>
      </c>
      <c r="M313" s="5" t="s">
        <v>453</v>
      </c>
      <c r="N313" s="237" t="s">
        <v>454</v>
      </c>
      <c r="O313" s="237"/>
      <c r="P313" s="237"/>
      <c r="Q313" s="237"/>
    </row>
    <row r="314" spans="1:18" x14ac:dyDescent="0.2">
      <c r="A314" s="2" t="s">
        <v>7</v>
      </c>
      <c r="C314" s="4" t="s">
        <v>2</v>
      </c>
      <c r="E314" s="152" t="s">
        <v>1153</v>
      </c>
      <c r="F314" s="8"/>
      <c r="G314" s="8"/>
      <c r="H314" s="8"/>
      <c r="J314" s="2" t="s">
        <v>7</v>
      </c>
      <c r="L314" s="4" t="s">
        <v>2</v>
      </c>
      <c r="N314" s="2" t="s">
        <v>9</v>
      </c>
      <c r="O314" s="8"/>
      <c r="P314" s="8"/>
      <c r="Q314" s="8"/>
    </row>
    <row r="315" spans="1:18" x14ac:dyDescent="0.2">
      <c r="A315" s="2" t="s">
        <v>10</v>
      </c>
      <c r="C315" s="4" t="s">
        <v>2</v>
      </c>
      <c r="E315" s="9">
        <f>8/8</f>
        <v>1</v>
      </c>
      <c r="F315" s="8"/>
      <c r="G315" s="8"/>
      <c r="H315" s="8"/>
      <c r="J315" s="2" t="s">
        <v>10</v>
      </c>
      <c r="L315" s="4" t="s">
        <v>2</v>
      </c>
      <c r="N315" s="9">
        <v>1.5</v>
      </c>
      <c r="O315" s="8"/>
      <c r="P315" s="8"/>
      <c r="Q315" s="8"/>
    </row>
    <row r="316" spans="1:18" x14ac:dyDescent="0.2">
      <c r="B316" s="8"/>
      <c r="F316" s="11"/>
      <c r="G316" s="8"/>
      <c r="H316" s="8"/>
      <c r="I316" s="8"/>
      <c r="K316" s="8"/>
      <c r="O316" s="11"/>
      <c r="P316" s="8"/>
      <c r="Q316" s="8"/>
      <c r="R316" s="8"/>
    </row>
    <row r="317" spans="1:18" x14ac:dyDescent="0.2">
      <c r="A317" s="12"/>
      <c r="B317" s="238" t="s">
        <v>11</v>
      </c>
      <c r="C317" s="239"/>
      <c r="D317" s="239"/>
      <c r="E317" s="240"/>
      <c r="F317" s="244" t="s">
        <v>12</v>
      </c>
      <c r="G317" s="244" t="s">
        <v>13</v>
      </c>
      <c r="H317" s="244" t="s">
        <v>14</v>
      </c>
      <c r="I317" s="246" t="s">
        <v>15</v>
      </c>
      <c r="J317" s="12"/>
      <c r="K317" s="238" t="s">
        <v>11</v>
      </c>
      <c r="L317" s="239"/>
      <c r="M317" s="239"/>
      <c r="N317" s="240"/>
      <c r="O317" s="244" t="s">
        <v>12</v>
      </c>
      <c r="P317" s="244" t="s">
        <v>13</v>
      </c>
      <c r="Q317" s="244" t="s">
        <v>14</v>
      </c>
      <c r="R317" s="246" t="s">
        <v>15</v>
      </c>
    </row>
    <row r="318" spans="1:18" x14ac:dyDescent="0.2">
      <c r="A318" s="13"/>
      <c r="B318" s="241"/>
      <c r="C318" s="242"/>
      <c r="D318" s="242"/>
      <c r="E318" s="243"/>
      <c r="F318" s="245"/>
      <c r="G318" s="245"/>
      <c r="H318" s="245"/>
      <c r="I318" s="247"/>
      <c r="J318" s="13"/>
      <c r="K318" s="241"/>
      <c r="L318" s="242"/>
      <c r="M318" s="242"/>
      <c r="N318" s="243"/>
      <c r="O318" s="245"/>
      <c r="P318" s="245"/>
      <c r="Q318" s="245"/>
      <c r="R318" s="247"/>
    </row>
    <row r="319" spans="1:18" x14ac:dyDescent="0.2">
      <c r="A319" s="13" t="s">
        <v>16</v>
      </c>
      <c r="B319" s="14" t="s">
        <v>17</v>
      </c>
      <c r="C319" s="15"/>
      <c r="D319" s="15"/>
      <c r="E319" s="16"/>
      <c r="F319" s="17"/>
      <c r="G319" s="17"/>
      <c r="H319" s="17"/>
      <c r="I319" s="17"/>
      <c r="J319" s="13" t="s">
        <v>16</v>
      </c>
      <c r="K319" s="14" t="s">
        <v>17</v>
      </c>
      <c r="L319" s="15"/>
      <c r="M319" s="15"/>
      <c r="N319" s="16"/>
      <c r="O319" s="17"/>
      <c r="P319" s="17"/>
      <c r="Q319" s="17"/>
      <c r="R319" s="17"/>
    </row>
    <row r="320" spans="1:18" x14ac:dyDescent="0.2">
      <c r="A320" s="13"/>
      <c r="B320" s="18"/>
      <c r="C320" s="19"/>
      <c r="D320" s="19"/>
      <c r="E320" s="20"/>
      <c r="F320" s="21"/>
      <c r="G320" s="22"/>
      <c r="H320" s="21"/>
      <c r="I320" s="21"/>
      <c r="J320" s="13"/>
      <c r="K320" s="18"/>
      <c r="L320" s="19"/>
      <c r="M320" s="19"/>
      <c r="N320" s="20"/>
      <c r="O320" s="21"/>
      <c r="P320" s="22"/>
      <c r="Q320" s="21"/>
      <c r="R320" s="21"/>
    </row>
    <row r="321" spans="1:18" x14ac:dyDescent="0.2">
      <c r="A321" s="13"/>
      <c r="B321" s="24" t="s">
        <v>18</v>
      </c>
      <c r="C321" s="25"/>
      <c r="D321" s="25"/>
      <c r="E321" s="26"/>
      <c r="F321" s="22">
        <v>1</v>
      </c>
      <c r="G321" s="23">
        <v>1</v>
      </c>
      <c r="H321" s="23">
        <v>69.42</v>
      </c>
      <c r="I321" s="23">
        <f>G321*H321*F321</f>
        <v>69.42</v>
      </c>
      <c r="J321" s="13"/>
      <c r="K321" s="24" t="s">
        <v>18</v>
      </c>
      <c r="L321" s="25"/>
      <c r="M321" s="25"/>
      <c r="N321" s="26"/>
      <c r="O321" s="22">
        <v>1</v>
      </c>
      <c r="P321" s="23">
        <v>1</v>
      </c>
      <c r="Q321" s="23">
        <v>69.42</v>
      </c>
      <c r="R321" s="23">
        <f>P321*Q321*O321</f>
        <v>69.42</v>
      </c>
    </row>
    <row r="322" spans="1:18" x14ac:dyDescent="0.2">
      <c r="A322" s="13"/>
      <c r="B322" s="257" t="s">
        <v>1178</v>
      </c>
      <c r="C322" s="258"/>
      <c r="D322" s="25"/>
      <c r="E322" s="26"/>
      <c r="F322" s="22">
        <v>2</v>
      </c>
      <c r="G322" s="23">
        <v>1</v>
      </c>
      <c r="H322" s="23">
        <v>50.18</v>
      </c>
      <c r="I322" s="23">
        <f>G322*H322*F322</f>
        <v>100.36</v>
      </c>
      <c r="J322" s="13"/>
      <c r="K322" s="257" t="s">
        <v>1178</v>
      </c>
      <c r="L322" s="258"/>
      <c r="M322" s="25"/>
      <c r="N322" s="26"/>
      <c r="O322" s="22">
        <v>2</v>
      </c>
      <c r="P322" s="23">
        <v>1</v>
      </c>
      <c r="Q322" s="23">
        <v>50.18</v>
      </c>
      <c r="R322" s="23">
        <f>P322*Q322*O322</f>
        <v>100.36</v>
      </c>
    </row>
    <row r="323" spans="1:18" x14ac:dyDescent="0.2">
      <c r="A323" s="13"/>
      <c r="B323" s="257" t="s">
        <v>1177</v>
      </c>
      <c r="C323" s="258"/>
      <c r="D323" s="19"/>
      <c r="E323" s="20"/>
      <c r="F323" s="22">
        <v>4</v>
      </c>
      <c r="G323" s="23">
        <v>1</v>
      </c>
      <c r="H323" s="23">
        <v>38.97</v>
      </c>
      <c r="I323" s="23">
        <f>G323*H323*F323</f>
        <v>155.88</v>
      </c>
      <c r="J323" s="13"/>
      <c r="K323" s="257" t="s">
        <v>1177</v>
      </c>
      <c r="L323" s="258"/>
      <c r="M323" s="19"/>
      <c r="N323" s="20"/>
      <c r="O323" s="22">
        <v>8</v>
      </c>
      <c r="P323" s="23">
        <v>1</v>
      </c>
      <c r="Q323" s="23">
        <v>38.97</v>
      </c>
      <c r="R323" s="23">
        <f>P323*Q323*O323</f>
        <v>311.76</v>
      </c>
    </row>
    <row r="324" spans="1:18" ht="15" customHeight="1" x14ac:dyDescent="0.2">
      <c r="A324" s="13"/>
      <c r="B324" s="27"/>
      <c r="C324" s="63"/>
      <c r="D324" s="19"/>
      <c r="E324" s="20"/>
      <c r="F324" s="22"/>
      <c r="G324" s="22"/>
      <c r="H324" s="29"/>
      <c r="I324" s="30"/>
      <c r="J324" s="13"/>
      <c r="K324" s="27"/>
      <c r="L324" s="19"/>
      <c r="M324" s="19"/>
      <c r="N324" s="20"/>
      <c r="O324" s="22"/>
      <c r="P324" s="22"/>
      <c r="Q324" s="29"/>
      <c r="R324" s="30"/>
    </row>
    <row r="325" spans="1:18" x14ac:dyDescent="0.2">
      <c r="A325" s="13"/>
      <c r="B325" s="27"/>
      <c r="C325" s="63"/>
      <c r="D325" s="19"/>
      <c r="E325" s="20"/>
      <c r="F325" s="22"/>
      <c r="G325" s="22"/>
      <c r="H325" s="29"/>
      <c r="I325" s="30"/>
      <c r="J325" s="13"/>
      <c r="K325" s="27"/>
      <c r="L325" s="19"/>
      <c r="M325" s="19"/>
      <c r="N325" s="20"/>
      <c r="O325" s="22"/>
      <c r="P325" s="22"/>
      <c r="Q325" s="29"/>
      <c r="R325" s="30"/>
    </row>
    <row r="326" spans="1:18" x14ac:dyDescent="0.2">
      <c r="A326" s="13"/>
      <c r="B326" s="24"/>
      <c r="C326" s="25"/>
      <c r="D326" s="19"/>
      <c r="E326" s="20"/>
      <c r="F326" s="22"/>
      <c r="G326" s="22"/>
      <c r="H326" s="23"/>
      <c r="I326" s="23"/>
      <c r="J326" s="13"/>
      <c r="K326" s="18"/>
      <c r="L326" s="19"/>
      <c r="M326" s="19"/>
      <c r="N326" s="20"/>
      <c r="O326" s="22"/>
      <c r="P326" s="22"/>
      <c r="Q326" s="28"/>
      <c r="R326" s="23"/>
    </row>
    <row r="327" spans="1:18" x14ac:dyDescent="0.2">
      <c r="A327" s="13"/>
      <c r="B327" s="24"/>
      <c r="C327" s="25"/>
      <c r="D327" s="19"/>
      <c r="E327" s="20"/>
      <c r="F327" s="22"/>
      <c r="G327" s="22"/>
      <c r="H327" s="23"/>
      <c r="I327" s="23"/>
      <c r="J327" s="13"/>
      <c r="K327" s="18"/>
      <c r="L327" s="19"/>
      <c r="M327" s="19"/>
      <c r="N327" s="20"/>
      <c r="O327" s="22"/>
      <c r="P327" s="22"/>
      <c r="Q327" s="23"/>
      <c r="R327" s="23"/>
    </row>
    <row r="328" spans="1:18" x14ac:dyDescent="0.2">
      <c r="A328" s="13"/>
      <c r="B328" s="248" t="s">
        <v>20</v>
      </c>
      <c r="C328" s="249"/>
      <c r="D328" s="249"/>
      <c r="E328" s="250"/>
      <c r="F328" s="31"/>
      <c r="G328" s="31"/>
      <c r="H328" s="32"/>
      <c r="I328" s="32">
        <f>SUM(I321:I327)</f>
        <v>325.65999999999997</v>
      </c>
      <c r="J328" s="13"/>
      <c r="K328" s="248" t="s">
        <v>20</v>
      </c>
      <c r="L328" s="249"/>
      <c r="M328" s="249"/>
      <c r="N328" s="250"/>
      <c r="O328" s="31"/>
      <c r="P328" s="31"/>
      <c r="Q328" s="32"/>
      <c r="R328" s="32">
        <f>SUM(R321:R327)</f>
        <v>481.53999999999996</v>
      </c>
    </row>
    <row r="329" spans="1:18" x14ac:dyDescent="0.2">
      <c r="A329" s="12"/>
      <c r="B329" s="251" t="s">
        <v>21</v>
      </c>
      <c r="C329" s="252"/>
      <c r="D329" s="252"/>
      <c r="E329" s="253"/>
      <c r="F329" s="244" t="s">
        <v>22</v>
      </c>
      <c r="G329" s="244" t="s">
        <v>13</v>
      </c>
      <c r="H329" s="244" t="s">
        <v>14</v>
      </c>
      <c r="I329" s="246" t="s">
        <v>15</v>
      </c>
      <c r="J329" s="12"/>
      <c r="K329" s="251" t="s">
        <v>21</v>
      </c>
      <c r="L329" s="252"/>
      <c r="M329" s="252"/>
      <c r="N329" s="253"/>
      <c r="O329" s="244" t="s">
        <v>22</v>
      </c>
      <c r="P329" s="244" t="s">
        <v>13</v>
      </c>
      <c r="Q329" s="244" t="s">
        <v>14</v>
      </c>
      <c r="R329" s="246" t="s">
        <v>15</v>
      </c>
    </row>
    <row r="330" spans="1:18" x14ac:dyDescent="0.2">
      <c r="A330" s="13"/>
      <c r="B330" s="254"/>
      <c r="C330" s="255"/>
      <c r="D330" s="255"/>
      <c r="E330" s="256"/>
      <c r="F330" s="245"/>
      <c r="G330" s="245"/>
      <c r="H330" s="245"/>
      <c r="I330" s="247"/>
      <c r="J330" s="13"/>
      <c r="K330" s="254"/>
      <c r="L330" s="255"/>
      <c r="M330" s="255"/>
      <c r="N330" s="256"/>
      <c r="O330" s="245"/>
      <c r="P330" s="245"/>
      <c r="Q330" s="245"/>
      <c r="R330" s="247"/>
    </row>
    <row r="331" spans="1:18" x14ac:dyDescent="0.2">
      <c r="A331" s="13" t="s">
        <v>23</v>
      </c>
      <c r="B331" s="33" t="s">
        <v>24</v>
      </c>
      <c r="C331" s="15"/>
      <c r="D331" s="15"/>
      <c r="E331" s="16"/>
      <c r="F331" s="34"/>
      <c r="G331" s="34"/>
      <c r="H331" s="35"/>
      <c r="I331" s="35"/>
      <c r="J331" s="13" t="s">
        <v>23</v>
      </c>
      <c r="K331" s="33" t="s">
        <v>24</v>
      </c>
      <c r="L331" s="15"/>
      <c r="M331" s="15"/>
      <c r="N331" s="16"/>
      <c r="O331" s="34"/>
      <c r="P331" s="34"/>
      <c r="Q331" s="35"/>
      <c r="R331" s="35"/>
    </row>
    <row r="332" spans="1:18" x14ac:dyDescent="0.2">
      <c r="A332" s="13"/>
      <c r="B332" s="18"/>
      <c r="C332" s="19"/>
      <c r="D332" s="19"/>
      <c r="E332" s="20"/>
      <c r="F332" s="22"/>
      <c r="G332" s="22"/>
      <c r="H332" s="23"/>
      <c r="I332" s="23"/>
      <c r="J332" s="13"/>
      <c r="K332" s="18"/>
      <c r="L332" s="19"/>
      <c r="M332" s="19"/>
      <c r="N332" s="20"/>
      <c r="O332" s="22"/>
      <c r="P332" s="22"/>
      <c r="Q332" s="23"/>
      <c r="R332" s="23"/>
    </row>
    <row r="333" spans="1:18" ht="17.25" customHeight="1" x14ac:dyDescent="0.2">
      <c r="A333" s="13"/>
      <c r="B333" s="18" t="s">
        <v>62</v>
      </c>
      <c r="C333" s="66"/>
      <c r="D333" s="19"/>
      <c r="E333" s="20"/>
      <c r="F333" s="22">
        <v>1</v>
      </c>
      <c r="G333" s="23">
        <v>0.5</v>
      </c>
      <c r="H333" s="37">
        <v>1537</v>
      </c>
      <c r="I333" s="37">
        <f>G333*H333*F333</f>
        <v>768.5</v>
      </c>
      <c r="J333" s="13"/>
      <c r="K333" s="18" t="s">
        <v>1195</v>
      </c>
      <c r="L333" s="19"/>
      <c r="M333" s="19"/>
      <c r="N333" s="20"/>
      <c r="O333" s="22"/>
      <c r="P333" s="36"/>
      <c r="R333" s="37">
        <f>R328*0.05</f>
        <v>24.076999999999998</v>
      </c>
    </row>
    <row r="334" spans="1:18" ht="17.25" customHeight="1" x14ac:dyDescent="0.2">
      <c r="A334" s="13"/>
      <c r="B334" s="18" t="s">
        <v>424</v>
      </c>
      <c r="C334" s="66"/>
      <c r="D334" s="19"/>
      <c r="E334" s="20"/>
      <c r="F334" s="22">
        <v>1</v>
      </c>
      <c r="G334" s="23">
        <v>0.5</v>
      </c>
      <c r="H334" s="37">
        <v>123</v>
      </c>
      <c r="I334" s="37">
        <f>G334*H334*F334</f>
        <v>61.5</v>
      </c>
      <c r="J334" s="13"/>
      <c r="K334" s="18"/>
      <c r="L334" s="19"/>
      <c r="M334" s="19"/>
      <c r="N334" s="20"/>
      <c r="O334" s="22"/>
      <c r="P334" s="36"/>
      <c r="Q334" s="37"/>
      <c r="R334" s="37"/>
    </row>
    <row r="335" spans="1:18" x14ac:dyDescent="0.2">
      <c r="A335" s="13"/>
      <c r="B335" s="18" t="s">
        <v>1194</v>
      </c>
      <c r="C335" s="66"/>
      <c r="D335" s="19"/>
      <c r="E335" s="20"/>
      <c r="F335" s="22"/>
      <c r="G335" s="71"/>
      <c r="I335" s="37">
        <f>0.1*I328</f>
        <v>32.565999999999995</v>
      </c>
      <c r="J335" s="13"/>
      <c r="K335" s="18"/>
      <c r="L335" s="19"/>
      <c r="M335" s="19"/>
      <c r="N335" s="20"/>
      <c r="O335" s="22"/>
      <c r="P335" s="36"/>
      <c r="Q335" s="37"/>
      <c r="R335" s="37"/>
    </row>
    <row r="336" spans="1:18" x14ac:dyDescent="0.2">
      <c r="A336" s="13"/>
      <c r="B336" s="18"/>
      <c r="C336" s="66"/>
      <c r="F336" s="22"/>
      <c r="G336" s="23"/>
      <c r="H336" s="37"/>
      <c r="I336" s="37"/>
      <c r="J336" s="13"/>
      <c r="O336" s="21"/>
      <c r="P336" s="21"/>
      <c r="Q336" s="21"/>
      <c r="R336" s="37"/>
    </row>
    <row r="337" spans="1:18" x14ac:dyDescent="0.2">
      <c r="A337" s="13"/>
      <c r="B337" s="18"/>
      <c r="C337" s="19"/>
      <c r="D337" s="19"/>
      <c r="E337" s="20"/>
      <c r="F337" s="22"/>
      <c r="G337" s="36"/>
      <c r="H337" s="37"/>
      <c r="I337" s="37"/>
      <c r="J337" s="13"/>
      <c r="K337" s="18"/>
      <c r="L337" s="19"/>
      <c r="M337" s="19"/>
      <c r="N337" s="20"/>
      <c r="O337" s="22"/>
      <c r="P337" s="36"/>
      <c r="Q337" s="37"/>
      <c r="R337" s="37"/>
    </row>
    <row r="338" spans="1:18" x14ac:dyDescent="0.2">
      <c r="A338" s="13"/>
      <c r="B338" s="18"/>
      <c r="C338" s="19"/>
      <c r="D338" s="19"/>
      <c r="E338" s="20"/>
      <c r="F338" s="22"/>
      <c r="G338" s="36"/>
      <c r="H338" s="37"/>
      <c r="I338" s="37"/>
      <c r="J338" s="13"/>
      <c r="K338" s="18"/>
      <c r="L338" s="19"/>
      <c r="M338" s="19"/>
      <c r="N338" s="20"/>
      <c r="O338" s="22"/>
      <c r="P338" s="36"/>
      <c r="Q338" s="38"/>
      <c r="R338" s="38"/>
    </row>
    <row r="339" spans="1:18" x14ac:dyDescent="0.2">
      <c r="A339" s="13"/>
      <c r="B339" s="18"/>
      <c r="C339" s="19"/>
      <c r="D339" s="19"/>
      <c r="E339" s="20"/>
      <c r="F339" s="22"/>
      <c r="G339" s="36"/>
      <c r="H339" s="37"/>
      <c r="I339" s="37"/>
      <c r="J339" s="13"/>
      <c r="K339" s="18"/>
      <c r="L339" s="19"/>
      <c r="M339" s="19"/>
      <c r="N339" s="20"/>
      <c r="O339" s="22"/>
      <c r="P339" s="36"/>
      <c r="Q339" s="38"/>
      <c r="R339" s="38"/>
    </row>
    <row r="340" spans="1:18" x14ac:dyDescent="0.2">
      <c r="A340" s="13"/>
      <c r="B340" s="18"/>
      <c r="C340" s="19"/>
      <c r="D340" s="19"/>
      <c r="E340" s="20"/>
      <c r="F340" s="22"/>
      <c r="G340" s="23"/>
      <c r="H340" s="37"/>
      <c r="I340" s="37"/>
      <c r="J340" s="13"/>
      <c r="K340" s="18"/>
      <c r="L340" s="19"/>
      <c r="M340" s="19"/>
      <c r="N340" s="20"/>
      <c r="O340" s="22"/>
      <c r="P340" s="36"/>
      <c r="Q340" s="38"/>
      <c r="R340" s="38"/>
    </row>
    <row r="341" spans="1:18" x14ac:dyDescent="0.2">
      <c r="A341" s="13"/>
      <c r="B341" s="18"/>
      <c r="C341" s="19"/>
      <c r="D341" s="19"/>
      <c r="E341" s="20"/>
      <c r="F341" s="22"/>
      <c r="G341" s="23"/>
      <c r="H341" s="37"/>
      <c r="I341" s="37"/>
      <c r="J341" s="13"/>
      <c r="K341" s="18"/>
      <c r="L341" s="19"/>
      <c r="M341" s="19"/>
      <c r="N341" s="20"/>
      <c r="O341" s="22"/>
      <c r="P341" s="36"/>
      <c r="Q341" s="38"/>
      <c r="R341" s="38"/>
    </row>
    <row r="342" spans="1:18" x14ac:dyDescent="0.2">
      <c r="A342" s="13"/>
      <c r="B342" s="7"/>
      <c r="C342" s="7"/>
      <c r="D342" s="7"/>
      <c r="E342" s="7"/>
      <c r="F342" s="72"/>
      <c r="G342" s="72"/>
      <c r="H342" s="72"/>
      <c r="I342" s="72"/>
      <c r="J342" s="13"/>
      <c r="K342" s="18"/>
      <c r="L342" s="19"/>
      <c r="M342" s="19"/>
      <c r="N342" s="20"/>
      <c r="O342" s="22"/>
      <c r="P342" s="36"/>
      <c r="Q342" s="37"/>
      <c r="R342" s="37"/>
    </row>
    <row r="343" spans="1:18" x14ac:dyDescent="0.2">
      <c r="A343" s="13"/>
      <c r="B343" s="18"/>
      <c r="C343" s="19"/>
      <c r="D343" s="19"/>
      <c r="E343" s="20"/>
      <c r="F343" s="22"/>
      <c r="G343" s="36"/>
      <c r="H343" s="37"/>
      <c r="I343" s="37"/>
      <c r="J343" s="13"/>
      <c r="K343" s="18"/>
      <c r="L343" s="19"/>
      <c r="M343" s="19"/>
      <c r="N343" s="20"/>
      <c r="O343" s="22"/>
      <c r="P343" s="36"/>
      <c r="Q343" s="37"/>
      <c r="R343" s="37"/>
    </row>
    <row r="344" spans="1:18" ht="15" customHeight="1" x14ac:dyDescent="0.2">
      <c r="A344" s="13"/>
      <c r="B344" s="18"/>
      <c r="C344" s="19"/>
      <c r="D344" s="19"/>
      <c r="E344" s="20"/>
      <c r="F344" s="22"/>
      <c r="G344" s="36"/>
      <c r="H344" s="37"/>
      <c r="I344" s="37"/>
      <c r="J344" s="13"/>
      <c r="K344" s="18"/>
      <c r="L344" s="19"/>
      <c r="M344" s="19"/>
      <c r="N344" s="20"/>
      <c r="O344" s="22"/>
      <c r="P344" s="36"/>
      <c r="Q344" s="37"/>
      <c r="R344" s="37"/>
    </row>
    <row r="345" spans="1:18" x14ac:dyDescent="0.2">
      <c r="A345" s="13"/>
      <c r="B345" s="18"/>
      <c r="C345" s="19"/>
      <c r="D345" s="19"/>
      <c r="E345" s="20"/>
      <c r="F345" s="22"/>
      <c r="G345" s="22"/>
      <c r="H345" s="23"/>
      <c r="I345" s="23"/>
      <c r="J345" s="13"/>
      <c r="K345" s="18"/>
      <c r="L345" s="19"/>
      <c r="M345" s="19"/>
      <c r="N345" s="20"/>
      <c r="O345" s="22"/>
      <c r="P345" s="22"/>
      <c r="Q345" s="23"/>
      <c r="R345" s="23"/>
    </row>
    <row r="346" spans="1:18" x14ac:dyDescent="0.2">
      <c r="A346" s="13"/>
      <c r="B346" s="248" t="s">
        <v>30</v>
      </c>
      <c r="C346" s="249"/>
      <c r="D346" s="249"/>
      <c r="E346" s="250"/>
      <c r="F346" s="22"/>
      <c r="G346" s="22"/>
      <c r="H346" s="23"/>
      <c r="I346" s="23">
        <f>SUM(I333:I345)</f>
        <v>862.56600000000003</v>
      </c>
      <c r="J346" s="13"/>
      <c r="K346" s="248" t="s">
        <v>30</v>
      </c>
      <c r="L346" s="249"/>
      <c r="M346" s="249"/>
      <c r="N346" s="250"/>
      <c r="O346" s="22"/>
      <c r="P346" s="22"/>
      <c r="Q346" s="23"/>
      <c r="R346" s="23">
        <f>SUM(R333:R345)</f>
        <v>24.076999999999998</v>
      </c>
    </row>
    <row r="347" spans="1:18" x14ac:dyDescent="0.2">
      <c r="A347" s="12" t="s">
        <v>31</v>
      </c>
      <c r="B347" s="260" t="s">
        <v>32</v>
      </c>
      <c r="C347" s="261"/>
      <c r="D347" s="261"/>
      <c r="E347" s="261"/>
      <c r="F347" s="39"/>
      <c r="G347" s="39"/>
      <c r="H347" s="40"/>
      <c r="I347" s="41">
        <f>SUM(I346+I328)</f>
        <v>1188.2260000000001</v>
      </c>
      <c r="J347" s="12" t="s">
        <v>31</v>
      </c>
      <c r="K347" s="260" t="s">
        <v>32</v>
      </c>
      <c r="L347" s="261"/>
      <c r="M347" s="261"/>
      <c r="N347" s="261"/>
      <c r="O347" s="39"/>
      <c r="P347" s="39"/>
      <c r="Q347" s="40"/>
      <c r="R347" s="41">
        <f>SUM(R346+R328)</f>
        <v>505.61699999999996</v>
      </c>
    </row>
    <row r="348" spans="1:18" x14ac:dyDescent="0.2">
      <c r="A348" s="13" t="s">
        <v>33</v>
      </c>
      <c r="B348" s="321">
        <f>E315</f>
        <v>1</v>
      </c>
      <c r="C348" s="322"/>
      <c r="D348" s="322"/>
      <c r="E348" s="322"/>
      <c r="F348" s="322"/>
      <c r="G348" s="322"/>
      <c r="H348" s="40"/>
      <c r="I348" s="41"/>
      <c r="J348" s="13" t="s">
        <v>33</v>
      </c>
      <c r="K348" s="275">
        <f>N315</f>
        <v>1.5</v>
      </c>
      <c r="L348" s="276"/>
      <c r="M348" s="276"/>
      <c r="N348" s="276"/>
      <c r="O348" s="276"/>
      <c r="P348" s="276"/>
      <c r="Q348" s="40"/>
      <c r="R348" s="41"/>
    </row>
    <row r="349" spans="1:18" x14ac:dyDescent="0.2">
      <c r="A349" s="13" t="s">
        <v>34</v>
      </c>
      <c r="B349" s="42" t="s">
        <v>35</v>
      </c>
      <c r="C349" s="43"/>
      <c r="D349" s="43"/>
      <c r="E349" s="39"/>
      <c r="F349" s="44"/>
      <c r="G349" s="44"/>
      <c r="H349" s="40"/>
      <c r="I349" s="41">
        <f>I347/E315</f>
        <v>1188.2260000000001</v>
      </c>
      <c r="J349" s="13" t="s">
        <v>34</v>
      </c>
      <c r="K349" s="42" t="s">
        <v>35</v>
      </c>
      <c r="L349" s="43"/>
      <c r="M349" s="43"/>
      <c r="N349" s="39"/>
      <c r="O349" s="44"/>
      <c r="P349" s="44"/>
      <c r="Q349" s="40"/>
      <c r="R349" s="41">
        <f>R347/N315</f>
        <v>337.07799999999997</v>
      </c>
    </row>
    <row r="350" spans="1:18" x14ac:dyDescent="0.2">
      <c r="A350" s="12"/>
      <c r="B350" s="251" t="s">
        <v>36</v>
      </c>
      <c r="C350" s="252"/>
      <c r="D350" s="252"/>
      <c r="E350" s="253"/>
      <c r="F350" s="244" t="s">
        <v>37</v>
      </c>
      <c r="G350" s="244" t="s">
        <v>38</v>
      </c>
      <c r="H350" s="244" t="s">
        <v>39</v>
      </c>
      <c r="I350" s="246" t="s">
        <v>15</v>
      </c>
      <c r="J350" s="12"/>
      <c r="K350" s="251" t="s">
        <v>36</v>
      </c>
      <c r="L350" s="252"/>
      <c r="M350" s="252"/>
      <c r="N350" s="253"/>
      <c r="O350" s="244" t="s">
        <v>37</v>
      </c>
      <c r="P350" s="244" t="s">
        <v>38</v>
      </c>
      <c r="Q350" s="244" t="s">
        <v>39</v>
      </c>
      <c r="R350" s="246" t="s">
        <v>15</v>
      </c>
    </row>
    <row r="351" spans="1:18" x14ac:dyDescent="0.2">
      <c r="A351" s="13"/>
      <c r="B351" s="254"/>
      <c r="C351" s="255"/>
      <c r="D351" s="255"/>
      <c r="E351" s="256"/>
      <c r="F351" s="245"/>
      <c r="G351" s="245"/>
      <c r="H351" s="245"/>
      <c r="I351" s="247"/>
      <c r="J351" s="13"/>
      <c r="K351" s="254"/>
      <c r="L351" s="255"/>
      <c r="M351" s="255"/>
      <c r="N351" s="256"/>
      <c r="O351" s="245"/>
      <c r="P351" s="245"/>
      <c r="Q351" s="245"/>
      <c r="R351" s="247"/>
    </row>
    <row r="352" spans="1:18" x14ac:dyDescent="0.2">
      <c r="A352" s="13" t="s">
        <v>40</v>
      </c>
      <c r="B352" s="18" t="s">
        <v>41</v>
      </c>
      <c r="C352" s="19"/>
      <c r="D352" s="19"/>
      <c r="E352" s="20"/>
      <c r="F352" s="22"/>
      <c r="G352" s="22"/>
      <c r="H352" s="23"/>
      <c r="I352" s="23"/>
      <c r="J352" s="13" t="s">
        <v>40</v>
      </c>
      <c r="K352" s="18" t="s">
        <v>41</v>
      </c>
      <c r="L352" s="19"/>
      <c r="M352" s="19"/>
      <c r="N352" s="20"/>
      <c r="O352" s="22"/>
      <c r="P352" s="22"/>
      <c r="Q352" s="23"/>
      <c r="R352" s="23"/>
    </row>
    <row r="353" spans="1:18" x14ac:dyDescent="0.2">
      <c r="A353" s="13"/>
      <c r="B353" s="18"/>
      <c r="C353" s="19"/>
      <c r="D353" s="19"/>
      <c r="E353" s="20"/>
      <c r="F353" s="22"/>
      <c r="G353" s="22"/>
      <c r="H353" s="23"/>
      <c r="I353" s="23"/>
      <c r="J353" s="13"/>
      <c r="K353" s="18"/>
      <c r="L353" s="19"/>
      <c r="M353" s="19"/>
      <c r="N353" s="20"/>
      <c r="O353" s="22"/>
      <c r="P353" s="22"/>
      <c r="Q353" s="23"/>
      <c r="R353" s="23"/>
    </row>
    <row r="354" spans="1:18" x14ac:dyDescent="0.2">
      <c r="A354" s="13"/>
      <c r="B354" s="18" t="s">
        <v>425</v>
      </c>
      <c r="C354" s="66"/>
      <c r="D354" s="19"/>
      <c r="E354" s="20"/>
      <c r="F354" s="22" t="s">
        <v>227</v>
      </c>
      <c r="G354" s="70">
        <f>'[1]Drawing (Cost Estimate)'!D163</f>
        <v>1.71</v>
      </c>
      <c r="H354" s="107">
        <v>220</v>
      </c>
      <c r="I354" s="23">
        <f>H354*G354</f>
        <v>376.2</v>
      </c>
      <c r="J354" s="13"/>
      <c r="K354" s="18" t="s">
        <v>455</v>
      </c>
      <c r="L354" s="19"/>
      <c r="M354" s="19"/>
      <c r="N354" s="20"/>
      <c r="O354" s="22" t="s">
        <v>9</v>
      </c>
      <c r="P354" s="62">
        <v>1.05</v>
      </c>
      <c r="Q354" s="107">
        <v>920</v>
      </c>
      <c r="R354" s="23">
        <f>Q354*P354</f>
        <v>966</v>
      </c>
    </row>
    <row r="355" spans="1:18" x14ac:dyDescent="0.2">
      <c r="A355" s="13"/>
      <c r="B355" s="18" t="s">
        <v>426</v>
      </c>
      <c r="C355" s="66"/>
      <c r="D355" s="19"/>
      <c r="E355" s="20"/>
      <c r="F355" s="22" t="s">
        <v>9</v>
      </c>
      <c r="G355" s="70">
        <f>'[1]Drawing (Cost Estimate)'!D166</f>
        <v>9.7000000000000003E-2</v>
      </c>
      <c r="H355" s="107">
        <v>850</v>
      </c>
      <c r="I355" s="23">
        <f>H355*G355</f>
        <v>82.45</v>
      </c>
      <c r="J355" s="13"/>
      <c r="K355" s="18" t="s">
        <v>1200</v>
      </c>
      <c r="L355" s="19"/>
      <c r="M355" s="19"/>
      <c r="N355" s="20"/>
      <c r="O355" s="22"/>
      <c r="P355" s="62"/>
      <c r="R355" s="23">
        <f>R354*0.01</f>
        <v>9.66</v>
      </c>
    </row>
    <row r="356" spans="1:18" x14ac:dyDescent="0.2">
      <c r="A356" s="13"/>
      <c r="B356" s="18" t="s">
        <v>456</v>
      </c>
      <c r="C356" s="19"/>
      <c r="D356" s="19"/>
      <c r="E356" s="20"/>
      <c r="F356" s="22" t="s">
        <v>80</v>
      </c>
      <c r="G356" s="62">
        <v>1</v>
      </c>
      <c r="H356" s="107">
        <v>6175</v>
      </c>
      <c r="I356" s="23">
        <f>H356*G356</f>
        <v>6175</v>
      </c>
      <c r="J356" s="13"/>
      <c r="K356" s="18"/>
      <c r="L356" s="19"/>
      <c r="M356" s="19"/>
      <c r="N356" s="20"/>
      <c r="O356" s="22"/>
      <c r="P356" s="70"/>
      <c r="Q356" s="23"/>
      <c r="R356" s="23"/>
    </row>
    <row r="357" spans="1:18" x14ac:dyDescent="0.2">
      <c r="A357" s="13"/>
      <c r="B357" s="18" t="s">
        <v>428</v>
      </c>
      <c r="C357" s="19"/>
      <c r="D357" s="19"/>
      <c r="E357" s="20"/>
      <c r="F357" s="22" t="s">
        <v>9</v>
      </c>
      <c r="G357" s="70">
        <f>'[1]Drawing (Cost Estimate)'!D171</f>
        <v>0.21</v>
      </c>
      <c r="H357" s="107">
        <v>850</v>
      </c>
      <c r="I357" s="23">
        <f>H357*G357</f>
        <v>178.5</v>
      </c>
      <c r="J357" s="13"/>
      <c r="K357" s="18"/>
      <c r="L357" s="19"/>
      <c r="M357" s="19"/>
      <c r="N357" s="20"/>
      <c r="O357" s="22"/>
      <c r="P357" s="62"/>
      <c r="Q357" s="23"/>
      <c r="R357" s="23"/>
    </row>
    <row r="358" spans="1:18" x14ac:dyDescent="0.2">
      <c r="A358" s="13"/>
      <c r="B358" s="18"/>
      <c r="C358" s="19"/>
      <c r="D358" s="19"/>
      <c r="E358" s="20"/>
      <c r="F358" s="22"/>
      <c r="G358" s="22"/>
      <c r="H358" s="23"/>
      <c r="I358" s="23"/>
      <c r="J358" s="13"/>
      <c r="K358" s="18"/>
      <c r="L358" s="19"/>
      <c r="M358" s="19"/>
      <c r="N358" s="20"/>
      <c r="O358" s="22"/>
      <c r="P358" s="70"/>
      <c r="Q358" s="23"/>
      <c r="R358" s="23"/>
    </row>
    <row r="359" spans="1:18" x14ac:dyDescent="0.2">
      <c r="A359" s="13"/>
      <c r="B359" s="18"/>
      <c r="C359" s="19"/>
      <c r="D359" s="19"/>
      <c r="E359" s="20"/>
      <c r="F359" s="22"/>
      <c r="G359" s="22"/>
      <c r="H359" s="23"/>
      <c r="I359" s="23"/>
      <c r="J359" s="13"/>
      <c r="K359" s="18"/>
      <c r="L359" s="19"/>
      <c r="M359" s="19"/>
      <c r="N359" s="20"/>
      <c r="O359" s="22"/>
      <c r="P359" s="62"/>
      <c r="Q359" s="23"/>
      <c r="R359" s="23"/>
    </row>
    <row r="360" spans="1:18" ht="15" customHeight="1" x14ac:dyDescent="0.2">
      <c r="A360" s="13"/>
      <c r="B360" s="18"/>
      <c r="C360" s="19"/>
      <c r="D360" s="19"/>
      <c r="E360" s="20"/>
      <c r="F360" s="22"/>
      <c r="G360" s="22"/>
      <c r="H360" s="23"/>
      <c r="I360" s="23"/>
      <c r="J360" s="13"/>
      <c r="K360" s="18"/>
      <c r="L360" s="19"/>
      <c r="M360" s="19"/>
      <c r="N360" s="20"/>
      <c r="O360" s="22"/>
      <c r="P360" s="22"/>
      <c r="Q360" s="23"/>
      <c r="R360" s="23"/>
    </row>
    <row r="361" spans="1:18" x14ac:dyDescent="0.2">
      <c r="A361" s="13"/>
      <c r="B361" s="18"/>
      <c r="C361" s="19"/>
      <c r="D361" s="19"/>
      <c r="E361" s="20"/>
      <c r="F361" s="22"/>
      <c r="G361" s="22"/>
      <c r="H361" s="23"/>
      <c r="I361" s="23"/>
      <c r="J361" s="13"/>
      <c r="K361" s="18"/>
      <c r="L361" s="19"/>
      <c r="M361" s="19"/>
      <c r="N361" s="20"/>
      <c r="O361" s="22"/>
      <c r="P361" s="22"/>
      <c r="Q361" s="23"/>
      <c r="R361" s="23"/>
    </row>
    <row r="362" spans="1:18" x14ac:dyDescent="0.2">
      <c r="A362" s="13"/>
      <c r="B362" s="18"/>
      <c r="C362" s="19"/>
      <c r="D362" s="19"/>
      <c r="E362" s="20"/>
      <c r="F362" s="22"/>
      <c r="G362" s="22"/>
      <c r="H362" s="23"/>
      <c r="I362" s="23"/>
      <c r="J362" s="13"/>
      <c r="K362" s="18"/>
      <c r="L362" s="19"/>
      <c r="M362" s="19"/>
      <c r="N362" s="20"/>
      <c r="O362" s="22"/>
      <c r="P362" s="22"/>
      <c r="Q362" s="23"/>
      <c r="R362" s="23"/>
    </row>
    <row r="363" spans="1:18" x14ac:dyDescent="0.2">
      <c r="A363" s="13"/>
      <c r="B363" s="18"/>
      <c r="C363" s="19"/>
      <c r="D363" s="19"/>
      <c r="E363" s="20"/>
      <c r="F363" s="22"/>
      <c r="G363" s="22"/>
      <c r="H363" s="23"/>
      <c r="I363" s="23"/>
      <c r="J363" s="13"/>
      <c r="K363" s="18"/>
      <c r="L363" s="19"/>
      <c r="M363" s="19"/>
      <c r="N363" s="20"/>
      <c r="O363" s="22"/>
      <c r="P363" s="22"/>
      <c r="Q363" s="23"/>
      <c r="R363" s="23"/>
    </row>
    <row r="364" spans="1:18" x14ac:dyDescent="0.2">
      <c r="A364" s="13"/>
      <c r="B364" s="18"/>
      <c r="C364" s="19"/>
      <c r="D364" s="19"/>
      <c r="E364" s="20"/>
      <c r="F364" s="22"/>
      <c r="G364" s="22"/>
      <c r="H364" s="23"/>
      <c r="I364" s="23"/>
      <c r="J364" s="13"/>
      <c r="K364" s="18"/>
      <c r="L364" s="19"/>
      <c r="M364" s="19"/>
      <c r="N364" s="20"/>
      <c r="O364" s="22"/>
      <c r="P364" s="22"/>
      <c r="Q364" s="23"/>
      <c r="R364" s="23"/>
    </row>
    <row r="365" spans="1:18" x14ac:dyDescent="0.2">
      <c r="A365" s="13"/>
      <c r="B365" s="18"/>
      <c r="C365" s="19"/>
      <c r="D365" s="19"/>
      <c r="E365" s="20"/>
      <c r="F365" s="22"/>
      <c r="G365" s="22"/>
      <c r="H365" s="23"/>
      <c r="I365" s="23"/>
      <c r="J365" s="13"/>
      <c r="K365" s="18"/>
      <c r="L365" s="19"/>
      <c r="M365" s="19"/>
      <c r="N365" s="20"/>
      <c r="O365" s="22"/>
      <c r="P365" s="22"/>
      <c r="Q365" s="23"/>
      <c r="R365" s="23"/>
    </row>
    <row r="366" spans="1:18" x14ac:dyDescent="0.2">
      <c r="A366" s="13"/>
      <c r="B366" s="18"/>
      <c r="C366" s="19"/>
      <c r="D366" s="19"/>
      <c r="E366" s="20"/>
      <c r="F366" s="22"/>
      <c r="G366" s="36"/>
      <c r="H366" s="37"/>
      <c r="I366" s="37"/>
      <c r="J366" s="13"/>
      <c r="K366" s="18"/>
      <c r="L366" s="19"/>
      <c r="M366" s="19"/>
      <c r="N366" s="20"/>
      <c r="O366" s="22"/>
      <c r="P366" s="36"/>
      <c r="Q366" s="37"/>
      <c r="R366" s="37"/>
    </row>
    <row r="367" spans="1:18" x14ac:dyDescent="0.2">
      <c r="A367" s="13"/>
      <c r="B367" s="248" t="s">
        <v>42</v>
      </c>
      <c r="C367" s="249"/>
      <c r="D367" s="249"/>
      <c r="E367" s="250"/>
      <c r="F367" s="46"/>
      <c r="G367" s="46"/>
      <c r="H367" s="47"/>
      <c r="I367" s="47">
        <f>SUM(I354:I366)</f>
        <v>6812.15</v>
      </c>
      <c r="J367" s="13"/>
      <c r="K367" s="248" t="s">
        <v>42</v>
      </c>
      <c r="L367" s="249"/>
      <c r="M367" s="249"/>
      <c r="N367" s="250"/>
      <c r="O367" s="46"/>
      <c r="P367" s="46"/>
      <c r="Q367" s="47"/>
      <c r="R367" s="47">
        <f>SUM(R354:R366)</f>
        <v>975.66</v>
      </c>
    </row>
    <row r="368" spans="1:18" x14ac:dyDescent="0.2">
      <c r="A368" s="12" t="s">
        <v>43</v>
      </c>
      <c r="B368" s="48" t="s">
        <v>44</v>
      </c>
      <c r="C368" s="43"/>
      <c r="D368" s="43"/>
      <c r="E368" s="39"/>
      <c r="F368" s="49"/>
      <c r="G368" s="49"/>
      <c r="H368" s="50"/>
      <c r="I368" s="51">
        <f>SUM(I349+I367)</f>
        <v>8000.3760000000002</v>
      </c>
      <c r="J368" s="12" t="s">
        <v>43</v>
      </c>
      <c r="K368" s="48" t="s">
        <v>44</v>
      </c>
      <c r="L368" s="43"/>
      <c r="M368" s="43"/>
      <c r="N368" s="39"/>
      <c r="O368" s="49"/>
      <c r="P368" s="49"/>
      <c r="Q368" s="50"/>
      <c r="R368" s="51">
        <f>SUM(R349+R367)</f>
        <v>1312.7379999999998</v>
      </c>
    </row>
    <row r="369" spans="1:18" x14ac:dyDescent="0.2">
      <c r="A369" s="13" t="s">
        <v>45</v>
      </c>
      <c r="B369" s="48" t="s">
        <v>46</v>
      </c>
      <c r="C369" s="43"/>
      <c r="D369" s="43"/>
      <c r="E369" s="39"/>
      <c r="F369" s="49"/>
      <c r="G369" s="52">
        <v>0.09</v>
      </c>
      <c r="H369" s="53" t="s">
        <v>47</v>
      </c>
      <c r="I369" s="51">
        <f>G369*I368</f>
        <v>720.03383999999994</v>
      </c>
      <c r="J369" s="13" t="s">
        <v>45</v>
      </c>
      <c r="K369" s="48" t="s">
        <v>46</v>
      </c>
      <c r="L369" s="43"/>
      <c r="M369" s="43"/>
      <c r="N369" s="39"/>
      <c r="O369" s="49"/>
      <c r="P369" s="52">
        <v>0.09</v>
      </c>
      <c r="Q369" s="53" t="s">
        <v>47</v>
      </c>
      <c r="R369" s="51">
        <f>P369*R368</f>
        <v>118.14641999999998</v>
      </c>
    </row>
    <row r="370" spans="1:18" x14ac:dyDescent="0.2">
      <c r="A370" s="13" t="s">
        <v>48</v>
      </c>
      <c r="B370" s="48" t="s">
        <v>49</v>
      </c>
      <c r="C370" s="43"/>
      <c r="D370" s="43"/>
      <c r="E370" s="39"/>
      <c r="F370" s="49"/>
      <c r="G370" s="52">
        <v>0.08</v>
      </c>
      <c r="H370" s="53" t="s">
        <v>47</v>
      </c>
      <c r="I370" s="51">
        <f>G370*I368</f>
        <v>640.03008</v>
      </c>
      <c r="J370" s="13" t="s">
        <v>48</v>
      </c>
      <c r="K370" s="48" t="s">
        <v>49</v>
      </c>
      <c r="L370" s="43"/>
      <c r="M370" s="43"/>
      <c r="N370" s="39"/>
      <c r="O370" s="49"/>
      <c r="P370" s="52">
        <v>0.08</v>
      </c>
      <c r="Q370" s="53" t="s">
        <v>47</v>
      </c>
      <c r="R370" s="51">
        <f>P370*R368</f>
        <v>105.01903999999999</v>
      </c>
    </row>
    <row r="371" spans="1:18" x14ac:dyDescent="0.2">
      <c r="A371" s="13" t="s">
        <v>50</v>
      </c>
      <c r="B371" s="48" t="s">
        <v>51</v>
      </c>
      <c r="C371" s="43"/>
      <c r="D371" s="43"/>
      <c r="E371" s="39"/>
      <c r="F371" s="49"/>
      <c r="G371" s="52">
        <f>5/100</f>
        <v>0.05</v>
      </c>
      <c r="H371" s="53" t="s">
        <v>52</v>
      </c>
      <c r="I371" s="51">
        <f>G371*(I368+I369+I370)</f>
        <v>468.02199600000006</v>
      </c>
      <c r="J371" s="13" t="s">
        <v>50</v>
      </c>
      <c r="K371" s="48" t="s">
        <v>51</v>
      </c>
      <c r="L371" s="43"/>
      <c r="M371" s="43"/>
      <c r="N371" s="39"/>
      <c r="O371" s="49"/>
      <c r="P371" s="52">
        <f>5/100</f>
        <v>0.05</v>
      </c>
      <c r="Q371" s="53" t="s">
        <v>52</v>
      </c>
      <c r="R371" s="51">
        <f>P371*(R368+R369+R370)</f>
        <v>76.795172999999991</v>
      </c>
    </row>
    <row r="372" spans="1:18" x14ac:dyDescent="0.2">
      <c r="A372" s="54" t="s">
        <v>53</v>
      </c>
      <c r="B372" s="48" t="s">
        <v>54</v>
      </c>
      <c r="C372" s="43"/>
      <c r="D372" s="43"/>
      <c r="E372" s="39"/>
      <c r="F372" s="49"/>
      <c r="G372" s="49"/>
      <c r="H372" s="55" t="s">
        <v>55</v>
      </c>
      <c r="I372" s="51">
        <f>SUM(I368+I369+I370+I371)</f>
        <v>9828.4619160000002</v>
      </c>
      <c r="J372" s="54" t="s">
        <v>53</v>
      </c>
      <c r="K372" s="48" t="s">
        <v>54</v>
      </c>
      <c r="L372" s="43"/>
      <c r="M372" s="43"/>
      <c r="N372" s="39"/>
      <c r="O372" s="49"/>
      <c r="P372" s="49"/>
      <c r="Q372" s="55" t="s">
        <v>55</v>
      </c>
      <c r="R372" s="51">
        <f>SUM(R368+R369+R370+R371)</f>
        <v>1612.6986329999997</v>
      </c>
    </row>
    <row r="373" spans="1:18" s="1" customFormat="1" x14ac:dyDescent="0.2">
      <c r="A373" s="236" t="s">
        <v>0</v>
      </c>
      <c r="B373" s="236"/>
      <c r="C373" s="236"/>
      <c r="D373" s="236"/>
      <c r="E373" s="236"/>
      <c r="F373" s="236"/>
      <c r="G373" s="236"/>
      <c r="H373" s="236"/>
      <c r="I373" s="236"/>
      <c r="J373" s="236" t="s">
        <v>0</v>
      </c>
      <c r="K373" s="236"/>
      <c r="L373" s="236"/>
      <c r="M373" s="236"/>
      <c r="N373" s="236"/>
      <c r="O373" s="236"/>
      <c r="P373" s="236"/>
      <c r="Q373" s="236"/>
      <c r="R373" s="236"/>
    </row>
    <row r="375" spans="1:18" x14ac:dyDescent="0.2">
      <c r="A375" s="2" t="s">
        <v>1</v>
      </c>
      <c r="C375" s="4" t="s">
        <v>2</v>
      </c>
      <c r="D375" s="5" t="s">
        <v>457</v>
      </c>
      <c r="E375" s="2" t="s">
        <v>458</v>
      </c>
      <c r="F375" s="2"/>
      <c r="G375" s="2"/>
      <c r="H375" s="2"/>
      <c r="J375" s="2" t="s">
        <v>1</v>
      </c>
      <c r="L375" s="4" t="s">
        <v>2</v>
      </c>
      <c r="M375" s="5" t="s">
        <v>459</v>
      </c>
      <c r="N375" s="237" t="s">
        <v>460</v>
      </c>
      <c r="O375" s="237"/>
      <c r="P375" s="237"/>
      <c r="Q375" s="237"/>
    </row>
    <row r="376" spans="1:18" x14ac:dyDescent="0.2">
      <c r="A376" s="2" t="s">
        <v>7</v>
      </c>
      <c r="C376" s="4" t="s">
        <v>2</v>
      </c>
      <c r="E376" s="152" t="s">
        <v>66</v>
      </c>
      <c r="F376" s="8"/>
      <c r="G376" s="8"/>
      <c r="H376" s="8"/>
      <c r="J376" s="2" t="s">
        <v>7</v>
      </c>
      <c r="L376" s="4" t="s">
        <v>2</v>
      </c>
      <c r="N376" s="2" t="s">
        <v>9</v>
      </c>
      <c r="O376" s="8"/>
      <c r="P376" s="8"/>
      <c r="Q376" s="8"/>
    </row>
    <row r="377" spans="1:18" x14ac:dyDescent="0.2">
      <c r="A377" s="2" t="s">
        <v>10</v>
      </c>
      <c r="C377" s="4" t="s">
        <v>2</v>
      </c>
      <c r="E377" s="9">
        <v>1</v>
      </c>
      <c r="F377" s="8"/>
      <c r="G377" s="8"/>
      <c r="H377" s="8"/>
      <c r="J377" s="2" t="s">
        <v>10</v>
      </c>
      <c r="L377" s="4" t="s">
        <v>2</v>
      </c>
      <c r="N377" s="9">
        <v>1.25</v>
      </c>
      <c r="O377" s="8"/>
      <c r="P377" s="8"/>
      <c r="Q377" s="8"/>
    </row>
    <row r="378" spans="1:18" x14ac:dyDescent="0.2">
      <c r="B378" s="8"/>
      <c r="F378" s="11"/>
      <c r="G378" s="8"/>
      <c r="H378" s="8"/>
      <c r="I378" s="8"/>
      <c r="K378" s="8"/>
      <c r="O378" s="11"/>
      <c r="P378" s="8"/>
      <c r="Q378" s="8"/>
      <c r="R378" s="8"/>
    </row>
    <row r="379" spans="1:18" x14ac:dyDescent="0.2">
      <c r="A379" s="12"/>
      <c r="B379" s="238" t="s">
        <v>11</v>
      </c>
      <c r="C379" s="239"/>
      <c r="D379" s="239"/>
      <c r="E379" s="240"/>
      <c r="F379" s="244" t="s">
        <v>12</v>
      </c>
      <c r="G379" s="244" t="s">
        <v>13</v>
      </c>
      <c r="H379" s="244" t="s">
        <v>14</v>
      </c>
      <c r="I379" s="246" t="s">
        <v>15</v>
      </c>
      <c r="J379" s="12"/>
      <c r="K379" s="238" t="s">
        <v>11</v>
      </c>
      <c r="L379" s="239"/>
      <c r="M379" s="239"/>
      <c r="N379" s="240"/>
      <c r="O379" s="244" t="s">
        <v>12</v>
      </c>
      <c r="P379" s="244" t="s">
        <v>13</v>
      </c>
      <c r="Q379" s="244" t="s">
        <v>14</v>
      </c>
      <c r="R379" s="246" t="s">
        <v>15</v>
      </c>
    </row>
    <row r="380" spans="1:18" x14ac:dyDescent="0.2">
      <c r="A380" s="13"/>
      <c r="B380" s="241"/>
      <c r="C380" s="242"/>
      <c r="D380" s="242"/>
      <c r="E380" s="243"/>
      <c r="F380" s="245"/>
      <c r="G380" s="245"/>
      <c r="H380" s="245"/>
      <c r="I380" s="247"/>
      <c r="J380" s="13"/>
      <c r="K380" s="241"/>
      <c r="L380" s="242"/>
      <c r="M380" s="242"/>
      <c r="N380" s="243"/>
      <c r="O380" s="245"/>
      <c r="P380" s="245"/>
      <c r="Q380" s="245"/>
      <c r="R380" s="247"/>
    </row>
    <row r="381" spans="1:18" x14ac:dyDescent="0.2">
      <c r="A381" s="13" t="s">
        <v>16</v>
      </c>
      <c r="B381" s="14" t="s">
        <v>17</v>
      </c>
      <c r="C381" s="15"/>
      <c r="D381" s="15"/>
      <c r="E381" s="16"/>
      <c r="F381" s="17"/>
      <c r="G381" s="17"/>
      <c r="H381" s="17"/>
      <c r="I381" s="17"/>
      <c r="J381" s="13" t="s">
        <v>16</v>
      </c>
      <c r="K381" s="14" t="s">
        <v>17</v>
      </c>
      <c r="L381" s="15"/>
      <c r="M381" s="15"/>
      <c r="N381" s="16"/>
      <c r="O381" s="17"/>
      <c r="P381" s="17"/>
      <c r="Q381" s="17"/>
      <c r="R381" s="17"/>
    </row>
    <row r="382" spans="1:18" x14ac:dyDescent="0.2">
      <c r="A382" s="13"/>
      <c r="B382" s="18"/>
      <c r="C382" s="19"/>
      <c r="D382" s="19"/>
      <c r="E382" s="20"/>
      <c r="F382" s="21"/>
      <c r="G382" s="22"/>
      <c r="H382" s="21"/>
      <c r="I382" s="21"/>
      <c r="J382" s="13"/>
      <c r="K382" s="18"/>
      <c r="L382" s="19"/>
      <c r="M382" s="19"/>
      <c r="N382" s="20"/>
      <c r="O382" s="21"/>
      <c r="P382" s="22"/>
      <c r="Q382" s="21"/>
      <c r="R382" s="21"/>
    </row>
    <row r="383" spans="1:18" x14ac:dyDescent="0.2">
      <c r="A383" s="13"/>
      <c r="B383" s="24" t="s">
        <v>18</v>
      </c>
      <c r="C383" s="25"/>
      <c r="D383" s="25"/>
      <c r="E383" s="26"/>
      <c r="F383" s="22">
        <v>1</v>
      </c>
      <c r="G383" s="23">
        <v>0.8</v>
      </c>
      <c r="H383" s="23">
        <v>69.42</v>
      </c>
      <c r="I383" s="23">
        <f>G383*H383*F383</f>
        <v>55.536000000000001</v>
      </c>
      <c r="J383" s="13"/>
      <c r="K383" s="24" t="s">
        <v>18</v>
      </c>
      <c r="L383" s="25"/>
      <c r="M383" s="25"/>
      <c r="N383" s="26"/>
      <c r="O383" s="22">
        <v>1</v>
      </c>
      <c r="P383" s="23">
        <v>1</v>
      </c>
      <c r="Q383" s="23">
        <v>69.42</v>
      </c>
      <c r="R383" s="23">
        <f>P383*Q383*O383</f>
        <v>69.42</v>
      </c>
    </row>
    <row r="384" spans="1:18" x14ac:dyDescent="0.2">
      <c r="A384" s="13"/>
      <c r="B384" s="257" t="s">
        <v>1179</v>
      </c>
      <c r="C384" s="258"/>
      <c r="D384" s="19"/>
      <c r="E384" s="20"/>
      <c r="F384" s="22">
        <v>4</v>
      </c>
      <c r="G384" s="23">
        <v>0.8</v>
      </c>
      <c r="H384" s="23">
        <v>38.97</v>
      </c>
      <c r="I384" s="23">
        <f>G384*H384*F384</f>
        <v>124.70400000000001</v>
      </c>
      <c r="J384" s="13"/>
      <c r="K384" s="257" t="s">
        <v>1178</v>
      </c>
      <c r="L384" s="258"/>
      <c r="M384" s="25"/>
      <c r="N384" s="26"/>
      <c r="O384" s="22">
        <v>2</v>
      </c>
      <c r="P384" s="23">
        <v>1</v>
      </c>
      <c r="Q384" s="23">
        <v>50.18</v>
      </c>
      <c r="R384" s="23">
        <f>P384*Q384*O384</f>
        <v>100.36</v>
      </c>
    </row>
    <row r="385" spans="1:18" x14ac:dyDescent="0.2">
      <c r="A385" s="13"/>
      <c r="B385" s="257"/>
      <c r="C385" s="258"/>
      <c r="D385" s="19"/>
      <c r="E385" s="20"/>
      <c r="F385" s="22"/>
      <c r="G385" s="22"/>
      <c r="H385" s="23"/>
      <c r="I385" s="23"/>
      <c r="J385" s="13"/>
      <c r="K385" s="257" t="s">
        <v>1177</v>
      </c>
      <c r="L385" s="258"/>
      <c r="M385" s="19"/>
      <c r="N385" s="20"/>
      <c r="O385" s="22">
        <v>4</v>
      </c>
      <c r="P385" s="23">
        <v>1</v>
      </c>
      <c r="Q385" s="23">
        <v>38.97</v>
      </c>
      <c r="R385" s="23">
        <f>P385*Q385*O385</f>
        <v>155.88</v>
      </c>
    </row>
    <row r="386" spans="1:18" ht="15" customHeight="1" x14ac:dyDescent="0.2">
      <c r="A386" s="13"/>
      <c r="B386" s="27"/>
      <c r="C386" s="19"/>
      <c r="D386" s="19"/>
      <c r="E386" s="20"/>
      <c r="F386" s="22"/>
      <c r="G386" s="22"/>
      <c r="H386" s="29"/>
      <c r="I386" s="30"/>
      <c r="J386" s="13"/>
      <c r="K386" s="27"/>
      <c r="L386" s="19"/>
      <c r="M386" s="19"/>
      <c r="N386" s="20"/>
      <c r="O386" s="22"/>
      <c r="P386" s="22"/>
      <c r="Q386" s="29"/>
      <c r="R386" s="30"/>
    </row>
    <row r="387" spans="1:18" x14ac:dyDescent="0.2">
      <c r="A387" s="13"/>
      <c r="B387" s="27"/>
      <c r="C387" s="19"/>
      <c r="D387" s="19"/>
      <c r="E387" s="20"/>
      <c r="F387" s="22"/>
      <c r="G387" s="22"/>
      <c r="H387" s="29"/>
      <c r="I387" s="30"/>
      <c r="J387" s="13"/>
      <c r="K387" s="27"/>
      <c r="L387" s="19"/>
      <c r="M387" s="19"/>
      <c r="N387" s="20"/>
      <c r="O387" s="22"/>
      <c r="P387" s="22"/>
      <c r="Q387" s="29"/>
      <c r="R387" s="30"/>
    </row>
    <row r="388" spans="1:18" x14ac:dyDescent="0.2">
      <c r="A388" s="13"/>
      <c r="B388" s="18"/>
      <c r="C388" s="19"/>
      <c r="D388" s="19"/>
      <c r="E388" s="20"/>
      <c r="F388" s="22"/>
      <c r="G388" s="22"/>
      <c r="H388" s="28"/>
      <c r="I388" s="23"/>
      <c r="J388" s="13"/>
      <c r="K388" s="18"/>
      <c r="L388" s="19"/>
      <c r="M388" s="19"/>
      <c r="N388" s="20"/>
      <c r="O388" s="22"/>
      <c r="P388" s="22"/>
      <c r="Q388" s="28"/>
      <c r="R388" s="23"/>
    </row>
    <row r="389" spans="1:18" x14ac:dyDescent="0.2">
      <c r="A389" s="13"/>
      <c r="B389" s="18"/>
      <c r="C389" s="19"/>
      <c r="D389" s="19"/>
      <c r="E389" s="20"/>
      <c r="F389" s="22"/>
      <c r="G389" s="22"/>
      <c r="H389" s="23"/>
      <c r="I389" s="23"/>
      <c r="J389" s="13"/>
      <c r="K389" s="18"/>
      <c r="L389" s="19"/>
      <c r="M389" s="19"/>
      <c r="N389" s="20"/>
      <c r="O389" s="22"/>
      <c r="P389" s="22"/>
      <c r="Q389" s="23"/>
      <c r="R389" s="23"/>
    </row>
    <row r="390" spans="1:18" x14ac:dyDescent="0.2">
      <c r="A390" s="13"/>
      <c r="B390" s="248" t="s">
        <v>20</v>
      </c>
      <c r="C390" s="249"/>
      <c r="D390" s="249"/>
      <c r="E390" s="250"/>
      <c r="F390" s="31"/>
      <c r="G390" s="31"/>
      <c r="H390" s="32"/>
      <c r="I390" s="32">
        <f>SUM(I383:I389)</f>
        <v>180.24</v>
      </c>
      <c r="J390" s="13"/>
      <c r="K390" s="248" t="s">
        <v>20</v>
      </c>
      <c r="L390" s="249"/>
      <c r="M390" s="249"/>
      <c r="N390" s="250"/>
      <c r="O390" s="31"/>
      <c r="P390" s="31"/>
      <c r="Q390" s="32"/>
      <c r="R390" s="32">
        <f>SUM(R383:R389)</f>
        <v>325.65999999999997</v>
      </c>
    </row>
    <row r="391" spans="1:18" x14ac:dyDescent="0.2">
      <c r="A391" s="12"/>
      <c r="B391" s="251" t="s">
        <v>21</v>
      </c>
      <c r="C391" s="252"/>
      <c r="D391" s="252"/>
      <c r="E391" s="253"/>
      <c r="F391" s="244" t="s">
        <v>22</v>
      </c>
      <c r="G391" s="244" t="s">
        <v>13</v>
      </c>
      <c r="H391" s="244" t="s">
        <v>14</v>
      </c>
      <c r="I391" s="246" t="s">
        <v>15</v>
      </c>
      <c r="J391" s="12"/>
      <c r="K391" s="251" t="s">
        <v>21</v>
      </c>
      <c r="L391" s="252"/>
      <c r="M391" s="252"/>
      <c r="N391" s="253"/>
      <c r="O391" s="244" t="s">
        <v>22</v>
      </c>
      <c r="P391" s="244" t="s">
        <v>13</v>
      </c>
      <c r="Q391" s="244" t="s">
        <v>14</v>
      </c>
      <c r="R391" s="246" t="s">
        <v>15</v>
      </c>
    </row>
    <row r="392" spans="1:18" x14ac:dyDescent="0.2">
      <c r="A392" s="13"/>
      <c r="B392" s="254"/>
      <c r="C392" s="255"/>
      <c r="D392" s="255"/>
      <c r="E392" s="256"/>
      <c r="F392" s="245"/>
      <c r="G392" s="245"/>
      <c r="H392" s="245"/>
      <c r="I392" s="247"/>
      <c r="J392" s="13"/>
      <c r="K392" s="254"/>
      <c r="L392" s="255"/>
      <c r="M392" s="255"/>
      <c r="N392" s="256"/>
      <c r="O392" s="245"/>
      <c r="P392" s="245"/>
      <c r="Q392" s="245"/>
      <c r="R392" s="247"/>
    </row>
    <row r="393" spans="1:18" x14ac:dyDescent="0.2">
      <c r="A393" s="13" t="s">
        <v>23</v>
      </c>
      <c r="B393" s="33" t="s">
        <v>24</v>
      </c>
      <c r="C393" s="15"/>
      <c r="D393" s="15"/>
      <c r="E393" s="16"/>
      <c r="F393" s="34"/>
      <c r="G393" s="34"/>
      <c r="H393" s="35"/>
      <c r="I393" s="35"/>
      <c r="J393" s="13" t="s">
        <v>23</v>
      </c>
      <c r="K393" s="33" t="s">
        <v>24</v>
      </c>
      <c r="L393" s="15"/>
      <c r="M393" s="15"/>
      <c r="N393" s="16"/>
      <c r="O393" s="34"/>
      <c r="P393" s="34"/>
      <c r="Q393" s="35"/>
      <c r="R393" s="35"/>
    </row>
    <row r="394" spans="1:18" x14ac:dyDescent="0.2">
      <c r="A394" s="13"/>
      <c r="B394" s="18"/>
      <c r="C394" s="19"/>
      <c r="D394" s="19"/>
      <c r="E394" s="20"/>
      <c r="F394" s="22"/>
      <c r="G394" s="22"/>
      <c r="H394" s="23"/>
      <c r="I394" s="23"/>
      <c r="J394" s="13"/>
      <c r="K394" s="18"/>
      <c r="L394" s="19"/>
      <c r="M394" s="19"/>
      <c r="N394" s="20"/>
      <c r="O394" s="22"/>
      <c r="P394" s="22"/>
      <c r="Q394" s="23"/>
      <c r="R394" s="23"/>
    </row>
    <row r="395" spans="1:18" ht="17.25" customHeight="1" x14ac:dyDescent="0.2">
      <c r="A395" s="13"/>
      <c r="B395" s="18" t="s">
        <v>135</v>
      </c>
      <c r="C395" s="66"/>
      <c r="D395" s="19"/>
      <c r="E395" s="20"/>
      <c r="F395" s="22">
        <v>1</v>
      </c>
      <c r="G395" s="23">
        <v>0.4</v>
      </c>
      <c r="H395" s="37">
        <v>123</v>
      </c>
      <c r="I395" s="37">
        <f>G395*H395*F395</f>
        <v>49.2</v>
      </c>
      <c r="J395" s="13"/>
      <c r="K395" s="18" t="s">
        <v>461</v>
      </c>
      <c r="L395" s="19"/>
      <c r="M395" s="19"/>
      <c r="N395" s="20"/>
      <c r="O395" s="22">
        <v>1</v>
      </c>
      <c r="P395" s="23">
        <v>0.5</v>
      </c>
      <c r="Q395" s="37">
        <v>922</v>
      </c>
      <c r="R395" s="37">
        <f>P395*Q395*O395</f>
        <v>461</v>
      </c>
    </row>
    <row r="396" spans="1:18" ht="17.25" customHeight="1" x14ac:dyDescent="0.2">
      <c r="A396" s="13"/>
      <c r="B396" s="18" t="s">
        <v>1192</v>
      </c>
      <c r="C396" s="19"/>
      <c r="D396" s="19"/>
      <c r="E396" s="20"/>
      <c r="F396" s="22"/>
      <c r="G396" s="36"/>
      <c r="I396" s="37">
        <f>I390*0.1</f>
        <v>18.024000000000001</v>
      </c>
      <c r="J396" s="13"/>
      <c r="K396" s="18" t="s">
        <v>260</v>
      </c>
      <c r="L396" s="19"/>
      <c r="M396" s="19"/>
      <c r="N396" s="20"/>
      <c r="O396" s="22"/>
      <c r="P396" s="36"/>
      <c r="R396" s="37">
        <f>R390*0.05</f>
        <v>16.282999999999998</v>
      </c>
    </row>
    <row r="397" spans="1:18" x14ac:dyDescent="0.2">
      <c r="A397" s="13"/>
      <c r="B397" s="18"/>
      <c r="C397" s="19"/>
      <c r="D397" s="19"/>
      <c r="E397" s="20"/>
      <c r="F397" s="22"/>
      <c r="G397" s="23"/>
      <c r="H397" s="37"/>
      <c r="I397" s="37"/>
      <c r="J397" s="13"/>
      <c r="K397" s="18"/>
      <c r="L397" s="19"/>
      <c r="M397" s="19"/>
      <c r="N397" s="20"/>
      <c r="O397" s="22"/>
      <c r="P397" s="36"/>
      <c r="Q397" s="37"/>
      <c r="R397" s="37"/>
    </row>
    <row r="398" spans="1:18" x14ac:dyDescent="0.2">
      <c r="A398" s="13"/>
      <c r="B398" s="18"/>
      <c r="C398" s="19"/>
      <c r="D398" s="19"/>
      <c r="E398" s="20"/>
      <c r="F398" s="22"/>
      <c r="G398" s="36"/>
      <c r="H398" s="37"/>
      <c r="I398" s="37"/>
      <c r="J398" s="13"/>
      <c r="O398" s="21"/>
      <c r="P398" s="21"/>
      <c r="Q398" s="21"/>
      <c r="R398" s="37"/>
    </row>
    <row r="399" spans="1:18" x14ac:dyDescent="0.2">
      <c r="A399" s="13"/>
      <c r="B399" s="18"/>
      <c r="C399" s="19"/>
      <c r="D399" s="19"/>
      <c r="E399" s="20"/>
      <c r="F399" s="22"/>
      <c r="G399" s="36"/>
      <c r="H399" s="37"/>
      <c r="I399" s="37"/>
      <c r="J399" s="13"/>
      <c r="K399" s="18"/>
      <c r="L399" s="19"/>
      <c r="M399" s="19"/>
      <c r="N399" s="20"/>
      <c r="O399" s="22"/>
      <c r="P399" s="36"/>
      <c r="Q399" s="37"/>
      <c r="R399" s="37"/>
    </row>
    <row r="400" spans="1:18" x14ac:dyDescent="0.2">
      <c r="A400" s="13"/>
      <c r="B400" s="18"/>
      <c r="C400" s="19"/>
      <c r="D400" s="19"/>
      <c r="E400" s="20"/>
      <c r="F400" s="22"/>
      <c r="G400" s="36"/>
      <c r="H400" s="38"/>
      <c r="I400" s="38"/>
      <c r="J400" s="13"/>
      <c r="K400" s="18"/>
      <c r="L400" s="19"/>
      <c r="M400" s="19"/>
      <c r="N400" s="20"/>
      <c r="O400" s="22"/>
      <c r="P400" s="36"/>
      <c r="Q400" s="38"/>
      <c r="R400" s="38"/>
    </row>
    <row r="401" spans="1:18" x14ac:dyDescent="0.2">
      <c r="A401" s="13"/>
      <c r="B401" s="18"/>
      <c r="C401" s="19"/>
      <c r="D401" s="19"/>
      <c r="E401" s="20"/>
      <c r="F401" s="22"/>
      <c r="G401" s="36"/>
      <c r="H401" s="38"/>
      <c r="I401" s="38"/>
      <c r="J401" s="13"/>
      <c r="K401" s="18"/>
      <c r="L401" s="19"/>
      <c r="M401" s="19"/>
      <c r="N401" s="20"/>
      <c r="O401" s="22"/>
      <c r="P401" s="36"/>
      <c r="Q401" s="38"/>
      <c r="R401" s="38"/>
    </row>
    <row r="402" spans="1:18" x14ac:dyDescent="0.2">
      <c r="A402" s="13"/>
      <c r="B402" s="18"/>
      <c r="C402" s="19"/>
      <c r="D402" s="19"/>
      <c r="E402" s="20"/>
      <c r="F402" s="22"/>
      <c r="G402" s="36"/>
      <c r="H402" s="38"/>
      <c r="I402" s="38"/>
      <c r="J402" s="13"/>
      <c r="K402" s="18"/>
      <c r="L402" s="19"/>
      <c r="M402" s="19"/>
      <c r="N402" s="20"/>
      <c r="O402" s="22"/>
      <c r="P402" s="36"/>
      <c r="Q402" s="38"/>
      <c r="R402" s="38"/>
    </row>
    <row r="403" spans="1:18" x14ac:dyDescent="0.2">
      <c r="A403" s="13"/>
      <c r="B403" s="18"/>
      <c r="C403" s="19"/>
      <c r="D403" s="19"/>
      <c r="E403" s="20"/>
      <c r="F403" s="22"/>
      <c r="G403" s="36"/>
      <c r="H403" s="38"/>
      <c r="I403" s="38"/>
      <c r="J403" s="13"/>
      <c r="K403" s="18"/>
      <c r="L403" s="19"/>
      <c r="M403" s="19"/>
      <c r="N403" s="20"/>
      <c r="O403" s="22"/>
      <c r="P403" s="36"/>
      <c r="Q403" s="38"/>
      <c r="R403" s="38"/>
    </row>
    <row r="404" spans="1:18" x14ac:dyDescent="0.2">
      <c r="A404" s="13"/>
      <c r="B404" s="18"/>
      <c r="C404" s="19"/>
      <c r="D404" s="19"/>
      <c r="E404" s="20"/>
      <c r="F404" s="22"/>
      <c r="G404" s="36"/>
      <c r="H404" s="37"/>
      <c r="I404" s="37"/>
      <c r="J404" s="13"/>
      <c r="K404" s="18"/>
      <c r="L404" s="19"/>
      <c r="M404" s="19"/>
      <c r="N404" s="20"/>
      <c r="O404" s="22"/>
      <c r="P404" s="36"/>
      <c r="Q404" s="37"/>
      <c r="R404" s="37"/>
    </row>
    <row r="405" spans="1:18" x14ac:dyDescent="0.2">
      <c r="A405" s="13"/>
      <c r="B405" s="18"/>
      <c r="C405" s="19"/>
      <c r="D405" s="19"/>
      <c r="E405" s="20"/>
      <c r="F405" s="22"/>
      <c r="G405" s="36"/>
      <c r="H405" s="37"/>
      <c r="I405" s="37"/>
      <c r="J405" s="13"/>
      <c r="K405" s="18"/>
      <c r="L405" s="19"/>
      <c r="M405" s="19"/>
      <c r="N405" s="20"/>
      <c r="O405" s="22"/>
      <c r="P405" s="36"/>
      <c r="Q405" s="37"/>
      <c r="R405" s="37"/>
    </row>
    <row r="406" spans="1:18" ht="15" customHeight="1" x14ac:dyDescent="0.2">
      <c r="A406" s="13"/>
      <c r="B406" s="18"/>
      <c r="C406" s="19"/>
      <c r="D406" s="19"/>
      <c r="E406" s="20"/>
      <c r="F406" s="22"/>
      <c r="G406" s="36"/>
      <c r="H406" s="37"/>
      <c r="I406" s="37"/>
      <c r="J406" s="13"/>
      <c r="K406" s="18"/>
      <c r="L406" s="19"/>
      <c r="M406" s="19"/>
      <c r="N406" s="20"/>
      <c r="O406" s="22"/>
      <c r="P406" s="36"/>
      <c r="Q406" s="37"/>
      <c r="R406" s="37"/>
    </row>
    <row r="407" spans="1:18" x14ac:dyDescent="0.2">
      <c r="A407" s="13"/>
      <c r="B407" s="18"/>
      <c r="C407" s="19"/>
      <c r="D407" s="19"/>
      <c r="E407" s="20"/>
      <c r="F407" s="22"/>
      <c r="G407" s="22"/>
      <c r="H407" s="23"/>
      <c r="I407" s="23"/>
      <c r="J407" s="13"/>
      <c r="K407" s="18"/>
      <c r="L407" s="19"/>
      <c r="M407" s="19"/>
      <c r="N407" s="20"/>
      <c r="O407" s="22"/>
      <c r="P407" s="22"/>
      <c r="Q407" s="23"/>
      <c r="R407" s="23"/>
    </row>
    <row r="408" spans="1:18" x14ac:dyDescent="0.2">
      <c r="A408" s="13"/>
      <c r="B408" s="248" t="s">
        <v>30</v>
      </c>
      <c r="C408" s="249"/>
      <c r="D408" s="249"/>
      <c r="E408" s="250"/>
      <c r="F408" s="22"/>
      <c r="G408" s="22"/>
      <c r="H408" s="23"/>
      <c r="I408" s="23">
        <f>SUM(I395:I407)</f>
        <v>67.224000000000004</v>
      </c>
      <c r="J408" s="13"/>
      <c r="K408" s="248" t="s">
        <v>30</v>
      </c>
      <c r="L408" s="249"/>
      <c r="M408" s="249"/>
      <c r="N408" s="250"/>
      <c r="O408" s="22"/>
      <c r="P408" s="22"/>
      <c r="Q408" s="23"/>
      <c r="R408" s="23">
        <f>SUM(R395:R407)</f>
        <v>477.28300000000002</v>
      </c>
    </row>
    <row r="409" spans="1:18" x14ac:dyDescent="0.2">
      <c r="A409" s="12" t="s">
        <v>31</v>
      </c>
      <c r="B409" s="260" t="s">
        <v>32</v>
      </c>
      <c r="C409" s="261"/>
      <c r="D409" s="261"/>
      <c r="E409" s="261"/>
      <c r="F409" s="39"/>
      <c r="G409" s="39"/>
      <c r="H409" s="40"/>
      <c r="I409" s="41">
        <f>SUM(I408+I390)</f>
        <v>247.464</v>
      </c>
      <c r="J409" s="12" t="s">
        <v>31</v>
      </c>
      <c r="K409" s="260" t="s">
        <v>32</v>
      </c>
      <c r="L409" s="261"/>
      <c r="M409" s="261"/>
      <c r="N409" s="261"/>
      <c r="O409" s="39"/>
      <c r="P409" s="39"/>
      <c r="Q409" s="40"/>
      <c r="R409" s="41">
        <f>SUM(R408+R390)</f>
        <v>802.94299999999998</v>
      </c>
    </row>
    <row r="410" spans="1:18" x14ac:dyDescent="0.2">
      <c r="A410" s="13" t="s">
        <v>33</v>
      </c>
      <c r="B410" s="321">
        <f>E377</f>
        <v>1</v>
      </c>
      <c r="C410" s="322"/>
      <c r="D410" s="322"/>
      <c r="E410" s="322"/>
      <c r="F410" s="322"/>
      <c r="G410" s="322"/>
      <c r="H410" s="40"/>
      <c r="I410" s="41"/>
      <c r="J410" s="13" t="s">
        <v>33</v>
      </c>
      <c r="K410" s="275">
        <f>N377</f>
        <v>1.25</v>
      </c>
      <c r="L410" s="276"/>
      <c r="M410" s="276"/>
      <c r="N410" s="276"/>
      <c r="O410" s="276"/>
      <c r="P410" s="276"/>
      <c r="Q410" s="40"/>
      <c r="R410" s="41"/>
    </row>
    <row r="411" spans="1:18" x14ac:dyDescent="0.2">
      <c r="A411" s="13" t="s">
        <v>34</v>
      </c>
      <c r="B411" s="42" t="s">
        <v>35</v>
      </c>
      <c r="C411" s="43"/>
      <c r="D411" s="43"/>
      <c r="E411" s="39"/>
      <c r="F411" s="44"/>
      <c r="G411" s="44"/>
      <c r="H411" s="40"/>
      <c r="I411" s="41">
        <f>I409/E377</f>
        <v>247.464</v>
      </c>
      <c r="J411" s="13" t="s">
        <v>34</v>
      </c>
      <c r="K411" s="42" t="s">
        <v>35</v>
      </c>
      <c r="L411" s="43"/>
      <c r="M411" s="43"/>
      <c r="N411" s="39"/>
      <c r="O411" s="44"/>
      <c r="P411" s="44"/>
      <c r="Q411" s="40"/>
      <c r="R411" s="41">
        <f>R409/N377</f>
        <v>642.35439999999994</v>
      </c>
    </row>
    <row r="412" spans="1:18" x14ac:dyDescent="0.2">
      <c r="A412" s="12"/>
      <c r="B412" s="251" t="s">
        <v>36</v>
      </c>
      <c r="C412" s="252"/>
      <c r="D412" s="252"/>
      <c r="E412" s="253"/>
      <c r="F412" s="244" t="s">
        <v>37</v>
      </c>
      <c r="G412" s="244" t="s">
        <v>38</v>
      </c>
      <c r="H412" s="244" t="s">
        <v>39</v>
      </c>
      <c r="I412" s="246" t="s">
        <v>15</v>
      </c>
      <c r="J412" s="12"/>
      <c r="K412" s="251" t="s">
        <v>36</v>
      </c>
      <c r="L412" s="252"/>
      <c r="M412" s="252"/>
      <c r="N412" s="253"/>
      <c r="O412" s="244" t="s">
        <v>37</v>
      </c>
      <c r="P412" s="244" t="s">
        <v>38</v>
      </c>
      <c r="Q412" s="244" t="s">
        <v>39</v>
      </c>
      <c r="R412" s="246" t="s">
        <v>15</v>
      </c>
    </row>
    <row r="413" spans="1:18" x14ac:dyDescent="0.2">
      <c r="A413" s="13"/>
      <c r="B413" s="254"/>
      <c r="C413" s="255"/>
      <c r="D413" s="255"/>
      <c r="E413" s="256"/>
      <c r="F413" s="245"/>
      <c r="G413" s="245"/>
      <c r="H413" s="245"/>
      <c r="I413" s="247"/>
      <c r="J413" s="13"/>
      <c r="K413" s="254"/>
      <c r="L413" s="255"/>
      <c r="M413" s="255"/>
      <c r="N413" s="256"/>
      <c r="O413" s="245"/>
      <c r="P413" s="245"/>
      <c r="Q413" s="245"/>
      <c r="R413" s="247"/>
    </row>
    <row r="414" spans="1:18" x14ac:dyDescent="0.2">
      <c r="A414" s="13" t="s">
        <v>40</v>
      </c>
      <c r="B414" s="18" t="s">
        <v>41</v>
      </c>
      <c r="C414" s="19"/>
      <c r="D414" s="19"/>
      <c r="E414" s="20"/>
      <c r="F414" s="22"/>
      <c r="G414" s="22"/>
      <c r="H414" s="23"/>
      <c r="I414" s="23"/>
      <c r="J414" s="13" t="s">
        <v>40</v>
      </c>
      <c r="K414" s="18" t="s">
        <v>41</v>
      </c>
      <c r="L414" s="19"/>
      <c r="M414" s="19"/>
      <c r="N414" s="20"/>
      <c r="O414" s="22"/>
      <c r="P414" s="22"/>
      <c r="Q414" s="23"/>
      <c r="R414" s="23"/>
    </row>
    <row r="415" spans="1:18" x14ac:dyDescent="0.2">
      <c r="A415" s="13"/>
      <c r="B415" s="18"/>
      <c r="C415" s="19"/>
      <c r="D415" s="19"/>
      <c r="E415" s="20"/>
      <c r="F415" s="22"/>
      <c r="G415" s="22"/>
      <c r="H415" s="23"/>
      <c r="I415" s="23"/>
      <c r="J415" s="13"/>
      <c r="K415" s="18"/>
      <c r="L415" s="19"/>
      <c r="M415" s="19"/>
      <c r="N415" s="20"/>
      <c r="O415" s="22"/>
      <c r="P415" s="22"/>
      <c r="Q415" s="23"/>
      <c r="R415" s="23"/>
    </row>
    <row r="416" spans="1:18" x14ac:dyDescent="0.2">
      <c r="A416" s="13"/>
      <c r="B416" s="18" t="s">
        <v>462</v>
      </c>
      <c r="C416" s="19"/>
      <c r="D416" s="19"/>
      <c r="E416" s="20"/>
      <c r="F416" s="22" t="s">
        <v>9</v>
      </c>
      <c r="G416" s="62">
        <v>0.2</v>
      </c>
      <c r="H416" s="107">
        <v>900</v>
      </c>
      <c r="I416" s="23">
        <f>G416*H416</f>
        <v>180</v>
      </c>
      <c r="J416" s="13"/>
      <c r="K416" s="18" t="s">
        <v>463</v>
      </c>
      <c r="L416" s="19"/>
      <c r="M416" s="19"/>
      <c r="N416" s="20"/>
      <c r="O416" s="22" t="s">
        <v>9</v>
      </c>
      <c r="P416" s="62">
        <v>1.05</v>
      </c>
      <c r="Q416" s="107">
        <v>810</v>
      </c>
      <c r="R416" s="23">
        <f>Q416*P416</f>
        <v>850.5</v>
      </c>
    </row>
    <row r="417" spans="1:18" x14ac:dyDescent="0.2">
      <c r="A417" s="13"/>
      <c r="B417" s="18" t="s">
        <v>464</v>
      </c>
      <c r="C417" s="19"/>
      <c r="D417" s="19"/>
      <c r="E417" s="20"/>
      <c r="F417" s="22" t="s">
        <v>9</v>
      </c>
      <c r="G417" s="62">
        <v>0.39</v>
      </c>
      <c r="H417" s="107">
        <v>850</v>
      </c>
      <c r="I417" s="23">
        <f>G417*H417</f>
        <v>331.5</v>
      </c>
      <c r="J417" s="13"/>
      <c r="K417" s="18" t="s">
        <v>1200</v>
      </c>
      <c r="L417" s="19"/>
      <c r="M417" s="19"/>
      <c r="N417" s="20"/>
      <c r="O417" s="22"/>
      <c r="P417" s="62"/>
      <c r="R417" s="23">
        <f>R416*0.01</f>
        <v>8.5050000000000008</v>
      </c>
    </row>
    <row r="418" spans="1:18" x14ac:dyDescent="0.2">
      <c r="A418" s="13"/>
      <c r="B418" s="18" t="s">
        <v>465</v>
      </c>
      <c r="C418" s="19"/>
      <c r="D418" s="19"/>
      <c r="E418" s="20"/>
      <c r="F418" s="22" t="s">
        <v>8</v>
      </c>
      <c r="G418" s="62">
        <v>2</v>
      </c>
      <c r="H418" s="107">
        <v>275</v>
      </c>
      <c r="I418" s="23">
        <f>G418*H418</f>
        <v>550</v>
      </c>
      <c r="J418" s="13"/>
      <c r="K418" s="18"/>
      <c r="L418" s="19"/>
      <c r="M418" s="19"/>
      <c r="N418" s="20"/>
      <c r="O418" s="22"/>
      <c r="P418" s="70"/>
      <c r="Q418" s="23"/>
      <c r="R418" s="23"/>
    </row>
    <row r="419" spans="1:18" x14ac:dyDescent="0.2">
      <c r="A419" s="13"/>
      <c r="B419" s="18" t="s">
        <v>466</v>
      </c>
      <c r="C419" s="19"/>
      <c r="D419" s="19"/>
      <c r="E419" s="20"/>
      <c r="F419" s="22" t="s">
        <v>80</v>
      </c>
      <c r="G419" s="22">
        <v>1.05</v>
      </c>
      <c r="H419" s="107">
        <v>230</v>
      </c>
      <c r="I419" s="23">
        <f>G419*H419</f>
        <v>241.5</v>
      </c>
      <c r="J419" s="13"/>
      <c r="K419" s="18"/>
      <c r="L419" s="19"/>
      <c r="M419" s="19"/>
      <c r="N419" s="20"/>
      <c r="O419" s="22"/>
      <c r="P419" s="62"/>
      <c r="Q419" s="23"/>
      <c r="R419" s="23"/>
    </row>
    <row r="420" spans="1:18" x14ac:dyDescent="0.2">
      <c r="A420" s="13"/>
      <c r="B420" s="18"/>
      <c r="C420" s="19"/>
      <c r="D420" s="19"/>
      <c r="E420" s="20"/>
      <c r="F420" s="22"/>
      <c r="G420" s="22"/>
      <c r="H420" s="23"/>
      <c r="I420" s="23"/>
      <c r="J420" s="13"/>
      <c r="K420" s="18"/>
      <c r="L420" s="19"/>
      <c r="M420" s="19"/>
      <c r="N420" s="20"/>
      <c r="O420" s="22"/>
      <c r="P420" s="70"/>
      <c r="Q420" s="23"/>
      <c r="R420" s="23"/>
    </row>
    <row r="421" spans="1:18" x14ac:dyDescent="0.2">
      <c r="A421" s="13"/>
      <c r="B421" s="18"/>
      <c r="C421" s="19"/>
      <c r="D421" s="19"/>
      <c r="E421" s="20"/>
      <c r="F421" s="22"/>
      <c r="G421" s="22"/>
      <c r="H421" s="45"/>
      <c r="I421" s="45"/>
      <c r="J421" s="13"/>
      <c r="K421" s="18"/>
      <c r="L421" s="19"/>
      <c r="M421" s="19"/>
      <c r="N421" s="20"/>
      <c r="O421" s="22"/>
      <c r="P421" s="62"/>
      <c r="Q421" s="23"/>
      <c r="R421" s="23"/>
    </row>
    <row r="422" spans="1:18" ht="15" customHeight="1" x14ac:dyDescent="0.2">
      <c r="A422" s="13"/>
      <c r="B422" s="18"/>
      <c r="C422" s="19"/>
      <c r="D422" s="19"/>
      <c r="E422" s="20"/>
      <c r="F422" s="22"/>
      <c r="G422" s="22"/>
      <c r="H422" s="23"/>
      <c r="I422" s="23"/>
      <c r="J422" s="13"/>
      <c r="K422" s="18"/>
      <c r="L422" s="19"/>
      <c r="M422" s="19"/>
      <c r="N422" s="20"/>
      <c r="O422" s="22"/>
      <c r="P422" s="22"/>
      <c r="Q422" s="23"/>
      <c r="R422" s="23"/>
    </row>
    <row r="423" spans="1:18" x14ac:dyDescent="0.2">
      <c r="A423" s="13"/>
      <c r="B423" s="18"/>
      <c r="C423" s="19"/>
      <c r="D423" s="19"/>
      <c r="E423" s="20"/>
      <c r="F423" s="22"/>
      <c r="G423" s="22"/>
      <c r="H423" s="23"/>
      <c r="I423" s="23"/>
      <c r="J423" s="13"/>
      <c r="K423" s="18"/>
      <c r="L423" s="19"/>
      <c r="M423" s="19"/>
      <c r="N423" s="20"/>
      <c r="O423" s="22"/>
      <c r="P423" s="22"/>
      <c r="Q423" s="23"/>
      <c r="R423" s="23"/>
    </row>
    <row r="424" spans="1:18" x14ac:dyDescent="0.2">
      <c r="A424" s="13"/>
      <c r="B424" s="18"/>
      <c r="C424" s="19"/>
      <c r="D424" s="19"/>
      <c r="E424" s="20"/>
      <c r="F424" s="22"/>
      <c r="G424" s="22"/>
      <c r="H424" s="23"/>
      <c r="I424" s="23"/>
      <c r="J424" s="13"/>
      <c r="K424" s="18"/>
      <c r="L424" s="19"/>
      <c r="M424" s="19"/>
      <c r="N424" s="20"/>
      <c r="O424" s="22"/>
      <c r="P424" s="22"/>
      <c r="Q424" s="23"/>
      <c r="R424" s="23"/>
    </row>
    <row r="425" spans="1:18" x14ac:dyDescent="0.2">
      <c r="A425" s="13"/>
      <c r="B425" s="18"/>
      <c r="C425" s="19"/>
      <c r="D425" s="19"/>
      <c r="E425" s="20"/>
      <c r="F425" s="22"/>
      <c r="G425" s="22"/>
      <c r="H425" s="23"/>
      <c r="I425" s="23"/>
      <c r="J425" s="13"/>
      <c r="K425" s="18"/>
      <c r="L425" s="19"/>
      <c r="M425" s="19"/>
      <c r="N425" s="20"/>
      <c r="O425" s="22"/>
      <c r="P425" s="22"/>
      <c r="Q425" s="23"/>
      <c r="R425" s="23"/>
    </row>
    <row r="426" spans="1:18" x14ac:dyDescent="0.2">
      <c r="A426" s="13"/>
      <c r="B426" s="18"/>
      <c r="C426" s="19"/>
      <c r="D426" s="19"/>
      <c r="E426" s="20"/>
      <c r="F426" s="22"/>
      <c r="G426" s="22"/>
      <c r="H426" s="23"/>
      <c r="I426" s="23"/>
      <c r="J426" s="13"/>
      <c r="K426" s="18"/>
      <c r="L426" s="19"/>
      <c r="M426" s="19"/>
      <c r="N426" s="20"/>
      <c r="O426" s="22"/>
      <c r="P426" s="22"/>
      <c r="Q426" s="23"/>
      <c r="R426" s="23"/>
    </row>
    <row r="427" spans="1:18" x14ac:dyDescent="0.2">
      <c r="A427" s="13"/>
      <c r="B427" s="18"/>
      <c r="C427" s="19"/>
      <c r="D427" s="19"/>
      <c r="E427" s="20"/>
      <c r="F427" s="22"/>
      <c r="G427" s="22"/>
      <c r="H427" s="23"/>
      <c r="I427" s="23"/>
      <c r="J427" s="13"/>
      <c r="K427" s="18"/>
      <c r="L427" s="19"/>
      <c r="M427" s="19"/>
      <c r="N427" s="20"/>
      <c r="O427" s="22"/>
      <c r="P427" s="22"/>
      <c r="Q427" s="23"/>
      <c r="R427" s="23"/>
    </row>
    <row r="428" spans="1:18" x14ac:dyDescent="0.2">
      <c r="A428" s="13"/>
      <c r="B428" s="18"/>
      <c r="C428" s="19"/>
      <c r="D428" s="19"/>
      <c r="E428" s="20"/>
      <c r="F428" s="22"/>
      <c r="G428" s="36"/>
      <c r="H428" s="37"/>
      <c r="I428" s="37"/>
      <c r="J428" s="13"/>
      <c r="K428" s="18"/>
      <c r="L428" s="19"/>
      <c r="M428" s="19"/>
      <c r="N428" s="20"/>
      <c r="O428" s="22"/>
      <c r="P428" s="36"/>
      <c r="Q428" s="37"/>
      <c r="R428" s="37"/>
    </row>
    <row r="429" spans="1:18" x14ac:dyDescent="0.2">
      <c r="A429" s="13"/>
      <c r="B429" s="248" t="s">
        <v>42</v>
      </c>
      <c r="C429" s="249"/>
      <c r="D429" s="249"/>
      <c r="E429" s="250"/>
      <c r="F429" s="46"/>
      <c r="G429" s="46"/>
      <c r="H429" s="47"/>
      <c r="I429" s="47">
        <f>SUM(I416:I428)</f>
        <v>1303</v>
      </c>
      <c r="J429" s="13"/>
      <c r="K429" s="248" t="s">
        <v>42</v>
      </c>
      <c r="L429" s="249"/>
      <c r="M429" s="249"/>
      <c r="N429" s="250"/>
      <c r="O429" s="46"/>
      <c r="P429" s="46"/>
      <c r="Q429" s="47"/>
      <c r="R429" s="47">
        <f>SUM(R416:R428)</f>
        <v>859.005</v>
      </c>
    </row>
    <row r="430" spans="1:18" x14ac:dyDescent="0.2">
      <c r="A430" s="12" t="s">
        <v>43</v>
      </c>
      <c r="B430" s="48" t="s">
        <v>44</v>
      </c>
      <c r="C430" s="43"/>
      <c r="D430" s="43"/>
      <c r="E430" s="39"/>
      <c r="F430" s="49"/>
      <c r="G430" s="49"/>
      <c r="H430" s="50"/>
      <c r="I430" s="51">
        <f>SUM(I411+I429)</f>
        <v>1550.4639999999999</v>
      </c>
      <c r="J430" s="12" t="s">
        <v>43</v>
      </c>
      <c r="K430" s="48" t="s">
        <v>44</v>
      </c>
      <c r="L430" s="43"/>
      <c r="M430" s="43"/>
      <c r="N430" s="39"/>
      <c r="O430" s="49"/>
      <c r="P430" s="49"/>
      <c r="Q430" s="50"/>
      <c r="R430" s="51">
        <f>SUM(R411+R429)</f>
        <v>1501.3593999999998</v>
      </c>
    </row>
    <row r="431" spans="1:18" x14ac:dyDescent="0.2">
      <c r="A431" s="13" t="s">
        <v>45</v>
      </c>
      <c r="B431" s="48" t="s">
        <v>46</v>
      </c>
      <c r="C431" s="43"/>
      <c r="D431" s="43"/>
      <c r="E431" s="39"/>
      <c r="F431" s="49"/>
      <c r="G431" s="52">
        <v>0.09</v>
      </c>
      <c r="H431" s="53" t="s">
        <v>47</v>
      </c>
      <c r="I431" s="51">
        <f>G431*I430</f>
        <v>139.54175999999998</v>
      </c>
      <c r="J431" s="13" t="s">
        <v>45</v>
      </c>
      <c r="K431" s="48" t="s">
        <v>46</v>
      </c>
      <c r="L431" s="43"/>
      <c r="M431" s="43"/>
      <c r="N431" s="39"/>
      <c r="O431" s="49"/>
      <c r="P431" s="52">
        <v>0.09</v>
      </c>
      <c r="Q431" s="53" t="s">
        <v>47</v>
      </c>
      <c r="R431" s="51">
        <f>P431*R430</f>
        <v>135.12234599999999</v>
      </c>
    </row>
    <row r="432" spans="1:18" x14ac:dyDescent="0.2">
      <c r="A432" s="13" t="s">
        <v>48</v>
      </c>
      <c r="B432" s="48" t="s">
        <v>49</v>
      </c>
      <c r="C432" s="43"/>
      <c r="D432" s="43"/>
      <c r="E432" s="39"/>
      <c r="F432" s="49"/>
      <c r="G432" s="52">
        <v>0.08</v>
      </c>
      <c r="H432" s="53" t="s">
        <v>47</v>
      </c>
      <c r="I432" s="51">
        <f>G432*I430</f>
        <v>124.03712</v>
      </c>
      <c r="J432" s="13" t="s">
        <v>48</v>
      </c>
      <c r="K432" s="48" t="s">
        <v>49</v>
      </c>
      <c r="L432" s="43"/>
      <c r="M432" s="43"/>
      <c r="N432" s="39"/>
      <c r="O432" s="49"/>
      <c r="P432" s="52">
        <v>0.08</v>
      </c>
      <c r="Q432" s="53" t="s">
        <v>47</v>
      </c>
      <c r="R432" s="51">
        <f>P432*R430</f>
        <v>120.10875199999998</v>
      </c>
    </row>
    <row r="433" spans="1:18" x14ac:dyDescent="0.2">
      <c r="A433" s="13" t="s">
        <v>50</v>
      </c>
      <c r="B433" s="48" t="s">
        <v>51</v>
      </c>
      <c r="C433" s="43"/>
      <c r="D433" s="43"/>
      <c r="E433" s="39"/>
      <c r="F433" s="49"/>
      <c r="G433" s="52">
        <f>5/100</f>
        <v>0.05</v>
      </c>
      <c r="H433" s="53" t="s">
        <v>52</v>
      </c>
      <c r="I433" s="51">
        <f>G433*(I430+I431+I432)</f>
        <v>90.702144000000004</v>
      </c>
      <c r="J433" s="13" t="s">
        <v>50</v>
      </c>
      <c r="K433" s="48" t="s">
        <v>51</v>
      </c>
      <c r="L433" s="43"/>
      <c r="M433" s="43"/>
      <c r="N433" s="39"/>
      <c r="O433" s="49"/>
      <c r="P433" s="52">
        <f>5/100</f>
        <v>0.05</v>
      </c>
      <c r="Q433" s="53" t="s">
        <v>52</v>
      </c>
      <c r="R433" s="51">
        <f>P433*(R430+R431+R432)</f>
        <v>87.82952490000001</v>
      </c>
    </row>
    <row r="434" spans="1:18" x14ac:dyDescent="0.2">
      <c r="A434" s="54" t="s">
        <v>53</v>
      </c>
      <c r="B434" s="48" t="s">
        <v>54</v>
      </c>
      <c r="C434" s="43"/>
      <c r="D434" s="43"/>
      <c r="E434" s="39"/>
      <c r="F434" s="49"/>
      <c r="G434" s="49"/>
      <c r="H434" s="55" t="s">
        <v>55</v>
      </c>
      <c r="I434" s="51">
        <f>SUM(I430+I431+I432+I433)</f>
        <v>1904.7450240000001</v>
      </c>
      <c r="J434" s="54" t="s">
        <v>53</v>
      </c>
      <c r="K434" s="48" t="s">
        <v>54</v>
      </c>
      <c r="L434" s="43"/>
      <c r="M434" s="43"/>
      <c r="N434" s="39"/>
      <c r="O434" s="49"/>
      <c r="P434" s="49"/>
      <c r="Q434" s="55" t="s">
        <v>55</v>
      </c>
      <c r="R434" s="51">
        <f>SUM(R430+R431+R432+R433)</f>
        <v>1844.4200229</v>
      </c>
    </row>
    <row r="435" spans="1:18" s="1" customFormat="1" x14ac:dyDescent="0.2">
      <c r="A435" s="236" t="s">
        <v>0</v>
      </c>
      <c r="B435" s="236"/>
      <c r="C435" s="236"/>
      <c r="D435" s="236"/>
      <c r="E435" s="236"/>
      <c r="F435" s="236"/>
      <c r="G435" s="236"/>
      <c r="H435" s="236"/>
      <c r="I435" s="236"/>
      <c r="J435" s="236" t="s">
        <v>0</v>
      </c>
      <c r="K435" s="236"/>
      <c r="L435" s="236"/>
      <c r="M435" s="236"/>
      <c r="N435" s="236"/>
      <c r="O435" s="236"/>
      <c r="P435" s="236"/>
      <c r="Q435" s="236"/>
      <c r="R435" s="236"/>
    </row>
    <row r="437" spans="1:18" x14ac:dyDescent="0.2">
      <c r="A437" s="152" t="s">
        <v>1</v>
      </c>
      <c r="C437" s="4" t="s">
        <v>2</v>
      </c>
      <c r="D437" s="5" t="s">
        <v>467</v>
      </c>
      <c r="E437" s="237" t="s">
        <v>468</v>
      </c>
      <c r="F437" s="237"/>
      <c r="G437" s="237"/>
      <c r="H437" s="237"/>
      <c r="J437" s="2" t="s">
        <v>1</v>
      </c>
      <c r="L437" s="4" t="s">
        <v>2</v>
      </c>
      <c r="M437" s="5" t="s">
        <v>469</v>
      </c>
      <c r="N437" s="237" t="s">
        <v>470</v>
      </c>
      <c r="O437" s="237"/>
      <c r="P437" s="237"/>
      <c r="Q437" s="237"/>
    </row>
    <row r="438" spans="1:18" x14ac:dyDescent="0.2">
      <c r="A438" s="152" t="s">
        <v>7</v>
      </c>
      <c r="C438" s="4" t="s">
        <v>2</v>
      </c>
      <c r="E438" s="152" t="s">
        <v>1153</v>
      </c>
      <c r="F438" s="8"/>
      <c r="G438" s="8"/>
      <c r="H438" s="8"/>
      <c r="J438" s="2" t="s">
        <v>7</v>
      </c>
      <c r="L438" s="4" t="s">
        <v>2</v>
      </c>
      <c r="N438" s="2" t="s">
        <v>9</v>
      </c>
      <c r="O438" s="8"/>
      <c r="P438" s="8"/>
      <c r="Q438" s="8"/>
    </row>
    <row r="439" spans="1:18" x14ac:dyDescent="0.2">
      <c r="A439" s="152" t="s">
        <v>10</v>
      </c>
      <c r="C439" s="4" t="s">
        <v>2</v>
      </c>
      <c r="E439" s="9">
        <v>1.25</v>
      </c>
      <c r="F439" s="8"/>
      <c r="G439" s="8"/>
      <c r="H439" s="8"/>
      <c r="J439" s="2" t="s">
        <v>10</v>
      </c>
      <c r="L439" s="4" t="s">
        <v>2</v>
      </c>
      <c r="N439" s="9">
        <v>1</v>
      </c>
      <c r="O439" s="8"/>
      <c r="P439" s="8"/>
      <c r="Q439" s="8"/>
    </row>
    <row r="440" spans="1:18" x14ac:dyDescent="0.2">
      <c r="B440" s="8"/>
      <c r="F440" s="11"/>
      <c r="G440" s="8"/>
      <c r="H440" s="8"/>
      <c r="I440" s="8"/>
      <c r="K440" s="8"/>
      <c r="O440" s="11"/>
      <c r="P440" s="8"/>
      <c r="Q440" s="8"/>
      <c r="R440" s="8"/>
    </row>
    <row r="441" spans="1:18" x14ac:dyDescent="0.2">
      <c r="A441" s="12"/>
      <c r="B441" s="238" t="s">
        <v>11</v>
      </c>
      <c r="C441" s="239"/>
      <c r="D441" s="239"/>
      <c r="E441" s="240"/>
      <c r="F441" s="244" t="s">
        <v>12</v>
      </c>
      <c r="G441" s="244" t="s">
        <v>13</v>
      </c>
      <c r="H441" s="244" t="s">
        <v>14</v>
      </c>
      <c r="I441" s="246" t="s">
        <v>15</v>
      </c>
      <c r="J441" s="12"/>
      <c r="K441" s="238" t="s">
        <v>11</v>
      </c>
      <c r="L441" s="239"/>
      <c r="M441" s="239"/>
      <c r="N441" s="240"/>
      <c r="O441" s="244" t="s">
        <v>12</v>
      </c>
      <c r="P441" s="244" t="s">
        <v>13</v>
      </c>
      <c r="Q441" s="244" t="s">
        <v>14</v>
      </c>
      <c r="R441" s="246" t="s">
        <v>15</v>
      </c>
    </row>
    <row r="442" spans="1:18" x14ac:dyDescent="0.2">
      <c r="A442" s="13"/>
      <c r="B442" s="241"/>
      <c r="C442" s="242"/>
      <c r="D442" s="242"/>
      <c r="E442" s="243"/>
      <c r="F442" s="245"/>
      <c r="G442" s="245"/>
      <c r="H442" s="245"/>
      <c r="I442" s="247"/>
      <c r="J442" s="13"/>
      <c r="K442" s="241"/>
      <c r="L442" s="242"/>
      <c r="M442" s="242"/>
      <c r="N442" s="243"/>
      <c r="O442" s="245"/>
      <c r="P442" s="245"/>
      <c r="Q442" s="245"/>
      <c r="R442" s="247"/>
    </row>
    <row r="443" spans="1:18" x14ac:dyDescent="0.2">
      <c r="A443" s="13" t="s">
        <v>16</v>
      </c>
      <c r="B443" s="14" t="s">
        <v>17</v>
      </c>
      <c r="C443" s="15"/>
      <c r="D443" s="15"/>
      <c r="E443" s="16"/>
      <c r="F443" s="17"/>
      <c r="G443" s="17"/>
      <c r="H443" s="17"/>
      <c r="I443" s="17"/>
      <c r="J443" s="13" t="s">
        <v>16</v>
      </c>
      <c r="K443" s="14" t="s">
        <v>17</v>
      </c>
      <c r="L443" s="15"/>
      <c r="M443" s="15"/>
      <c r="N443" s="16"/>
      <c r="O443" s="17"/>
      <c r="P443" s="17"/>
      <c r="Q443" s="17"/>
      <c r="R443" s="17"/>
    </row>
    <row r="444" spans="1:18" x14ac:dyDescent="0.2">
      <c r="A444" s="13"/>
      <c r="B444" s="18"/>
      <c r="C444" s="19"/>
      <c r="D444" s="19"/>
      <c r="E444" s="20"/>
      <c r="F444" s="21"/>
      <c r="G444" s="22"/>
      <c r="H444" s="21"/>
      <c r="I444" s="21"/>
      <c r="J444" s="13"/>
      <c r="K444" s="18"/>
      <c r="L444" s="19"/>
      <c r="M444" s="19"/>
      <c r="N444" s="20"/>
      <c r="O444" s="21"/>
      <c r="P444" s="22"/>
      <c r="Q444" s="21"/>
      <c r="R444" s="21"/>
    </row>
    <row r="445" spans="1:18" x14ac:dyDescent="0.2">
      <c r="A445" s="13"/>
      <c r="B445" s="24" t="s">
        <v>18</v>
      </c>
      <c r="C445" s="25"/>
      <c r="D445" s="25"/>
      <c r="E445" s="26"/>
      <c r="F445" s="22">
        <v>1</v>
      </c>
      <c r="G445" s="23">
        <v>1</v>
      </c>
      <c r="H445" s="23">
        <v>69.42</v>
      </c>
      <c r="I445" s="23">
        <f>G445*H445*F445</f>
        <v>69.42</v>
      </c>
      <c r="J445" s="13"/>
      <c r="K445" s="24" t="s">
        <v>18</v>
      </c>
      <c r="L445" s="25"/>
      <c r="M445" s="25"/>
      <c r="N445" s="26"/>
      <c r="O445" s="22">
        <v>1</v>
      </c>
      <c r="P445" s="23">
        <v>1</v>
      </c>
      <c r="Q445" s="23">
        <v>69.42</v>
      </c>
      <c r="R445" s="23">
        <f>P445*Q445*O445</f>
        <v>69.42</v>
      </c>
    </row>
    <row r="446" spans="1:18" x14ac:dyDescent="0.2">
      <c r="A446" s="13"/>
      <c r="B446" s="257" t="s">
        <v>1179</v>
      </c>
      <c r="C446" s="258"/>
      <c r="D446" s="19"/>
      <c r="E446" s="20"/>
      <c r="F446" s="22">
        <v>4</v>
      </c>
      <c r="G446" s="23">
        <v>1</v>
      </c>
      <c r="H446" s="23">
        <v>38.97</v>
      </c>
      <c r="I446" s="23">
        <f>G446*H446*F446</f>
        <v>155.88</v>
      </c>
      <c r="J446" s="13"/>
      <c r="K446" s="257" t="s">
        <v>1178</v>
      </c>
      <c r="L446" s="258"/>
      <c r="M446" s="25"/>
      <c r="N446" s="26"/>
      <c r="O446" s="22">
        <v>2</v>
      </c>
      <c r="P446" s="23">
        <v>1</v>
      </c>
      <c r="Q446" s="23">
        <v>50.18</v>
      </c>
      <c r="R446" s="23">
        <f>P446*Q446*O446</f>
        <v>100.36</v>
      </c>
    </row>
    <row r="447" spans="1:18" x14ac:dyDescent="0.2">
      <c r="A447" s="13"/>
      <c r="B447" s="257"/>
      <c r="C447" s="258"/>
      <c r="D447" s="19"/>
      <c r="E447" s="20"/>
      <c r="F447" s="22"/>
      <c r="G447" s="22"/>
      <c r="H447" s="23"/>
      <c r="I447" s="23"/>
      <c r="J447" s="13"/>
      <c r="K447" s="257" t="s">
        <v>1177</v>
      </c>
      <c r="L447" s="258"/>
      <c r="M447" s="19"/>
      <c r="N447" s="20"/>
      <c r="O447" s="22">
        <v>4</v>
      </c>
      <c r="P447" s="23">
        <v>1</v>
      </c>
      <c r="Q447" s="23">
        <v>38.97</v>
      </c>
      <c r="R447" s="23">
        <f>P447*Q447*O447</f>
        <v>155.88</v>
      </c>
    </row>
    <row r="448" spans="1:18" ht="15" customHeight="1" x14ac:dyDescent="0.2">
      <c r="A448" s="13"/>
      <c r="B448" s="153"/>
      <c r="C448" s="19"/>
      <c r="D448" s="19"/>
      <c r="E448" s="20"/>
      <c r="F448" s="22"/>
      <c r="G448" s="22"/>
      <c r="H448" s="29"/>
      <c r="I448" s="30"/>
      <c r="J448" s="13"/>
      <c r="K448" s="27"/>
      <c r="L448" s="19"/>
      <c r="M448" s="19"/>
      <c r="N448" s="20"/>
      <c r="O448" s="22"/>
      <c r="P448" s="22"/>
      <c r="Q448" s="29"/>
      <c r="R448" s="30"/>
    </row>
    <row r="449" spans="1:18" x14ac:dyDescent="0.2">
      <c r="A449" s="13"/>
      <c r="B449" s="153"/>
      <c r="C449" s="19"/>
      <c r="D449" s="19"/>
      <c r="E449" s="20"/>
      <c r="F449" s="22"/>
      <c r="G449" s="22"/>
      <c r="H449" s="29"/>
      <c r="I449" s="30"/>
      <c r="J449" s="13"/>
      <c r="K449" s="27"/>
      <c r="L449" s="19"/>
      <c r="M449" s="19"/>
      <c r="N449" s="20"/>
      <c r="O449" s="22"/>
      <c r="P449" s="22"/>
      <c r="Q449" s="29"/>
      <c r="R449" s="30"/>
    </row>
    <row r="450" spans="1:18" x14ac:dyDescent="0.2">
      <c r="A450" s="13"/>
      <c r="B450" s="18"/>
      <c r="C450" s="19"/>
      <c r="D450" s="19"/>
      <c r="E450" s="20"/>
      <c r="F450" s="22"/>
      <c r="G450" s="22"/>
      <c r="H450" s="28"/>
      <c r="I450" s="23"/>
      <c r="J450" s="13"/>
      <c r="K450" s="18"/>
      <c r="L450" s="19"/>
      <c r="M450" s="19"/>
      <c r="N450" s="20"/>
      <c r="O450" s="22"/>
      <c r="P450" s="22"/>
      <c r="Q450" s="28"/>
      <c r="R450" s="23"/>
    </row>
    <row r="451" spans="1:18" x14ac:dyDescent="0.2">
      <c r="A451" s="13"/>
      <c r="B451" s="18"/>
      <c r="C451" s="19"/>
      <c r="D451" s="19"/>
      <c r="E451" s="20"/>
      <c r="F451" s="22"/>
      <c r="G451" s="22"/>
      <c r="H451" s="23"/>
      <c r="I451" s="23"/>
      <c r="J451" s="13"/>
      <c r="K451" s="18"/>
      <c r="L451" s="19"/>
      <c r="M451" s="19"/>
      <c r="N451" s="20"/>
      <c r="O451" s="22"/>
      <c r="P451" s="22"/>
      <c r="Q451" s="23"/>
      <c r="R451" s="23"/>
    </row>
    <row r="452" spans="1:18" x14ac:dyDescent="0.2">
      <c r="A452" s="13"/>
      <c r="B452" s="248" t="s">
        <v>20</v>
      </c>
      <c r="C452" s="249"/>
      <c r="D452" s="249"/>
      <c r="E452" s="250"/>
      <c r="F452" s="31"/>
      <c r="G452" s="31"/>
      <c r="H452" s="32"/>
      <c r="I452" s="32">
        <f>SUM(I445:I451)</f>
        <v>225.3</v>
      </c>
      <c r="J452" s="13"/>
      <c r="K452" s="248" t="s">
        <v>20</v>
      </c>
      <c r="L452" s="249"/>
      <c r="M452" s="249"/>
      <c r="N452" s="250"/>
      <c r="O452" s="31"/>
      <c r="P452" s="31"/>
      <c r="Q452" s="32"/>
      <c r="R452" s="32">
        <f>SUM(R445:R451)</f>
        <v>325.65999999999997</v>
      </c>
    </row>
    <row r="453" spans="1:18" x14ac:dyDescent="0.2">
      <c r="A453" s="12"/>
      <c r="B453" s="251" t="s">
        <v>21</v>
      </c>
      <c r="C453" s="252"/>
      <c r="D453" s="252"/>
      <c r="E453" s="253"/>
      <c r="F453" s="244" t="s">
        <v>22</v>
      </c>
      <c r="G453" s="244" t="s">
        <v>13</v>
      </c>
      <c r="H453" s="244" t="s">
        <v>14</v>
      </c>
      <c r="I453" s="246" t="s">
        <v>15</v>
      </c>
      <c r="J453" s="12"/>
      <c r="K453" s="251" t="s">
        <v>21</v>
      </c>
      <c r="L453" s="252"/>
      <c r="M453" s="252"/>
      <c r="N453" s="253"/>
      <c r="O453" s="244" t="s">
        <v>22</v>
      </c>
      <c r="P453" s="244" t="s">
        <v>13</v>
      </c>
      <c r="Q453" s="244" t="s">
        <v>14</v>
      </c>
      <c r="R453" s="246" t="s">
        <v>15</v>
      </c>
    </row>
    <row r="454" spans="1:18" x14ac:dyDescent="0.2">
      <c r="A454" s="13"/>
      <c r="B454" s="254"/>
      <c r="C454" s="255"/>
      <c r="D454" s="255"/>
      <c r="E454" s="256"/>
      <c r="F454" s="245"/>
      <c r="G454" s="245"/>
      <c r="H454" s="245"/>
      <c r="I454" s="247"/>
      <c r="J454" s="13"/>
      <c r="K454" s="254"/>
      <c r="L454" s="255"/>
      <c r="M454" s="255"/>
      <c r="N454" s="256"/>
      <c r="O454" s="245"/>
      <c r="P454" s="245"/>
      <c r="Q454" s="245"/>
      <c r="R454" s="247"/>
    </row>
    <row r="455" spans="1:18" x14ac:dyDescent="0.2">
      <c r="A455" s="13" t="s">
        <v>23</v>
      </c>
      <c r="B455" s="33" t="s">
        <v>24</v>
      </c>
      <c r="C455" s="15"/>
      <c r="D455" s="15"/>
      <c r="E455" s="16"/>
      <c r="F455" s="34"/>
      <c r="G455" s="34"/>
      <c r="H455" s="35"/>
      <c r="I455" s="35"/>
      <c r="J455" s="13" t="s">
        <v>23</v>
      </c>
      <c r="K455" s="33" t="s">
        <v>24</v>
      </c>
      <c r="L455" s="15"/>
      <c r="M455" s="15"/>
      <c r="N455" s="16"/>
      <c r="O455" s="34"/>
      <c r="P455" s="34"/>
      <c r="Q455" s="35"/>
      <c r="R455" s="35"/>
    </row>
    <row r="456" spans="1:18" x14ac:dyDescent="0.2">
      <c r="A456" s="13"/>
      <c r="B456" s="18"/>
      <c r="C456" s="19"/>
      <c r="D456" s="19"/>
      <c r="E456" s="20"/>
      <c r="F456" s="22"/>
      <c r="G456" s="22"/>
      <c r="H456" s="23"/>
      <c r="I456" s="23"/>
      <c r="J456" s="13"/>
      <c r="K456" s="18"/>
      <c r="L456" s="19"/>
      <c r="M456" s="19"/>
      <c r="N456" s="20"/>
      <c r="O456" s="22"/>
      <c r="P456" s="22"/>
      <c r="Q456" s="23"/>
      <c r="R456" s="23"/>
    </row>
    <row r="457" spans="1:18" ht="17.25" customHeight="1" x14ac:dyDescent="0.2">
      <c r="A457" s="13"/>
      <c r="B457" s="18" t="s">
        <v>92</v>
      </c>
      <c r="C457" s="19"/>
      <c r="D457" s="19"/>
      <c r="E457" s="20"/>
      <c r="F457" s="22"/>
      <c r="G457" s="36"/>
      <c r="I457" s="37">
        <f>0.1*I452</f>
        <v>22.53</v>
      </c>
      <c r="J457" s="13"/>
      <c r="K457" s="18" t="s">
        <v>461</v>
      </c>
      <c r="L457" s="19"/>
      <c r="M457" s="19"/>
      <c r="N457" s="20"/>
      <c r="O457" s="22">
        <v>1</v>
      </c>
      <c r="P457" s="23">
        <v>0.75</v>
      </c>
      <c r="Q457" s="37">
        <v>922</v>
      </c>
      <c r="R457" s="37">
        <f>P457*Q457*O457</f>
        <v>691.5</v>
      </c>
    </row>
    <row r="458" spans="1:18" ht="17.25" customHeight="1" x14ac:dyDescent="0.2">
      <c r="A458" s="13"/>
      <c r="B458" s="18"/>
      <c r="C458" s="19"/>
      <c r="D458" s="19"/>
      <c r="E458" s="20"/>
      <c r="F458" s="22"/>
      <c r="G458" s="23"/>
      <c r="H458" s="37"/>
      <c r="I458" s="37"/>
      <c r="J458" s="13"/>
      <c r="K458" s="18" t="s">
        <v>1195</v>
      </c>
      <c r="L458" s="19"/>
      <c r="M458" s="19"/>
      <c r="N458" s="20"/>
      <c r="O458" s="22"/>
      <c r="P458" s="36"/>
      <c r="R458" s="37">
        <f>R452*0.05</f>
        <v>16.282999999999998</v>
      </c>
    </row>
    <row r="459" spans="1:18" x14ac:dyDescent="0.2">
      <c r="A459" s="13"/>
      <c r="B459" s="18"/>
      <c r="C459" s="19"/>
      <c r="D459" s="19"/>
      <c r="E459" s="20"/>
      <c r="F459" s="22"/>
      <c r="G459" s="36"/>
      <c r="H459" s="37"/>
      <c r="I459" s="37"/>
      <c r="J459" s="13"/>
      <c r="K459" s="18"/>
      <c r="L459" s="19"/>
      <c r="M459" s="19"/>
      <c r="N459" s="20"/>
      <c r="O459" s="22"/>
      <c r="P459" s="36"/>
      <c r="Q459" s="37"/>
      <c r="R459" s="37"/>
    </row>
    <row r="460" spans="1:18" x14ac:dyDescent="0.2">
      <c r="A460" s="13"/>
      <c r="F460" s="21"/>
      <c r="G460" s="21"/>
      <c r="H460" s="21"/>
      <c r="I460" s="37"/>
      <c r="J460" s="13"/>
      <c r="O460" s="21"/>
      <c r="P460" s="21"/>
      <c r="Q460" s="21"/>
      <c r="R460" s="37"/>
    </row>
    <row r="461" spans="1:18" x14ac:dyDescent="0.2">
      <c r="A461" s="13"/>
      <c r="B461" s="18"/>
      <c r="C461" s="19"/>
      <c r="D461" s="19"/>
      <c r="E461" s="20"/>
      <c r="F461" s="22"/>
      <c r="G461" s="36"/>
      <c r="H461" s="37"/>
      <c r="I461" s="37"/>
      <c r="J461" s="13"/>
      <c r="K461" s="18"/>
      <c r="L461" s="19"/>
      <c r="M461" s="19"/>
      <c r="N461" s="20"/>
      <c r="O461" s="22"/>
      <c r="P461" s="36"/>
      <c r="Q461" s="37"/>
      <c r="R461" s="37"/>
    </row>
    <row r="462" spans="1:18" x14ac:dyDescent="0.2">
      <c r="A462" s="13"/>
      <c r="B462" s="18"/>
      <c r="C462" s="19"/>
      <c r="D462" s="19"/>
      <c r="E462" s="20"/>
      <c r="F462" s="22"/>
      <c r="G462" s="36"/>
      <c r="H462" s="38"/>
      <c r="I462" s="38"/>
      <c r="J462" s="13"/>
      <c r="K462" s="18"/>
      <c r="L462" s="19"/>
      <c r="M462" s="19"/>
      <c r="N462" s="20"/>
      <c r="O462" s="22"/>
      <c r="P462" s="36"/>
      <c r="Q462" s="38"/>
      <c r="R462" s="38"/>
    </row>
    <row r="463" spans="1:18" x14ac:dyDescent="0.2">
      <c r="A463" s="13"/>
      <c r="B463" s="18"/>
      <c r="C463" s="19"/>
      <c r="D463" s="19"/>
      <c r="E463" s="20"/>
      <c r="F463" s="22"/>
      <c r="G463" s="36"/>
      <c r="H463" s="38"/>
      <c r="I463" s="38"/>
      <c r="J463" s="13"/>
      <c r="K463" s="18"/>
      <c r="L463" s="19"/>
      <c r="M463" s="19"/>
      <c r="N463" s="20"/>
      <c r="O463" s="22"/>
      <c r="P463" s="36"/>
      <c r="Q463" s="38"/>
      <c r="R463" s="38"/>
    </row>
    <row r="464" spans="1:18" x14ac:dyDescent="0.2">
      <c r="A464" s="13"/>
      <c r="B464" s="18"/>
      <c r="C464" s="19"/>
      <c r="D464" s="19"/>
      <c r="E464" s="20"/>
      <c r="F464" s="22"/>
      <c r="G464" s="36"/>
      <c r="H464" s="38"/>
      <c r="I464" s="38"/>
      <c r="J464" s="13"/>
      <c r="K464" s="18"/>
      <c r="L464" s="19"/>
      <c r="M464" s="19"/>
      <c r="N464" s="20"/>
      <c r="O464" s="22"/>
      <c r="P464" s="36"/>
      <c r="Q464" s="38"/>
      <c r="R464" s="38"/>
    </row>
    <row r="465" spans="1:18" x14ac:dyDescent="0.2">
      <c r="A465" s="13"/>
      <c r="B465" s="18"/>
      <c r="C465" s="19"/>
      <c r="D465" s="19"/>
      <c r="E465" s="20"/>
      <c r="F465" s="22"/>
      <c r="G465" s="36"/>
      <c r="H465" s="38"/>
      <c r="I465" s="38"/>
      <c r="J465" s="13"/>
      <c r="K465" s="18"/>
      <c r="L465" s="19"/>
      <c r="M465" s="19"/>
      <c r="N465" s="20"/>
      <c r="O465" s="22"/>
      <c r="P465" s="36"/>
      <c r="Q465" s="38"/>
      <c r="R465" s="38"/>
    </row>
    <row r="466" spans="1:18" x14ac:dyDescent="0.2">
      <c r="A466" s="13"/>
      <c r="B466" s="18"/>
      <c r="C466" s="19"/>
      <c r="D466" s="19"/>
      <c r="E466" s="20"/>
      <c r="F466" s="22"/>
      <c r="G466" s="36"/>
      <c r="H466" s="37"/>
      <c r="I466" s="37"/>
      <c r="J466" s="13"/>
      <c r="K466" s="18"/>
      <c r="L466" s="19"/>
      <c r="M466" s="19"/>
      <c r="N466" s="20"/>
      <c r="O466" s="22"/>
      <c r="P466" s="36"/>
      <c r="Q466" s="37"/>
      <c r="R466" s="37"/>
    </row>
    <row r="467" spans="1:18" x14ac:dyDescent="0.2">
      <c r="A467" s="13"/>
      <c r="B467" s="18"/>
      <c r="C467" s="19"/>
      <c r="D467" s="19"/>
      <c r="E467" s="20"/>
      <c r="F467" s="22"/>
      <c r="G467" s="36"/>
      <c r="H467" s="37"/>
      <c r="I467" s="37"/>
      <c r="J467" s="13"/>
      <c r="K467" s="18"/>
      <c r="L467" s="19"/>
      <c r="M467" s="19"/>
      <c r="N467" s="20"/>
      <c r="O467" s="22"/>
      <c r="P467" s="36"/>
      <c r="Q467" s="37"/>
      <c r="R467" s="37"/>
    </row>
    <row r="468" spans="1:18" ht="15" customHeight="1" x14ac:dyDescent="0.2">
      <c r="A468" s="13"/>
      <c r="B468" s="18"/>
      <c r="C468" s="19"/>
      <c r="D468" s="19"/>
      <c r="E468" s="20"/>
      <c r="F468" s="22"/>
      <c r="G468" s="36"/>
      <c r="H468" s="37"/>
      <c r="I468" s="37"/>
      <c r="J468" s="13"/>
      <c r="K468" s="18"/>
      <c r="L468" s="19"/>
      <c r="M468" s="19"/>
      <c r="N468" s="20"/>
      <c r="O468" s="22"/>
      <c r="P468" s="36"/>
      <c r="Q468" s="37"/>
      <c r="R468" s="37"/>
    </row>
    <row r="469" spans="1:18" x14ac:dyDescent="0.2">
      <c r="A469" s="13"/>
      <c r="B469" s="18"/>
      <c r="C469" s="19"/>
      <c r="D469" s="19"/>
      <c r="E469" s="20"/>
      <c r="F469" s="22"/>
      <c r="G469" s="22"/>
      <c r="H469" s="23"/>
      <c r="I469" s="23"/>
      <c r="J469" s="13"/>
      <c r="K469" s="18"/>
      <c r="L469" s="19"/>
      <c r="M469" s="19"/>
      <c r="N469" s="20"/>
      <c r="O469" s="22"/>
      <c r="P469" s="22"/>
      <c r="Q469" s="23"/>
      <c r="R469" s="23"/>
    </row>
    <row r="470" spans="1:18" x14ac:dyDescent="0.2">
      <c r="A470" s="13"/>
      <c r="B470" s="248" t="s">
        <v>30</v>
      </c>
      <c r="C470" s="249"/>
      <c r="D470" s="249"/>
      <c r="E470" s="250"/>
      <c r="F470" s="22"/>
      <c r="G470" s="22"/>
      <c r="H470" s="23"/>
      <c r="I470" s="23">
        <f>SUM(I457:I469)</f>
        <v>22.53</v>
      </c>
      <c r="J470" s="13"/>
      <c r="K470" s="248" t="s">
        <v>30</v>
      </c>
      <c r="L470" s="249"/>
      <c r="M470" s="249"/>
      <c r="N470" s="250"/>
      <c r="O470" s="22"/>
      <c r="P470" s="22"/>
      <c r="Q470" s="23"/>
      <c r="R470" s="23">
        <f>SUM(R457:R469)</f>
        <v>707.78300000000002</v>
      </c>
    </row>
    <row r="471" spans="1:18" x14ac:dyDescent="0.2">
      <c r="A471" s="12" t="s">
        <v>31</v>
      </c>
      <c r="B471" s="260" t="s">
        <v>32</v>
      </c>
      <c r="C471" s="261"/>
      <c r="D471" s="261"/>
      <c r="E471" s="261"/>
      <c r="F471" s="151"/>
      <c r="G471" s="151"/>
      <c r="H471" s="40"/>
      <c r="I471" s="41">
        <f>SUM(I470+I452)</f>
        <v>247.83</v>
      </c>
      <c r="J471" s="12" t="s">
        <v>31</v>
      </c>
      <c r="K471" s="260" t="s">
        <v>32</v>
      </c>
      <c r="L471" s="261"/>
      <c r="M471" s="261"/>
      <c r="N471" s="261"/>
      <c r="O471" s="39"/>
      <c r="P471" s="39"/>
      <c r="Q471" s="40"/>
      <c r="R471" s="41">
        <f>SUM(R470+R452)</f>
        <v>1033.443</v>
      </c>
    </row>
    <row r="472" spans="1:18" x14ac:dyDescent="0.2">
      <c r="A472" s="13" t="s">
        <v>33</v>
      </c>
      <c r="B472" s="323">
        <f>E439</f>
        <v>1.25</v>
      </c>
      <c r="C472" s="324"/>
      <c r="D472" s="324"/>
      <c r="E472" s="324"/>
      <c r="F472" s="324"/>
      <c r="G472" s="324"/>
      <c r="H472" s="40"/>
      <c r="I472" s="41"/>
      <c r="J472" s="13" t="s">
        <v>33</v>
      </c>
      <c r="K472" s="327">
        <f>N439</f>
        <v>1</v>
      </c>
      <c r="L472" s="328"/>
      <c r="M472" s="328"/>
      <c r="N472" s="328"/>
      <c r="O472" s="328"/>
      <c r="P472" s="328"/>
      <c r="Q472" s="40"/>
      <c r="R472" s="41"/>
    </row>
    <row r="473" spans="1:18" x14ac:dyDescent="0.2">
      <c r="A473" s="13" t="s">
        <v>34</v>
      </c>
      <c r="B473" s="155" t="s">
        <v>35</v>
      </c>
      <c r="C473" s="43"/>
      <c r="D473" s="43"/>
      <c r="E473" s="151"/>
      <c r="F473" s="156"/>
      <c r="G473" s="156"/>
      <c r="H473" s="40"/>
      <c r="I473" s="41">
        <f>I471/E439</f>
        <v>198.26400000000001</v>
      </c>
      <c r="J473" s="13" t="s">
        <v>34</v>
      </c>
      <c r="K473" s="42" t="s">
        <v>35</v>
      </c>
      <c r="L473" s="43"/>
      <c r="M473" s="43"/>
      <c r="N473" s="39"/>
      <c r="O473" s="44"/>
      <c r="P473" s="44"/>
      <c r="Q473" s="40"/>
      <c r="R473" s="41">
        <f>R471/N439</f>
        <v>1033.443</v>
      </c>
    </row>
    <row r="474" spans="1:18" x14ac:dyDescent="0.2">
      <c r="A474" s="12"/>
      <c r="B474" s="251" t="s">
        <v>36</v>
      </c>
      <c r="C474" s="252"/>
      <c r="D474" s="252"/>
      <c r="E474" s="253"/>
      <c r="F474" s="244" t="s">
        <v>37</v>
      </c>
      <c r="G474" s="244" t="s">
        <v>38</v>
      </c>
      <c r="H474" s="244" t="s">
        <v>39</v>
      </c>
      <c r="I474" s="246" t="s">
        <v>15</v>
      </c>
      <c r="J474" s="12"/>
      <c r="K474" s="251" t="s">
        <v>36</v>
      </c>
      <c r="L474" s="252"/>
      <c r="M474" s="252"/>
      <c r="N474" s="253"/>
      <c r="O474" s="244" t="s">
        <v>37</v>
      </c>
      <c r="P474" s="244" t="s">
        <v>38</v>
      </c>
      <c r="Q474" s="244" t="s">
        <v>39</v>
      </c>
      <c r="R474" s="246" t="s">
        <v>15</v>
      </c>
    </row>
    <row r="475" spans="1:18" x14ac:dyDescent="0.2">
      <c r="A475" s="13"/>
      <c r="B475" s="254"/>
      <c r="C475" s="255"/>
      <c r="D475" s="255"/>
      <c r="E475" s="256"/>
      <c r="F475" s="245"/>
      <c r="G475" s="245"/>
      <c r="H475" s="245"/>
      <c r="I475" s="247"/>
      <c r="J475" s="13"/>
      <c r="K475" s="254"/>
      <c r="L475" s="255"/>
      <c r="M475" s="255"/>
      <c r="N475" s="256"/>
      <c r="O475" s="245"/>
      <c r="P475" s="245"/>
      <c r="Q475" s="245"/>
      <c r="R475" s="247"/>
    </row>
    <row r="476" spans="1:18" x14ac:dyDescent="0.2">
      <c r="A476" s="13" t="s">
        <v>40</v>
      </c>
      <c r="B476" s="18" t="s">
        <v>41</v>
      </c>
      <c r="C476" s="19"/>
      <c r="D476" s="19"/>
      <c r="E476" s="20"/>
      <c r="F476" s="22"/>
      <c r="G476" s="22"/>
      <c r="H476" s="23"/>
      <c r="I476" s="23"/>
      <c r="J476" s="13" t="s">
        <v>40</v>
      </c>
      <c r="K476" s="18" t="s">
        <v>41</v>
      </c>
      <c r="L476" s="19"/>
      <c r="M476" s="19"/>
      <c r="N476" s="20"/>
      <c r="O476" s="22"/>
      <c r="P476" s="22"/>
      <c r="Q476" s="23"/>
      <c r="R476" s="23"/>
    </row>
    <row r="477" spans="1:18" x14ac:dyDescent="0.2">
      <c r="A477" s="13"/>
      <c r="B477" s="18"/>
      <c r="C477" s="19"/>
      <c r="D477" s="19"/>
      <c r="E477" s="20"/>
      <c r="F477" s="22"/>
      <c r="G477" s="22"/>
      <c r="H477" s="23"/>
      <c r="I477" s="23"/>
      <c r="J477" s="13"/>
      <c r="K477" s="18"/>
      <c r="L477" s="19"/>
      <c r="M477" s="19"/>
      <c r="N477" s="20"/>
      <c r="O477" s="22"/>
      <c r="P477" s="22"/>
      <c r="Q477" s="23"/>
      <c r="R477" s="23"/>
    </row>
    <row r="478" spans="1:18" x14ac:dyDescent="0.2">
      <c r="A478" s="13"/>
      <c r="B478" s="18" t="s">
        <v>462</v>
      </c>
      <c r="C478" s="19"/>
      <c r="D478" s="19"/>
      <c r="E478" s="20"/>
      <c r="F478" s="22" t="s">
        <v>9</v>
      </c>
      <c r="G478" s="62">
        <v>0.22</v>
      </c>
      <c r="H478" s="107">
        <v>900</v>
      </c>
      <c r="I478" s="23">
        <f>G478*H478</f>
        <v>198</v>
      </c>
      <c r="J478" s="13"/>
      <c r="K478" s="18" t="s">
        <v>472</v>
      </c>
      <c r="L478" s="19"/>
      <c r="M478" s="19"/>
      <c r="N478" s="20"/>
      <c r="O478" s="22" t="s">
        <v>9</v>
      </c>
      <c r="P478" s="62">
        <v>1.05</v>
      </c>
      <c r="Q478" s="107">
        <v>740</v>
      </c>
      <c r="R478" s="23">
        <f>Q478*P478</f>
        <v>777</v>
      </c>
    </row>
    <row r="479" spans="1:18" x14ac:dyDescent="0.2">
      <c r="A479" s="13"/>
      <c r="B479" s="18" t="s">
        <v>464</v>
      </c>
      <c r="C479" s="19"/>
      <c r="D479" s="19"/>
      <c r="E479" s="20"/>
      <c r="F479" s="22" t="s">
        <v>9</v>
      </c>
      <c r="G479" s="62">
        <v>0.39</v>
      </c>
      <c r="H479" s="107">
        <v>850</v>
      </c>
      <c r="I479" s="23">
        <f>G479*H479</f>
        <v>331.5</v>
      </c>
      <c r="J479" s="13"/>
      <c r="K479" s="18" t="s">
        <v>1200</v>
      </c>
      <c r="L479" s="19"/>
      <c r="M479" s="19"/>
      <c r="N479" s="20"/>
      <c r="O479" s="22"/>
      <c r="P479" s="62"/>
      <c r="R479" s="23">
        <f>R478*0.01</f>
        <v>7.7700000000000005</v>
      </c>
    </row>
    <row r="480" spans="1:18" x14ac:dyDescent="0.2">
      <c r="A480" s="13"/>
      <c r="B480" s="18" t="s">
        <v>465</v>
      </c>
      <c r="C480" s="19"/>
      <c r="D480" s="19"/>
      <c r="E480" s="20"/>
      <c r="F480" s="22" t="s">
        <v>8</v>
      </c>
      <c r="G480" s="62">
        <v>2</v>
      </c>
      <c r="H480" s="107">
        <v>275</v>
      </c>
      <c r="I480" s="23">
        <f>G480*H480</f>
        <v>550</v>
      </c>
      <c r="J480" s="13"/>
      <c r="K480" s="18"/>
      <c r="L480" s="19"/>
      <c r="M480" s="19"/>
      <c r="N480" s="20"/>
      <c r="O480" s="22"/>
      <c r="P480" s="70"/>
      <c r="Q480" s="23"/>
      <c r="R480" s="23"/>
    </row>
    <row r="481" spans="1:18" x14ac:dyDescent="0.2">
      <c r="A481" s="13"/>
      <c r="B481" s="18"/>
      <c r="C481" s="19"/>
      <c r="D481" s="19"/>
      <c r="E481" s="20"/>
      <c r="F481" s="22"/>
      <c r="G481" s="62"/>
      <c r="H481" s="23"/>
      <c r="I481" s="23"/>
      <c r="J481" s="13"/>
      <c r="K481" s="18"/>
      <c r="L481" s="19"/>
      <c r="M481" s="19"/>
      <c r="N481" s="20"/>
      <c r="O481" s="22"/>
      <c r="P481" s="62"/>
      <c r="Q481" s="23"/>
      <c r="R481" s="23"/>
    </row>
    <row r="482" spans="1:18" x14ac:dyDescent="0.2">
      <c r="A482" s="13"/>
      <c r="B482" s="18"/>
      <c r="C482" s="19"/>
      <c r="D482" s="19"/>
      <c r="E482" s="20"/>
      <c r="F482" s="22"/>
      <c r="G482" s="70"/>
      <c r="H482" s="23"/>
      <c r="I482" s="23"/>
      <c r="J482" s="13"/>
      <c r="K482" s="18"/>
      <c r="L482" s="19"/>
      <c r="M482" s="19"/>
      <c r="N482" s="20"/>
      <c r="O482" s="22"/>
      <c r="P482" s="70"/>
      <c r="Q482" s="23"/>
      <c r="R482" s="23"/>
    </row>
    <row r="483" spans="1:18" x14ac:dyDescent="0.2">
      <c r="A483" s="13"/>
      <c r="B483" s="18"/>
      <c r="C483" s="19"/>
      <c r="D483" s="19"/>
      <c r="E483" s="20"/>
      <c r="F483" s="22"/>
      <c r="G483" s="62"/>
      <c r="H483" s="23"/>
      <c r="I483" s="23"/>
      <c r="J483" s="13"/>
      <c r="K483" s="18"/>
      <c r="L483" s="19"/>
      <c r="M483" s="19"/>
      <c r="N483" s="20"/>
      <c r="O483" s="22"/>
      <c r="P483" s="62"/>
      <c r="Q483" s="23"/>
      <c r="R483" s="23"/>
    </row>
    <row r="484" spans="1:18" ht="15" customHeight="1" x14ac:dyDescent="0.2">
      <c r="A484" s="13"/>
      <c r="B484" s="18"/>
      <c r="C484" s="19"/>
      <c r="D484" s="19"/>
      <c r="E484" s="20"/>
      <c r="F484" s="22"/>
      <c r="G484" s="22"/>
      <c r="H484" s="23"/>
      <c r="I484" s="23"/>
      <c r="J484" s="13"/>
      <c r="K484" s="18"/>
      <c r="L484" s="19"/>
      <c r="M484" s="19"/>
      <c r="N484" s="20"/>
      <c r="O484" s="22"/>
      <c r="P484" s="22"/>
      <c r="Q484" s="23"/>
      <c r="R484" s="23"/>
    </row>
    <row r="485" spans="1:18" x14ac:dyDescent="0.2">
      <c r="A485" s="13"/>
      <c r="B485" s="18"/>
      <c r="C485" s="19"/>
      <c r="D485" s="19"/>
      <c r="E485" s="20"/>
      <c r="F485" s="22"/>
      <c r="G485" s="22"/>
      <c r="H485" s="23"/>
      <c r="I485" s="23"/>
      <c r="J485" s="13"/>
      <c r="K485" s="18"/>
      <c r="L485" s="19"/>
      <c r="M485" s="19"/>
      <c r="N485" s="20"/>
      <c r="O485" s="22"/>
      <c r="P485" s="22"/>
      <c r="Q485" s="23"/>
      <c r="R485" s="23"/>
    </row>
    <row r="486" spans="1:18" x14ac:dyDescent="0.2">
      <c r="A486" s="13"/>
      <c r="B486" s="18"/>
      <c r="C486" s="19"/>
      <c r="D486" s="19"/>
      <c r="E486" s="20"/>
      <c r="F486" s="22"/>
      <c r="G486" s="22"/>
      <c r="H486" s="23"/>
      <c r="I486" s="23"/>
      <c r="J486" s="13"/>
      <c r="K486" s="18"/>
      <c r="L486" s="19"/>
      <c r="M486" s="19"/>
      <c r="N486" s="20"/>
      <c r="O486" s="22"/>
      <c r="P486" s="22"/>
      <c r="Q486" s="23"/>
      <c r="R486" s="23"/>
    </row>
    <row r="487" spans="1:18" x14ac:dyDescent="0.2">
      <c r="A487" s="13"/>
      <c r="B487" s="18"/>
      <c r="C487" s="19"/>
      <c r="D487" s="19"/>
      <c r="E487" s="20"/>
      <c r="F487" s="22"/>
      <c r="G487" s="22"/>
      <c r="H487" s="23"/>
      <c r="I487" s="23"/>
      <c r="J487" s="13"/>
      <c r="K487" s="18"/>
      <c r="L487" s="19"/>
      <c r="M487" s="19"/>
      <c r="N487" s="20"/>
      <c r="O487" s="22"/>
      <c r="P487" s="22"/>
      <c r="Q487" s="23"/>
      <c r="R487" s="23"/>
    </row>
    <row r="488" spans="1:18" x14ac:dyDescent="0.2">
      <c r="A488" s="13"/>
      <c r="B488" s="18"/>
      <c r="C488" s="19"/>
      <c r="D488" s="19"/>
      <c r="E488" s="20"/>
      <c r="F488" s="22"/>
      <c r="G488" s="22"/>
      <c r="H488" s="23"/>
      <c r="I488" s="23"/>
      <c r="J488" s="13"/>
      <c r="K488" s="18"/>
      <c r="L488" s="19"/>
      <c r="M488" s="19"/>
      <c r="N488" s="20"/>
      <c r="O488" s="22"/>
      <c r="P488" s="22"/>
      <c r="Q488" s="23"/>
      <c r="R488" s="23"/>
    </row>
    <row r="489" spans="1:18" x14ac:dyDescent="0.2">
      <c r="A489" s="13"/>
      <c r="B489" s="18"/>
      <c r="C489" s="19"/>
      <c r="D489" s="19"/>
      <c r="E489" s="20"/>
      <c r="F489" s="22"/>
      <c r="G489" s="22"/>
      <c r="H489" s="23"/>
      <c r="I489" s="23"/>
      <c r="J489" s="13"/>
      <c r="K489" s="18"/>
      <c r="L489" s="19"/>
      <c r="M489" s="19"/>
      <c r="N489" s="20"/>
      <c r="O489" s="22"/>
      <c r="P489" s="22"/>
      <c r="Q489" s="23"/>
      <c r="R489" s="23"/>
    </row>
    <row r="490" spans="1:18" x14ac:dyDescent="0.2">
      <c r="A490" s="13"/>
      <c r="B490" s="18"/>
      <c r="C490" s="19"/>
      <c r="D490" s="19"/>
      <c r="E490" s="20"/>
      <c r="F490" s="22"/>
      <c r="G490" s="36"/>
      <c r="H490" s="37"/>
      <c r="I490" s="37"/>
      <c r="J490" s="13"/>
      <c r="K490" s="18"/>
      <c r="L490" s="19"/>
      <c r="M490" s="19"/>
      <c r="N490" s="20"/>
      <c r="O490" s="22"/>
      <c r="P490" s="36"/>
      <c r="Q490" s="37"/>
      <c r="R490" s="37"/>
    </row>
    <row r="491" spans="1:18" x14ac:dyDescent="0.2">
      <c r="A491" s="13"/>
      <c r="B491" s="248" t="s">
        <v>42</v>
      </c>
      <c r="C491" s="249"/>
      <c r="D491" s="249"/>
      <c r="E491" s="250"/>
      <c r="F491" s="46"/>
      <c r="G491" s="46"/>
      <c r="H491" s="47"/>
      <c r="I491" s="47">
        <f>SUM(I478:I490)</f>
        <v>1079.5</v>
      </c>
      <c r="J491" s="13"/>
      <c r="K491" s="248" t="s">
        <v>42</v>
      </c>
      <c r="L491" s="249"/>
      <c r="M491" s="249"/>
      <c r="N491" s="250"/>
      <c r="O491" s="46"/>
      <c r="P491" s="46"/>
      <c r="Q491" s="47"/>
      <c r="R491" s="47">
        <f>SUM(R478:R490)</f>
        <v>784.77</v>
      </c>
    </row>
    <row r="492" spans="1:18" x14ac:dyDescent="0.2">
      <c r="A492" s="12" t="s">
        <v>43</v>
      </c>
      <c r="B492" s="48" t="s">
        <v>44</v>
      </c>
      <c r="C492" s="43"/>
      <c r="D492" s="43"/>
      <c r="E492" s="151"/>
      <c r="F492" s="49"/>
      <c r="G492" s="49"/>
      <c r="H492" s="50"/>
      <c r="I492" s="51">
        <f>SUM(I473+I491)</f>
        <v>1277.7640000000001</v>
      </c>
      <c r="J492" s="12" t="s">
        <v>43</v>
      </c>
      <c r="K492" s="48" t="s">
        <v>44</v>
      </c>
      <c r="L492" s="43"/>
      <c r="M492" s="43"/>
      <c r="N492" s="39"/>
      <c r="O492" s="49"/>
      <c r="P492" s="49"/>
      <c r="Q492" s="50"/>
      <c r="R492" s="51">
        <f>SUM(R473+R491)</f>
        <v>1818.213</v>
      </c>
    </row>
    <row r="493" spans="1:18" x14ac:dyDescent="0.2">
      <c r="A493" s="13" t="s">
        <v>45</v>
      </c>
      <c r="B493" s="48" t="s">
        <v>46</v>
      </c>
      <c r="C493" s="43"/>
      <c r="D493" s="43"/>
      <c r="E493" s="151"/>
      <c r="F493" s="49"/>
      <c r="G493" s="52">
        <v>0.09</v>
      </c>
      <c r="H493" s="53" t="s">
        <v>47</v>
      </c>
      <c r="I493" s="51">
        <f>G493*I492</f>
        <v>114.99876</v>
      </c>
      <c r="J493" s="13" t="s">
        <v>45</v>
      </c>
      <c r="K493" s="48" t="s">
        <v>46</v>
      </c>
      <c r="L493" s="43"/>
      <c r="M493" s="43"/>
      <c r="N493" s="39"/>
      <c r="O493" s="49"/>
      <c r="P493" s="52">
        <v>0.09</v>
      </c>
      <c r="Q493" s="53" t="s">
        <v>47</v>
      </c>
      <c r="R493" s="51">
        <f>P493*R492</f>
        <v>163.63916999999998</v>
      </c>
    </row>
    <row r="494" spans="1:18" x14ac:dyDescent="0.2">
      <c r="A494" s="13" t="s">
        <v>48</v>
      </c>
      <c r="B494" s="48" t="s">
        <v>49</v>
      </c>
      <c r="C494" s="43"/>
      <c r="D494" s="43"/>
      <c r="E494" s="151"/>
      <c r="F494" s="49"/>
      <c r="G494" s="52">
        <v>0.08</v>
      </c>
      <c r="H494" s="53" t="s">
        <v>47</v>
      </c>
      <c r="I494" s="51">
        <f>G494*I492</f>
        <v>102.22112000000001</v>
      </c>
      <c r="J494" s="13" t="s">
        <v>48</v>
      </c>
      <c r="K494" s="48" t="s">
        <v>49</v>
      </c>
      <c r="L494" s="43"/>
      <c r="M494" s="43"/>
      <c r="N494" s="39"/>
      <c r="O494" s="49"/>
      <c r="P494" s="52">
        <v>0.08</v>
      </c>
      <c r="Q494" s="53" t="s">
        <v>47</v>
      </c>
      <c r="R494" s="51">
        <f>P494*R492</f>
        <v>145.45704000000001</v>
      </c>
    </row>
    <row r="495" spans="1:18" x14ac:dyDescent="0.2">
      <c r="A495" s="13" t="s">
        <v>50</v>
      </c>
      <c r="B495" s="48" t="s">
        <v>51</v>
      </c>
      <c r="C495" s="43"/>
      <c r="D495" s="43"/>
      <c r="E495" s="151"/>
      <c r="F495" s="49"/>
      <c r="G495" s="52">
        <v>0.05</v>
      </c>
      <c r="H495" s="53" t="s">
        <v>52</v>
      </c>
      <c r="I495" s="51">
        <f>G495*(I492+I493+I494)</f>
        <v>74.749194000000003</v>
      </c>
      <c r="J495" s="13" t="s">
        <v>50</v>
      </c>
      <c r="K495" s="48" t="s">
        <v>51</v>
      </c>
      <c r="L495" s="43"/>
      <c r="M495" s="43"/>
      <c r="N495" s="39"/>
      <c r="O495" s="49"/>
      <c r="P495" s="52">
        <f>5/100</f>
        <v>0.05</v>
      </c>
      <c r="Q495" s="53" t="s">
        <v>52</v>
      </c>
      <c r="R495" s="51">
        <f>P495*(R492+R493+R494)</f>
        <v>106.3654605</v>
      </c>
    </row>
    <row r="496" spans="1:18" x14ac:dyDescent="0.2">
      <c r="A496" s="54" t="s">
        <v>53</v>
      </c>
      <c r="B496" s="48" t="s">
        <v>54</v>
      </c>
      <c r="C496" s="43"/>
      <c r="D496" s="43"/>
      <c r="E496" s="151"/>
      <c r="F496" s="49"/>
      <c r="G496" s="49"/>
      <c r="H496" s="55" t="s">
        <v>55</v>
      </c>
      <c r="I496" s="51">
        <f>SUM(I492+I493+I494+I495)</f>
        <v>1569.733074</v>
      </c>
      <c r="J496" s="54" t="s">
        <v>53</v>
      </c>
      <c r="K496" s="48" t="s">
        <v>54</v>
      </c>
      <c r="L496" s="43"/>
      <c r="M496" s="43"/>
      <c r="N496" s="39"/>
      <c r="O496" s="49"/>
      <c r="P496" s="49"/>
      <c r="Q496" s="55" t="s">
        <v>55</v>
      </c>
      <c r="R496" s="51">
        <f>SUM(R492+R493+R494+R495)</f>
        <v>2233.6746705</v>
      </c>
    </row>
    <row r="497" spans="1:18" s="1" customFormat="1" x14ac:dyDescent="0.2">
      <c r="A497" s="236" t="s">
        <v>0</v>
      </c>
      <c r="B497" s="236"/>
      <c r="C497" s="236"/>
      <c r="D497" s="236"/>
      <c r="E497" s="236"/>
      <c r="F497" s="236"/>
      <c r="G497" s="236"/>
      <c r="H497" s="236"/>
      <c r="I497" s="236"/>
      <c r="J497" s="236" t="s">
        <v>0</v>
      </c>
      <c r="K497" s="236"/>
      <c r="L497" s="236"/>
      <c r="M497" s="236"/>
      <c r="N497" s="236"/>
      <c r="O497" s="236"/>
      <c r="P497" s="236"/>
      <c r="Q497" s="236"/>
      <c r="R497" s="236"/>
    </row>
    <row r="499" spans="1:18" x14ac:dyDescent="0.2">
      <c r="A499" s="152" t="s">
        <v>1</v>
      </c>
      <c r="C499" s="4" t="s">
        <v>2</v>
      </c>
      <c r="D499" s="5" t="s">
        <v>473</v>
      </c>
      <c r="E499" s="152" t="s">
        <v>474</v>
      </c>
      <c r="F499" s="152"/>
      <c r="G499" s="152"/>
      <c r="H499" s="152"/>
      <c r="J499" s="2" t="s">
        <v>1</v>
      </c>
      <c r="L499" s="4" t="s">
        <v>2</v>
      </c>
      <c r="M499" s="5" t="s">
        <v>475</v>
      </c>
      <c r="N499" s="237" t="s">
        <v>476</v>
      </c>
      <c r="O499" s="237"/>
      <c r="P499" s="237"/>
      <c r="Q499" s="237"/>
    </row>
    <row r="500" spans="1:18" x14ac:dyDescent="0.2">
      <c r="A500" s="152" t="s">
        <v>7</v>
      </c>
      <c r="C500" s="4" t="s">
        <v>2</v>
      </c>
      <c r="E500" s="152" t="s">
        <v>9</v>
      </c>
      <c r="F500" s="8"/>
      <c r="G500" s="8"/>
      <c r="H500" s="8"/>
      <c r="J500" s="2" t="s">
        <v>7</v>
      </c>
      <c r="L500" s="4" t="s">
        <v>2</v>
      </c>
      <c r="N500" s="2" t="s">
        <v>9</v>
      </c>
      <c r="O500" s="8"/>
      <c r="P500" s="8"/>
      <c r="Q500" s="8"/>
    </row>
    <row r="501" spans="1:18" x14ac:dyDescent="0.2">
      <c r="A501" s="152" t="s">
        <v>10</v>
      </c>
      <c r="C501" s="4" t="s">
        <v>2</v>
      </c>
      <c r="E501" s="9">
        <v>1.25</v>
      </c>
      <c r="F501" s="8"/>
      <c r="G501" s="8"/>
      <c r="H501" s="8"/>
      <c r="J501" s="2" t="s">
        <v>10</v>
      </c>
      <c r="L501" s="4" t="s">
        <v>2</v>
      </c>
      <c r="N501" s="9">
        <v>0.75</v>
      </c>
      <c r="O501" s="8"/>
      <c r="P501" s="8"/>
      <c r="Q501" s="8"/>
    </row>
    <row r="502" spans="1:18" x14ac:dyDescent="0.2">
      <c r="B502" s="8"/>
      <c r="F502" s="11"/>
      <c r="G502" s="8"/>
      <c r="H502" s="8"/>
      <c r="I502" s="8"/>
      <c r="K502" s="8"/>
      <c r="O502" s="11"/>
      <c r="P502" s="8"/>
      <c r="Q502" s="8"/>
      <c r="R502" s="8"/>
    </row>
    <row r="503" spans="1:18" x14ac:dyDescent="0.2">
      <c r="A503" s="12"/>
      <c r="B503" s="238" t="s">
        <v>11</v>
      </c>
      <c r="C503" s="239"/>
      <c r="D503" s="239"/>
      <c r="E503" s="240"/>
      <c r="F503" s="244" t="s">
        <v>12</v>
      </c>
      <c r="G503" s="244" t="s">
        <v>13</v>
      </c>
      <c r="H503" s="244" t="s">
        <v>14</v>
      </c>
      <c r="I503" s="246" t="s">
        <v>15</v>
      </c>
      <c r="J503" s="12"/>
      <c r="K503" s="238" t="s">
        <v>11</v>
      </c>
      <c r="L503" s="239"/>
      <c r="M503" s="239"/>
      <c r="N503" s="240"/>
      <c r="O503" s="244" t="s">
        <v>12</v>
      </c>
      <c r="P503" s="244" t="s">
        <v>13</v>
      </c>
      <c r="Q503" s="244" t="s">
        <v>14</v>
      </c>
      <c r="R503" s="246" t="s">
        <v>15</v>
      </c>
    </row>
    <row r="504" spans="1:18" x14ac:dyDescent="0.2">
      <c r="A504" s="13"/>
      <c r="B504" s="241"/>
      <c r="C504" s="242"/>
      <c r="D504" s="242"/>
      <c r="E504" s="243"/>
      <c r="F504" s="245"/>
      <c r="G504" s="245"/>
      <c r="H504" s="245"/>
      <c r="I504" s="247"/>
      <c r="J504" s="13"/>
      <c r="K504" s="241"/>
      <c r="L504" s="242"/>
      <c r="M504" s="242"/>
      <c r="N504" s="243"/>
      <c r="O504" s="245"/>
      <c r="P504" s="245"/>
      <c r="Q504" s="245"/>
      <c r="R504" s="247"/>
    </row>
    <row r="505" spans="1:18" x14ac:dyDescent="0.2">
      <c r="A505" s="13" t="s">
        <v>16</v>
      </c>
      <c r="B505" s="14" t="s">
        <v>17</v>
      </c>
      <c r="C505" s="15"/>
      <c r="D505" s="15"/>
      <c r="E505" s="16"/>
      <c r="F505" s="17"/>
      <c r="G505" s="17"/>
      <c r="H505" s="17"/>
      <c r="I505" s="17"/>
      <c r="J505" s="13" t="s">
        <v>16</v>
      </c>
      <c r="K505" s="14" t="s">
        <v>17</v>
      </c>
      <c r="L505" s="15"/>
      <c r="M505" s="15"/>
      <c r="N505" s="16"/>
      <c r="O505" s="17"/>
      <c r="P505" s="17"/>
      <c r="Q505" s="17"/>
      <c r="R505" s="17"/>
    </row>
    <row r="506" spans="1:18" x14ac:dyDescent="0.2">
      <c r="A506" s="13"/>
      <c r="B506" s="18"/>
      <c r="C506" s="19"/>
      <c r="D506" s="19"/>
      <c r="E506" s="20"/>
      <c r="F506" s="21"/>
      <c r="G506" s="22"/>
      <c r="H506" s="21"/>
      <c r="I506" s="21"/>
      <c r="J506" s="13"/>
      <c r="K506" s="18"/>
      <c r="L506" s="19"/>
      <c r="M506" s="19"/>
      <c r="N506" s="20"/>
      <c r="O506" s="21"/>
      <c r="P506" s="22"/>
      <c r="Q506" s="21"/>
      <c r="R506" s="21"/>
    </row>
    <row r="507" spans="1:18" x14ac:dyDescent="0.2">
      <c r="A507" s="13"/>
      <c r="B507" s="24" t="s">
        <v>18</v>
      </c>
      <c r="C507" s="25"/>
      <c r="D507" s="25"/>
      <c r="E507" s="26"/>
      <c r="F507" s="22">
        <v>1</v>
      </c>
      <c r="G507" s="23">
        <v>1</v>
      </c>
      <c r="H507" s="23">
        <v>69.42</v>
      </c>
      <c r="I507" s="23">
        <f>G507*H507*F507</f>
        <v>69.42</v>
      </c>
      <c r="J507" s="13"/>
      <c r="K507" s="24" t="s">
        <v>18</v>
      </c>
      <c r="L507" s="25"/>
      <c r="M507" s="25"/>
      <c r="N507" s="26"/>
      <c r="O507" s="22">
        <v>1</v>
      </c>
      <c r="P507" s="23">
        <v>1</v>
      </c>
      <c r="Q507" s="23">
        <v>69.42</v>
      </c>
      <c r="R507" s="23">
        <f>P507*Q507*O507</f>
        <v>69.42</v>
      </c>
    </row>
    <row r="508" spans="1:18" x14ac:dyDescent="0.2">
      <c r="A508" s="13"/>
      <c r="B508" s="257" t="s">
        <v>1179</v>
      </c>
      <c r="C508" s="258"/>
      <c r="D508" s="19"/>
      <c r="E508" s="20"/>
      <c r="F508" s="22">
        <v>4</v>
      </c>
      <c r="G508" s="23">
        <v>1</v>
      </c>
      <c r="H508" s="23">
        <v>38.97</v>
      </c>
      <c r="I508" s="23">
        <f>G508*H508*F508</f>
        <v>155.88</v>
      </c>
      <c r="J508" s="13"/>
      <c r="K508" s="257" t="s">
        <v>1178</v>
      </c>
      <c r="L508" s="258"/>
      <c r="M508" s="25"/>
      <c r="N508" s="26"/>
      <c r="O508" s="22">
        <v>2</v>
      </c>
      <c r="P508" s="23">
        <v>1</v>
      </c>
      <c r="Q508" s="23">
        <v>50.18</v>
      </c>
      <c r="R508" s="23">
        <f>P508*Q508*O508</f>
        <v>100.36</v>
      </c>
    </row>
    <row r="509" spans="1:18" x14ac:dyDescent="0.2">
      <c r="A509" s="13"/>
      <c r="B509" s="257"/>
      <c r="C509" s="258"/>
      <c r="D509" s="19"/>
      <c r="E509" s="20"/>
      <c r="F509" s="22"/>
      <c r="G509" s="22"/>
      <c r="H509" s="23"/>
      <c r="I509" s="23"/>
      <c r="J509" s="13"/>
      <c r="K509" s="257" t="s">
        <v>1177</v>
      </c>
      <c r="L509" s="258"/>
      <c r="M509" s="19"/>
      <c r="N509" s="20"/>
      <c r="O509" s="22">
        <v>4</v>
      </c>
      <c r="P509" s="23">
        <v>1</v>
      </c>
      <c r="Q509" s="23">
        <v>38.97</v>
      </c>
      <c r="R509" s="23">
        <f>P509*Q509*O509</f>
        <v>155.88</v>
      </c>
    </row>
    <row r="510" spans="1:18" ht="15" customHeight="1" x14ac:dyDescent="0.2">
      <c r="A510" s="13"/>
      <c r="B510" s="153"/>
      <c r="C510" s="19"/>
      <c r="D510" s="19"/>
      <c r="E510" s="20"/>
      <c r="F510" s="22"/>
      <c r="G510" s="22"/>
      <c r="H510" s="29"/>
      <c r="I510" s="30"/>
      <c r="J510" s="13"/>
      <c r="K510" s="27"/>
      <c r="L510" s="19"/>
      <c r="M510" s="19"/>
      <c r="N510" s="20"/>
      <c r="O510" s="22"/>
      <c r="P510" s="22"/>
      <c r="Q510" s="29"/>
      <c r="R510" s="30"/>
    </row>
    <row r="511" spans="1:18" x14ac:dyDescent="0.2">
      <c r="A511" s="13"/>
      <c r="B511" s="153"/>
      <c r="C511" s="19"/>
      <c r="D511" s="19"/>
      <c r="E511" s="20"/>
      <c r="F511" s="22"/>
      <c r="G511" s="22"/>
      <c r="H511" s="29"/>
      <c r="I511" s="30"/>
      <c r="J511" s="13"/>
      <c r="K511" s="27"/>
      <c r="L511" s="19"/>
      <c r="M511" s="19"/>
      <c r="N511" s="20"/>
      <c r="O511" s="22"/>
      <c r="P511" s="22"/>
      <c r="Q511" s="29"/>
      <c r="R511" s="30"/>
    </row>
    <row r="512" spans="1:18" x14ac:dyDescent="0.2">
      <c r="A512" s="13"/>
      <c r="B512" s="18"/>
      <c r="C512" s="19"/>
      <c r="D512" s="19"/>
      <c r="E512" s="20"/>
      <c r="F512" s="22"/>
      <c r="G512" s="22"/>
      <c r="H512" s="28"/>
      <c r="I512" s="23"/>
      <c r="J512" s="13"/>
      <c r="K512" s="18"/>
      <c r="L512" s="19"/>
      <c r="M512" s="19"/>
      <c r="N512" s="20"/>
      <c r="O512" s="22"/>
      <c r="P512" s="22"/>
      <c r="Q512" s="28"/>
      <c r="R512" s="23"/>
    </row>
    <row r="513" spans="1:18" x14ac:dyDescent="0.2">
      <c r="A513" s="13"/>
      <c r="B513" s="18"/>
      <c r="C513" s="19"/>
      <c r="D513" s="19"/>
      <c r="E513" s="20"/>
      <c r="F513" s="22"/>
      <c r="G513" s="22"/>
      <c r="H513" s="23"/>
      <c r="I513" s="23"/>
      <c r="J513" s="13"/>
      <c r="K513" s="18"/>
      <c r="L513" s="19"/>
      <c r="M513" s="19"/>
      <c r="N513" s="20"/>
      <c r="O513" s="22"/>
      <c r="P513" s="22"/>
      <c r="Q513" s="23"/>
      <c r="R513" s="23"/>
    </row>
    <row r="514" spans="1:18" x14ac:dyDescent="0.2">
      <c r="A514" s="13"/>
      <c r="B514" s="248" t="s">
        <v>20</v>
      </c>
      <c r="C514" s="249"/>
      <c r="D514" s="249"/>
      <c r="E514" s="250"/>
      <c r="F514" s="31"/>
      <c r="G514" s="31"/>
      <c r="H514" s="32"/>
      <c r="I514" s="32">
        <f>SUM(I507:I513)</f>
        <v>225.3</v>
      </c>
      <c r="J514" s="13"/>
      <c r="K514" s="248" t="s">
        <v>20</v>
      </c>
      <c r="L514" s="249"/>
      <c r="M514" s="249"/>
      <c r="N514" s="250"/>
      <c r="O514" s="31"/>
      <c r="P514" s="31"/>
      <c r="Q514" s="32"/>
      <c r="R514" s="32">
        <f>SUM(R507:R513)</f>
        <v>325.65999999999997</v>
      </c>
    </row>
    <row r="515" spans="1:18" x14ac:dyDescent="0.2">
      <c r="A515" s="12"/>
      <c r="B515" s="251" t="s">
        <v>21</v>
      </c>
      <c r="C515" s="252"/>
      <c r="D515" s="252"/>
      <c r="E515" s="253"/>
      <c r="F515" s="244" t="s">
        <v>22</v>
      </c>
      <c r="G515" s="244" t="s">
        <v>13</v>
      </c>
      <c r="H515" s="244" t="s">
        <v>14</v>
      </c>
      <c r="I515" s="246" t="s">
        <v>15</v>
      </c>
      <c r="J515" s="12"/>
      <c r="K515" s="251" t="s">
        <v>21</v>
      </c>
      <c r="L515" s="252"/>
      <c r="M515" s="252"/>
      <c r="N515" s="253"/>
      <c r="O515" s="244" t="s">
        <v>22</v>
      </c>
      <c r="P515" s="244" t="s">
        <v>13</v>
      </c>
      <c r="Q515" s="244" t="s">
        <v>14</v>
      </c>
      <c r="R515" s="246" t="s">
        <v>15</v>
      </c>
    </row>
    <row r="516" spans="1:18" x14ac:dyDescent="0.2">
      <c r="A516" s="13"/>
      <c r="B516" s="254"/>
      <c r="C516" s="255"/>
      <c r="D516" s="255"/>
      <c r="E516" s="256"/>
      <c r="F516" s="245"/>
      <c r="G516" s="245"/>
      <c r="H516" s="245"/>
      <c r="I516" s="247"/>
      <c r="J516" s="13"/>
      <c r="K516" s="254"/>
      <c r="L516" s="255"/>
      <c r="M516" s="255"/>
      <c r="N516" s="256"/>
      <c r="O516" s="245"/>
      <c r="P516" s="245"/>
      <c r="Q516" s="245"/>
      <c r="R516" s="247"/>
    </row>
    <row r="517" spans="1:18" x14ac:dyDescent="0.2">
      <c r="A517" s="13" t="s">
        <v>23</v>
      </c>
      <c r="B517" s="33" t="s">
        <v>24</v>
      </c>
      <c r="C517" s="15"/>
      <c r="D517" s="15"/>
      <c r="E517" s="16"/>
      <c r="F517" s="34"/>
      <c r="G517" s="34"/>
      <c r="H517" s="35"/>
      <c r="I517" s="35"/>
      <c r="J517" s="13" t="s">
        <v>23</v>
      </c>
      <c r="K517" s="33" t="s">
        <v>24</v>
      </c>
      <c r="L517" s="15"/>
      <c r="M517" s="15"/>
      <c r="N517" s="16"/>
      <c r="O517" s="34"/>
      <c r="P517" s="34"/>
      <c r="Q517" s="35"/>
      <c r="R517" s="35"/>
    </row>
    <row r="518" spans="1:18" x14ac:dyDescent="0.2">
      <c r="A518" s="13"/>
      <c r="B518" s="18"/>
      <c r="C518" s="19"/>
      <c r="D518" s="19"/>
      <c r="E518" s="20"/>
      <c r="F518" s="22"/>
      <c r="G518" s="22"/>
      <c r="H518" s="23"/>
      <c r="I518" s="23"/>
      <c r="J518" s="13"/>
      <c r="K518" s="18"/>
      <c r="L518" s="19"/>
      <c r="M518" s="19"/>
      <c r="N518" s="20"/>
      <c r="O518" s="22"/>
      <c r="P518" s="22"/>
      <c r="Q518" s="23"/>
      <c r="R518" s="23"/>
    </row>
    <row r="519" spans="1:18" ht="17.25" customHeight="1" x14ac:dyDescent="0.2">
      <c r="A519" s="13"/>
      <c r="B519" s="18" t="s">
        <v>135</v>
      </c>
      <c r="C519" s="66"/>
      <c r="D519" s="19"/>
      <c r="E519" s="20"/>
      <c r="F519" s="22">
        <v>1</v>
      </c>
      <c r="G519" s="23">
        <v>1</v>
      </c>
      <c r="H519" s="37">
        <v>123</v>
      </c>
      <c r="I519" s="37">
        <f>G519*H519*F519</f>
        <v>123</v>
      </c>
      <c r="J519" s="13"/>
      <c r="K519" s="18" t="s">
        <v>461</v>
      </c>
      <c r="L519" s="19"/>
      <c r="M519" s="19"/>
      <c r="N519" s="20"/>
      <c r="O519" s="22">
        <v>1</v>
      </c>
      <c r="P519" s="23">
        <v>1</v>
      </c>
      <c r="Q519" s="37">
        <v>922</v>
      </c>
      <c r="R519" s="37">
        <f>P519*Q519*O519</f>
        <v>922</v>
      </c>
    </row>
    <row r="520" spans="1:18" ht="17.25" customHeight="1" x14ac:dyDescent="0.2">
      <c r="A520" s="13"/>
      <c r="B520" s="18" t="s">
        <v>92</v>
      </c>
      <c r="C520" s="19"/>
      <c r="D520" s="19"/>
      <c r="E520" s="20"/>
      <c r="F520" s="22"/>
      <c r="G520" s="36"/>
      <c r="I520" s="37">
        <f>I514*0.1</f>
        <v>22.53</v>
      </c>
      <c r="J520" s="13"/>
      <c r="K520" s="18" t="s">
        <v>260</v>
      </c>
      <c r="L520" s="19"/>
      <c r="M520" s="19"/>
      <c r="N520" s="20"/>
      <c r="O520" s="22"/>
      <c r="P520" s="36"/>
      <c r="R520" s="37">
        <f>R514*0.05</f>
        <v>16.282999999999998</v>
      </c>
    </row>
    <row r="521" spans="1:18" x14ac:dyDescent="0.2">
      <c r="A521" s="13"/>
      <c r="B521" s="18"/>
      <c r="C521" s="19"/>
      <c r="D521" s="19"/>
      <c r="E521" s="20"/>
      <c r="F521" s="22"/>
      <c r="G521" s="23"/>
      <c r="H521" s="37"/>
      <c r="I521" s="37"/>
      <c r="J521" s="13"/>
      <c r="K521" s="18"/>
      <c r="L521" s="19"/>
      <c r="M521" s="19"/>
      <c r="N521" s="20"/>
      <c r="O521" s="22"/>
      <c r="P521" s="36"/>
      <c r="Q521" s="37"/>
      <c r="R521" s="37"/>
    </row>
    <row r="522" spans="1:18" x14ac:dyDescent="0.2">
      <c r="A522" s="13"/>
      <c r="B522" s="18"/>
      <c r="C522" s="19"/>
      <c r="D522" s="19"/>
      <c r="E522" s="20"/>
      <c r="F522" s="22"/>
      <c r="G522" s="36"/>
      <c r="H522" s="37"/>
      <c r="I522" s="37"/>
      <c r="J522" s="13"/>
      <c r="O522" s="21"/>
      <c r="P522" s="21"/>
      <c r="Q522" s="21"/>
      <c r="R522" s="37"/>
    </row>
    <row r="523" spans="1:18" x14ac:dyDescent="0.2">
      <c r="A523" s="13"/>
      <c r="B523" s="18"/>
      <c r="C523" s="19"/>
      <c r="D523" s="19"/>
      <c r="E523" s="20"/>
      <c r="F523" s="22"/>
      <c r="G523" s="36"/>
      <c r="H523" s="37"/>
      <c r="I523" s="37"/>
      <c r="J523" s="13"/>
      <c r="K523" s="18"/>
      <c r="L523" s="19"/>
      <c r="M523" s="19"/>
      <c r="N523" s="20"/>
      <c r="O523" s="22"/>
      <c r="P523" s="36"/>
      <c r="Q523" s="37"/>
      <c r="R523" s="37"/>
    </row>
    <row r="524" spans="1:18" x14ac:dyDescent="0.2">
      <c r="A524" s="13"/>
      <c r="B524" s="18"/>
      <c r="C524" s="19"/>
      <c r="D524" s="19"/>
      <c r="E524" s="20"/>
      <c r="F524" s="22"/>
      <c r="G524" s="36"/>
      <c r="H524" s="38"/>
      <c r="I524" s="38"/>
      <c r="J524" s="13"/>
      <c r="K524" s="18"/>
      <c r="L524" s="19"/>
      <c r="M524" s="19"/>
      <c r="N524" s="20"/>
      <c r="O524" s="22"/>
      <c r="P524" s="36"/>
      <c r="Q524" s="38"/>
      <c r="R524" s="38"/>
    </row>
    <row r="525" spans="1:18" x14ac:dyDescent="0.2">
      <c r="A525" s="13"/>
      <c r="B525" s="18"/>
      <c r="C525" s="19"/>
      <c r="D525" s="19"/>
      <c r="E525" s="20"/>
      <c r="F525" s="22"/>
      <c r="G525" s="36"/>
      <c r="H525" s="38"/>
      <c r="I525" s="38"/>
      <c r="J525" s="13"/>
      <c r="K525" s="18"/>
      <c r="L525" s="19"/>
      <c r="M525" s="19"/>
      <c r="N525" s="20"/>
      <c r="O525" s="22"/>
      <c r="P525" s="36"/>
      <c r="Q525" s="38"/>
      <c r="R525" s="38"/>
    </row>
    <row r="526" spans="1:18" x14ac:dyDescent="0.2">
      <c r="A526" s="13"/>
      <c r="B526" s="18"/>
      <c r="C526" s="19"/>
      <c r="D526" s="19"/>
      <c r="E526" s="20"/>
      <c r="F526" s="22"/>
      <c r="G526" s="36"/>
      <c r="H526" s="38"/>
      <c r="I526" s="38"/>
      <c r="J526" s="13"/>
      <c r="K526" s="18"/>
      <c r="L526" s="19"/>
      <c r="M526" s="19"/>
      <c r="N526" s="20"/>
      <c r="O526" s="22"/>
      <c r="P526" s="36"/>
      <c r="Q526" s="38"/>
      <c r="R526" s="38"/>
    </row>
    <row r="527" spans="1:18" x14ac:dyDescent="0.2">
      <c r="A527" s="13"/>
      <c r="B527" s="18"/>
      <c r="C527" s="19"/>
      <c r="D527" s="19"/>
      <c r="E527" s="20"/>
      <c r="F527" s="22"/>
      <c r="G527" s="36"/>
      <c r="H527" s="38"/>
      <c r="I527" s="38"/>
      <c r="J527" s="13"/>
      <c r="K527" s="18"/>
      <c r="L527" s="19"/>
      <c r="M527" s="19"/>
      <c r="N527" s="20"/>
      <c r="O527" s="22"/>
      <c r="P527" s="36"/>
      <c r="Q527" s="38"/>
      <c r="R527" s="38"/>
    </row>
    <row r="528" spans="1:18" x14ac:dyDescent="0.2">
      <c r="A528" s="13"/>
      <c r="B528" s="18"/>
      <c r="C528" s="19"/>
      <c r="D528" s="19"/>
      <c r="E528" s="20"/>
      <c r="F528" s="22"/>
      <c r="G528" s="36"/>
      <c r="H528" s="37"/>
      <c r="I528" s="37"/>
      <c r="J528" s="13"/>
      <c r="K528" s="18"/>
      <c r="L528" s="19"/>
      <c r="M528" s="19"/>
      <c r="N528" s="20"/>
      <c r="O528" s="22"/>
      <c r="P528" s="36"/>
      <c r="Q528" s="37"/>
      <c r="R528" s="37"/>
    </row>
    <row r="529" spans="1:18" x14ac:dyDescent="0.2">
      <c r="A529" s="13"/>
      <c r="B529" s="18"/>
      <c r="C529" s="19"/>
      <c r="D529" s="19"/>
      <c r="E529" s="20"/>
      <c r="F529" s="22"/>
      <c r="G529" s="36"/>
      <c r="H529" s="37"/>
      <c r="I529" s="37"/>
      <c r="J529" s="13"/>
      <c r="K529" s="18"/>
      <c r="L529" s="19"/>
      <c r="M529" s="19"/>
      <c r="N529" s="20"/>
      <c r="O529" s="22"/>
      <c r="P529" s="36"/>
      <c r="Q529" s="37"/>
      <c r="R529" s="37"/>
    </row>
    <row r="530" spans="1:18" ht="15" customHeight="1" x14ac:dyDescent="0.2">
      <c r="A530" s="13"/>
      <c r="B530" s="18"/>
      <c r="C530" s="19"/>
      <c r="D530" s="19"/>
      <c r="E530" s="20"/>
      <c r="F530" s="22"/>
      <c r="G530" s="36"/>
      <c r="H530" s="37"/>
      <c r="I530" s="37"/>
      <c r="J530" s="13"/>
      <c r="K530" s="18"/>
      <c r="L530" s="19"/>
      <c r="M530" s="19"/>
      <c r="N530" s="20"/>
      <c r="O530" s="22"/>
      <c r="P530" s="36"/>
      <c r="Q530" s="37"/>
      <c r="R530" s="37"/>
    </row>
    <row r="531" spans="1:18" x14ac:dyDescent="0.2">
      <c r="A531" s="13"/>
      <c r="B531" s="18"/>
      <c r="C531" s="19"/>
      <c r="D531" s="19"/>
      <c r="E531" s="20"/>
      <c r="F531" s="22"/>
      <c r="G531" s="22"/>
      <c r="H531" s="23"/>
      <c r="I531" s="23"/>
      <c r="J531" s="13"/>
      <c r="K531" s="18"/>
      <c r="L531" s="19"/>
      <c r="M531" s="19"/>
      <c r="N531" s="20"/>
      <c r="O531" s="22"/>
      <c r="P531" s="22"/>
      <c r="Q531" s="23"/>
      <c r="R531" s="23"/>
    </row>
    <row r="532" spans="1:18" x14ac:dyDescent="0.2">
      <c r="A532" s="13"/>
      <c r="B532" s="248" t="s">
        <v>30</v>
      </c>
      <c r="C532" s="249"/>
      <c r="D532" s="249"/>
      <c r="E532" s="250"/>
      <c r="F532" s="22"/>
      <c r="G532" s="22"/>
      <c r="H532" s="23"/>
      <c r="I532" s="23">
        <f>SUM(I519:I531)</f>
        <v>145.53</v>
      </c>
      <c r="J532" s="13"/>
      <c r="K532" s="248" t="s">
        <v>30</v>
      </c>
      <c r="L532" s="249"/>
      <c r="M532" s="249"/>
      <c r="N532" s="250"/>
      <c r="O532" s="22"/>
      <c r="P532" s="22"/>
      <c r="Q532" s="23"/>
      <c r="R532" s="23">
        <f>SUM(R519:R531)</f>
        <v>938.28300000000002</v>
      </c>
    </row>
    <row r="533" spans="1:18" x14ac:dyDescent="0.2">
      <c r="A533" s="12" t="s">
        <v>31</v>
      </c>
      <c r="B533" s="260" t="s">
        <v>32</v>
      </c>
      <c r="C533" s="261"/>
      <c r="D533" s="261"/>
      <c r="E533" s="261"/>
      <c r="F533" s="151"/>
      <c r="G533" s="151"/>
      <c r="H533" s="40"/>
      <c r="I533" s="41">
        <f>SUM(I532+I514)</f>
        <v>370.83000000000004</v>
      </c>
      <c r="J533" s="12" t="s">
        <v>31</v>
      </c>
      <c r="K533" s="260" t="s">
        <v>32</v>
      </c>
      <c r="L533" s="261"/>
      <c r="M533" s="261"/>
      <c r="N533" s="261"/>
      <c r="O533" s="39"/>
      <c r="P533" s="39"/>
      <c r="Q533" s="40"/>
      <c r="R533" s="41">
        <f>SUM(R532+R514)</f>
        <v>1263.943</v>
      </c>
    </row>
    <row r="534" spans="1:18" x14ac:dyDescent="0.2">
      <c r="A534" s="13" t="s">
        <v>33</v>
      </c>
      <c r="B534" s="283">
        <f>E501</f>
        <v>1.25</v>
      </c>
      <c r="C534" s="284"/>
      <c r="D534" s="284"/>
      <c r="E534" s="284"/>
      <c r="F534" s="284"/>
      <c r="G534" s="284"/>
      <c r="H534" s="40"/>
      <c r="I534" s="41"/>
      <c r="J534" s="13" t="s">
        <v>33</v>
      </c>
      <c r="K534" s="329">
        <f>N501</f>
        <v>0.75</v>
      </c>
      <c r="L534" s="330"/>
      <c r="M534" s="330"/>
      <c r="N534" s="330"/>
      <c r="O534" s="330"/>
      <c r="P534" s="330"/>
      <c r="Q534" s="40"/>
      <c r="R534" s="41"/>
    </row>
    <row r="535" spans="1:18" x14ac:dyDescent="0.2">
      <c r="A535" s="13" t="s">
        <v>34</v>
      </c>
      <c r="B535" s="155" t="s">
        <v>35</v>
      </c>
      <c r="C535" s="43"/>
      <c r="D535" s="43"/>
      <c r="E535" s="151"/>
      <c r="F535" s="156"/>
      <c r="G535" s="156"/>
      <c r="H535" s="40"/>
      <c r="I535" s="41">
        <f>I533/E501</f>
        <v>296.66400000000004</v>
      </c>
      <c r="J535" s="13" t="s">
        <v>34</v>
      </c>
      <c r="K535" s="42" t="s">
        <v>35</v>
      </c>
      <c r="L535" s="43"/>
      <c r="M535" s="43"/>
      <c r="N535" s="39"/>
      <c r="O535" s="44"/>
      <c r="P535" s="44"/>
      <c r="Q535" s="40"/>
      <c r="R535" s="41">
        <f>R533/N501</f>
        <v>1685.2573333333332</v>
      </c>
    </row>
    <row r="536" spans="1:18" x14ac:dyDescent="0.2">
      <c r="A536" s="12"/>
      <c r="B536" s="251" t="s">
        <v>36</v>
      </c>
      <c r="C536" s="252"/>
      <c r="D536" s="252"/>
      <c r="E536" s="253"/>
      <c r="F536" s="244" t="s">
        <v>37</v>
      </c>
      <c r="G536" s="244" t="s">
        <v>38</v>
      </c>
      <c r="H536" s="244" t="s">
        <v>39</v>
      </c>
      <c r="I536" s="246" t="s">
        <v>15</v>
      </c>
      <c r="J536" s="12"/>
      <c r="K536" s="251" t="s">
        <v>36</v>
      </c>
      <c r="L536" s="252"/>
      <c r="M536" s="252"/>
      <c r="N536" s="253"/>
      <c r="O536" s="244" t="s">
        <v>37</v>
      </c>
      <c r="P536" s="244" t="s">
        <v>38</v>
      </c>
      <c r="Q536" s="244" t="s">
        <v>39</v>
      </c>
      <c r="R536" s="246" t="s">
        <v>15</v>
      </c>
    </row>
    <row r="537" spans="1:18" x14ac:dyDescent="0.2">
      <c r="A537" s="13"/>
      <c r="B537" s="254"/>
      <c r="C537" s="255"/>
      <c r="D537" s="255"/>
      <c r="E537" s="256"/>
      <c r="F537" s="245"/>
      <c r="G537" s="245"/>
      <c r="H537" s="245"/>
      <c r="I537" s="247"/>
      <c r="J537" s="13"/>
      <c r="K537" s="254"/>
      <c r="L537" s="255"/>
      <c r="M537" s="255"/>
      <c r="N537" s="256"/>
      <c r="O537" s="245"/>
      <c r="P537" s="245"/>
      <c r="Q537" s="245"/>
      <c r="R537" s="247"/>
    </row>
    <row r="538" spans="1:18" x14ac:dyDescent="0.2">
      <c r="A538" s="13" t="s">
        <v>40</v>
      </c>
      <c r="B538" s="18" t="s">
        <v>41</v>
      </c>
      <c r="C538" s="19"/>
      <c r="D538" s="19"/>
      <c r="E538" s="20"/>
      <c r="F538" s="22"/>
      <c r="G538" s="22"/>
      <c r="H538" s="23"/>
      <c r="I538" s="23"/>
      <c r="J538" s="13" t="s">
        <v>40</v>
      </c>
      <c r="K538" s="18" t="s">
        <v>41</v>
      </c>
      <c r="L538" s="19"/>
      <c r="M538" s="19"/>
      <c r="N538" s="20"/>
      <c r="O538" s="22"/>
      <c r="P538" s="22"/>
      <c r="Q538" s="23"/>
      <c r="R538" s="23"/>
    </row>
    <row r="539" spans="1:18" x14ac:dyDescent="0.2">
      <c r="A539" s="13"/>
      <c r="B539" s="18"/>
      <c r="C539" s="19"/>
      <c r="D539" s="19"/>
      <c r="E539" s="20"/>
      <c r="F539" s="22"/>
      <c r="G539" s="22"/>
      <c r="H539" s="23"/>
      <c r="I539" s="23"/>
      <c r="J539" s="13"/>
      <c r="K539" s="18"/>
      <c r="L539" s="19"/>
      <c r="M539" s="19"/>
      <c r="N539" s="20"/>
      <c r="O539" s="22"/>
      <c r="P539" s="22"/>
      <c r="Q539" s="23"/>
      <c r="R539" s="23"/>
    </row>
    <row r="540" spans="1:18" x14ac:dyDescent="0.2">
      <c r="A540" s="13"/>
      <c r="B540" s="18" t="s">
        <v>477</v>
      </c>
      <c r="C540" s="19"/>
      <c r="D540" s="19"/>
      <c r="E540" s="20"/>
      <c r="F540" s="22" t="s">
        <v>9</v>
      </c>
      <c r="G540" s="62">
        <v>1.1499999999999999</v>
      </c>
      <c r="H540" s="107">
        <v>900</v>
      </c>
      <c r="I540" s="23">
        <f>G540*H540</f>
        <v>1035</v>
      </c>
      <c r="J540" s="13"/>
      <c r="K540" s="18" t="s">
        <v>478</v>
      </c>
      <c r="L540" s="19"/>
      <c r="M540" s="19"/>
      <c r="N540" s="20"/>
      <c r="O540" s="22" t="s">
        <v>9</v>
      </c>
      <c r="P540" s="62">
        <v>1.05</v>
      </c>
      <c r="Q540" s="107">
        <v>650</v>
      </c>
      <c r="R540" s="23">
        <f>Q540*P540</f>
        <v>682.5</v>
      </c>
    </row>
    <row r="541" spans="1:18" x14ac:dyDescent="0.2">
      <c r="A541" s="13"/>
      <c r="B541" s="18" t="s">
        <v>228</v>
      </c>
      <c r="C541" s="19"/>
      <c r="D541" s="19"/>
      <c r="E541" s="20"/>
      <c r="F541" s="22"/>
      <c r="G541" s="22"/>
      <c r="H541" s="23"/>
      <c r="I541" s="23"/>
      <c r="J541" s="13"/>
      <c r="K541" s="18" t="s">
        <v>1200</v>
      </c>
      <c r="L541" s="19"/>
      <c r="M541" s="19"/>
      <c r="N541" s="20"/>
      <c r="O541" s="22"/>
      <c r="P541" s="62"/>
      <c r="R541" s="23">
        <f>R540*0.01</f>
        <v>6.8250000000000002</v>
      </c>
    </row>
    <row r="542" spans="1:18" x14ac:dyDescent="0.2">
      <c r="A542" s="13"/>
      <c r="B542" s="18"/>
      <c r="C542" s="19"/>
      <c r="D542" s="19"/>
      <c r="E542" s="20"/>
      <c r="F542" s="22"/>
      <c r="G542" s="22"/>
      <c r="H542" s="23"/>
      <c r="I542" s="38"/>
      <c r="J542" s="13"/>
      <c r="K542" s="18"/>
      <c r="L542" s="19"/>
      <c r="M542" s="19"/>
      <c r="N542" s="20"/>
      <c r="O542" s="22"/>
      <c r="P542" s="70"/>
      <c r="Q542" s="23"/>
      <c r="R542" s="23"/>
    </row>
    <row r="543" spans="1:18" x14ac:dyDescent="0.2">
      <c r="A543" s="13"/>
      <c r="B543" s="18"/>
      <c r="C543" s="19"/>
      <c r="D543" s="19"/>
      <c r="E543" s="20"/>
      <c r="F543" s="22"/>
      <c r="G543" s="22"/>
      <c r="H543" s="23"/>
      <c r="I543" s="23"/>
      <c r="J543" s="13"/>
      <c r="K543" s="18"/>
      <c r="L543" s="19"/>
      <c r="M543" s="19"/>
      <c r="N543" s="20"/>
      <c r="O543" s="22"/>
      <c r="P543" s="62"/>
      <c r="Q543" s="23"/>
      <c r="R543" s="23"/>
    </row>
    <row r="544" spans="1:18" x14ac:dyDescent="0.2">
      <c r="A544" s="13"/>
      <c r="B544" s="18"/>
      <c r="C544" s="19"/>
      <c r="D544" s="19"/>
      <c r="E544" s="20"/>
      <c r="F544" s="22"/>
      <c r="G544" s="22"/>
      <c r="H544" s="23"/>
      <c r="I544" s="23"/>
      <c r="J544" s="13"/>
      <c r="K544" s="18"/>
      <c r="L544" s="19"/>
      <c r="M544" s="19"/>
      <c r="N544" s="20"/>
      <c r="O544" s="22"/>
      <c r="P544" s="70"/>
      <c r="Q544" s="23"/>
      <c r="R544" s="23"/>
    </row>
    <row r="545" spans="1:18" x14ac:dyDescent="0.2">
      <c r="A545" s="13"/>
      <c r="B545" s="18"/>
      <c r="C545" s="19"/>
      <c r="D545" s="19"/>
      <c r="E545" s="20"/>
      <c r="F545" s="22"/>
      <c r="G545" s="22"/>
      <c r="H545" s="45"/>
      <c r="I545" s="45"/>
      <c r="J545" s="13"/>
      <c r="K545" s="18"/>
      <c r="L545" s="19"/>
      <c r="M545" s="19"/>
      <c r="N545" s="20"/>
      <c r="O545" s="22"/>
      <c r="P545" s="62"/>
      <c r="Q545" s="23"/>
      <c r="R545" s="23"/>
    </row>
    <row r="546" spans="1:18" ht="15" customHeight="1" x14ac:dyDescent="0.2">
      <c r="A546" s="13"/>
      <c r="B546" s="18"/>
      <c r="C546" s="19"/>
      <c r="D546" s="19"/>
      <c r="E546" s="20"/>
      <c r="F546" s="22"/>
      <c r="G546" s="22"/>
      <c r="H546" s="23"/>
      <c r="I546" s="23"/>
      <c r="J546" s="13"/>
      <c r="K546" s="18"/>
      <c r="L546" s="19"/>
      <c r="M546" s="19"/>
      <c r="N546" s="20"/>
      <c r="O546" s="22"/>
      <c r="P546" s="22"/>
      <c r="Q546" s="23"/>
      <c r="R546" s="23"/>
    </row>
    <row r="547" spans="1:18" x14ac:dyDescent="0.2">
      <c r="A547" s="13"/>
      <c r="B547" s="18"/>
      <c r="C547" s="19"/>
      <c r="D547" s="19"/>
      <c r="E547" s="20"/>
      <c r="F547" s="22"/>
      <c r="G547" s="22"/>
      <c r="H547" s="23"/>
      <c r="I547" s="23"/>
      <c r="J547" s="13"/>
      <c r="K547" s="18"/>
      <c r="L547" s="19"/>
      <c r="M547" s="19"/>
      <c r="N547" s="20"/>
      <c r="O547" s="22"/>
      <c r="P547" s="22"/>
      <c r="Q547" s="23"/>
      <c r="R547" s="23"/>
    </row>
    <row r="548" spans="1:18" x14ac:dyDescent="0.2">
      <c r="A548" s="13"/>
      <c r="B548" s="18"/>
      <c r="C548" s="19"/>
      <c r="D548" s="19"/>
      <c r="E548" s="20"/>
      <c r="F548" s="22"/>
      <c r="G548" s="22"/>
      <c r="H548" s="23"/>
      <c r="I548" s="23"/>
      <c r="J548" s="13"/>
      <c r="K548" s="18"/>
      <c r="L548" s="19"/>
      <c r="M548" s="19"/>
      <c r="N548" s="20"/>
      <c r="O548" s="22"/>
      <c r="P548" s="22"/>
      <c r="Q548" s="23"/>
      <c r="R548" s="23"/>
    </row>
    <row r="549" spans="1:18" x14ac:dyDescent="0.2">
      <c r="A549" s="13"/>
      <c r="B549" s="18"/>
      <c r="C549" s="19"/>
      <c r="D549" s="19"/>
      <c r="E549" s="20"/>
      <c r="F549" s="22"/>
      <c r="G549" s="22"/>
      <c r="H549" s="23"/>
      <c r="I549" s="23"/>
      <c r="J549" s="13"/>
      <c r="K549" s="18"/>
      <c r="L549" s="19"/>
      <c r="M549" s="19"/>
      <c r="N549" s="20"/>
      <c r="O549" s="22"/>
      <c r="P549" s="22"/>
      <c r="Q549" s="23"/>
      <c r="R549" s="23"/>
    </row>
    <row r="550" spans="1:18" x14ac:dyDescent="0.2">
      <c r="A550" s="13"/>
      <c r="B550" s="18"/>
      <c r="C550" s="19"/>
      <c r="D550" s="19"/>
      <c r="E550" s="20"/>
      <c r="F550" s="22"/>
      <c r="G550" s="22"/>
      <c r="H550" s="23"/>
      <c r="I550" s="23"/>
      <c r="J550" s="13"/>
      <c r="K550" s="18"/>
      <c r="L550" s="19"/>
      <c r="M550" s="19"/>
      <c r="N550" s="20"/>
      <c r="O550" s="22"/>
      <c r="P550" s="22"/>
      <c r="Q550" s="23"/>
      <c r="R550" s="23"/>
    </row>
    <row r="551" spans="1:18" x14ac:dyDescent="0.2">
      <c r="A551" s="13"/>
      <c r="B551" s="18"/>
      <c r="C551" s="19"/>
      <c r="D551" s="19"/>
      <c r="E551" s="20"/>
      <c r="F551" s="22"/>
      <c r="G551" s="22"/>
      <c r="H551" s="23"/>
      <c r="I551" s="23"/>
      <c r="J551" s="13"/>
      <c r="K551" s="18"/>
      <c r="L551" s="19"/>
      <c r="M551" s="19"/>
      <c r="N551" s="20"/>
      <c r="O551" s="22"/>
      <c r="P551" s="22"/>
      <c r="Q551" s="23"/>
      <c r="R551" s="23"/>
    </row>
    <row r="552" spans="1:18" x14ac:dyDescent="0.2">
      <c r="A552" s="13"/>
      <c r="B552" s="18"/>
      <c r="C552" s="19"/>
      <c r="D552" s="19"/>
      <c r="E552" s="20"/>
      <c r="F552" s="22"/>
      <c r="G552" s="36"/>
      <c r="H552" s="37"/>
      <c r="I552" s="37"/>
      <c r="J552" s="13"/>
      <c r="K552" s="18"/>
      <c r="L552" s="19"/>
      <c r="M552" s="19"/>
      <c r="N552" s="20"/>
      <c r="O552" s="22"/>
      <c r="P552" s="36"/>
      <c r="Q552" s="37"/>
      <c r="R552" s="37"/>
    </row>
    <row r="553" spans="1:18" x14ac:dyDescent="0.2">
      <c r="A553" s="13"/>
      <c r="B553" s="248" t="s">
        <v>42</v>
      </c>
      <c r="C553" s="249"/>
      <c r="D553" s="249"/>
      <c r="E553" s="250"/>
      <c r="F553" s="46"/>
      <c r="G553" s="46"/>
      <c r="H553" s="47"/>
      <c r="I553" s="47">
        <f>SUM(I540:I552)</f>
        <v>1035</v>
      </c>
      <c r="J553" s="13"/>
      <c r="K553" s="248" t="s">
        <v>42</v>
      </c>
      <c r="L553" s="249"/>
      <c r="M553" s="249"/>
      <c r="N553" s="250"/>
      <c r="O553" s="46"/>
      <c r="P553" s="46"/>
      <c r="Q553" s="47"/>
      <c r="R553" s="47">
        <f>SUM(R540:R552)</f>
        <v>689.32500000000005</v>
      </c>
    </row>
    <row r="554" spans="1:18" x14ac:dyDescent="0.2">
      <c r="A554" s="12" t="s">
        <v>43</v>
      </c>
      <c r="B554" s="48" t="s">
        <v>44</v>
      </c>
      <c r="C554" s="43"/>
      <c r="D554" s="43"/>
      <c r="E554" s="151"/>
      <c r="F554" s="49"/>
      <c r="G554" s="49"/>
      <c r="H554" s="50"/>
      <c r="I554" s="51">
        <f>SUM(I535+I553)</f>
        <v>1331.664</v>
      </c>
      <c r="J554" s="12" t="s">
        <v>43</v>
      </c>
      <c r="K554" s="48" t="s">
        <v>44</v>
      </c>
      <c r="L554" s="43"/>
      <c r="M554" s="43"/>
      <c r="N554" s="39"/>
      <c r="O554" s="49"/>
      <c r="P554" s="49"/>
      <c r="Q554" s="50"/>
      <c r="R554" s="51">
        <f>SUM(R535+R553)</f>
        <v>2374.5823333333333</v>
      </c>
    </row>
    <row r="555" spans="1:18" x14ac:dyDescent="0.2">
      <c r="A555" s="13" t="s">
        <v>45</v>
      </c>
      <c r="B555" s="48" t="s">
        <v>46</v>
      </c>
      <c r="C555" s="43"/>
      <c r="D555" s="43"/>
      <c r="E555" s="151"/>
      <c r="F555" s="49"/>
      <c r="G555" s="52">
        <v>0.09</v>
      </c>
      <c r="H555" s="53" t="s">
        <v>47</v>
      </c>
      <c r="I555" s="51">
        <f>G555*I554</f>
        <v>119.84975999999999</v>
      </c>
      <c r="J555" s="13" t="s">
        <v>45</v>
      </c>
      <c r="K555" s="48" t="s">
        <v>46</v>
      </c>
      <c r="L555" s="43"/>
      <c r="M555" s="43"/>
      <c r="N555" s="39"/>
      <c r="O555" s="49"/>
      <c r="P555" s="52">
        <v>0.09</v>
      </c>
      <c r="Q555" s="53" t="s">
        <v>47</v>
      </c>
      <c r="R555" s="51">
        <f>P555*R554</f>
        <v>213.71240999999998</v>
      </c>
    </row>
    <row r="556" spans="1:18" x14ac:dyDescent="0.2">
      <c r="A556" s="13" t="s">
        <v>48</v>
      </c>
      <c r="B556" s="48" t="s">
        <v>49</v>
      </c>
      <c r="C556" s="43"/>
      <c r="D556" s="43"/>
      <c r="E556" s="151"/>
      <c r="F556" s="49"/>
      <c r="G556" s="52">
        <v>0.08</v>
      </c>
      <c r="H556" s="53" t="s">
        <v>47</v>
      </c>
      <c r="I556" s="51">
        <f>G556*I554</f>
        <v>106.53312</v>
      </c>
      <c r="J556" s="13" t="s">
        <v>48</v>
      </c>
      <c r="K556" s="48" t="s">
        <v>49</v>
      </c>
      <c r="L556" s="43"/>
      <c r="M556" s="43"/>
      <c r="N556" s="39"/>
      <c r="O556" s="49"/>
      <c r="P556" s="52">
        <v>0.08</v>
      </c>
      <c r="Q556" s="53" t="s">
        <v>47</v>
      </c>
      <c r="R556" s="51">
        <f>P556*R554</f>
        <v>189.96658666666667</v>
      </c>
    </row>
    <row r="557" spans="1:18" x14ac:dyDescent="0.2">
      <c r="A557" s="13" t="s">
        <v>50</v>
      </c>
      <c r="B557" s="48" t="s">
        <v>51</v>
      </c>
      <c r="C557" s="43"/>
      <c r="D557" s="43"/>
      <c r="E557" s="151"/>
      <c r="F557" s="49"/>
      <c r="G557" s="52">
        <v>0.05</v>
      </c>
      <c r="H557" s="53" t="s">
        <v>52</v>
      </c>
      <c r="I557" s="51">
        <f>G557*(I554+I555+I556)</f>
        <v>77.902344000000014</v>
      </c>
      <c r="J557" s="13" t="s">
        <v>50</v>
      </c>
      <c r="K557" s="48" t="s">
        <v>51</v>
      </c>
      <c r="L557" s="43"/>
      <c r="M557" s="43"/>
      <c r="N557" s="39"/>
      <c r="O557" s="49"/>
      <c r="P557" s="52">
        <f>5/100</f>
        <v>0.05</v>
      </c>
      <c r="Q557" s="53" t="s">
        <v>52</v>
      </c>
      <c r="R557" s="51">
        <f>P557*(R554+R555+R556)</f>
        <v>138.91306650000001</v>
      </c>
    </row>
    <row r="558" spans="1:18" x14ac:dyDescent="0.2">
      <c r="A558" s="54" t="s">
        <v>53</v>
      </c>
      <c r="B558" s="48" t="s">
        <v>54</v>
      </c>
      <c r="C558" s="43"/>
      <c r="D558" s="43"/>
      <c r="E558" s="151"/>
      <c r="F558" s="49"/>
      <c r="G558" s="49"/>
      <c r="H558" s="55" t="s">
        <v>55</v>
      </c>
      <c r="I558" s="51">
        <f>SUM(I554+I555+I556+I557)</f>
        <v>1635.9492240000002</v>
      </c>
      <c r="J558" s="54" t="s">
        <v>53</v>
      </c>
      <c r="K558" s="48" t="s">
        <v>54</v>
      </c>
      <c r="L558" s="43"/>
      <c r="M558" s="43"/>
      <c r="N558" s="39"/>
      <c r="O558" s="49"/>
      <c r="P558" s="49"/>
      <c r="Q558" s="55" t="s">
        <v>55</v>
      </c>
      <c r="R558" s="51">
        <f>SUM(R554+R555+R556+R557)</f>
        <v>2917.1743965000005</v>
      </c>
    </row>
    <row r="559" spans="1:18" s="1" customFormat="1" x14ac:dyDescent="0.2">
      <c r="A559" s="331" t="s">
        <v>0</v>
      </c>
      <c r="B559" s="331"/>
      <c r="C559" s="331"/>
      <c r="D559" s="331"/>
      <c r="E559" s="331"/>
      <c r="F559" s="331"/>
      <c r="G559" s="331"/>
      <c r="H559" s="331"/>
      <c r="I559" s="331"/>
      <c r="J559" s="236" t="s">
        <v>0</v>
      </c>
      <c r="K559" s="236"/>
      <c r="L559" s="236"/>
      <c r="M559" s="236"/>
      <c r="N559" s="236"/>
      <c r="O559" s="236"/>
      <c r="P559" s="236"/>
      <c r="Q559" s="236"/>
      <c r="R559" s="236"/>
    </row>
    <row r="560" spans="1:18" x14ac:dyDescent="0.2">
      <c r="A560" s="80"/>
      <c r="B560" s="66"/>
      <c r="C560" s="19"/>
      <c r="D560" s="19"/>
      <c r="E560" s="20"/>
      <c r="F560" s="66"/>
      <c r="G560" s="66"/>
      <c r="H560" s="66"/>
      <c r="I560" s="66"/>
    </row>
    <row r="561" spans="1:18" x14ac:dyDescent="0.2">
      <c r="A561" s="63" t="s">
        <v>1</v>
      </c>
      <c r="B561" s="66"/>
      <c r="C561" s="19" t="s">
        <v>2</v>
      </c>
      <c r="D561" s="20">
        <v>502</v>
      </c>
      <c r="E561" s="63" t="s">
        <v>479</v>
      </c>
      <c r="F561" s="63"/>
      <c r="G561" s="63"/>
      <c r="H561" s="63"/>
      <c r="I561" s="66"/>
      <c r="J561" s="2" t="s">
        <v>1</v>
      </c>
      <c r="L561" s="4" t="s">
        <v>2</v>
      </c>
      <c r="M561" s="5" t="s">
        <v>480</v>
      </c>
      <c r="N561" s="237" t="s">
        <v>481</v>
      </c>
      <c r="O561" s="237"/>
      <c r="P561" s="237"/>
      <c r="Q561" s="237"/>
    </row>
    <row r="562" spans="1:18" x14ac:dyDescent="0.2">
      <c r="A562" s="63" t="s">
        <v>7</v>
      </c>
      <c r="B562" s="66"/>
      <c r="C562" s="19" t="s">
        <v>2</v>
      </c>
      <c r="D562" s="19"/>
      <c r="E562" s="63" t="s">
        <v>59</v>
      </c>
      <c r="F562" s="25"/>
      <c r="G562" s="25"/>
      <c r="H562" s="25"/>
      <c r="I562" s="66"/>
      <c r="J562" s="2" t="s">
        <v>7</v>
      </c>
      <c r="L562" s="4" t="s">
        <v>2</v>
      </c>
      <c r="N562" s="2" t="s">
        <v>9</v>
      </c>
      <c r="O562" s="8"/>
      <c r="P562" s="8"/>
      <c r="Q562" s="8"/>
    </row>
    <row r="563" spans="1:18" x14ac:dyDescent="0.2">
      <c r="A563" s="63" t="s">
        <v>147</v>
      </c>
      <c r="B563" s="66"/>
      <c r="C563" s="19" t="s">
        <v>2</v>
      </c>
      <c r="D563" s="19"/>
      <c r="E563" s="81">
        <v>1</v>
      </c>
      <c r="F563" s="25"/>
      <c r="G563" s="25"/>
      <c r="H563" s="25"/>
      <c r="I563" s="66"/>
      <c r="J563" s="2" t="s">
        <v>10</v>
      </c>
      <c r="L563" s="4" t="s">
        <v>2</v>
      </c>
      <c r="N563" s="9">
        <f>1*10/8</f>
        <v>1.25</v>
      </c>
      <c r="O563" s="8"/>
      <c r="P563" s="8"/>
      <c r="Q563" s="8"/>
    </row>
    <row r="564" spans="1:18" x14ac:dyDescent="0.2">
      <c r="A564" s="82"/>
      <c r="B564" s="83"/>
      <c r="C564" s="84"/>
      <c r="D564" s="84"/>
      <c r="E564" s="85"/>
      <c r="F564" s="86"/>
      <c r="G564" s="83"/>
      <c r="H564" s="83"/>
      <c r="I564" s="83"/>
      <c r="K564" s="8"/>
      <c r="O564" s="11"/>
      <c r="P564" s="8"/>
      <c r="Q564" s="8"/>
      <c r="R564" s="8"/>
    </row>
    <row r="565" spans="1:18" x14ac:dyDescent="0.2">
      <c r="A565" s="12"/>
      <c r="B565" s="238" t="s">
        <v>11</v>
      </c>
      <c r="C565" s="239"/>
      <c r="D565" s="239"/>
      <c r="E565" s="240"/>
      <c r="F565" s="244" t="s">
        <v>12</v>
      </c>
      <c r="G565" s="244" t="s">
        <v>13</v>
      </c>
      <c r="H565" s="244" t="s">
        <v>14</v>
      </c>
      <c r="I565" s="246" t="s">
        <v>15</v>
      </c>
      <c r="J565" s="12"/>
      <c r="K565" s="238" t="s">
        <v>11</v>
      </c>
      <c r="L565" s="239"/>
      <c r="M565" s="239"/>
      <c r="N565" s="240"/>
      <c r="O565" s="244" t="s">
        <v>12</v>
      </c>
      <c r="P565" s="244" t="s">
        <v>13</v>
      </c>
      <c r="Q565" s="244" t="s">
        <v>14</v>
      </c>
      <c r="R565" s="246" t="s">
        <v>15</v>
      </c>
    </row>
    <row r="566" spans="1:18" x14ac:dyDescent="0.2">
      <c r="A566" s="13"/>
      <c r="B566" s="241"/>
      <c r="C566" s="242"/>
      <c r="D566" s="242"/>
      <c r="E566" s="243"/>
      <c r="F566" s="245"/>
      <c r="G566" s="245"/>
      <c r="H566" s="245"/>
      <c r="I566" s="247"/>
      <c r="J566" s="13"/>
      <c r="K566" s="241"/>
      <c r="L566" s="242"/>
      <c r="M566" s="242"/>
      <c r="N566" s="243"/>
      <c r="O566" s="245"/>
      <c r="P566" s="245"/>
      <c r="Q566" s="245"/>
      <c r="R566" s="247"/>
    </row>
    <row r="567" spans="1:18" x14ac:dyDescent="0.2">
      <c r="A567" s="13" t="s">
        <v>16</v>
      </c>
      <c r="B567" s="14" t="s">
        <v>17</v>
      </c>
      <c r="C567" s="15"/>
      <c r="D567" s="15"/>
      <c r="E567" s="16"/>
      <c r="F567" s="17"/>
      <c r="G567" s="17"/>
      <c r="H567" s="17"/>
      <c r="I567" s="17"/>
      <c r="J567" s="13" t="s">
        <v>16</v>
      </c>
      <c r="K567" s="14" t="s">
        <v>17</v>
      </c>
      <c r="L567" s="15"/>
      <c r="M567" s="15"/>
      <c r="N567" s="16"/>
      <c r="O567" s="17"/>
      <c r="P567" s="17"/>
      <c r="Q567" s="17"/>
      <c r="R567" s="17"/>
    </row>
    <row r="568" spans="1:18" x14ac:dyDescent="0.2">
      <c r="A568" s="13"/>
      <c r="B568" s="18"/>
      <c r="C568" s="19"/>
      <c r="D568" s="19"/>
      <c r="E568" s="20"/>
      <c r="F568" s="21"/>
      <c r="G568" s="22"/>
      <c r="H568" s="21"/>
      <c r="I568" s="21"/>
      <c r="J568" s="13"/>
      <c r="K568" s="18"/>
      <c r="L568" s="19"/>
      <c r="M568" s="19"/>
      <c r="N568" s="20"/>
      <c r="O568" s="21"/>
      <c r="P568" s="22"/>
      <c r="Q568" s="21"/>
      <c r="R568" s="21"/>
    </row>
    <row r="569" spans="1:18" x14ac:dyDescent="0.2">
      <c r="A569" s="13"/>
      <c r="B569" s="24"/>
      <c r="C569" s="25"/>
      <c r="D569" s="25"/>
      <c r="E569" s="26"/>
      <c r="F569" s="22"/>
      <c r="G569" s="62"/>
      <c r="H569" s="23"/>
      <c r="I569" s="23"/>
      <c r="J569" s="13"/>
      <c r="K569" s="24" t="s">
        <v>18</v>
      </c>
      <c r="L569" s="25"/>
      <c r="M569" s="25"/>
      <c r="N569" s="26"/>
      <c r="O569" s="22">
        <v>1</v>
      </c>
      <c r="P569" s="23">
        <v>1</v>
      </c>
      <c r="Q569" s="23">
        <v>69.42</v>
      </c>
      <c r="R569" s="23">
        <f>P569*Q569*O569</f>
        <v>69.42</v>
      </c>
    </row>
    <row r="570" spans="1:18" x14ac:dyDescent="0.2">
      <c r="A570" s="13"/>
      <c r="B570" s="257"/>
      <c r="C570" s="258"/>
      <c r="D570" s="25"/>
      <c r="E570" s="26"/>
      <c r="F570" s="22"/>
      <c r="G570" s="62"/>
      <c r="H570" s="23"/>
      <c r="I570" s="23"/>
      <c r="J570" s="13"/>
      <c r="K570" s="257" t="s">
        <v>1178</v>
      </c>
      <c r="L570" s="258"/>
      <c r="M570" s="25"/>
      <c r="N570" s="26"/>
      <c r="O570" s="22">
        <v>2</v>
      </c>
      <c r="P570" s="23">
        <v>1</v>
      </c>
      <c r="Q570" s="23">
        <v>50.18</v>
      </c>
      <c r="R570" s="23">
        <f>P570*Q570*O570</f>
        <v>100.36</v>
      </c>
    </row>
    <row r="571" spans="1:18" x14ac:dyDescent="0.2">
      <c r="A571" s="13"/>
      <c r="B571" s="257"/>
      <c r="C571" s="258"/>
      <c r="D571" s="19"/>
      <c r="E571" s="20"/>
      <c r="F571" s="22"/>
      <c r="G571" s="62"/>
      <c r="H571" s="23"/>
      <c r="I571" s="23"/>
      <c r="J571" s="13"/>
      <c r="K571" s="257" t="s">
        <v>1177</v>
      </c>
      <c r="L571" s="258"/>
      <c r="M571" s="19"/>
      <c r="N571" s="20"/>
      <c r="O571" s="22">
        <v>8</v>
      </c>
      <c r="P571" s="23">
        <v>1</v>
      </c>
      <c r="Q571" s="23">
        <v>38.97</v>
      </c>
      <c r="R571" s="23">
        <f>P571*Q571*O571</f>
        <v>311.76</v>
      </c>
    </row>
    <row r="572" spans="1:18" x14ac:dyDescent="0.2">
      <c r="A572" s="13"/>
      <c r="B572" s="27"/>
      <c r="C572" s="19"/>
      <c r="D572" s="19"/>
      <c r="E572" s="20"/>
      <c r="F572" s="22"/>
      <c r="G572" s="22"/>
      <c r="H572" s="29"/>
      <c r="I572" s="30"/>
      <c r="J572" s="13"/>
      <c r="K572" s="27"/>
      <c r="L572" s="19"/>
      <c r="M572" s="19"/>
      <c r="N572" s="20"/>
      <c r="O572" s="22"/>
      <c r="P572" s="22"/>
      <c r="Q572" s="29"/>
      <c r="R572" s="30"/>
    </row>
    <row r="573" spans="1:18" x14ac:dyDescent="0.2">
      <c r="A573" s="13"/>
      <c r="B573" s="27"/>
      <c r="C573" s="19"/>
      <c r="D573" s="19"/>
      <c r="E573" s="20"/>
      <c r="F573" s="22"/>
      <c r="G573" s="22"/>
      <c r="H573" s="29"/>
      <c r="I573" s="30"/>
      <c r="J573" s="13"/>
      <c r="K573" s="27"/>
      <c r="L573" s="19"/>
      <c r="M573" s="19"/>
      <c r="N573" s="20"/>
      <c r="O573" s="22"/>
      <c r="P573" s="22"/>
      <c r="Q573" s="29"/>
      <c r="R573" s="30"/>
    </row>
    <row r="574" spans="1:18" x14ac:dyDescent="0.2">
      <c r="A574" s="13"/>
      <c r="B574" s="18"/>
      <c r="C574" s="19"/>
      <c r="D574" s="19"/>
      <c r="E574" s="20"/>
      <c r="F574" s="22"/>
      <c r="G574" s="22"/>
      <c r="H574" s="28"/>
      <c r="I574" s="23"/>
      <c r="J574" s="13"/>
      <c r="K574" s="18"/>
      <c r="L574" s="19"/>
      <c r="M574" s="19"/>
      <c r="N574" s="20"/>
      <c r="O574" s="22"/>
      <c r="P574" s="22"/>
      <c r="Q574" s="28"/>
      <c r="R574" s="23"/>
    </row>
    <row r="575" spans="1:18" x14ac:dyDescent="0.2">
      <c r="A575" s="13"/>
      <c r="B575" s="18"/>
      <c r="C575" s="19"/>
      <c r="D575" s="19"/>
      <c r="E575" s="20"/>
      <c r="F575" s="22"/>
      <c r="G575" s="22"/>
      <c r="H575" s="23"/>
      <c r="I575" s="23"/>
      <c r="J575" s="13"/>
      <c r="K575" s="18"/>
      <c r="L575" s="19"/>
      <c r="M575" s="19"/>
      <c r="N575" s="20"/>
      <c r="O575" s="22"/>
      <c r="P575" s="22"/>
      <c r="Q575" s="23"/>
      <c r="R575" s="23"/>
    </row>
    <row r="576" spans="1:18" x14ac:dyDescent="0.2">
      <c r="A576" s="13"/>
      <c r="B576" s="248" t="s">
        <v>20</v>
      </c>
      <c r="C576" s="249"/>
      <c r="D576" s="249"/>
      <c r="E576" s="250"/>
      <c r="F576" s="31"/>
      <c r="G576" s="31"/>
      <c r="H576" s="32"/>
      <c r="I576" s="32"/>
      <c r="J576" s="13"/>
      <c r="K576" s="248" t="s">
        <v>20</v>
      </c>
      <c r="L576" s="249"/>
      <c r="M576" s="249"/>
      <c r="N576" s="250"/>
      <c r="O576" s="31"/>
      <c r="P576" s="31"/>
      <c r="Q576" s="32"/>
      <c r="R576" s="32">
        <f>SUM(R569:R575)</f>
        <v>481.53999999999996</v>
      </c>
    </row>
    <row r="577" spans="1:18" x14ac:dyDescent="0.2">
      <c r="A577" s="12"/>
      <c r="B577" s="251" t="s">
        <v>21</v>
      </c>
      <c r="C577" s="252"/>
      <c r="D577" s="252"/>
      <c r="E577" s="253"/>
      <c r="F577" s="244" t="s">
        <v>22</v>
      </c>
      <c r="G577" s="244" t="s">
        <v>13</v>
      </c>
      <c r="H577" s="244" t="s">
        <v>14</v>
      </c>
      <c r="I577" s="246" t="s">
        <v>15</v>
      </c>
      <c r="J577" s="12"/>
      <c r="K577" s="251" t="s">
        <v>21</v>
      </c>
      <c r="L577" s="252"/>
      <c r="M577" s="252"/>
      <c r="N577" s="253"/>
      <c r="O577" s="244" t="s">
        <v>22</v>
      </c>
      <c r="P577" s="244" t="s">
        <v>13</v>
      </c>
      <c r="Q577" s="244" t="s">
        <v>14</v>
      </c>
      <c r="R577" s="246" t="s">
        <v>15</v>
      </c>
    </row>
    <row r="578" spans="1:18" x14ac:dyDescent="0.2">
      <c r="A578" s="13"/>
      <c r="B578" s="254"/>
      <c r="C578" s="255"/>
      <c r="D578" s="255"/>
      <c r="E578" s="256"/>
      <c r="F578" s="245"/>
      <c r="G578" s="245"/>
      <c r="H578" s="245"/>
      <c r="I578" s="247"/>
      <c r="J578" s="13"/>
      <c r="K578" s="254"/>
      <c r="L578" s="255"/>
      <c r="M578" s="255"/>
      <c r="N578" s="256"/>
      <c r="O578" s="245"/>
      <c r="P578" s="245"/>
      <c r="Q578" s="245"/>
      <c r="R578" s="247"/>
    </row>
    <row r="579" spans="1:18" x14ac:dyDescent="0.2">
      <c r="A579" s="13" t="s">
        <v>23</v>
      </c>
      <c r="B579" s="33" t="s">
        <v>24</v>
      </c>
      <c r="C579" s="15"/>
      <c r="D579" s="15"/>
      <c r="E579" s="16"/>
      <c r="F579" s="34"/>
      <c r="G579" s="34"/>
      <c r="H579" s="35"/>
      <c r="I579" s="35"/>
      <c r="J579" s="13" t="s">
        <v>23</v>
      </c>
      <c r="K579" s="33" t="s">
        <v>24</v>
      </c>
      <c r="L579" s="15"/>
      <c r="M579" s="15"/>
      <c r="N579" s="16"/>
      <c r="O579" s="34"/>
      <c r="P579" s="34"/>
      <c r="Q579" s="35"/>
      <c r="R579" s="35"/>
    </row>
    <row r="580" spans="1:18" x14ac:dyDescent="0.2">
      <c r="A580" s="13"/>
      <c r="B580" s="18"/>
      <c r="C580" s="19"/>
      <c r="D580" s="19"/>
      <c r="E580" s="20"/>
      <c r="F580" s="22"/>
      <c r="G580" s="22"/>
      <c r="H580" s="23"/>
      <c r="I580" s="23"/>
      <c r="J580" s="13"/>
      <c r="K580" s="18"/>
      <c r="L580" s="19"/>
      <c r="M580" s="19"/>
      <c r="N580" s="20"/>
      <c r="O580" s="22"/>
      <c r="P580" s="22"/>
      <c r="Q580" s="23"/>
      <c r="R580" s="23"/>
    </row>
    <row r="581" spans="1:18" x14ac:dyDescent="0.2">
      <c r="A581" s="13"/>
      <c r="B581" s="18"/>
      <c r="C581" s="19"/>
      <c r="D581" s="19"/>
      <c r="E581" s="20"/>
      <c r="F581" s="22"/>
      <c r="G581" s="36"/>
      <c r="H581" s="37"/>
      <c r="I581" s="37"/>
      <c r="J581" s="13"/>
      <c r="K581" s="18" t="s">
        <v>403</v>
      </c>
      <c r="L581" s="19"/>
      <c r="M581" s="19"/>
      <c r="N581" s="20"/>
      <c r="O581" s="22">
        <v>1</v>
      </c>
      <c r="P581" s="23">
        <v>1</v>
      </c>
      <c r="Q581" s="37">
        <f>172</f>
        <v>172</v>
      </c>
      <c r="R581" s="37">
        <f>P581*Q581*O581</f>
        <v>172</v>
      </c>
    </row>
    <row r="582" spans="1:18" x14ac:dyDescent="0.2">
      <c r="A582" s="13"/>
      <c r="B582" s="18"/>
      <c r="C582" s="19"/>
      <c r="D582" s="19"/>
      <c r="E582" s="20"/>
      <c r="F582" s="22"/>
      <c r="G582" s="23"/>
      <c r="H582" s="37"/>
      <c r="I582" s="37"/>
      <c r="J582" s="13"/>
      <c r="K582" s="18" t="s">
        <v>1174</v>
      </c>
      <c r="L582" s="19"/>
      <c r="M582" s="19"/>
      <c r="N582" s="20"/>
      <c r="O582" s="22">
        <v>1</v>
      </c>
      <c r="P582" s="23">
        <v>0.05</v>
      </c>
      <c r="Q582" s="37">
        <v>2450</v>
      </c>
      <c r="R582" s="37">
        <f>P582*Q582*O582</f>
        <v>122.5</v>
      </c>
    </row>
    <row r="583" spans="1:18" x14ac:dyDescent="0.2">
      <c r="A583" s="13"/>
      <c r="B583" s="18"/>
      <c r="C583" s="66"/>
      <c r="D583" s="19"/>
      <c r="E583" s="20"/>
      <c r="F583" s="22"/>
      <c r="G583" s="23"/>
      <c r="H583" s="37"/>
      <c r="I583" s="37"/>
      <c r="J583" s="13"/>
      <c r="K583" s="18" t="s">
        <v>260</v>
      </c>
      <c r="L583" s="19"/>
      <c r="M583" s="19"/>
      <c r="N583" s="20"/>
      <c r="O583" s="22"/>
      <c r="P583" s="36"/>
      <c r="R583" s="37">
        <f>0.05*R576</f>
        <v>24.076999999999998</v>
      </c>
    </row>
    <row r="584" spans="1:18" x14ac:dyDescent="0.2">
      <c r="A584" s="13"/>
      <c r="B584" s="18"/>
      <c r="C584" s="19"/>
      <c r="D584" s="19"/>
      <c r="E584" s="20"/>
      <c r="F584" s="22"/>
      <c r="G584" s="23"/>
      <c r="H584" s="37"/>
      <c r="I584" s="37"/>
      <c r="J584" s="13"/>
      <c r="O584" s="21"/>
      <c r="P584" s="21"/>
      <c r="Q584" s="21"/>
      <c r="R584" s="37"/>
    </row>
    <row r="585" spans="1:18" x14ac:dyDescent="0.2">
      <c r="A585" s="13"/>
      <c r="B585" s="18"/>
      <c r="C585" s="19"/>
      <c r="D585" s="19"/>
      <c r="E585" s="20"/>
      <c r="F585" s="22"/>
      <c r="G585" s="36"/>
      <c r="H585" s="37"/>
      <c r="I585" s="37"/>
      <c r="J585" s="13"/>
      <c r="K585" s="18"/>
      <c r="L585" s="19"/>
      <c r="M585" s="19"/>
      <c r="N585" s="20"/>
      <c r="O585" s="22"/>
      <c r="P585" s="36"/>
      <c r="Q585" s="37"/>
      <c r="R585" s="37"/>
    </row>
    <row r="586" spans="1:18" x14ac:dyDescent="0.2">
      <c r="A586" s="13"/>
      <c r="B586" s="18"/>
      <c r="C586" s="19"/>
      <c r="D586" s="19"/>
      <c r="E586" s="20"/>
      <c r="F586" s="22"/>
      <c r="G586" s="23"/>
      <c r="H586" s="37"/>
      <c r="I586" s="37"/>
      <c r="J586" s="13"/>
      <c r="K586" s="18"/>
      <c r="L586" s="19"/>
      <c r="M586" s="19"/>
      <c r="N586" s="20"/>
      <c r="O586" s="22"/>
      <c r="P586" s="36"/>
      <c r="Q586" s="38"/>
      <c r="R586" s="38"/>
    </row>
    <row r="587" spans="1:18" x14ac:dyDescent="0.2">
      <c r="A587" s="13"/>
      <c r="B587" s="18"/>
      <c r="C587" s="19"/>
      <c r="D587" s="19"/>
      <c r="E587" s="20"/>
      <c r="F587" s="22"/>
      <c r="G587" s="36"/>
      <c r="I587" s="37"/>
      <c r="J587" s="13"/>
      <c r="K587" s="18"/>
      <c r="L587" s="19"/>
      <c r="M587" s="19"/>
      <c r="N587" s="20"/>
      <c r="O587" s="22"/>
      <c r="P587" s="36"/>
      <c r="Q587" s="38"/>
      <c r="R587" s="38"/>
    </row>
    <row r="588" spans="1:18" x14ac:dyDescent="0.2">
      <c r="A588" s="13"/>
      <c r="B588" s="18"/>
      <c r="C588" s="19"/>
      <c r="D588" s="19"/>
      <c r="E588" s="20"/>
      <c r="F588" s="22"/>
      <c r="G588" s="36"/>
      <c r="H588" s="38"/>
      <c r="I588" s="38"/>
      <c r="J588" s="13"/>
      <c r="K588" s="18"/>
      <c r="L588" s="19"/>
      <c r="M588" s="19"/>
      <c r="N588" s="20"/>
      <c r="O588" s="22"/>
      <c r="P588" s="36"/>
      <c r="Q588" s="38"/>
      <c r="R588" s="38"/>
    </row>
    <row r="589" spans="1:18" x14ac:dyDescent="0.2">
      <c r="A589" s="13"/>
      <c r="B589" s="18"/>
      <c r="C589" s="19"/>
      <c r="D589" s="19"/>
      <c r="E589" s="20"/>
      <c r="F589" s="22"/>
      <c r="G589" s="36"/>
      <c r="H589" s="38"/>
      <c r="I589" s="38"/>
      <c r="J589" s="13"/>
      <c r="K589" s="18"/>
      <c r="L589" s="19"/>
      <c r="M589" s="19"/>
      <c r="N589" s="20"/>
      <c r="O589" s="22"/>
      <c r="P589" s="36"/>
      <c r="Q589" s="38"/>
      <c r="R589" s="38"/>
    </row>
    <row r="590" spans="1:18" x14ac:dyDescent="0.2">
      <c r="A590" s="13"/>
      <c r="B590" s="18"/>
      <c r="C590" s="19"/>
      <c r="D590" s="19"/>
      <c r="E590" s="20"/>
      <c r="F590" s="22"/>
      <c r="G590" s="36"/>
      <c r="H590" s="37"/>
      <c r="I590" s="37"/>
      <c r="J590" s="13"/>
      <c r="K590" s="18"/>
      <c r="L590" s="19"/>
      <c r="M590" s="19"/>
      <c r="N590" s="20"/>
      <c r="O590" s="22"/>
      <c r="P590" s="36"/>
      <c r="Q590" s="37"/>
      <c r="R590" s="37"/>
    </row>
    <row r="591" spans="1:18" x14ac:dyDescent="0.2">
      <c r="A591" s="13"/>
      <c r="B591" s="18"/>
      <c r="C591" s="19"/>
      <c r="D591" s="19"/>
      <c r="E591" s="20"/>
      <c r="F591" s="22"/>
      <c r="G591" s="36"/>
      <c r="H591" s="37"/>
      <c r="I591" s="37"/>
      <c r="J591" s="13"/>
      <c r="K591" s="18"/>
      <c r="L591" s="19"/>
      <c r="M591" s="19"/>
      <c r="N591" s="20"/>
      <c r="O591" s="22"/>
      <c r="P591" s="36"/>
      <c r="Q591" s="37"/>
      <c r="R591" s="37"/>
    </row>
    <row r="592" spans="1:18" x14ac:dyDescent="0.2">
      <c r="A592" s="13"/>
      <c r="B592" s="18"/>
      <c r="C592" s="19"/>
      <c r="D592" s="19"/>
      <c r="E592" s="20"/>
      <c r="F592" s="22"/>
      <c r="G592" s="36"/>
      <c r="H592" s="37"/>
      <c r="I592" s="37"/>
      <c r="J592" s="13"/>
      <c r="K592" s="18"/>
      <c r="L592" s="19"/>
      <c r="M592" s="19"/>
      <c r="N592" s="20"/>
      <c r="O592" s="22"/>
      <c r="P592" s="36"/>
      <c r="Q592" s="37"/>
      <c r="R592" s="37"/>
    </row>
    <row r="593" spans="1:18" x14ac:dyDescent="0.2">
      <c r="A593" s="13"/>
      <c r="B593" s="18"/>
      <c r="C593" s="19"/>
      <c r="D593" s="19"/>
      <c r="E593" s="20"/>
      <c r="F593" s="22"/>
      <c r="G593" s="22"/>
      <c r="H593" s="23"/>
      <c r="I593" s="23"/>
      <c r="J593" s="13"/>
      <c r="K593" s="18"/>
      <c r="L593" s="19"/>
      <c r="M593" s="19"/>
      <c r="N593" s="20"/>
      <c r="O593" s="22"/>
      <c r="P593" s="22"/>
      <c r="Q593" s="23"/>
      <c r="R593" s="23"/>
    </row>
    <row r="594" spans="1:18" x14ac:dyDescent="0.2">
      <c r="A594" s="13"/>
      <c r="B594" s="248" t="s">
        <v>30</v>
      </c>
      <c r="C594" s="249"/>
      <c r="D594" s="249"/>
      <c r="E594" s="250"/>
      <c r="F594" s="22"/>
      <c r="G594" s="22"/>
      <c r="H594" s="23"/>
      <c r="I594" s="23"/>
      <c r="J594" s="13"/>
      <c r="K594" s="248" t="s">
        <v>30</v>
      </c>
      <c r="L594" s="249"/>
      <c r="M594" s="249"/>
      <c r="N594" s="250"/>
      <c r="O594" s="22"/>
      <c r="P594" s="22"/>
      <c r="Q594" s="23"/>
      <c r="R594" s="23">
        <f>SUM(R581:R593)</f>
        <v>318.577</v>
      </c>
    </row>
    <row r="595" spans="1:18" x14ac:dyDescent="0.2">
      <c r="A595" s="12" t="s">
        <v>31</v>
      </c>
      <c r="B595" s="260" t="s">
        <v>32</v>
      </c>
      <c r="C595" s="261"/>
      <c r="D595" s="261"/>
      <c r="E595" s="261"/>
      <c r="F595" s="39"/>
      <c r="G595" s="39"/>
      <c r="H595" s="40"/>
      <c r="I595" s="41"/>
      <c r="J595" s="12" t="s">
        <v>31</v>
      </c>
      <c r="K595" s="260" t="s">
        <v>32</v>
      </c>
      <c r="L595" s="261"/>
      <c r="M595" s="261"/>
      <c r="N595" s="261"/>
      <c r="O595" s="39"/>
      <c r="P595" s="39"/>
      <c r="Q595" s="40"/>
      <c r="R595" s="41">
        <f>SUM(R594+R576)</f>
        <v>800.11699999999996</v>
      </c>
    </row>
    <row r="596" spans="1:18" x14ac:dyDescent="0.2">
      <c r="A596" s="13" t="s">
        <v>33</v>
      </c>
      <c r="B596" s="332">
        <f>E563</f>
        <v>1</v>
      </c>
      <c r="C596" s="333"/>
      <c r="D596" s="333"/>
      <c r="E596" s="333"/>
      <c r="F596" s="333"/>
      <c r="G596" s="333"/>
      <c r="H596" s="40"/>
      <c r="I596" s="41"/>
      <c r="J596" s="13" t="s">
        <v>33</v>
      </c>
      <c r="K596" s="275">
        <f>N563</f>
        <v>1.25</v>
      </c>
      <c r="L596" s="276"/>
      <c r="M596" s="276"/>
      <c r="N596" s="276"/>
      <c r="O596" s="276"/>
      <c r="P596" s="276"/>
      <c r="Q596" s="40"/>
      <c r="R596" s="41"/>
    </row>
    <row r="597" spans="1:18" x14ac:dyDescent="0.2">
      <c r="A597" s="13" t="s">
        <v>34</v>
      </c>
      <c r="B597" s="42" t="s">
        <v>35</v>
      </c>
      <c r="C597" s="43"/>
      <c r="D597" s="43"/>
      <c r="E597" s="39"/>
      <c r="F597" s="44"/>
      <c r="G597" s="44"/>
      <c r="H597" s="40"/>
      <c r="I597" s="41"/>
      <c r="J597" s="13" t="s">
        <v>34</v>
      </c>
      <c r="K597" s="42" t="s">
        <v>35</v>
      </c>
      <c r="L597" s="43"/>
      <c r="M597" s="43"/>
      <c r="N597" s="39"/>
      <c r="O597" s="44"/>
      <c r="P597" s="44"/>
      <c r="Q597" s="40"/>
      <c r="R597" s="41">
        <f>R595/N563</f>
        <v>640.09359999999992</v>
      </c>
    </row>
    <row r="598" spans="1:18" x14ac:dyDescent="0.2">
      <c r="A598" s="12"/>
      <c r="B598" s="251" t="s">
        <v>36</v>
      </c>
      <c r="C598" s="252"/>
      <c r="D598" s="252"/>
      <c r="E598" s="253"/>
      <c r="F598" s="244" t="s">
        <v>37</v>
      </c>
      <c r="G598" s="244" t="s">
        <v>38</v>
      </c>
      <c r="H598" s="244" t="s">
        <v>153</v>
      </c>
      <c r="I598" s="246" t="s">
        <v>154</v>
      </c>
      <c r="J598" s="12"/>
      <c r="K598" s="251" t="s">
        <v>36</v>
      </c>
      <c r="L598" s="252"/>
      <c r="M598" s="252"/>
      <c r="N598" s="253"/>
      <c r="O598" s="244" t="s">
        <v>37</v>
      </c>
      <c r="P598" s="244" t="s">
        <v>38</v>
      </c>
      <c r="Q598" s="244" t="s">
        <v>39</v>
      </c>
      <c r="R598" s="246" t="s">
        <v>15</v>
      </c>
    </row>
    <row r="599" spans="1:18" x14ac:dyDescent="0.2">
      <c r="A599" s="13"/>
      <c r="B599" s="254"/>
      <c r="C599" s="255"/>
      <c r="D599" s="255"/>
      <c r="E599" s="256"/>
      <c r="F599" s="245"/>
      <c r="G599" s="245"/>
      <c r="H599" s="245"/>
      <c r="I599" s="247"/>
      <c r="J599" s="13"/>
      <c r="K599" s="254"/>
      <c r="L599" s="255"/>
      <c r="M599" s="255"/>
      <c r="N599" s="256"/>
      <c r="O599" s="245"/>
      <c r="P599" s="245"/>
      <c r="Q599" s="245"/>
      <c r="R599" s="247"/>
    </row>
    <row r="600" spans="1:18" x14ac:dyDescent="0.2">
      <c r="A600" s="13" t="s">
        <v>40</v>
      </c>
      <c r="B600" s="18" t="s">
        <v>155</v>
      </c>
      <c r="C600" s="19"/>
      <c r="D600" s="19"/>
      <c r="E600" s="20"/>
      <c r="F600" s="22"/>
      <c r="G600" s="22"/>
      <c r="H600" s="23"/>
      <c r="I600" s="23"/>
      <c r="J600" s="13" t="s">
        <v>40</v>
      </c>
      <c r="K600" s="18" t="s">
        <v>41</v>
      </c>
      <c r="L600" s="19"/>
      <c r="M600" s="19"/>
      <c r="N600" s="20"/>
      <c r="O600" s="22"/>
      <c r="P600" s="22"/>
      <c r="Q600" s="23"/>
      <c r="R600" s="23"/>
    </row>
    <row r="601" spans="1:18" x14ac:dyDescent="0.2">
      <c r="A601" s="13"/>
      <c r="B601" s="18"/>
      <c r="C601" s="19"/>
      <c r="D601" s="19"/>
      <c r="E601" s="20"/>
      <c r="F601" s="22"/>
      <c r="G601" s="22"/>
      <c r="H601" s="23"/>
      <c r="I601" s="23"/>
      <c r="J601" s="13"/>
      <c r="K601" s="18"/>
      <c r="L601" s="19"/>
      <c r="M601" s="19"/>
      <c r="N601" s="20"/>
      <c r="O601" s="22"/>
      <c r="P601" s="22"/>
      <c r="Q601" s="23"/>
      <c r="R601" s="23"/>
    </row>
    <row r="602" spans="1:18" x14ac:dyDescent="0.2">
      <c r="A602" s="13"/>
      <c r="B602" s="18" t="s">
        <v>482</v>
      </c>
      <c r="C602" s="19"/>
      <c r="D602" s="19"/>
      <c r="E602" s="20"/>
      <c r="F602" s="22" t="s">
        <v>9</v>
      </c>
      <c r="G602" s="64"/>
      <c r="H602" s="23"/>
      <c r="I602" s="23"/>
      <c r="J602" s="13"/>
      <c r="K602" s="18" t="s">
        <v>234</v>
      </c>
      <c r="L602" s="19"/>
      <c r="M602" s="19"/>
      <c r="N602" s="20"/>
      <c r="O602" s="22" t="s">
        <v>227</v>
      </c>
      <c r="P602" s="62">
        <v>3</v>
      </c>
      <c r="Q602" s="107">
        <v>220</v>
      </c>
      <c r="R602" s="23">
        <f t="shared" ref="R602:R607" si="0">Q602*P602</f>
        <v>660</v>
      </c>
    </row>
    <row r="603" spans="1:18" x14ac:dyDescent="0.2">
      <c r="A603" s="13"/>
      <c r="B603" s="18" t="s">
        <v>483</v>
      </c>
      <c r="C603" s="19"/>
      <c r="D603" s="19"/>
      <c r="E603" s="20"/>
      <c r="F603" s="22" t="s">
        <v>77</v>
      </c>
      <c r="G603" s="22"/>
      <c r="H603" s="23"/>
      <c r="I603" s="23"/>
      <c r="J603" s="13"/>
      <c r="K603" s="18" t="s">
        <v>426</v>
      </c>
      <c r="L603" s="19"/>
      <c r="M603" s="19"/>
      <c r="N603" s="20"/>
      <c r="O603" s="22" t="s">
        <v>9</v>
      </c>
      <c r="P603" s="62">
        <v>0.25</v>
      </c>
      <c r="Q603" s="107">
        <v>850</v>
      </c>
      <c r="R603" s="23">
        <f t="shared" si="0"/>
        <v>212.5</v>
      </c>
    </row>
    <row r="604" spans="1:18" x14ac:dyDescent="0.2">
      <c r="A604" s="13"/>
      <c r="B604" s="18" t="s">
        <v>484</v>
      </c>
      <c r="C604" s="19"/>
      <c r="D604" s="19"/>
      <c r="E604" s="20"/>
      <c r="F604" s="22" t="s">
        <v>9</v>
      </c>
      <c r="G604" s="22"/>
      <c r="H604" s="23"/>
      <c r="I604" s="23"/>
      <c r="J604" s="13"/>
      <c r="K604" s="18" t="s">
        <v>485</v>
      </c>
      <c r="L604" s="19"/>
      <c r="M604" s="19"/>
      <c r="N604" s="20"/>
      <c r="O604" s="22" t="s">
        <v>9</v>
      </c>
      <c r="P604" s="70">
        <v>1.4999999999999999E-2</v>
      </c>
      <c r="Q604" s="107">
        <v>650</v>
      </c>
      <c r="R604" s="23">
        <f t="shared" si="0"/>
        <v>9.75</v>
      </c>
    </row>
    <row r="605" spans="1:18" x14ac:dyDescent="0.2">
      <c r="A605" s="13"/>
      <c r="B605" s="18"/>
      <c r="C605" s="19"/>
      <c r="D605" s="19"/>
      <c r="E605" s="20"/>
      <c r="F605" s="22"/>
      <c r="G605" s="22"/>
      <c r="H605" s="23"/>
      <c r="I605" s="23"/>
      <c r="J605" s="13"/>
      <c r="K605" s="18" t="s">
        <v>486</v>
      </c>
      <c r="L605" s="19"/>
      <c r="M605" s="19"/>
      <c r="N605" s="20"/>
      <c r="O605" s="22" t="s">
        <v>1153</v>
      </c>
      <c r="P605" s="62">
        <v>0.3</v>
      </c>
      <c r="Q605" s="107">
        <f>ROUND(434/3,2)</f>
        <v>144.66999999999999</v>
      </c>
      <c r="R605" s="23">
        <f t="shared" si="0"/>
        <v>43.400999999999996</v>
      </c>
    </row>
    <row r="606" spans="1:18" x14ac:dyDescent="0.2">
      <c r="A606" s="13"/>
      <c r="B606" s="18"/>
      <c r="C606" s="19"/>
      <c r="D606" s="19"/>
      <c r="E606" s="20"/>
      <c r="F606" s="22"/>
      <c r="G606" s="22"/>
      <c r="H606" s="23"/>
      <c r="I606" s="23"/>
      <c r="J606" s="13"/>
      <c r="K606" s="18" t="s">
        <v>487</v>
      </c>
      <c r="L606" s="19"/>
      <c r="M606" s="19"/>
      <c r="N606" s="20"/>
      <c r="O606" s="22" t="s">
        <v>8</v>
      </c>
      <c r="P606" s="70">
        <v>1.4999999999999999E-2</v>
      </c>
      <c r="Q606" s="107">
        <v>275</v>
      </c>
      <c r="R606" s="23">
        <f t="shared" si="0"/>
        <v>4.125</v>
      </c>
    </row>
    <row r="607" spans="1:18" x14ac:dyDescent="0.2">
      <c r="A607" s="13"/>
      <c r="B607" s="18"/>
      <c r="C607" s="19"/>
      <c r="D607" s="19"/>
      <c r="E607" s="20"/>
      <c r="F607" s="22"/>
      <c r="G607" s="62"/>
      <c r="H607" s="23"/>
      <c r="I607" s="23"/>
      <c r="J607" s="13"/>
      <c r="K607" s="18" t="s">
        <v>488</v>
      </c>
      <c r="L607" s="19"/>
      <c r="M607" s="19"/>
      <c r="N607" s="20"/>
      <c r="O607" s="22" t="s">
        <v>9</v>
      </c>
      <c r="P607" s="62">
        <v>1.05</v>
      </c>
      <c r="Q607" s="107">
        <v>920</v>
      </c>
      <c r="R607" s="23">
        <f t="shared" si="0"/>
        <v>966</v>
      </c>
    </row>
    <row r="608" spans="1:18" x14ac:dyDescent="0.2">
      <c r="A608" s="13"/>
      <c r="B608" s="18"/>
      <c r="C608" s="19"/>
      <c r="D608" s="19"/>
      <c r="E608" s="20"/>
      <c r="F608" s="22"/>
      <c r="G608" s="22"/>
      <c r="H608" s="23"/>
      <c r="I608" s="23"/>
      <c r="J608" s="13"/>
      <c r="K608" s="18" t="s">
        <v>1200</v>
      </c>
      <c r="L608" s="19"/>
      <c r="M608" s="19"/>
      <c r="N608" s="20"/>
      <c r="O608" s="22"/>
      <c r="P608" s="62"/>
      <c r="R608" s="23">
        <f>(R602+R603+R604+R605+R606+R607)*0.01</f>
        <v>18.95776</v>
      </c>
    </row>
    <row r="609" spans="1:18" x14ac:dyDescent="0.2">
      <c r="A609" s="13"/>
      <c r="B609" s="18"/>
      <c r="C609" s="19"/>
      <c r="D609" s="19"/>
      <c r="E609" s="20"/>
      <c r="F609" s="22"/>
      <c r="G609" s="22"/>
      <c r="H609" s="23"/>
      <c r="I609" s="23"/>
      <c r="J609" s="13"/>
      <c r="K609" s="18"/>
      <c r="L609" s="19"/>
      <c r="M609" s="19"/>
      <c r="N609" s="20"/>
      <c r="O609" s="22"/>
      <c r="P609" s="22"/>
      <c r="Q609" s="23"/>
      <c r="R609" s="23"/>
    </row>
    <row r="610" spans="1:18" x14ac:dyDescent="0.2">
      <c r="A610" s="13"/>
      <c r="B610" s="18"/>
      <c r="C610" s="19"/>
      <c r="D610" s="19"/>
      <c r="E610" s="20"/>
      <c r="F610" s="22"/>
      <c r="G610" s="22"/>
      <c r="H610" s="23"/>
      <c r="I610" s="23"/>
      <c r="J610" s="13"/>
      <c r="K610" s="18"/>
      <c r="L610" s="19"/>
      <c r="M610" s="19"/>
      <c r="N610" s="20"/>
      <c r="O610" s="22"/>
      <c r="P610" s="22"/>
      <c r="Q610" s="23"/>
      <c r="R610" s="23"/>
    </row>
    <row r="611" spans="1:18" x14ac:dyDescent="0.2">
      <c r="A611" s="13"/>
      <c r="B611" s="18"/>
      <c r="C611" s="19"/>
      <c r="D611" s="19"/>
      <c r="E611" s="20"/>
      <c r="F611" s="22"/>
      <c r="G611" s="22"/>
      <c r="H611" s="23"/>
      <c r="I611" s="23"/>
      <c r="J611" s="13"/>
      <c r="K611" s="18"/>
      <c r="L611" s="19"/>
      <c r="M611" s="19"/>
      <c r="N611" s="20"/>
      <c r="O611" s="22"/>
      <c r="P611" s="22"/>
      <c r="Q611" s="23"/>
      <c r="R611" s="23"/>
    </row>
    <row r="612" spans="1:18" x14ac:dyDescent="0.2">
      <c r="A612" s="13"/>
      <c r="B612" s="18"/>
      <c r="C612" s="19"/>
      <c r="D612" s="19"/>
      <c r="E612" s="20"/>
      <c r="F612" s="22"/>
      <c r="G612" s="22"/>
      <c r="H612" s="23"/>
      <c r="I612" s="23"/>
      <c r="J612" s="13"/>
      <c r="K612" s="18"/>
      <c r="L612" s="19"/>
      <c r="M612" s="19"/>
      <c r="N612" s="20"/>
      <c r="O612" s="22"/>
      <c r="P612" s="22"/>
      <c r="Q612" s="23"/>
      <c r="R612" s="23"/>
    </row>
    <row r="613" spans="1:18" x14ac:dyDescent="0.2">
      <c r="A613" s="13"/>
      <c r="B613" s="18"/>
      <c r="C613" s="19"/>
      <c r="D613" s="19"/>
      <c r="E613" s="20"/>
      <c r="F613" s="22"/>
      <c r="G613" s="22"/>
      <c r="H613" s="23"/>
      <c r="I613" s="23"/>
      <c r="J613" s="13"/>
      <c r="K613" s="18"/>
      <c r="L613" s="19"/>
      <c r="M613" s="19"/>
      <c r="N613" s="20"/>
      <c r="O613" s="22"/>
      <c r="P613" s="22"/>
      <c r="Q613" s="23"/>
      <c r="R613" s="23"/>
    </row>
    <row r="614" spans="1:18" x14ac:dyDescent="0.2">
      <c r="A614" s="13"/>
      <c r="B614" s="18"/>
      <c r="C614" s="19"/>
      <c r="D614" s="19"/>
      <c r="E614" s="20"/>
      <c r="F614" s="22"/>
      <c r="G614" s="36"/>
      <c r="H614" s="37"/>
      <c r="I614" s="37"/>
      <c r="J614" s="13"/>
      <c r="K614" s="18"/>
      <c r="L614" s="19"/>
      <c r="M614" s="19"/>
      <c r="N614" s="20"/>
      <c r="O614" s="22"/>
      <c r="P614" s="36"/>
      <c r="Q614" s="37"/>
      <c r="R614" s="37"/>
    </row>
    <row r="615" spans="1:18" x14ac:dyDescent="0.2">
      <c r="A615" s="13"/>
      <c r="B615" s="248" t="s">
        <v>42</v>
      </c>
      <c r="C615" s="249"/>
      <c r="D615" s="249"/>
      <c r="E615" s="250"/>
      <c r="F615" s="46"/>
      <c r="G615" s="46"/>
      <c r="H615" s="47"/>
      <c r="I615" s="47"/>
      <c r="J615" s="13"/>
      <c r="K615" s="248" t="s">
        <v>42</v>
      </c>
      <c r="L615" s="249"/>
      <c r="M615" s="249"/>
      <c r="N615" s="250"/>
      <c r="O615" s="46"/>
      <c r="P615" s="46"/>
      <c r="Q615" s="47"/>
      <c r="R615" s="47">
        <f>SUM(R602:R614)</f>
        <v>1914.7337599999998</v>
      </c>
    </row>
    <row r="616" spans="1:18" x14ac:dyDescent="0.2">
      <c r="A616" s="12" t="s">
        <v>43</v>
      </c>
      <c r="B616" s="48" t="s">
        <v>44</v>
      </c>
      <c r="C616" s="43"/>
      <c r="D616" s="43"/>
      <c r="E616" s="39"/>
      <c r="F616" s="49"/>
      <c r="G616" s="49"/>
      <c r="H616" s="50"/>
      <c r="I616" s="51"/>
      <c r="J616" s="12" t="s">
        <v>43</v>
      </c>
      <c r="K616" s="48" t="s">
        <v>44</v>
      </c>
      <c r="L616" s="43"/>
      <c r="M616" s="43"/>
      <c r="N616" s="39"/>
      <c r="O616" s="49"/>
      <c r="P616" s="49"/>
      <c r="Q616" s="50"/>
      <c r="R616" s="51">
        <f>SUM(R597+R615)</f>
        <v>2554.8273599999998</v>
      </c>
    </row>
    <row r="617" spans="1:18" x14ac:dyDescent="0.2">
      <c r="A617" s="13" t="s">
        <v>45</v>
      </c>
      <c r="B617" s="48" t="s">
        <v>46</v>
      </c>
      <c r="C617" s="43"/>
      <c r="D617" s="43"/>
      <c r="E617" s="39"/>
      <c r="F617" s="49"/>
      <c r="G617" s="52">
        <v>0.09</v>
      </c>
      <c r="H617" s="53" t="s">
        <v>47</v>
      </c>
      <c r="I617" s="51"/>
      <c r="J617" s="13" t="s">
        <v>45</v>
      </c>
      <c r="K617" s="48" t="s">
        <v>46</v>
      </c>
      <c r="L617" s="43"/>
      <c r="M617" s="43"/>
      <c r="N617" s="39"/>
      <c r="O617" s="49"/>
      <c r="P617" s="52">
        <v>0.09</v>
      </c>
      <c r="Q617" s="53" t="s">
        <v>47</v>
      </c>
      <c r="R617" s="51">
        <f>P617*R616</f>
        <v>229.93446239999997</v>
      </c>
    </row>
    <row r="618" spans="1:18" x14ac:dyDescent="0.2">
      <c r="A618" s="13" t="s">
        <v>48</v>
      </c>
      <c r="B618" s="48" t="s">
        <v>49</v>
      </c>
      <c r="C618" s="43"/>
      <c r="D618" s="43"/>
      <c r="E618" s="39"/>
      <c r="F618" s="49"/>
      <c r="G618" s="52">
        <v>0.08</v>
      </c>
      <c r="H618" s="53" t="s">
        <v>47</v>
      </c>
      <c r="I618" s="51"/>
      <c r="J618" s="13" t="s">
        <v>48</v>
      </c>
      <c r="K618" s="48" t="s">
        <v>49</v>
      </c>
      <c r="L618" s="43"/>
      <c r="M618" s="43"/>
      <c r="N618" s="39"/>
      <c r="O618" s="49"/>
      <c r="P618" s="52">
        <v>0.08</v>
      </c>
      <c r="Q618" s="53" t="s">
        <v>47</v>
      </c>
      <c r="R618" s="51">
        <f>P618*R616</f>
        <v>204.38618879999999</v>
      </c>
    </row>
    <row r="619" spans="1:18" x14ac:dyDescent="0.2">
      <c r="A619" s="13" t="s">
        <v>50</v>
      </c>
      <c r="B619" s="48" t="s">
        <v>51</v>
      </c>
      <c r="C619" s="43"/>
      <c r="D619" s="43"/>
      <c r="E619" s="39"/>
      <c r="F619" s="49"/>
      <c r="G619" s="52">
        <f>5/100</f>
        <v>0.05</v>
      </c>
      <c r="H619" s="53" t="s">
        <v>52</v>
      </c>
      <c r="I619" s="51"/>
      <c r="J619" s="13" t="s">
        <v>50</v>
      </c>
      <c r="K619" s="48" t="s">
        <v>51</v>
      </c>
      <c r="L619" s="43"/>
      <c r="M619" s="43"/>
      <c r="N619" s="39"/>
      <c r="O619" s="49"/>
      <c r="P619" s="52">
        <f>5/100</f>
        <v>0.05</v>
      </c>
      <c r="Q619" s="53" t="s">
        <v>52</v>
      </c>
      <c r="R619" s="51">
        <f>P619*(R616+R617+R618)</f>
        <v>149.45740056</v>
      </c>
    </row>
    <row r="620" spans="1:18" x14ac:dyDescent="0.2">
      <c r="A620" s="54" t="s">
        <v>53</v>
      </c>
      <c r="B620" s="48" t="s">
        <v>54</v>
      </c>
      <c r="C620" s="43"/>
      <c r="D620" s="43"/>
      <c r="E620" s="39"/>
      <c r="F620" s="49"/>
      <c r="G620" s="49"/>
      <c r="H620" s="55" t="s">
        <v>55</v>
      </c>
      <c r="I620" s="51"/>
      <c r="J620" s="54" t="s">
        <v>53</v>
      </c>
      <c r="K620" s="48" t="s">
        <v>54</v>
      </c>
      <c r="L620" s="43"/>
      <c r="M620" s="43"/>
      <c r="N620" s="39"/>
      <c r="O620" s="49"/>
      <c r="P620" s="49"/>
      <c r="Q620" s="55" t="s">
        <v>55</v>
      </c>
      <c r="R620" s="51">
        <f>SUM(R616+R617+R618+R619)</f>
        <v>3138.6054117599997</v>
      </c>
    </row>
    <row r="621" spans="1:18" s="1" customFormat="1" x14ac:dyDescent="0.2">
      <c r="A621" s="236" t="s">
        <v>0</v>
      </c>
      <c r="B621" s="236"/>
      <c r="C621" s="236"/>
      <c r="D621" s="236"/>
      <c r="E621" s="236"/>
      <c r="F621" s="236"/>
      <c r="G621" s="236"/>
      <c r="H621" s="236"/>
      <c r="I621" s="236"/>
      <c r="J621" s="236" t="s">
        <v>0</v>
      </c>
      <c r="K621" s="236"/>
      <c r="L621" s="236"/>
      <c r="M621" s="236"/>
      <c r="N621" s="236"/>
      <c r="O621" s="236"/>
      <c r="P621" s="236"/>
      <c r="Q621" s="236"/>
      <c r="R621" s="236"/>
    </row>
    <row r="623" spans="1:18" x14ac:dyDescent="0.2">
      <c r="A623" s="2" t="s">
        <v>1</v>
      </c>
      <c r="C623" s="4" t="s">
        <v>2</v>
      </c>
      <c r="D623" s="5" t="s">
        <v>489</v>
      </c>
      <c r="E623" s="2" t="s">
        <v>490</v>
      </c>
      <c r="F623" s="2"/>
      <c r="G623" s="2"/>
      <c r="H623" s="2"/>
      <c r="J623" s="2" t="s">
        <v>1</v>
      </c>
      <c r="L623" s="4" t="s">
        <v>2</v>
      </c>
      <c r="M623" s="5" t="s">
        <v>491</v>
      </c>
      <c r="N623" s="237" t="s">
        <v>492</v>
      </c>
      <c r="O623" s="237"/>
      <c r="P623" s="237"/>
      <c r="Q623" s="237"/>
    </row>
    <row r="624" spans="1:18" x14ac:dyDescent="0.2">
      <c r="A624" s="2" t="s">
        <v>7</v>
      </c>
      <c r="C624" s="4" t="s">
        <v>2</v>
      </c>
      <c r="E624" s="2" t="s">
        <v>59</v>
      </c>
      <c r="F624" s="8"/>
      <c r="G624" s="8"/>
      <c r="H624" s="8"/>
      <c r="J624" s="2" t="s">
        <v>7</v>
      </c>
      <c r="L624" s="4" t="s">
        <v>2</v>
      </c>
      <c r="N624" s="2" t="s">
        <v>9</v>
      </c>
      <c r="O624" s="8"/>
      <c r="P624" s="8"/>
      <c r="Q624" s="8"/>
    </row>
    <row r="625" spans="1:18" x14ac:dyDescent="0.2">
      <c r="A625" s="2" t="s">
        <v>493</v>
      </c>
      <c r="C625" s="4" t="s">
        <v>2</v>
      </c>
      <c r="E625" s="9">
        <v>5</v>
      </c>
      <c r="F625" s="8"/>
      <c r="G625" s="8"/>
      <c r="H625" s="8"/>
      <c r="J625" s="2" t="s">
        <v>10</v>
      </c>
      <c r="L625" s="4" t="s">
        <v>2</v>
      </c>
      <c r="N625" s="9">
        <v>1</v>
      </c>
      <c r="O625" s="8"/>
      <c r="P625" s="8"/>
      <c r="Q625" s="8"/>
    </row>
    <row r="626" spans="1:18" x14ac:dyDescent="0.2">
      <c r="B626" s="8"/>
      <c r="F626" s="11"/>
      <c r="G626" s="8"/>
      <c r="H626" s="8"/>
      <c r="I626" s="8"/>
      <c r="K626" s="8"/>
      <c r="O626" s="11"/>
      <c r="P626" s="8"/>
      <c r="Q626" s="8"/>
      <c r="R626" s="8"/>
    </row>
    <row r="627" spans="1:18" x14ac:dyDescent="0.2">
      <c r="A627" s="12"/>
      <c r="B627" s="238" t="s">
        <v>11</v>
      </c>
      <c r="C627" s="239"/>
      <c r="D627" s="239"/>
      <c r="E627" s="240"/>
      <c r="F627" s="244" t="s">
        <v>12</v>
      </c>
      <c r="G627" s="244" t="s">
        <v>13</v>
      </c>
      <c r="H627" s="244" t="s">
        <v>14</v>
      </c>
      <c r="I627" s="246" t="s">
        <v>15</v>
      </c>
      <c r="J627" s="12"/>
      <c r="K627" s="238" t="s">
        <v>11</v>
      </c>
      <c r="L627" s="239"/>
      <c r="M627" s="239"/>
      <c r="N627" s="240"/>
      <c r="O627" s="244" t="s">
        <v>12</v>
      </c>
      <c r="P627" s="244" t="s">
        <v>13</v>
      </c>
      <c r="Q627" s="244" t="s">
        <v>14</v>
      </c>
      <c r="R627" s="246" t="s">
        <v>15</v>
      </c>
    </row>
    <row r="628" spans="1:18" x14ac:dyDescent="0.2">
      <c r="A628" s="13"/>
      <c r="B628" s="241"/>
      <c r="C628" s="242"/>
      <c r="D628" s="242"/>
      <c r="E628" s="243"/>
      <c r="F628" s="245"/>
      <c r="G628" s="245"/>
      <c r="H628" s="245"/>
      <c r="I628" s="247"/>
      <c r="J628" s="13"/>
      <c r="K628" s="241"/>
      <c r="L628" s="242"/>
      <c r="M628" s="242"/>
      <c r="N628" s="243"/>
      <c r="O628" s="245"/>
      <c r="P628" s="245"/>
      <c r="Q628" s="245"/>
      <c r="R628" s="247"/>
    </row>
    <row r="629" spans="1:18" x14ac:dyDescent="0.2">
      <c r="A629" s="13" t="s">
        <v>16</v>
      </c>
      <c r="B629" s="14" t="s">
        <v>17</v>
      </c>
      <c r="C629" s="15"/>
      <c r="D629" s="15"/>
      <c r="E629" s="16"/>
      <c r="F629" s="17"/>
      <c r="G629" s="17"/>
      <c r="H629" s="17"/>
      <c r="I629" s="17"/>
      <c r="J629" s="13" t="s">
        <v>16</v>
      </c>
      <c r="K629" s="14" t="s">
        <v>17</v>
      </c>
      <c r="L629" s="15"/>
      <c r="M629" s="15"/>
      <c r="N629" s="16"/>
      <c r="O629" s="17"/>
      <c r="P629" s="17"/>
      <c r="Q629" s="17"/>
      <c r="R629" s="17"/>
    </row>
    <row r="630" spans="1:18" x14ac:dyDescent="0.2">
      <c r="A630" s="13"/>
      <c r="B630" s="18"/>
      <c r="C630" s="19"/>
      <c r="D630" s="19"/>
      <c r="E630" s="20"/>
      <c r="F630" s="21"/>
      <c r="G630" s="22"/>
      <c r="H630" s="21"/>
      <c r="I630" s="21"/>
      <c r="J630" s="13"/>
      <c r="K630" s="18"/>
      <c r="L630" s="19"/>
      <c r="M630" s="19"/>
      <c r="N630" s="20"/>
      <c r="O630" s="21"/>
      <c r="P630" s="22"/>
      <c r="Q630" s="21"/>
      <c r="R630" s="21"/>
    </row>
    <row r="631" spans="1:18" x14ac:dyDescent="0.2">
      <c r="A631" s="13"/>
      <c r="B631" s="24" t="s">
        <v>18</v>
      </c>
      <c r="C631" s="25"/>
      <c r="D631" s="25"/>
      <c r="E631" s="26"/>
      <c r="F631" s="22">
        <v>1</v>
      </c>
      <c r="G631" s="23">
        <v>1</v>
      </c>
      <c r="H631" s="23">
        <v>69.42</v>
      </c>
      <c r="I631" s="23">
        <f>G631*H631*F631</f>
        <v>69.42</v>
      </c>
      <c r="J631" s="13"/>
      <c r="K631" s="24" t="s">
        <v>18</v>
      </c>
      <c r="L631" s="25"/>
      <c r="M631" s="25"/>
      <c r="N631" s="26"/>
      <c r="O631" s="22">
        <v>1</v>
      </c>
      <c r="P631" s="23">
        <v>1</v>
      </c>
      <c r="Q631" s="23">
        <v>69.42</v>
      </c>
      <c r="R631" s="23">
        <f>P631*Q631*O631</f>
        <v>69.42</v>
      </c>
    </row>
    <row r="632" spans="1:18" x14ac:dyDescent="0.2">
      <c r="A632" s="13"/>
      <c r="B632" s="257" t="s">
        <v>1178</v>
      </c>
      <c r="C632" s="258"/>
      <c r="D632" s="25"/>
      <c r="E632" s="26"/>
      <c r="F632" s="22">
        <v>2</v>
      </c>
      <c r="G632" s="23">
        <v>1</v>
      </c>
      <c r="H632" s="23">
        <v>50.18</v>
      </c>
      <c r="I632" s="23">
        <f>G632*H632*F632</f>
        <v>100.36</v>
      </c>
      <c r="J632" s="13"/>
      <c r="K632" s="257" t="s">
        <v>1178</v>
      </c>
      <c r="L632" s="258"/>
      <c r="M632" s="25"/>
      <c r="N632" s="26"/>
      <c r="O632" s="22">
        <v>2</v>
      </c>
      <c r="P632" s="23">
        <v>1</v>
      </c>
      <c r="Q632" s="23">
        <v>50.18</v>
      </c>
      <c r="R632" s="23">
        <f>P632*Q632*O632</f>
        <v>100.36</v>
      </c>
    </row>
    <row r="633" spans="1:18" x14ac:dyDescent="0.2">
      <c r="A633" s="13"/>
      <c r="B633" s="257" t="s">
        <v>1177</v>
      </c>
      <c r="C633" s="258"/>
      <c r="D633" s="19"/>
      <c r="E633" s="20"/>
      <c r="F633" s="22">
        <v>4</v>
      </c>
      <c r="G633" s="23">
        <v>1</v>
      </c>
      <c r="H633" s="23">
        <v>38.97</v>
      </c>
      <c r="I633" s="23">
        <f>G633*H633*F633</f>
        <v>155.88</v>
      </c>
      <c r="J633" s="13"/>
      <c r="K633" s="257" t="s">
        <v>1177</v>
      </c>
      <c r="L633" s="258"/>
      <c r="M633" s="19"/>
      <c r="N633" s="20"/>
      <c r="O633" s="22">
        <v>4</v>
      </c>
      <c r="P633" s="23">
        <v>1</v>
      </c>
      <c r="Q633" s="23">
        <v>38.97</v>
      </c>
      <c r="R633" s="23">
        <f>P633*Q633*O633</f>
        <v>155.88</v>
      </c>
    </row>
    <row r="634" spans="1:18" x14ac:dyDescent="0.2">
      <c r="A634" s="13"/>
      <c r="B634" s="27"/>
      <c r="C634" s="19"/>
      <c r="D634" s="19"/>
      <c r="E634" s="20"/>
      <c r="F634" s="22"/>
      <c r="G634" s="22"/>
      <c r="H634" s="29"/>
      <c r="I634" s="30"/>
      <c r="J634" s="13"/>
      <c r="K634" s="27"/>
      <c r="L634" s="19"/>
      <c r="M634" s="19"/>
      <c r="N634" s="20"/>
      <c r="O634" s="22"/>
      <c r="P634" s="22"/>
      <c r="Q634" s="29"/>
      <c r="R634" s="30"/>
    </row>
    <row r="635" spans="1:18" x14ac:dyDescent="0.2">
      <c r="A635" s="13"/>
      <c r="B635" s="27"/>
      <c r="C635" s="19"/>
      <c r="D635" s="19"/>
      <c r="E635" s="20"/>
      <c r="F635" s="22"/>
      <c r="G635" s="22"/>
      <c r="H635" s="29"/>
      <c r="I635" s="30"/>
      <c r="J635" s="13"/>
      <c r="K635" s="27"/>
      <c r="L635" s="19"/>
      <c r="M635" s="19"/>
      <c r="N635" s="20"/>
      <c r="O635" s="22"/>
      <c r="P635" s="22"/>
      <c r="Q635" s="29"/>
      <c r="R635" s="30"/>
    </row>
    <row r="636" spans="1:18" x14ac:dyDescent="0.2">
      <c r="A636" s="13"/>
      <c r="B636" s="18"/>
      <c r="C636" s="19"/>
      <c r="D636" s="19"/>
      <c r="E636" s="20"/>
      <c r="F636" s="22"/>
      <c r="G636" s="22"/>
      <c r="H636" s="28"/>
      <c r="I636" s="23"/>
      <c r="J636" s="13"/>
      <c r="K636" s="18"/>
      <c r="L636" s="19"/>
      <c r="M636" s="19"/>
      <c r="N636" s="20"/>
      <c r="O636" s="22"/>
      <c r="P636" s="22"/>
      <c r="Q636" s="28"/>
      <c r="R636" s="23"/>
    </row>
    <row r="637" spans="1:18" x14ac:dyDescent="0.2">
      <c r="A637" s="13"/>
      <c r="B637" s="18"/>
      <c r="C637" s="19"/>
      <c r="D637" s="19"/>
      <c r="E637" s="20"/>
      <c r="F637" s="22"/>
      <c r="G637" s="22"/>
      <c r="H637" s="23"/>
      <c r="I637" s="23"/>
      <c r="J637" s="13"/>
      <c r="K637" s="18"/>
      <c r="L637" s="19"/>
      <c r="M637" s="19"/>
      <c r="N637" s="20"/>
      <c r="O637" s="22"/>
      <c r="P637" s="22"/>
      <c r="Q637" s="23"/>
      <c r="R637" s="23"/>
    </row>
    <row r="638" spans="1:18" x14ac:dyDescent="0.2">
      <c r="A638" s="13"/>
      <c r="B638" s="248" t="s">
        <v>20</v>
      </c>
      <c r="C638" s="249"/>
      <c r="D638" s="249"/>
      <c r="E638" s="250"/>
      <c r="F638" s="31"/>
      <c r="G638" s="31"/>
      <c r="H638" s="32"/>
      <c r="I638" s="32">
        <f>SUM(I631:I637)</f>
        <v>325.65999999999997</v>
      </c>
      <c r="J638" s="13"/>
      <c r="K638" s="248" t="s">
        <v>20</v>
      </c>
      <c r="L638" s="249"/>
      <c r="M638" s="249"/>
      <c r="N638" s="250"/>
      <c r="O638" s="31"/>
      <c r="P638" s="31"/>
      <c r="Q638" s="32"/>
      <c r="R638" s="32">
        <f>SUM(R631:R637)</f>
        <v>325.65999999999997</v>
      </c>
    </row>
    <row r="639" spans="1:18" x14ac:dyDescent="0.2">
      <c r="A639" s="12"/>
      <c r="B639" s="251" t="s">
        <v>21</v>
      </c>
      <c r="C639" s="252"/>
      <c r="D639" s="252"/>
      <c r="E639" s="253"/>
      <c r="F639" s="244" t="s">
        <v>22</v>
      </c>
      <c r="G639" s="244" t="s">
        <v>13</v>
      </c>
      <c r="H639" s="244" t="s">
        <v>14</v>
      </c>
      <c r="I639" s="246" t="s">
        <v>15</v>
      </c>
      <c r="J639" s="12"/>
      <c r="K639" s="251" t="s">
        <v>21</v>
      </c>
      <c r="L639" s="252"/>
      <c r="M639" s="252"/>
      <c r="N639" s="253"/>
      <c r="O639" s="244" t="s">
        <v>22</v>
      </c>
      <c r="P639" s="244" t="s">
        <v>13</v>
      </c>
      <c r="Q639" s="244" t="s">
        <v>14</v>
      </c>
      <c r="R639" s="246" t="s">
        <v>15</v>
      </c>
    </row>
    <row r="640" spans="1:18" x14ac:dyDescent="0.2">
      <c r="A640" s="13"/>
      <c r="B640" s="254"/>
      <c r="C640" s="255"/>
      <c r="D640" s="255"/>
      <c r="E640" s="256"/>
      <c r="F640" s="245"/>
      <c r="G640" s="245"/>
      <c r="H640" s="245"/>
      <c r="I640" s="247"/>
      <c r="J640" s="13"/>
      <c r="K640" s="254"/>
      <c r="L640" s="255"/>
      <c r="M640" s="255"/>
      <c r="N640" s="256"/>
      <c r="O640" s="245"/>
      <c r="P640" s="245"/>
      <c r="Q640" s="245"/>
      <c r="R640" s="247"/>
    </row>
    <row r="641" spans="1:18" x14ac:dyDescent="0.2">
      <c r="A641" s="13" t="s">
        <v>23</v>
      </c>
      <c r="B641" s="33" t="s">
        <v>24</v>
      </c>
      <c r="C641" s="15"/>
      <c r="D641" s="15"/>
      <c r="E641" s="16"/>
      <c r="F641" s="34"/>
      <c r="G641" s="34"/>
      <c r="H641" s="35"/>
      <c r="I641" s="35"/>
      <c r="J641" s="13" t="s">
        <v>23</v>
      </c>
      <c r="K641" s="33" t="s">
        <v>24</v>
      </c>
      <c r="L641" s="15"/>
      <c r="M641" s="15"/>
      <c r="N641" s="16"/>
      <c r="O641" s="34"/>
      <c r="P641" s="34"/>
      <c r="Q641" s="35"/>
      <c r="R641" s="35"/>
    </row>
    <row r="642" spans="1:18" x14ac:dyDescent="0.2">
      <c r="A642" s="13"/>
      <c r="B642" s="18"/>
      <c r="C642" s="19"/>
      <c r="D642" s="19"/>
      <c r="E642" s="20"/>
      <c r="F642" s="22"/>
      <c r="G642" s="22"/>
      <c r="H642" s="23"/>
      <c r="I642" s="23"/>
      <c r="J642" s="13"/>
      <c r="K642" s="18"/>
      <c r="L642" s="19"/>
      <c r="M642" s="19"/>
      <c r="N642" s="20"/>
      <c r="O642" s="22"/>
      <c r="P642" s="22"/>
      <c r="Q642" s="23"/>
      <c r="R642" s="23"/>
    </row>
    <row r="643" spans="1:18" x14ac:dyDescent="0.2">
      <c r="A643" s="13"/>
      <c r="B643" s="18" t="s">
        <v>403</v>
      </c>
      <c r="C643" s="19"/>
      <c r="D643" s="19"/>
      <c r="E643" s="20"/>
      <c r="F643" s="22">
        <v>1</v>
      </c>
      <c r="G643" s="23">
        <v>0.5</v>
      </c>
      <c r="H643" s="37">
        <f>172</f>
        <v>172</v>
      </c>
      <c r="I643" s="37">
        <f>G643*H643*F643</f>
        <v>86</v>
      </c>
      <c r="J643" s="13"/>
      <c r="K643" s="18" t="s">
        <v>403</v>
      </c>
      <c r="L643" s="19"/>
      <c r="M643" s="19"/>
      <c r="N643" s="20"/>
      <c r="O643" s="22">
        <v>1</v>
      </c>
      <c r="P643" s="23">
        <v>1</v>
      </c>
      <c r="Q643" s="37">
        <f>172</f>
        <v>172</v>
      </c>
      <c r="R643" s="37">
        <f>P643*Q643*O643</f>
        <v>172</v>
      </c>
    </row>
    <row r="644" spans="1:18" x14ac:dyDescent="0.2">
      <c r="A644" s="13"/>
      <c r="B644" s="18" t="s">
        <v>494</v>
      </c>
      <c r="C644" s="66"/>
      <c r="D644" s="19"/>
      <c r="E644" s="20"/>
      <c r="F644" s="22">
        <v>1</v>
      </c>
      <c r="G644" s="23">
        <v>0.5</v>
      </c>
      <c r="H644" s="37">
        <v>219.75</v>
      </c>
      <c r="I644" s="37">
        <f>G644*H644*F644</f>
        <v>109.875</v>
      </c>
      <c r="J644" s="13"/>
      <c r="K644" s="18" t="s">
        <v>1169</v>
      </c>
      <c r="L644" s="19"/>
      <c r="M644" s="19"/>
      <c r="N644" s="20"/>
      <c r="O644" s="22">
        <v>1</v>
      </c>
      <c r="P644" s="23">
        <v>0.05</v>
      </c>
      <c r="Q644" s="37">
        <v>2450</v>
      </c>
      <c r="R644" s="37">
        <f>P644*Q644*O644</f>
        <v>122.5</v>
      </c>
    </row>
    <row r="645" spans="1:18" x14ac:dyDescent="0.2">
      <c r="A645" s="13"/>
      <c r="B645" s="18" t="s">
        <v>495</v>
      </c>
      <c r="C645" s="66"/>
      <c r="F645" s="22">
        <v>1</v>
      </c>
      <c r="G645" s="23">
        <v>0.5</v>
      </c>
      <c r="H645" s="37">
        <v>148.88</v>
      </c>
      <c r="I645" s="37">
        <f>G645*H645*F645</f>
        <v>74.44</v>
      </c>
      <c r="J645" s="13"/>
      <c r="K645" s="18" t="s">
        <v>471</v>
      </c>
      <c r="L645" s="19"/>
      <c r="M645" s="19"/>
      <c r="N645" s="20"/>
      <c r="O645" s="22">
        <v>1</v>
      </c>
      <c r="P645" s="23">
        <v>0.5</v>
      </c>
      <c r="Q645" s="37">
        <v>922</v>
      </c>
      <c r="R645" s="37">
        <f>P645*Q645*O645</f>
        <v>461</v>
      </c>
    </row>
    <row r="646" spans="1:18" x14ac:dyDescent="0.2">
      <c r="A646" s="13"/>
      <c r="B646" s="18" t="s">
        <v>1171</v>
      </c>
      <c r="C646" s="19"/>
      <c r="D646" s="19"/>
      <c r="E646" s="20"/>
      <c r="F646" s="22">
        <v>1</v>
      </c>
      <c r="G646" s="23">
        <v>0.25</v>
      </c>
      <c r="H646" s="37">
        <v>371</v>
      </c>
      <c r="I646" s="37">
        <f>G646*H646*F646</f>
        <v>92.75</v>
      </c>
      <c r="J646" s="13"/>
      <c r="K646" s="18" t="s">
        <v>1195</v>
      </c>
      <c r="L646" s="19"/>
      <c r="M646" s="19"/>
      <c r="N646" s="20"/>
      <c r="O646" s="22"/>
      <c r="P646" s="36"/>
      <c r="R646" s="37">
        <f>0.05*R638</f>
        <v>16.282999999999998</v>
      </c>
    </row>
    <row r="647" spans="1:18" x14ac:dyDescent="0.2">
      <c r="A647" s="13"/>
      <c r="B647" s="18" t="s">
        <v>1174</v>
      </c>
      <c r="C647" s="19"/>
      <c r="D647" s="19"/>
      <c r="E647" s="20"/>
      <c r="F647" s="22">
        <v>1</v>
      </c>
      <c r="G647" s="23">
        <v>0.05</v>
      </c>
      <c r="H647" s="37">
        <v>2450</v>
      </c>
      <c r="I647" s="37">
        <f>G647*H647*F647</f>
        <v>122.5</v>
      </c>
      <c r="J647" s="13"/>
      <c r="K647" s="18"/>
      <c r="L647" s="19"/>
      <c r="M647" s="19"/>
      <c r="N647" s="20"/>
      <c r="O647" s="22"/>
      <c r="P647" s="36"/>
      <c r="Q647" s="37"/>
      <c r="R647" s="37"/>
    </row>
    <row r="648" spans="1:18" x14ac:dyDescent="0.2">
      <c r="A648" s="13"/>
      <c r="B648" s="18" t="s">
        <v>1192</v>
      </c>
      <c r="C648" s="19"/>
      <c r="D648" s="19"/>
      <c r="E648" s="20"/>
      <c r="F648" s="22"/>
      <c r="G648" s="68"/>
      <c r="I648" s="37">
        <f>I638*0.1</f>
        <v>32.565999999999995</v>
      </c>
      <c r="J648" s="13"/>
      <c r="K648" s="18"/>
      <c r="L648" s="19"/>
      <c r="M648" s="19"/>
      <c r="N648" s="20"/>
      <c r="O648" s="22"/>
      <c r="P648" s="36"/>
      <c r="Q648" s="38"/>
      <c r="R648" s="38"/>
    </row>
    <row r="649" spans="1:18" x14ac:dyDescent="0.2">
      <c r="A649" s="13"/>
      <c r="B649" s="18"/>
      <c r="C649" s="19"/>
      <c r="D649" s="19"/>
      <c r="E649" s="20"/>
      <c r="F649" s="22"/>
      <c r="G649" s="36"/>
      <c r="H649" s="38"/>
      <c r="I649" s="38"/>
      <c r="J649" s="13"/>
      <c r="K649" s="18"/>
      <c r="L649" s="19"/>
      <c r="M649" s="19"/>
      <c r="N649" s="20"/>
      <c r="O649" s="22"/>
      <c r="P649" s="36"/>
      <c r="Q649" s="38"/>
      <c r="R649" s="38"/>
    </row>
    <row r="650" spans="1:18" x14ac:dyDescent="0.2">
      <c r="A650" s="13"/>
      <c r="B650" s="18"/>
      <c r="C650" s="19"/>
      <c r="D650" s="19"/>
      <c r="E650" s="20"/>
      <c r="F650" s="22"/>
      <c r="G650" s="36"/>
      <c r="H650" s="38"/>
      <c r="I650" s="38"/>
      <c r="J650" s="13"/>
      <c r="K650" s="18"/>
      <c r="L650" s="19"/>
      <c r="M650" s="19"/>
      <c r="N650" s="20"/>
      <c r="O650" s="22"/>
      <c r="P650" s="36"/>
      <c r="Q650" s="38"/>
      <c r="R650" s="38"/>
    </row>
    <row r="651" spans="1:18" x14ac:dyDescent="0.2">
      <c r="A651" s="13"/>
      <c r="B651" s="18"/>
      <c r="C651" s="19"/>
      <c r="D651" s="19"/>
      <c r="E651" s="20"/>
      <c r="F651" s="22"/>
      <c r="G651" s="36"/>
      <c r="H651" s="38"/>
      <c r="I651" s="38"/>
      <c r="J651" s="13"/>
      <c r="K651" s="18"/>
      <c r="L651" s="19"/>
      <c r="M651" s="19"/>
      <c r="N651" s="20"/>
      <c r="O651" s="22"/>
      <c r="P651" s="36"/>
      <c r="Q651" s="38"/>
      <c r="R651" s="38"/>
    </row>
    <row r="652" spans="1:18" x14ac:dyDescent="0.2">
      <c r="A652" s="13"/>
      <c r="B652" s="18"/>
      <c r="C652" s="19"/>
      <c r="D652" s="19"/>
      <c r="E652" s="20"/>
      <c r="F652" s="22"/>
      <c r="G652" s="36"/>
      <c r="H652" s="37"/>
      <c r="I652" s="37"/>
      <c r="J652" s="13"/>
      <c r="K652" s="18"/>
      <c r="L652" s="19"/>
      <c r="M652" s="19"/>
      <c r="N652" s="20"/>
      <c r="O652" s="22"/>
      <c r="P652" s="36"/>
      <c r="Q652" s="37"/>
      <c r="R652" s="37"/>
    </row>
    <row r="653" spans="1:18" x14ac:dyDescent="0.2">
      <c r="A653" s="13"/>
      <c r="B653" s="18"/>
      <c r="C653" s="19"/>
      <c r="D653" s="19"/>
      <c r="E653" s="20"/>
      <c r="F653" s="22"/>
      <c r="G653" s="36"/>
      <c r="H653" s="37"/>
      <c r="I653" s="37"/>
      <c r="J653" s="13"/>
      <c r="K653" s="18"/>
      <c r="L653" s="19"/>
      <c r="M653" s="19"/>
      <c r="N653" s="20"/>
      <c r="O653" s="22"/>
      <c r="P653" s="36"/>
      <c r="Q653" s="37"/>
      <c r="R653" s="37"/>
    </row>
    <row r="654" spans="1:18" x14ac:dyDescent="0.2">
      <c r="A654" s="13"/>
      <c r="B654" s="18"/>
      <c r="C654" s="19"/>
      <c r="D654" s="19"/>
      <c r="E654" s="20"/>
      <c r="F654" s="22"/>
      <c r="G654" s="36"/>
      <c r="H654" s="37"/>
      <c r="I654" s="37"/>
      <c r="J654" s="13"/>
      <c r="K654" s="18"/>
      <c r="L654" s="19"/>
      <c r="M654" s="19"/>
      <c r="N654" s="20"/>
      <c r="O654" s="22"/>
      <c r="P654" s="36"/>
      <c r="Q654" s="37"/>
      <c r="R654" s="37"/>
    </row>
    <row r="655" spans="1:18" x14ac:dyDescent="0.2">
      <c r="A655" s="13"/>
      <c r="B655" s="18"/>
      <c r="C655" s="19"/>
      <c r="D655" s="19"/>
      <c r="E655" s="20"/>
      <c r="F655" s="22"/>
      <c r="G655" s="22"/>
      <c r="H655" s="23"/>
      <c r="I655" s="23"/>
      <c r="J655" s="13"/>
      <c r="K655" s="18"/>
      <c r="L655" s="19"/>
      <c r="M655" s="19"/>
      <c r="N655" s="20"/>
      <c r="O655" s="22"/>
      <c r="P655" s="22"/>
      <c r="Q655" s="23"/>
      <c r="R655" s="23"/>
    </row>
    <row r="656" spans="1:18" x14ac:dyDescent="0.2">
      <c r="A656" s="13"/>
      <c r="B656" s="248" t="s">
        <v>30</v>
      </c>
      <c r="C656" s="249"/>
      <c r="D656" s="249"/>
      <c r="E656" s="250"/>
      <c r="F656" s="22"/>
      <c r="G656" s="22"/>
      <c r="H656" s="23"/>
      <c r="I656" s="23">
        <f>SUM(I643:I655)</f>
        <v>518.13099999999997</v>
      </c>
      <c r="J656" s="13"/>
      <c r="K656" s="248" t="s">
        <v>30</v>
      </c>
      <c r="L656" s="249"/>
      <c r="M656" s="249"/>
      <c r="N656" s="250"/>
      <c r="O656" s="22"/>
      <c r="P656" s="22"/>
      <c r="Q656" s="23"/>
      <c r="R656" s="23">
        <f>SUM(R643:R655)</f>
        <v>771.78300000000002</v>
      </c>
    </row>
    <row r="657" spans="1:18" x14ac:dyDescent="0.2">
      <c r="A657" s="12" t="s">
        <v>31</v>
      </c>
      <c r="B657" s="260" t="s">
        <v>32</v>
      </c>
      <c r="C657" s="261"/>
      <c r="D657" s="261"/>
      <c r="E657" s="261"/>
      <c r="F657" s="39"/>
      <c r="G657" s="39"/>
      <c r="H657" s="40"/>
      <c r="I657" s="41">
        <f>SUM(I656+I638)</f>
        <v>843.79099999999994</v>
      </c>
      <c r="J657" s="12" t="s">
        <v>31</v>
      </c>
      <c r="K657" s="260" t="s">
        <v>32</v>
      </c>
      <c r="L657" s="261"/>
      <c r="M657" s="261"/>
      <c r="N657" s="261"/>
      <c r="O657" s="39"/>
      <c r="P657" s="39"/>
      <c r="Q657" s="40"/>
      <c r="R657" s="41">
        <f>SUM(R656+R638)</f>
        <v>1097.443</v>
      </c>
    </row>
    <row r="658" spans="1:18" x14ac:dyDescent="0.2">
      <c r="A658" s="13" t="s">
        <v>33</v>
      </c>
      <c r="B658" s="332">
        <f>E625</f>
        <v>5</v>
      </c>
      <c r="C658" s="333"/>
      <c r="D658" s="333"/>
      <c r="E658" s="333"/>
      <c r="F658" s="333"/>
      <c r="G658" s="333"/>
      <c r="H658" s="40"/>
      <c r="I658" s="41"/>
      <c r="J658" s="13" t="s">
        <v>33</v>
      </c>
      <c r="K658" s="327">
        <f>N625</f>
        <v>1</v>
      </c>
      <c r="L658" s="328"/>
      <c r="M658" s="328"/>
      <c r="N658" s="328"/>
      <c r="O658" s="328"/>
      <c r="P658" s="328"/>
      <c r="Q658" s="40"/>
      <c r="R658" s="41"/>
    </row>
    <row r="659" spans="1:18" x14ac:dyDescent="0.2">
      <c r="A659" s="13" t="s">
        <v>34</v>
      </c>
      <c r="B659" s="42" t="s">
        <v>35</v>
      </c>
      <c r="C659" s="43"/>
      <c r="D659" s="43"/>
      <c r="E659" s="39"/>
      <c r="F659" s="44"/>
      <c r="G659" s="44"/>
      <c r="H659" s="40"/>
      <c r="I659" s="41">
        <f>I657/E625</f>
        <v>168.75819999999999</v>
      </c>
      <c r="J659" s="13" t="s">
        <v>34</v>
      </c>
      <c r="K659" s="42" t="s">
        <v>35</v>
      </c>
      <c r="L659" s="43"/>
      <c r="M659" s="43"/>
      <c r="N659" s="39"/>
      <c r="O659" s="44"/>
      <c r="P659" s="44"/>
      <c r="Q659" s="40"/>
      <c r="R659" s="41">
        <f>R657/N625</f>
        <v>1097.443</v>
      </c>
    </row>
    <row r="660" spans="1:18" x14ac:dyDescent="0.2">
      <c r="A660" s="12"/>
      <c r="B660" s="251" t="s">
        <v>36</v>
      </c>
      <c r="C660" s="252"/>
      <c r="D660" s="252"/>
      <c r="E660" s="253"/>
      <c r="F660" s="244" t="s">
        <v>37</v>
      </c>
      <c r="G660" s="244" t="s">
        <v>38</v>
      </c>
      <c r="H660" s="244" t="s">
        <v>39</v>
      </c>
      <c r="I660" s="246" t="s">
        <v>15</v>
      </c>
      <c r="J660" s="12"/>
      <c r="K660" s="251" t="s">
        <v>36</v>
      </c>
      <c r="L660" s="252"/>
      <c r="M660" s="252"/>
      <c r="N660" s="253"/>
      <c r="O660" s="244" t="s">
        <v>37</v>
      </c>
      <c r="P660" s="244" t="s">
        <v>38</v>
      </c>
      <c r="Q660" s="244" t="s">
        <v>39</v>
      </c>
      <c r="R660" s="246" t="s">
        <v>15</v>
      </c>
    </row>
    <row r="661" spans="1:18" x14ac:dyDescent="0.2">
      <c r="A661" s="13"/>
      <c r="B661" s="254"/>
      <c r="C661" s="255"/>
      <c r="D661" s="255"/>
      <c r="E661" s="256"/>
      <c r="F661" s="245"/>
      <c r="G661" s="245"/>
      <c r="H661" s="245"/>
      <c r="I661" s="247"/>
      <c r="J661" s="13"/>
      <c r="K661" s="254"/>
      <c r="L661" s="255"/>
      <c r="M661" s="255"/>
      <c r="N661" s="256"/>
      <c r="O661" s="245"/>
      <c r="P661" s="245"/>
      <c r="Q661" s="245"/>
      <c r="R661" s="247"/>
    </row>
    <row r="662" spans="1:18" x14ac:dyDescent="0.2">
      <c r="A662" s="13" t="s">
        <v>40</v>
      </c>
      <c r="B662" s="18" t="s">
        <v>41</v>
      </c>
      <c r="C662" s="19"/>
      <c r="D662" s="19"/>
      <c r="E662" s="20"/>
      <c r="F662" s="22"/>
      <c r="G662" s="22"/>
      <c r="H662" s="23"/>
      <c r="I662" s="23"/>
      <c r="J662" s="13" t="s">
        <v>40</v>
      </c>
      <c r="K662" s="18" t="s">
        <v>41</v>
      </c>
      <c r="L662" s="19"/>
      <c r="M662" s="19"/>
      <c r="N662" s="20"/>
      <c r="O662" s="22"/>
      <c r="P662" s="22"/>
      <c r="Q662" s="23"/>
      <c r="R662" s="23"/>
    </row>
    <row r="663" spans="1:18" x14ac:dyDescent="0.2">
      <c r="A663" s="13"/>
      <c r="B663" s="18"/>
      <c r="C663" s="19"/>
      <c r="D663" s="19"/>
      <c r="E663" s="20"/>
      <c r="F663" s="22"/>
      <c r="G663" s="22"/>
      <c r="H663" s="23"/>
      <c r="I663" s="23"/>
      <c r="J663" s="13"/>
      <c r="K663" s="18"/>
      <c r="L663" s="19"/>
      <c r="M663" s="19"/>
      <c r="N663" s="20"/>
      <c r="O663" s="22"/>
      <c r="P663" s="22"/>
      <c r="Q663" s="23"/>
      <c r="R663" s="23"/>
    </row>
    <row r="664" spans="1:18" x14ac:dyDescent="0.2">
      <c r="A664" s="13"/>
      <c r="B664" s="18" t="s">
        <v>1229</v>
      </c>
      <c r="C664" s="19"/>
      <c r="D664" s="19"/>
      <c r="E664" s="20"/>
      <c r="F664" s="22"/>
      <c r="G664" s="62"/>
      <c r="H664" s="23"/>
      <c r="I664" s="23"/>
      <c r="J664" s="13"/>
      <c r="K664" s="18" t="s">
        <v>234</v>
      </c>
      <c r="L664" s="19"/>
      <c r="M664" s="19"/>
      <c r="N664" s="20"/>
      <c r="O664" s="22" t="s">
        <v>227</v>
      </c>
      <c r="P664" s="62">
        <v>2.5</v>
      </c>
      <c r="Q664" s="107">
        <v>220</v>
      </c>
      <c r="R664" s="23">
        <f t="shared" ref="R664:R669" si="1">Q664*P664</f>
        <v>550</v>
      </c>
    </row>
    <row r="665" spans="1:18" x14ac:dyDescent="0.2">
      <c r="A665" s="13"/>
      <c r="B665" s="18" t="s">
        <v>425</v>
      </c>
      <c r="C665" s="19"/>
      <c r="D665" s="19"/>
      <c r="E665" s="20"/>
      <c r="F665" s="22" t="s">
        <v>227</v>
      </c>
      <c r="G665" s="62">
        <v>1.43</v>
      </c>
      <c r="H665" s="107">
        <v>220</v>
      </c>
      <c r="I665" s="23">
        <f t="shared" ref="I665:I670" si="2">G665*H665</f>
        <v>314.59999999999997</v>
      </c>
      <c r="J665" s="13"/>
      <c r="K665" s="18" t="s">
        <v>426</v>
      </c>
      <c r="L665" s="19"/>
      <c r="M665" s="19"/>
      <c r="N665" s="20"/>
      <c r="O665" s="22" t="s">
        <v>9</v>
      </c>
      <c r="P665" s="62">
        <v>0.21</v>
      </c>
      <c r="Q665" s="107">
        <v>850</v>
      </c>
      <c r="R665" s="23">
        <f t="shared" si="1"/>
        <v>178.5</v>
      </c>
    </row>
    <row r="666" spans="1:18" x14ac:dyDescent="0.2">
      <c r="A666" s="13"/>
      <c r="B666" s="18" t="s">
        <v>426</v>
      </c>
      <c r="C666" s="19"/>
      <c r="D666" s="19"/>
      <c r="E666" s="20"/>
      <c r="F666" s="22" t="s">
        <v>9</v>
      </c>
      <c r="G666" s="70">
        <v>7.4999999999999997E-2</v>
      </c>
      <c r="H666" s="107">
        <v>850</v>
      </c>
      <c r="I666" s="23">
        <f t="shared" si="2"/>
        <v>63.75</v>
      </c>
      <c r="J666" s="13"/>
      <c r="K666" s="18" t="s">
        <v>485</v>
      </c>
      <c r="L666" s="19"/>
      <c r="M666" s="19"/>
      <c r="N666" s="20"/>
      <c r="O666" s="22" t="s">
        <v>9</v>
      </c>
      <c r="P666" s="70">
        <v>1.4999999999999999E-2</v>
      </c>
      <c r="Q666" s="107">
        <v>650</v>
      </c>
      <c r="R666" s="23">
        <f t="shared" si="1"/>
        <v>9.75</v>
      </c>
    </row>
    <row r="667" spans="1:18" x14ac:dyDescent="0.2">
      <c r="A667" s="13"/>
      <c r="B667" s="18" t="s">
        <v>496</v>
      </c>
      <c r="C667" s="19"/>
      <c r="D667" s="19"/>
      <c r="E667" s="20"/>
      <c r="F667" s="22" t="s">
        <v>9</v>
      </c>
      <c r="G667" s="62">
        <v>0.15</v>
      </c>
      <c r="H667" s="107">
        <v>650</v>
      </c>
      <c r="I667" s="23">
        <f t="shared" si="2"/>
        <v>97.5</v>
      </c>
      <c r="J667" s="13"/>
      <c r="K667" s="18" t="s">
        <v>486</v>
      </c>
      <c r="L667" s="19"/>
      <c r="M667" s="19"/>
      <c r="N667" s="20"/>
      <c r="O667" s="22" t="s">
        <v>1153</v>
      </c>
      <c r="P667" s="62">
        <v>0.3</v>
      </c>
      <c r="Q667" s="107">
        <f>ROUND(434/3,2)</f>
        <v>144.66999999999999</v>
      </c>
      <c r="R667" s="23">
        <f t="shared" si="1"/>
        <v>43.400999999999996</v>
      </c>
    </row>
    <row r="668" spans="1:18" x14ac:dyDescent="0.2">
      <c r="A668" s="13"/>
      <c r="B668" s="18" t="s">
        <v>497</v>
      </c>
      <c r="C668" s="19"/>
      <c r="D668" s="19"/>
      <c r="E668" s="20"/>
      <c r="F668" s="22" t="s">
        <v>77</v>
      </c>
      <c r="G668" s="62">
        <v>46.46</v>
      </c>
      <c r="H668" s="107">
        <v>40</v>
      </c>
      <c r="I668" s="23">
        <f t="shared" si="2"/>
        <v>1858.4</v>
      </c>
      <c r="J668" s="13"/>
      <c r="K668" s="18" t="s">
        <v>487</v>
      </c>
      <c r="L668" s="19"/>
      <c r="M668" s="19"/>
      <c r="N668" s="20"/>
      <c r="O668" s="22" t="s">
        <v>8</v>
      </c>
      <c r="P668" s="70">
        <v>1.4999999999999999E-2</v>
      </c>
      <c r="Q668" s="107">
        <v>275</v>
      </c>
      <c r="R668" s="23">
        <f t="shared" si="1"/>
        <v>4.125</v>
      </c>
    </row>
    <row r="669" spans="1:18" x14ac:dyDescent="0.2">
      <c r="A669" s="13"/>
      <c r="B669" s="18" t="s">
        <v>498</v>
      </c>
      <c r="C669" s="19"/>
      <c r="D669" s="19"/>
      <c r="E669" s="20"/>
      <c r="F669" s="22" t="s">
        <v>77</v>
      </c>
      <c r="G669" s="62">
        <f>ROUND(G668*0.02,2)</f>
        <v>0.93</v>
      </c>
      <c r="H669" s="107">
        <v>47</v>
      </c>
      <c r="I669" s="23">
        <f t="shared" si="2"/>
        <v>43.71</v>
      </c>
      <c r="J669" s="13"/>
      <c r="K669" s="18" t="s">
        <v>499</v>
      </c>
      <c r="L669" s="19"/>
      <c r="M669" s="19"/>
      <c r="N669" s="20"/>
      <c r="O669" s="22" t="s">
        <v>9</v>
      </c>
      <c r="P669" s="62">
        <v>1.05</v>
      </c>
      <c r="Q669" s="107">
        <v>810</v>
      </c>
      <c r="R669" s="23">
        <f t="shared" si="1"/>
        <v>850.5</v>
      </c>
    </row>
    <row r="670" spans="1:18" x14ac:dyDescent="0.2">
      <c r="A670" s="13"/>
      <c r="B670" s="18" t="s">
        <v>500</v>
      </c>
      <c r="C670" s="19"/>
      <c r="D670" s="19"/>
      <c r="E670" s="20"/>
      <c r="F670" s="22" t="s">
        <v>77</v>
      </c>
      <c r="G670" s="62">
        <v>73.58</v>
      </c>
      <c r="H670" s="107">
        <v>48</v>
      </c>
      <c r="I670" s="23">
        <f t="shared" si="2"/>
        <v>3531.84</v>
      </c>
      <c r="J670" s="13"/>
      <c r="K670" s="18" t="s">
        <v>1200</v>
      </c>
      <c r="L670" s="19"/>
      <c r="M670" s="19"/>
      <c r="N670" s="20"/>
      <c r="O670" s="22"/>
      <c r="P670" s="62"/>
      <c r="R670" s="23">
        <f>(R664+R665+R666+R667+R668+R669)*0.01</f>
        <v>16.362759999999998</v>
      </c>
    </row>
    <row r="671" spans="1:18" x14ac:dyDescent="0.2">
      <c r="A671" s="13"/>
      <c r="B671" s="18" t="s">
        <v>501</v>
      </c>
      <c r="C671" s="19"/>
      <c r="D671" s="19"/>
      <c r="E671" s="20"/>
      <c r="F671" s="22" t="s">
        <v>77</v>
      </c>
      <c r="G671" s="62">
        <v>2.97</v>
      </c>
      <c r="H671" s="107">
        <v>48</v>
      </c>
      <c r="I671" s="23">
        <f>G671*H671/2</f>
        <v>71.28</v>
      </c>
      <c r="J671" s="13"/>
      <c r="K671" s="18"/>
      <c r="L671" s="19"/>
      <c r="M671" s="19"/>
      <c r="N671" s="20"/>
      <c r="O671" s="22"/>
      <c r="P671" s="22"/>
      <c r="Q671" s="23"/>
      <c r="R671" s="23"/>
    </row>
    <row r="672" spans="1:18" x14ac:dyDescent="0.2">
      <c r="A672" s="13"/>
      <c r="B672" s="18" t="s">
        <v>502</v>
      </c>
      <c r="C672" s="19"/>
      <c r="D672" s="19"/>
      <c r="E672" s="20"/>
      <c r="F672" s="22" t="s">
        <v>80</v>
      </c>
      <c r="G672" s="62">
        <v>0.33</v>
      </c>
      <c r="H672" s="107">
        <v>620</v>
      </c>
      <c r="I672" s="23">
        <f>G672*H672/2</f>
        <v>102.30000000000001</v>
      </c>
      <c r="J672" s="13"/>
      <c r="K672" s="18"/>
      <c r="L672" s="19"/>
      <c r="M672" s="19"/>
      <c r="N672" s="20"/>
      <c r="O672" s="22"/>
      <c r="P672" s="22"/>
      <c r="Q672" s="23"/>
      <c r="R672" s="23"/>
    </row>
    <row r="673" spans="1:18" x14ac:dyDescent="0.2">
      <c r="A673" s="13"/>
      <c r="B673" s="18" t="s">
        <v>503</v>
      </c>
      <c r="C673" s="19"/>
      <c r="D673" s="19"/>
      <c r="E673" s="20"/>
      <c r="F673" s="22" t="s">
        <v>103</v>
      </c>
      <c r="G673" s="62">
        <v>2</v>
      </c>
      <c r="H673" s="107">
        <v>250</v>
      </c>
      <c r="I673" s="23">
        <f>G673*H673/2</f>
        <v>250</v>
      </c>
      <c r="J673" s="13"/>
      <c r="K673" s="18"/>
      <c r="L673" s="19"/>
      <c r="M673" s="19"/>
      <c r="N673" s="20"/>
      <c r="O673" s="22"/>
      <c r="P673" s="22"/>
      <c r="Q673" s="23"/>
      <c r="R673" s="23"/>
    </row>
    <row r="674" spans="1:18" x14ac:dyDescent="0.2">
      <c r="A674" s="13"/>
      <c r="B674" s="18" t="s">
        <v>504</v>
      </c>
      <c r="C674" s="19"/>
      <c r="D674" s="19"/>
      <c r="E674" s="20"/>
      <c r="F674" s="22" t="s">
        <v>77</v>
      </c>
      <c r="G674" s="62">
        <f>ROUND((G670+G671)/2000,2)</f>
        <v>0.04</v>
      </c>
      <c r="H674" s="107">
        <v>90</v>
      </c>
      <c r="I674" s="23">
        <f>G674*H674/2</f>
        <v>1.8</v>
      </c>
      <c r="J674" s="13"/>
      <c r="K674" s="18"/>
      <c r="L674" s="19"/>
      <c r="M674" s="19"/>
      <c r="N674" s="20"/>
      <c r="O674" s="22"/>
      <c r="P674" s="22"/>
      <c r="Q674" s="23"/>
      <c r="R674" s="23"/>
    </row>
    <row r="675" spans="1:18" x14ac:dyDescent="0.2">
      <c r="A675" s="13"/>
      <c r="B675" s="18"/>
      <c r="C675" s="19"/>
      <c r="D675" s="19"/>
      <c r="E675" s="20"/>
      <c r="F675" s="22"/>
      <c r="G675" s="62"/>
      <c r="H675" s="23"/>
      <c r="I675" s="23"/>
      <c r="J675" s="13"/>
      <c r="K675" s="18"/>
      <c r="L675" s="19"/>
      <c r="M675" s="19"/>
      <c r="N675" s="20"/>
      <c r="O675" s="22"/>
      <c r="P675" s="22"/>
      <c r="Q675" s="23"/>
      <c r="R675" s="23"/>
    </row>
    <row r="676" spans="1:18" x14ac:dyDescent="0.2">
      <c r="A676" s="13"/>
      <c r="B676" s="18"/>
      <c r="C676" s="19"/>
      <c r="D676" s="19"/>
      <c r="E676" s="20"/>
      <c r="F676" s="22"/>
      <c r="G676" s="62"/>
      <c r="H676" s="23"/>
      <c r="I676" s="23"/>
      <c r="J676" s="13"/>
      <c r="K676" s="18"/>
      <c r="L676" s="19"/>
      <c r="M676" s="19"/>
      <c r="N676" s="20"/>
      <c r="O676" s="22"/>
      <c r="P676" s="36"/>
      <c r="Q676" s="37"/>
      <c r="R676" s="37"/>
    </row>
    <row r="677" spans="1:18" x14ac:dyDescent="0.2">
      <c r="A677" s="13"/>
      <c r="B677" s="248" t="s">
        <v>42</v>
      </c>
      <c r="C677" s="249"/>
      <c r="D677" s="249"/>
      <c r="E677" s="250"/>
      <c r="F677" s="46"/>
      <c r="G677" s="46"/>
      <c r="H677" s="47"/>
      <c r="I677" s="47">
        <f>SUM(I664:I675)</f>
        <v>6335.18</v>
      </c>
      <c r="J677" s="13"/>
      <c r="K677" s="248" t="s">
        <v>42</v>
      </c>
      <c r="L677" s="249"/>
      <c r="M677" s="249"/>
      <c r="N677" s="250"/>
      <c r="O677" s="46"/>
      <c r="P677" s="46"/>
      <c r="Q677" s="47"/>
      <c r="R677" s="47">
        <f>SUM(R664:R676)</f>
        <v>1652.6387599999998</v>
      </c>
    </row>
    <row r="678" spans="1:18" x14ac:dyDescent="0.2">
      <c r="A678" s="12" t="s">
        <v>43</v>
      </c>
      <c r="B678" s="48" t="s">
        <v>44</v>
      </c>
      <c r="C678" s="43"/>
      <c r="D678" s="43"/>
      <c r="E678" s="39"/>
      <c r="F678" s="49"/>
      <c r="G678" s="49"/>
      <c r="H678" s="50"/>
      <c r="I678" s="51">
        <f>SUM(I659+I677)</f>
        <v>6503.9382000000005</v>
      </c>
      <c r="J678" s="12" t="s">
        <v>43</v>
      </c>
      <c r="K678" s="48" t="s">
        <v>44</v>
      </c>
      <c r="L678" s="43"/>
      <c r="M678" s="43"/>
      <c r="N678" s="161"/>
      <c r="O678" s="49"/>
      <c r="P678" s="49"/>
      <c r="Q678" s="50"/>
      <c r="R678" s="51">
        <f>SUM(R659+R677)</f>
        <v>2750.08176</v>
      </c>
    </row>
    <row r="679" spans="1:18" x14ac:dyDescent="0.2">
      <c r="A679" s="13" t="s">
        <v>45</v>
      </c>
      <c r="B679" s="48" t="s">
        <v>46</v>
      </c>
      <c r="C679" s="43"/>
      <c r="D679" s="43"/>
      <c r="E679" s="39"/>
      <c r="F679" s="49"/>
      <c r="G679" s="52">
        <v>0.09</v>
      </c>
      <c r="H679" s="53" t="s">
        <v>47</v>
      </c>
      <c r="I679" s="51">
        <f>G679*I678</f>
        <v>585.35443800000007</v>
      </c>
      <c r="J679" s="13" t="s">
        <v>45</v>
      </c>
      <c r="K679" s="48" t="s">
        <v>46</v>
      </c>
      <c r="L679" s="43"/>
      <c r="M679" s="43"/>
      <c r="N679" s="161"/>
      <c r="O679" s="49"/>
      <c r="P679" s="52">
        <v>0.09</v>
      </c>
      <c r="Q679" s="53" t="s">
        <v>47</v>
      </c>
      <c r="R679" s="51">
        <f>P679*R678</f>
        <v>247.50735839999999</v>
      </c>
    </row>
    <row r="680" spans="1:18" x14ac:dyDescent="0.2">
      <c r="A680" s="13" t="s">
        <v>48</v>
      </c>
      <c r="B680" s="48" t="s">
        <v>49</v>
      </c>
      <c r="C680" s="43"/>
      <c r="D680" s="43"/>
      <c r="E680" s="39"/>
      <c r="F680" s="49"/>
      <c r="G680" s="52">
        <v>0.08</v>
      </c>
      <c r="H680" s="53" t="s">
        <v>47</v>
      </c>
      <c r="I680" s="51">
        <f>G680*I678</f>
        <v>520.31505600000003</v>
      </c>
      <c r="J680" s="13" t="s">
        <v>48</v>
      </c>
      <c r="K680" s="48" t="s">
        <v>49</v>
      </c>
      <c r="L680" s="43"/>
      <c r="M680" s="43"/>
      <c r="N680" s="161"/>
      <c r="O680" s="49"/>
      <c r="P680" s="52">
        <v>0.08</v>
      </c>
      <c r="Q680" s="53" t="s">
        <v>47</v>
      </c>
      <c r="R680" s="51">
        <f>P680*R678</f>
        <v>220.00654080000001</v>
      </c>
    </row>
    <row r="681" spans="1:18" x14ac:dyDescent="0.2">
      <c r="A681" s="13" t="s">
        <v>50</v>
      </c>
      <c r="B681" s="48" t="s">
        <v>51</v>
      </c>
      <c r="C681" s="43"/>
      <c r="D681" s="43"/>
      <c r="E681" s="39"/>
      <c r="F681" s="49"/>
      <c r="G681" s="52">
        <f>5/100</f>
        <v>0.05</v>
      </c>
      <c r="H681" s="53" t="s">
        <v>52</v>
      </c>
      <c r="I681" s="51">
        <f>G681*(I678+I679+I680)</f>
        <v>380.48038470000006</v>
      </c>
      <c r="J681" s="13" t="s">
        <v>50</v>
      </c>
      <c r="K681" s="48" t="s">
        <v>51</v>
      </c>
      <c r="L681" s="43"/>
      <c r="M681" s="43"/>
      <c r="N681" s="161"/>
      <c r="O681" s="49"/>
      <c r="P681" s="52">
        <f>5/100</f>
        <v>0.05</v>
      </c>
      <c r="Q681" s="53" t="s">
        <v>52</v>
      </c>
      <c r="R681" s="51">
        <f>P681*(R678+R679+R680)</f>
        <v>160.87978296000003</v>
      </c>
    </row>
    <row r="682" spans="1:18" x14ac:dyDescent="0.2">
      <c r="A682" s="54" t="s">
        <v>53</v>
      </c>
      <c r="B682" s="48" t="s">
        <v>54</v>
      </c>
      <c r="C682" s="43"/>
      <c r="D682" s="43"/>
      <c r="E682" s="39"/>
      <c r="F682" s="49"/>
      <c r="G682" s="49"/>
      <c r="H682" s="55" t="s">
        <v>55</v>
      </c>
      <c r="I682" s="51">
        <f>SUM(I678+I679+I680+I681)</f>
        <v>7990.0880787000015</v>
      </c>
      <c r="J682" s="54" t="s">
        <v>53</v>
      </c>
      <c r="K682" s="48" t="s">
        <v>54</v>
      </c>
      <c r="L682" s="43"/>
      <c r="M682" s="43"/>
      <c r="N682" s="161"/>
      <c r="O682" s="49"/>
      <c r="P682" s="49"/>
      <c r="Q682" s="55" t="s">
        <v>55</v>
      </c>
      <c r="R682" s="51">
        <f>SUM(R678+R679+R680+R681)</f>
        <v>3378.4754421600001</v>
      </c>
    </row>
    <row r="683" spans="1:18" s="1" customFormat="1" x14ac:dyDescent="0.2">
      <c r="A683" s="236" t="s">
        <v>0</v>
      </c>
      <c r="B683" s="236"/>
      <c r="C683" s="236"/>
      <c r="D683" s="236"/>
      <c r="E683" s="236"/>
      <c r="F683" s="236"/>
      <c r="G683" s="236"/>
      <c r="H683" s="236"/>
      <c r="I683" s="236"/>
      <c r="J683" s="236" t="s">
        <v>0</v>
      </c>
      <c r="K683" s="236"/>
      <c r="L683" s="236"/>
      <c r="M683" s="236"/>
      <c r="N683" s="236"/>
      <c r="O683" s="236"/>
      <c r="P683" s="236"/>
      <c r="Q683" s="236"/>
      <c r="R683" s="236"/>
    </row>
    <row r="685" spans="1:18" x14ac:dyDescent="0.2">
      <c r="A685" s="2" t="s">
        <v>1</v>
      </c>
      <c r="C685" s="4" t="s">
        <v>2</v>
      </c>
      <c r="D685" s="5" t="s">
        <v>505</v>
      </c>
      <c r="E685" s="2" t="s">
        <v>506</v>
      </c>
      <c r="F685" s="2"/>
      <c r="G685" s="2"/>
      <c r="H685" s="2"/>
      <c r="J685" s="158" t="s">
        <v>1</v>
      </c>
      <c r="L685" s="4" t="s">
        <v>2</v>
      </c>
      <c r="M685" s="5" t="s">
        <v>507</v>
      </c>
      <c r="N685" s="237" t="s">
        <v>508</v>
      </c>
      <c r="O685" s="237"/>
      <c r="P685" s="237"/>
      <c r="Q685" s="237"/>
    </row>
    <row r="686" spans="1:18" x14ac:dyDescent="0.2">
      <c r="A686" s="2" t="s">
        <v>7</v>
      </c>
      <c r="C686" s="4" t="s">
        <v>2</v>
      </c>
      <c r="E686" s="2" t="s">
        <v>509</v>
      </c>
      <c r="F686" s="8"/>
      <c r="G686" s="8"/>
      <c r="H686" s="8"/>
      <c r="J686" s="158" t="s">
        <v>7</v>
      </c>
      <c r="L686" s="4" t="s">
        <v>2</v>
      </c>
      <c r="N686" s="158" t="s">
        <v>9</v>
      </c>
      <c r="O686" s="8"/>
      <c r="P686" s="8"/>
      <c r="Q686" s="8"/>
    </row>
    <row r="687" spans="1:18" x14ac:dyDescent="0.2">
      <c r="A687" s="2" t="s">
        <v>493</v>
      </c>
      <c r="C687" s="4" t="s">
        <v>2</v>
      </c>
      <c r="E687" s="9">
        <v>1</v>
      </c>
      <c r="F687" s="8"/>
      <c r="G687" s="8"/>
      <c r="H687" s="8"/>
      <c r="J687" s="158" t="s">
        <v>10</v>
      </c>
      <c r="L687" s="4" t="s">
        <v>2</v>
      </c>
      <c r="N687" s="9">
        <v>0.75</v>
      </c>
      <c r="O687" s="8"/>
      <c r="P687" s="8"/>
      <c r="Q687" s="8"/>
    </row>
    <row r="688" spans="1:18" x14ac:dyDescent="0.2">
      <c r="B688" s="8"/>
      <c r="F688" s="11"/>
      <c r="G688" s="8"/>
      <c r="H688" s="8"/>
      <c r="I688" s="8"/>
      <c r="K688" s="8"/>
      <c r="O688" s="11"/>
      <c r="P688" s="8"/>
      <c r="Q688" s="8"/>
      <c r="R688" s="8"/>
    </row>
    <row r="689" spans="1:18" x14ac:dyDescent="0.2">
      <c r="A689" s="12"/>
      <c r="B689" s="238" t="s">
        <v>11</v>
      </c>
      <c r="C689" s="239"/>
      <c r="D689" s="239"/>
      <c r="E689" s="240"/>
      <c r="F689" s="244" t="s">
        <v>12</v>
      </c>
      <c r="G689" s="244" t="s">
        <v>13</v>
      </c>
      <c r="H689" s="244" t="s">
        <v>14</v>
      </c>
      <c r="I689" s="246" t="s">
        <v>15</v>
      </c>
      <c r="J689" s="12"/>
      <c r="K689" s="238" t="s">
        <v>11</v>
      </c>
      <c r="L689" s="239"/>
      <c r="M689" s="239"/>
      <c r="N689" s="240"/>
      <c r="O689" s="244" t="s">
        <v>12</v>
      </c>
      <c r="P689" s="244" t="s">
        <v>13</v>
      </c>
      <c r="Q689" s="244" t="s">
        <v>14</v>
      </c>
      <c r="R689" s="246" t="s">
        <v>15</v>
      </c>
    </row>
    <row r="690" spans="1:18" x14ac:dyDescent="0.2">
      <c r="A690" s="13"/>
      <c r="B690" s="241"/>
      <c r="C690" s="242"/>
      <c r="D690" s="242"/>
      <c r="E690" s="243"/>
      <c r="F690" s="245"/>
      <c r="G690" s="245"/>
      <c r="H690" s="245"/>
      <c r="I690" s="247"/>
      <c r="J690" s="13"/>
      <c r="K690" s="241"/>
      <c r="L690" s="242"/>
      <c r="M690" s="242"/>
      <c r="N690" s="243"/>
      <c r="O690" s="245"/>
      <c r="P690" s="245"/>
      <c r="Q690" s="245"/>
      <c r="R690" s="247"/>
    </row>
    <row r="691" spans="1:18" x14ac:dyDescent="0.2">
      <c r="A691" s="13" t="s">
        <v>16</v>
      </c>
      <c r="B691" s="14" t="s">
        <v>17</v>
      </c>
      <c r="C691" s="15"/>
      <c r="D691" s="15"/>
      <c r="E691" s="16"/>
      <c r="F691" s="17"/>
      <c r="G691" s="17"/>
      <c r="H691" s="17"/>
      <c r="I691" s="17"/>
      <c r="J691" s="13" t="s">
        <v>16</v>
      </c>
      <c r="K691" s="14" t="s">
        <v>17</v>
      </c>
      <c r="L691" s="15"/>
      <c r="M691" s="15"/>
      <c r="N691" s="16"/>
      <c r="O691" s="17"/>
      <c r="P691" s="17"/>
      <c r="Q691" s="17"/>
      <c r="R691" s="17"/>
    </row>
    <row r="692" spans="1:18" x14ac:dyDescent="0.2">
      <c r="A692" s="13"/>
      <c r="B692" s="18"/>
      <c r="C692" s="19"/>
      <c r="D692" s="19"/>
      <c r="E692" s="20"/>
      <c r="F692" s="21"/>
      <c r="G692" s="22"/>
      <c r="H692" s="21"/>
      <c r="I692" s="21"/>
      <c r="J692" s="13"/>
      <c r="K692" s="18"/>
      <c r="L692" s="19"/>
      <c r="M692" s="19"/>
      <c r="N692" s="20"/>
      <c r="O692" s="21"/>
      <c r="P692" s="22"/>
      <c r="Q692" s="21"/>
      <c r="R692" s="21"/>
    </row>
    <row r="693" spans="1:18" x14ac:dyDescent="0.2">
      <c r="A693" s="13"/>
      <c r="B693" s="24" t="s">
        <v>18</v>
      </c>
      <c r="C693" s="25"/>
      <c r="D693" s="25"/>
      <c r="E693" s="26"/>
      <c r="F693" s="22">
        <v>1</v>
      </c>
      <c r="G693" s="23">
        <v>0.5</v>
      </c>
      <c r="H693" s="23">
        <v>69.42</v>
      </c>
      <c r="I693" s="23">
        <f>G693*H693*F693</f>
        <v>34.71</v>
      </c>
      <c r="J693" s="13"/>
      <c r="K693" s="24" t="s">
        <v>18</v>
      </c>
      <c r="L693" s="25"/>
      <c r="M693" s="25"/>
      <c r="N693" s="26"/>
      <c r="O693" s="22">
        <v>1</v>
      </c>
      <c r="P693" s="23">
        <v>1</v>
      </c>
      <c r="Q693" s="23">
        <v>69.42</v>
      </c>
      <c r="R693" s="23">
        <f>P693*Q693*O693</f>
        <v>69.42</v>
      </c>
    </row>
    <row r="694" spans="1:18" x14ac:dyDescent="0.2">
      <c r="A694" s="13"/>
      <c r="B694" s="257" t="s">
        <v>1178</v>
      </c>
      <c r="C694" s="258"/>
      <c r="D694" s="25"/>
      <c r="E694" s="26"/>
      <c r="F694" s="22">
        <v>1</v>
      </c>
      <c r="G694" s="23">
        <v>0.5</v>
      </c>
      <c r="H694" s="23">
        <v>50.18</v>
      </c>
      <c r="I694" s="23">
        <f>G694*H694*F694</f>
        <v>25.09</v>
      </c>
      <c r="J694" s="13"/>
      <c r="K694" s="257" t="s">
        <v>1178</v>
      </c>
      <c r="L694" s="258"/>
      <c r="M694" s="25"/>
      <c r="N694" s="26"/>
      <c r="O694" s="22">
        <v>2</v>
      </c>
      <c r="P694" s="23">
        <v>1</v>
      </c>
      <c r="Q694" s="23">
        <v>50.18</v>
      </c>
      <c r="R694" s="23">
        <f>P694*Q694*O694</f>
        <v>100.36</v>
      </c>
    </row>
    <row r="695" spans="1:18" x14ac:dyDescent="0.2">
      <c r="A695" s="13"/>
      <c r="B695" s="257" t="s">
        <v>1177</v>
      </c>
      <c r="C695" s="258"/>
      <c r="D695" s="19"/>
      <c r="E695" s="20"/>
      <c r="F695" s="22">
        <v>1</v>
      </c>
      <c r="G695" s="23">
        <v>0.5</v>
      </c>
      <c r="H695" s="23">
        <v>38.97</v>
      </c>
      <c r="I695" s="23">
        <f>G695*H695*F695</f>
        <v>19.484999999999999</v>
      </c>
      <c r="J695" s="13"/>
      <c r="K695" s="257" t="s">
        <v>1177</v>
      </c>
      <c r="L695" s="258"/>
      <c r="M695" s="19"/>
      <c r="N695" s="20"/>
      <c r="O695" s="22">
        <v>4</v>
      </c>
      <c r="P695" s="23">
        <v>1</v>
      </c>
      <c r="Q695" s="23">
        <v>38.97</v>
      </c>
      <c r="R695" s="23">
        <f>P695*Q695*O695</f>
        <v>155.88</v>
      </c>
    </row>
    <row r="696" spans="1:18" x14ac:dyDescent="0.2">
      <c r="A696" s="13"/>
      <c r="B696" s="27"/>
      <c r="C696" s="19"/>
      <c r="D696" s="19"/>
      <c r="E696" s="20"/>
      <c r="F696" s="22"/>
      <c r="G696" s="22"/>
      <c r="H696" s="29"/>
      <c r="I696" s="30"/>
      <c r="J696" s="13"/>
      <c r="K696" s="159"/>
      <c r="L696" s="19"/>
      <c r="M696" s="19"/>
      <c r="N696" s="20"/>
      <c r="O696" s="22"/>
      <c r="P696" s="22"/>
      <c r="Q696" s="29"/>
      <c r="R696" s="30"/>
    </row>
    <row r="697" spans="1:18" x14ac:dyDescent="0.2">
      <c r="A697" s="13"/>
      <c r="B697" s="27"/>
      <c r="C697" s="19"/>
      <c r="D697" s="19"/>
      <c r="E697" s="20"/>
      <c r="F697" s="22"/>
      <c r="G697" s="22"/>
      <c r="H697" s="29"/>
      <c r="I697" s="30"/>
      <c r="J697" s="13"/>
      <c r="K697" s="159"/>
      <c r="L697" s="19"/>
      <c r="M697" s="19"/>
      <c r="N697" s="20"/>
      <c r="O697" s="22"/>
      <c r="P697" s="22"/>
      <c r="Q697" s="29"/>
      <c r="R697" s="30"/>
    </row>
    <row r="698" spans="1:18" x14ac:dyDescent="0.2">
      <c r="A698" s="13"/>
      <c r="B698" s="18"/>
      <c r="C698" s="19"/>
      <c r="D698" s="19"/>
      <c r="E698" s="20"/>
      <c r="F698" s="22"/>
      <c r="G698" s="22"/>
      <c r="H698" s="28"/>
      <c r="I698" s="23"/>
      <c r="J698" s="13"/>
      <c r="K698" s="18"/>
      <c r="L698" s="19"/>
      <c r="M698" s="19"/>
      <c r="N698" s="20"/>
      <c r="O698" s="22"/>
      <c r="P698" s="22"/>
      <c r="Q698" s="28"/>
      <c r="R698" s="23"/>
    </row>
    <row r="699" spans="1:18" x14ac:dyDescent="0.2">
      <c r="A699" s="13"/>
      <c r="B699" s="18"/>
      <c r="C699" s="19"/>
      <c r="D699" s="19"/>
      <c r="E699" s="20"/>
      <c r="F699" s="22"/>
      <c r="G699" s="22"/>
      <c r="H699" s="23"/>
      <c r="I699" s="23"/>
      <c r="J699" s="13"/>
      <c r="K699" s="18"/>
      <c r="L699" s="19"/>
      <c r="M699" s="19"/>
      <c r="N699" s="20"/>
      <c r="O699" s="22"/>
      <c r="P699" s="22"/>
      <c r="Q699" s="23"/>
      <c r="R699" s="23"/>
    </row>
    <row r="700" spans="1:18" x14ac:dyDescent="0.2">
      <c r="A700" s="13"/>
      <c r="B700" s="248" t="s">
        <v>20</v>
      </c>
      <c r="C700" s="249"/>
      <c r="D700" s="249"/>
      <c r="E700" s="250"/>
      <c r="F700" s="31"/>
      <c r="G700" s="31"/>
      <c r="H700" s="32"/>
      <c r="I700" s="32">
        <f>SUM(I693:I699)</f>
        <v>79.284999999999997</v>
      </c>
      <c r="J700" s="13"/>
      <c r="K700" s="248" t="s">
        <v>20</v>
      </c>
      <c r="L700" s="249"/>
      <c r="M700" s="249"/>
      <c r="N700" s="250"/>
      <c r="O700" s="31"/>
      <c r="P700" s="31"/>
      <c r="Q700" s="32"/>
      <c r="R700" s="32">
        <f>SUM(R693:R699)</f>
        <v>325.65999999999997</v>
      </c>
    </row>
    <row r="701" spans="1:18" x14ac:dyDescent="0.2">
      <c r="A701" s="12"/>
      <c r="B701" s="251" t="s">
        <v>21</v>
      </c>
      <c r="C701" s="252"/>
      <c r="D701" s="252"/>
      <c r="E701" s="253"/>
      <c r="F701" s="244" t="s">
        <v>22</v>
      </c>
      <c r="G701" s="244" t="s">
        <v>13</v>
      </c>
      <c r="H701" s="244" t="s">
        <v>14</v>
      </c>
      <c r="I701" s="246" t="s">
        <v>15</v>
      </c>
      <c r="J701" s="12"/>
      <c r="K701" s="251" t="s">
        <v>21</v>
      </c>
      <c r="L701" s="252"/>
      <c r="M701" s="252"/>
      <c r="N701" s="253"/>
      <c r="O701" s="244" t="s">
        <v>22</v>
      </c>
      <c r="P701" s="244" t="s">
        <v>13</v>
      </c>
      <c r="Q701" s="244" t="s">
        <v>14</v>
      </c>
      <c r="R701" s="246" t="s">
        <v>15</v>
      </c>
    </row>
    <row r="702" spans="1:18" x14ac:dyDescent="0.2">
      <c r="A702" s="13"/>
      <c r="B702" s="254"/>
      <c r="C702" s="255"/>
      <c r="D702" s="255"/>
      <c r="E702" s="256"/>
      <c r="F702" s="245"/>
      <c r="G702" s="245"/>
      <c r="H702" s="245"/>
      <c r="I702" s="247"/>
      <c r="J702" s="13"/>
      <c r="K702" s="254"/>
      <c r="L702" s="255"/>
      <c r="M702" s="255"/>
      <c r="N702" s="256"/>
      <c r="O702" s="245"/>
      <c r="P702" s="245"/>
      <c r="Q702" s="245"/>
      <c r="R702" s="247"/>
    </row>
    <row r="703" spans="1:18" x14ac:dyDescent="0.2">
      <c r="A703" s="13" t="s">
        <v>23</v>
      </c>
      <c r="B703" s="33" t="s">
        <v>24</v>
      </c>
      <c r="C703" s="15"/>
      <c r="D703" s="15"/>
      <c r="E703" s="16"/>
      <c r="F703" s="34"/>
      <c r="G703" s="34"/>
      <c r="H703" s="35"/>
      <c r="I703" s="35"/>
      <c r="J703" s="13" t="s">
        <v>23</v>
      </c>
      <c r="K703" s="33" t="s">
        <v>24</v>
      </c>
      <c r="L703" s="15"/>
      <c r="M703" s="15"/>
      <c r="N703" s="16"/>
      <c r="O703" s="34"/>
      <c r="P703" s="34"/>
      <c r="Q703" s="35"/>
      <c r="R703" s="35"/>
    </row>
    <row r="704" spans="1:18" x14ac:dyDescent="0.2">
      <c r="A704" s="13"/>
      <c r="B704" s="18"/>
      <c r="C704" s="19"/>
      <c r="D704" s="19"/>
      <c r="E704" s="20"/>
      <c r="F704" s="22"/>
      <c r="G704" s="22"/>
      <c r="H704" s="23"/>
      <c r="I704" s="23"/>
      <c r="J704" s="13"/>
      <c r="K704" s="18"/>
      <c r="L704" s="19"/>
      <c r="M704" s="19"/>
      <c r="N704" s="20"/>
      <c r="O704" s="22"/>
      <c r="P704" s="22"/>
      <c r="Q704" s="23"/>
      <c r="R704" s="23"/>
    </row>
    <row r="705" spans="1:18" x14ac:dyDescent="0.2">
      <c r="A705" s="13"/>
      <c r="B705" s="18" t="s">
        <v>1192</v>
      </c>
      <c r="C705" s="19"/>
      <c r="D705" s="19"/>
      <c r="E705" s="20"/>
      <c r="F705" s="22"/>
      <c r="G705" s="36"/>
      <c r="I705" s="37">
        <f>I700*0.1</f>
        <v>7.9284999999999997</v>
      </c>
      <c r="J705" s="13"/>
      <c r="K705" s="18" t="s">
        <v>403</v>
      </c>
      <c r="L705" s="19"/>
      <c r="M705" s="19"/>
      <c r="N705" s="20"/>
      <c r="O705" s="22">
        <v>1</v>
      </c>
      <c r="P705" s="23">
        <v>1</v>
      </c>
      <c r="Q705" s="37">
        <f>172</f>
        <v>172</v>
      </c>
      <c r="R705" s="37">
        <f>P705*Q705*O705</f>
        <v>172</v>
      </c>
    </row>
    <row r="706" spans="1:18" x14ac:dyDescent="0.2">
      <c r="A706" s="13"/>
      <c r="B706" s="18"/>
      <c r="C706" s="66"/>
      <c r="D706" s="19"/>
      <c r="E706" s="20"/>
      <c r="F706" s="22"/>
      <c r="G706" s="23"/>
      <c r="H706" s="37"/>
      <c r="I706" s="37"/>
      <c r="J706" s="13"/>
      <c r="K706" s="18" t="s">
        <v>1169</v>
      </c>
      <c r="L706" s="19"/>
      <c r="M706" s="19"/>
      <c r="N706" s="20"/>
      <c r="O706" s="22">
        <v>1</v>
      </c>
      <c r="P706" s="23">
        <v>0.05</v>
      </c>
      <c r="Q706" s="37">
        <v>2450</v>
      </c>
      <c r="R706" s="37">
        <f>P706*Q706*O706</f>
        <v>122.5</v>
      </c>
    </row>
    <row r="707" spans="1:18" x14ac:dyDescent="0.2">
      <c r="A707" s="13"/>
      <c r="B707" s="18"/>
      <c r="C707" s="66"/>
      <c r="F707" s="22"/>
      <c r="G707" s="23"/>
      <c r="H707" s="37"/>
      <c r="I707" s="37"/>
      <c r="J707" s="13"/>
      <c r="K707" s="18" t="s">
        <v>471</v>
      </c>
      <c r="L707" s="19"/>
      <c r="M707" s="19"/>
      <c r="N707" s="20"/>
      <c r="O707" s="22">
        <v>1</v>
      </c>
      <c r="P707" s="23">
        <v>0.75</v>
      </c>
      <c r="Q707" s="37">
        <v>922</v>
      </c>
      <c r="R707" s="37">
        <f>P707*Q707*O707</f>
        <v>691.5</v>
      </c>
    </row>
    <row r="708" spans="1:18" x14ac:dyDescent="0.2">
      <c r="A708" s="13"/>
      <c r="B708" s="18"/>
      <c r="C708" s="19"/>
      <c r="D708" s="19"/>
      <c r="E708" s="20"/>
      <c r="F708" s="22"/>
      <c r="G708" s="36"/>
      <c r="H708" s="37"/>
      <c r="I708" s="37"/>
      <c r="J708" s="13"/>
      <c r="K708" s="18" t="s">
        <v>260</v>
      </c>
      <c r="L708" s="19"/>
      <c r="M708" s="19"/>
      <c r="N708" s="20"/>
      <c r="O708" s="22"/>
      <c r="P708" s="36"/>
      <c r="R708" s="37">
        <f>0.05*R700</f>
        <v>16.282999999999998</v>
      </c>
    </row>
    <row r="709" spans="1:18" x14ac:dyDescent="0.2">
      <c r="A709" s="13"/>
      <c r="B709" s="18"/>
      <c r="C709" s="66"/>
      <c r="F709" s="22"/>
      <c r="G709" s="23"/>
      <c r="H709" s="37"/>
      <c r="I709" s="37"/>
      <c r="J709" s="13"/>
      <c r="K709" s="18"/>
      <c r="L709" s="19"/>
      <c r="M709" s="19"/>
      <c r="N709" s="20"/>
      <c r="O709" s="22"/>
      <c r="P709" s="36"/>
      <c r="Q709" s="37"/>
      <c r="R709" s="37"/>
    </row>
    <row r="710" spans="1:18" x14ac:dyDescent="0.2">
      <c r="A710" s="13"/>
      <c r="B710" s="18"/>
      <c r="C710" s="19"/>
      <c r="D710" s="19"/>
      <c r="E710" s="20"/>
      <c r="F710" s="22"/>
      <c r="G710" s="68"/>
      <c r="H710" s="37"/>
      <c r="I710" s="37"/>
      <c r="J710" s="13"/>
      <c r="K710" s="18"/>
      <c r="L710" s="19"/>
      <c r="M710" s="19"/>
      <c r="N710" s="20"/>
      <c r="O710" s="22"/>
      <c r="P710" s="36"/>
      <c r="Q710" s="38"/>
      <c r="R710" s="38"/>
    </row>
    <row r="711" spans="1:18" x14ac:dyDescent="0.2">
      <c r="A711" s="13"/>
      <c r="B711" s="18"/>
      <c r="C711" s="19"/>
      <c r="D711" s="19"/>
      <c r="E711" s="20"/>
      <c r="F711" s="22"/>
      <c r="G711" s="36"/>
      <c r="H711" s="38"/>
      <c r="I711" s="38"/>
      <c r="J711" s="13"/>
      <c r="K711" s="18"/>
      <c r="L711" s="19"/>
      <c r="M711" s="19"/>
      <c r="N711" s="20"/>
      <c r="O711" s="22"/>
      <c r="P711" s="36"/>
      <c r="Q711" s="38"/>
      <c r="R711" s="38"/>
    </row>
    <row r="712" spans="1:18" x14ac:dyDescent="0.2">
      <c r="A712" s="13"/>
      <c r="B712" s="18"/>
      <c r="C712" s="19"/>
      <c r="D712" s="19"/>
      <c r="E712" s="20"/>
      <c r="F712" s="22"/>
      <c r="G712" s="36"/>
      <c r="H712" s="38"/>
      <c r="I712" s="38"/>
      <c r="J712" s="13"/>
      <c r="K712" s="18"/>
      <c r="L712" s="19"/>
      <c r="M712" s="19"/>
      <c r="N712" s="20"/>
      <c r="O712" s="22"/>
      <c r="P712" s="36"/>
      <c r="Q712" s="38"/>
      <c r="R712" s="38"/>
    </row>
    <row r="713" spans="1:18" x14ac:dyDescent="0.2">
      <c r="A713" s="13"/>
      <c r="B713" s="18"/>
      <c r="C713" s="19"/>
      <c r="D713" s="19"/>
      <c r="E713" s="20"/>
      <c r="F713" s="22"/>
      <c r="G713" s="36"/>
      <c r="H713" s="38"/>
      <c r="I713" s="38"/>
      <c r="J713" s="13"/>
      <c r="K713" s="18"/>
      <c r="L713" s="19"/>
      <c r="M713" s="19"/>
      <c r="N713" s="20"/>
      <c r="O713" s="22"/>
      <c r="P713" s="36"/>
      <c r="Q713" s="38"/>
      <c r="R713" s="38"/>
    </row>
    <row r="714" spans="1:18" x14ac:dyDescent="0.2">
      <c r="A714" s="13"/>
      <c r="B714" s="18"/>
      <c r="C714" s="19"/>
      <c r="D714" s="19"/>
      <c r="E714" s="20"/>
      <c r="F714" s="22"/>
      <c r="G714" s="36"/>
      <c r="H714" s="37"/>
      <c r="I714" s="37"/>
      <c r="J714" s="13"/>
      <c r="K714" s="18"/>
      <c r="L714" s="19"/>
      <c r="M714" s="19"/>
      <c r="N714" s="20"/>
      <c r="O714" s="22"/>
      <c r="P714" s="36"/>
      <c r="Q714" s="37"/>
      <c r="R714" s="37"/>
    </row>
    <row r="715" spans="1:18" x14ac:dyDescent="0.2">
      <c r="A715" s="13"/>
      <c r="B715" s="18"/>
      <c r="C715" s="19"/>
      <c r="D715" s="19"/>
      <c r="E715" s="20"/>
      <c r="F715" s="22"/>
      <c r="G715" s="36"/>
      <c r="H715" s="37"/>
      <c r="I715" s="37"/>
      <c r="J715" s="13"/>
      <c r="K715" s="18"/>
      <c r="L715" s="19"/>
      <c r="M715" s="19"/>
      <c r="N715" s="20"/>
      <c r="O715" s="22"/>
      <c r="P715" s="36"/>
      <c r="Q715" s="37"/>
      <c r="R715" s="37"/>
    </row>
    <row r="716" spans="1:18" x14ac:dyDescent="0.2">
      <c r="A716" s="13"/>
      <c r="B716" s="18"/>
      <c r="C716" s="19"/>
      <c r="D716" s="19"/>
      <c r="E716" s="20"/>
      <c r="F716" s="22"/>
      <c r="G716" s="36"/>
      <c r="H716" s="37"/>
      <c r="I716" s="37"/>
      <c r="J716" s="13"/>
      <c r="K716" s="18"/>
      <c r="L716" s="19"/>
      <c r="M716" s="19"/>
      <c r="N716" s="20"/>
      <c r="O716" s="22"/>
      <c r="P716" s="36"/>
      <c r="Q716" s="37"/>
      <c r="R716" s="37"/>
    </row>
    <row r="717" spans="1:18" x14ac:dyDescent="0.2">
      <c r="A717" s="13"/>
      <c r="B717" s="18"/>
      <c r="C717" s="19"/>
      <c r="D717" s="19"/>
      <c r="E717" s="20"/>
      <c r="F717" s="22"/>
      <c r="G717" s="22"/>
      <c r="H717" s="23"/>
      <c r="I717" s="23"/>
      <c r="J717" s="13"/>
      <c r="K717" s="18"/>
      <c r="L717" s="19"/>
      <c r="M717" s="19"/>
      <c r="N717" s="20"/>
      <c r="O717" s="22"/>
      <c r="P717" s="22"/>
      <c r="Q717" s="23"/>
      <c r="R717" s="23"/>
    </row>
    <row r="718" spans="1:18" x14ac:dyDescent="0.2">
      <c r="A718" s="13"/>
      <c r="B718" s="248" t="s">
        <v>30</v>
      </c>
      <c r="C718" s="249"/>
      <c r="D718" s="249"/>
      <c r="E718" s="250"/>
      <c r="F718" s="22"/>
      <c r="G718" s="22"/>
      <c r="H718" s="23"/>
      <c r="I718" s="23">
        <f>SUM(I705:I717)</f>
        <v>7.9284999999999997</v>
      </c>
      <c r="J718" s="13"/>
      <c r="K718" s="248" t="s">
        <v>30</v>
      </c>
      <c r="L718" s="249"/>
      <c r="M718" s="249"/>
      <c r="N718" s="250"/>
      <c r="O718" s="22"/>
      <c r="P718" s="22"/>
      <c r="Q718" s="23"/>
      <c r="R718" s="23">
        <f>SUM(R705:R717)</f>
        <v>1002.283</v>
      </c>
    </row>
    <row r="719" spans="1:18" x14ac:dyDescent="0.2">
      <c r="A719" s="12" t="s">
        <v>31</v>
      </c>
      <c r="B719" s="260" t="s">
        <v>32</v>
      </c>
      <c r="C719" s="261"/>
      <c r="D719" s="261"/>
      <c r="E719" s="261"/>
      <c r="F719" s="39"/>
      <c r="G719" s="39"/>
      <c r="H719" s="40"/>
      <c r="I719" s="41">
        <f>SUM(I718+I700)</f>
        <v>87.213499999999996</v>
      </c>
      <c r="J719" s="12" t="s">
        <v>31</v>
      </c>
      <c r="K719" s="260" t="s">
        <v>32</v>
      </c>
      <c r="L719" s="261"/>
      <c r="M719" s="261"/>
      <c r="N719" s="261"/>
      <c r="O719" s="161"/>
      <c r="P719" s="161"/>
      <c r="Q719" s="40"/>
      <c r="R719" s="41">
        <f>SUM(R718+R700)</f>
        <v>1327.943</v>
      </c>
    </row>
    <row r="720" spans="1:18" x14ac:dyDescent="0.2">
      <c r="A720" s="13" t="s">
        <v>33</v>
      </c>
      <c r="B720" s="334">
        <f>E687</f>
        <v>1</v>
      </c>
      <c r="C720" s="335"/>
      <c r="D720" s="335"/>
      <c r="E720" s="335"/>
      <c r="F720" s="335"/>
      <c r="G720" s="335"/>
      <c r="H720" s="40"/>
      <c r="I720" s="41"/>
      <c r="J720" s="13" t="s">
        <v>33</v>
      </c>
      <c r="K720" s="329">
        <f>N687</f>
        <v>0.75</v>
      </c>
      <c r="L720" s="330"/>
      <c r="M720" s="330"/>
      <c r="N720" s="330"/>
      <c r="O720" s="330"/>
      <c r="P720" s="330"/>
      <c r="Q720" s="40"/>
      <c r="R720" s="41"/>
    </row>
    <row r="721" spans="1:18" x14ac:dyDescent="0.2">
      <c r="A721" s="13" t="s">
        <v>34</v>
      </c>
      <c r="B721" s="42" t="s">
        <v>35</v>
      </c>
      <c r="C721" s="43"/>
      <c r="D721" s="43"/>
      <c r="E721" s="39"/>
      <c r="F721" s="44"/>
      <c r="G721" s="44"/>
      <c r="H721" s="40"/>
      <c r="I721" s="41">
        <f>I719/E687</f>
        <v>87.213499999999996</v>
      </c>
      <c r="J721" s="13" t="s">
        <v>34</v>
      </c>
      <c r="K721" s="162" t="s">
        <v>35</v>
      </c>
      <c r="L721" s="43"/>
      <c r="M721" s="43"/>
      <c r="N721" s="161"/>
      <c r="O721" s="163"/>
      <c r="P721" s="163"/>
      <c r="Q721" s="40"/>
      <c r="R721" s="41">
        <f>R719/N687</f>
        <v>1770.5906666666667</v>
      </c>
    </row>
    <row r="722" spans="1:18" x14ac:dyDescent="0.2">
      <c r="A722" s="12"/>
      <c r="B722" s="251" t="s">
        <v>36</v>
      </c>
      <c r="C722" s="252"/>
      <c r="D722" s="252"/>
      <c r="E722" s="253"/>
      <c r="F722" s="244" t="s">
        <v>37</v>
      </c>
      <c r="G722" s="244" t="s">
        <v>38</v>
      </c>
      <c r="H722" s="244" t="s">
        <v>39</v>
      </c>
      <c r="I722" s="246" t="s">
        <v>15</v>
      </c>
      <c r="J722" s="12"/>
      <c r="K722" s="251" t="s">
        <v>36</v>
      </c>
      <c r="L722" s="252"/>
      <c r="M722" s="252"/>
      <c r="N722" s="253"/>
      <c r="O722" s="244" t="s">
        <v>37</v>
      </c>
      <c r="P722" s="244" t="s">
        <v>38</v>
      </c>
      <c r="Q722" s="244" t="s">
        <v>39</v>
      </c>
      <c r="R722" s="246" t="s">
        <v>15</v>
      </c>
    </row>
    <row r="723" spans="1:18" x14ac:dyDescent="0.2">
      <c r="A723" s="13"/>
      <c r="B723" s="254"/>
      <c r="C723" s="255"/>
      <c r="D723" s="255"/>
      <c r="E723" s="256"/>
      <c r="F723" s="245"/>
      <c r="G723" s="245"/>
      <c r="H723" s="245"/>
      <c r="I723" s="247"/>
      <c r="J723" s="13"/>
      <c r="K723" s="254"/>
      <c r="L723" s="255"/>
      <c r="M723" s="255"/>
      <c r="N723" s="256"/>
      <c r="O723" s="245"/>
      <c r="P723" s="245"/>
      <c r="Q723" s="245"/>
      <c r="R723" s="247"/>
    </row>
    <row r="724" spans="1:18" x14ac:dyDescent="0.2">
      <c r="A724" s="13" t="s">
        <v>40</v>
      </c>
      <c r="B724" s="18" t="s">
        <v>41</v>
      </c>
      <c r="C724" s="19"/>
      <c r="D724" s="19"/>
      <c r="E724" s="20"/>
      <c r="F724" s="22"/>
      <c r="G724" s="22"/>
      <c r="H724" s="23"/>
      <c r="I724" s="23"/>
      <c r="J724" s="13" t="s">
        <v>40</v>
      </c>
      <c r="K724" s="18" t="s">
        <v>41</v>
      </c>
      <c r="L724" s="19"/>
      <c r="M724" s="19"/>
      <c r="N724" s="20"/>
      <c r="O724" s="22"/>
      <c r="P724" s="22"/>
      <c r="Q724" s="23"/>
      <c r="R724" s="23"/>
    </row>
    <row r="725" spans="1:18" x14ac:dyDescent="0.2">
      <c r="A725" s="13"/>
      <c r="B725" s="18"/>
      <c r="C725" s="19"/>
      <c r="D725" s="19"/>
      <c r="E725" s="20"/>
      <c r="F725" s="22"/>
      <c r="G725" s="22"/>
      <c r="H725" s="23"/>
      <c r="I725" s="23"/>
      <c r="J725" s="13"/>
      <c r="K725" s="18"/>
      <c r="L725" s="19"/>
      <c r="M725" s="19"/>
      <c r="N725" s="20"/>
      <c r="O725" s="22"/>
      <c r="P725" s="22"/>
      <c r="Q725" s="23"/>
      <c r="R725" s="23"/>
    </row>
    <row r="726" spans="1:18" x14ac:dyDescent="0.2">
      <c r="A726" s="13"/>
      <c r="B726" s="18" t="s">
        <v>510</v>
      </c>
      <c r="C726" s="19"/>
      <c r="D726" s="19"/>
      <c r="E726" s="20"/>
      <c r="F726" s="22" t="s">
        <v>103</v>
      </c>
      <c r="G726" s="62">
        <v>1</v>
      </c>
      <c r="H726" s="107">
        <v>4700</v>
      </c>
      <c r="I726" s="23">
        <f>G726*H726</f>
        <v>4700</v>
      </c>
      <c r="J726" s="13"/>
      <c r="K726" s="18" t="s">
        <v>234</v>
      </c>
      <c r="L726" s="19"/>
      <c r="M726" s="19"/>
      <c r="N726" s="20"/>
      <c r="O726" s="22" t="s">
        <v>227</v>
      </c>
      <c r="P726" s="62">
        <v>2.2000000000000002</v>
      </c>
      <c r="Q726" s="107">
        <v>220</v>
      </c>
      <c r="R726" s="23">
        <f t="shared" ref="R726:R731" si="3">Q726*P726</f>
        <v>484.00000000000006</v>
      </c>
    </row>
    <row r="727" spans="1:18" x14ac:dyDescent="0.2">
      <c r="A727" s="13"/>
      <c r="B727" s="18"/>
      <c r="C727" s="19"/>
      <c r="D727" s="19"/>
      <c r="E727" s="20"/>
      <c r="F727" s="22"/>
      <c r="G727" s="62"/>
      <c r="H727" s="23"/>
      <c r="I727" s="23"/>
      <c r="J727" s="13"/>
      <c r="K727" s="18" t="s">
        <v>426</v>
      </c>
      <c r="L727" s="19"/>
      <c r="M727" s="19"/>
      <c r="N727" s="20"/>
      <c r="O727" s="22" t="s">
        <v>9</v>
      </c>
      <c r="P727" s="62">
        <v>0.18</v>
      </c>
      <c r="Q727" s="107">
        <v>850</v>
      </c>
      <c r="R727" s="23">
        <f t="shared" si="3"/>
        <v>153</v>
      </c>
    </row>
    <row r="728" spans="1:18" x14ac:dyDescent="0.2">
      <c r="A728" s="13"/>
      <c r="B728" s="18"/>
      <c r="C728" s="19"/>
      <c r="D728" s="19"/>
      <c r="E728" s="20"/>
      <c r="F728" s="22"/>
      <c r="G728" s="62"/>
      <c r="H728" s="23"/>
      <c r="I728" s="23"/>
      <c r="J728" s="13"/>
      <c r="K728" s="18" t="s">
        <v>485</v>
      </c>
      <c r="L728" s="19"/>
      <c r="M728" s="19"/>
      <c r="N728" s="20"/>
      <c r="O728" s="22" t="s">
        <v>9</v>
      </c>
      <c r="P728" s="70">
        <v>1.4999999999999999E-2</v>
      </c>
      <c r="Q728" s="107">
        <v>650</v>
      </c>
      <c r="R728" s="23">
        <f t="shared" si="3"/>
        <v>9.75</v>
      </c>
    </row>
    <row r="729" spans="1:18" x14ac:dyDescent="0.2">
      <c r="A729" s="13"/>
      <c r="B729" s="18"/>
      <c r="C729" s="19"/>
      <c r="D729" s="19"/>
      <c r="E729" s="20"/>
      <c r="F729" s="22"/>
      <c r="G729" s="62"/>
      <c r="H729" s="23"/>
      <c r="I729" s="23"/>
      <c r="J729" s="13"/>
      <c r="K729" s="18" t="s">
        <v>486</v>
      </c>
      <c r="L729" s="19"/>
      <c r="M729" s="19"/>
      <c r="N729" s="20"/>
      <c r="O729" s="22" t="s">
        <v>1153</v>
      </c>
      <c r="P729" s="62">
        <v>0.3</v>
      </c>
      <c r="Q729" s="107">
        <f>ROUND(434/3,2)</f>
        <v>144.66999999999999</v>
      </c>
      <c r="R729" s="23">
        <f t="shared" si="3"/>
        <v>43.400999999999996</v>
      </c>
    </row>
    <row r="730" spans="1:18" x14ac:dyDescent="0.2">
      <c r="A730" s="13"/>
      <c r="B730" s="18"/>
      <c r="C730" s="19"/>
      <c r="D730" s="19"/>
      <c r="E730" s="20"/>
      <c r="F730" s="22"/>
      <c r="G730" s="62"/>
      <c r="H730" s="23"/>
      <c r="I730" s="23"/>
      <c r="J730" s="13"/>
      <c r="K730" s="18" t="s">
        <v>487</v>
      </c>
      <c r="L730" s="19"/>
      <c r="M730" s="19"/>
      <c r="N730" s="20"/>
      <c r="O730" s="22" t="s">
        <v>8</v>
      </c>
      <c r="P730" s="70">
        <v>1.4999999999999999E-2</v>
      </c>
      <c r="Q730" s="107">
        <v>275</v>
      </c>
      <c r="R730" s="23">
        <f t="shared" si="3"/>
        <v>4.125</v>
      </c>
    </row>
    <row r="731" spans="1:18" x14ac:dyDescent="0.2">
      <c r="A731" s="13"/>
      <c r="B731" s="18"/>
      <c r="C731" s="19"/>
      <c r="D731" s="19"/>
      <c r="E731" s="20"/>
      <c r="F731" s="22"/>
      <c r="G731" s="62"/>
      <c r="H731" s="23"/>
      <c r="I731" s="23"/>
      <c r="J731" s="13"/>
      <c r="K731" s="18" t="s">
        <v>511</v>
      </c>
      <c r="L731" s="19"/>
      <c r="M731" s="19"/>
      <c r="N731" s="20"/>
      <c r="O731" s="22" t="s">
        <v>9</v>
      </c>
      <c r="P731" s="62">
        <v>1.05</v>
      </c>
      <c r="Q731" s="107">
        <v>730</v>
      </c>
      <c r="R731" s="23">
        <f t="shared" si="3"/>
        <v>766.5</v>
      </c>
    </row>
    <row r="732" spans="1:18" x14ac:dyDescent="0.2">
      <c r="A732" s="13"/>
      <c r="B732" s="18"/>
      <c r="C732" s="19"/>
      <c r="D732" s="19"/>
      <c r="E732" s="20"/>
      <c r="F732" s="22"/>
      <c r="G732" s="62"/>
      <c r="H732" s="23"/>
      <c r="I732" s="23"/>
      <c r="J732" s="13"/>
      <c r="K732" s="18" t="s">
        <v>169</v>
      </c>
      <c r="L732" s="19"/>
      <c r="M732" s="19"/>
      <c r="N732" s="20"/>
      <c r="O732" s="22"/>
      <c r="P732" s="62"/>
      <c r="R732" s="23">
        <f>(R726+R727+R728+R729+R730+R731)*0.01</f>
        <v>14.607759999999999</v>
      </c>
    </row>
    <row r="733" spans="1:18" x14ac:dyDescent="0.2">
      <c r="A733" s="13"/>
      <c r="B733" s="18"/>
      <c r="C733" s="19"/>
      <c r="D733" s="19"/>
      <c r="E733" s="20"/>
      <c r="F733" s="22"/>
      <c r="G733" s="62"/>
      <c r="H733" s="23"/>
      <c r="I733" s="23"/>
      <c r="J733" s="13"/>
      <c r="K733" s="18"/>
      <c r="L733" s="19"/>
      <c r="M733" s="19"/>
      <c r="N733" s="20"/>
      <c r="O733" s="22"/>
      <c r="P733" s="22"/>
      <c r="Q733" s="23"/>
      <c r="R733" s="23"/>
    </row>
    <row r="734" spans="1:18" x14ac:dyDescent="0.2">
      <c r="A734" s="13"/>
      <c r="B734" s="18"/>
      <c r="C734" s="19"/>
      <c r="D734" s="19"/>
      <c r="E734" s="20"/>
      <c r="F734" s="22"/>
      <c r="G734" s="62"/>
      <c r="H734" s="23"/>
      <c r="I734" s="23"/>
      <c r="J734" s="13"/>
      <c r="K734" s="18"/>
      <c r="L734" s="19"/>
      <c r="M734" s="19"/>
      <c r="N734" s="20"/>
      <c r="O734" s="22"/>
      <c r="P734" s="22"/>
      <c r="Q734" s="23"/>
      <c r="R734" s="23"/>
    </row>
    <row r="735" spans="1:18" x14ac:dyDescent="0.2">
      <c r="A735" s="13"/>
      <c r="B735" s="18"/>
      <c r="C735" s="19"/>
      <c r="D735" s="19"/>
      <c r="E735" s="20"/>
      <c r="F735" s="22"/>
      <c r="G735" s="22"/>
      <c r="H735" s="23"/>
      <c r="I735" s="23"/>
      <c r="J735" s="13"/>
      <c r="K735" s="18"/>
      <c r="L735" s="19"/>
      <c r="M735" s="19"/>
      <c r="N735" s="20"/>
      <c r="O735" s="22"/>
      <c r="P735" s="22"/>
      <c r="Q735" s="23"/>
      <c r="R735" s="23"/>
    </row>
    <row r="736" spans="1:18" x14ac:dyDescent="0.2">
      <c r="A736" s="13"/>
      <c r="B736" s="18"/>
      <c r="C736" s="19"/>
      <c r="D736" s="19"/>
      <c r="E736" s="20"/>
      <c r="F736" s="22"/>
      <c r="G736" s="22"/>
      <c r="H736" s="23"/>
      <c r="I736" s="23"/>
      <c r="J736" s="13"/>
      <c r="K736" s="18"/>
      <c r="L736" s="19"/>
      <c r="M736" s="19"/>
      <c r="N736" s="20"/>
      <c r="O736" s="22"/>
      <c r="P736" s="22"/>
      <c r="Q736" s="23"/>
      <c r="R736" s="23"/>
    </row>
    <row r="737" spans="1:18" x14ac:dyDescent="0.2">
      <c r="A737" s="13"/>
      <c r="B737" s="18"/>
      <c r="C737" s="19"/>
      <c r="D737" s="19"/>
      <c r="E737" s="20"/>
      <c r="F737" s="22"/>
      <c r="G737" s="22"/>
      <c r="H737" s="23"/>
      <c r="I737" s="23"/>
      <c r="J737" s="13"/>
      <c r="K737" s="18"/>
      <c r="L737" s="19"/>
      <c r="M737" s="19"/>
      <c r="N737" s="20"/>
      <c r="O737" s="22"/>
      <c r="P737" s="22"/>
      <c r="Q737" s="23"/>
      <c r="R737" s="23"/>
    </row>
    <row r="738" spans="1:18" x14ac:dyDescent="0.2">
      <c r="A738" s="13"/>
      <c r="B738" s="18"/>
      <c r="C738" s="19"/>
      <c r="D738" s="19"/>
      <c r="E738" s="20"/>
      <c r="F738" s="22"/>
      <c r="G738" s="36"/>
      <c r="H738" s="37"/>
      <c r="I738" s="37"/>
      <c r="J738" s="13"/>
      <c r="K738" s="18"/>
      <c r="L738" s="19"/>
      <c r="M738" s="19"/>
      <c r="N738" s="20"/>
      <c r="O738" s="22"/>
      <c r="P738" s="36"/>
      <c r="Q738" s="37"/>
      <c r="R738" s="37"/>
    </row>
    <row r="739" spans="1:18" x14ac:dyDescent="0.2">
      <c r="A739" s="13"/>
      <c r="B739" s="248" t="s">
        <v>42</v>
      </c>
      <c r="C739" s="249"/>
      <c r="D739" s="249"/>
      <c r="E739" s="250"/>
      <c r="F739" s="46"/>
      <c r="G739" s="46"/>
      <c r="H739" s="47"/>
      <c r="I739" s="47">
        <f>SUM(I726:I738)</f>
        <v>4700</v>
      </c>
      <c r="J739" s="13"/>
      <c r="K739" s="248" t="s">
        <v>42</v>
      </c>
      <c r="L739" s="249"/>
      <c r="M739" s="249"/>
      <c r="N739" s="250"/>
      <c r="O739" s="46"/>
      <c r="P739" s="46"/>
      <c r="Q739" s="47"/>
      <c r="R739" s="47">
        <f>SUM(R726:R738)</f>
        <v>1475.3837599999999</v>
      </c>
    </row>
    <row r="740" spans="1:18" x14ac:dyDescent="0.2">
      <c r="A740" s="12" t="s">
        <v>43</v>
      </c>
      <c r="B740" s="48" t="s">
        <v>44</v>
      </c>
      <c r="C740" s="43"/>
      <c r="D740" s="43"/>
      <c r="E740" s="39"/>
      <c r="F740" s="49"/>
      <c r="G740" s="49"/>
      <c r="H740" s="50"/>
      <c r="I740" s="51">
        <f>SUM(I721+I739)</f>
        <v>4787.2134999999998</v>
      </c>
      <c r="J740" s="12" t="s">
        <v>43</v>
      </c>
      <c r="K740" s="48" t="s">
        <v>44</v>
      </c>
      <c r="L740" s="43"/>
      <c r="M740" s="43"/>
      <c r="N740" s="161"/>
      <c r="O740" s="49"/>
      <c r="P740" s="49"/>
      <c r="Q740" s="50"/>
      <c r="R740" s="51">
        <f>SUM(R721+R739)</f>
        <v>3245.9744266666667</v>
      </c>
    </row>
    <row r="741" spans="1:18" x14ac:dyDescent="0.2">
      <c r="A741" s="13" t="s">
        <v>45</v>
      </c>
      <c r="B741" s="48" t="s">
        <v>46</v>
      </c>
      <c r="C741" s="43"/>
      <c r="D741" s="43"/>
      <c r="E741" s="39"/>
      <c r="F741" s="49"/>
      <c r="G741" s="52">
        <v>0.09</v>
      </c>
      <c r="H741" s="53" t="s">
        <v>47</v>
      </c>
      <c r="I741" s="51">
        <f>G741*I740</f>
        <v>430.84921499999996</v>
      </c>
      <c r="J741" s="13" t="s">
        <v>45</v>
      </c>
      <c r="K741" s="48" t="s">
        <v>46</v>
      </c>
      <c r="L741" s="43"/>
      <c r="M741" s="43"/>
      <c r="N741" s="161"/>
      <c r="O741" s="49"/>
      <c r="P741" s="52">
        <v>0.09</v>
      </c>
      <c r="Q741" s="53" t="s">
        <v>47</v>
      </c>
      <c r="R741" s="51">
        <f>P741*R740</f>
        <v>292.13769839999998</v>
      </c>
    </row>
    <row r="742" spans="1:18" x14ac:dyDescent="0.2">
      <c r="A742" s="13" t="s">
        <v>48</v>
      </c>
      <c r="B742" s="48" t="s">
        <v>49</v>
      </c>
      <c r="C742" s="43"/>
      <c r="D742" s="43"/>
      <c r="E742" s="39"/>
      <c r="F742" s="49"/>
      <c r="G742" s="52">
        <v>0.08</v>
      </c>
      <c r="H742" s="53" t="s">
        <v>47</v>
      </c>
      <c r="I742" s="51">
        <f>G742*I740</f>
        <v>382.97708</v>
      </c>
      <c r="J742" s="13" t="s">
        <v>48</v>
      </c>
      <c r="K742" s="48" t="s">
        <v>49</v>
      </c>
      <c r="L742" s="43"/>
      <c r="M742" s="43"/>
      <c r="N742" s="161"/>
      <c r="O742" s="49"/>
      <c r="P742" s="52">
        <v>0.08</v>
      </c>
      <c r="Q742" s="53" t="s">
        <v>47</v>
      </c>
      <c r="R742" s="51">
        <f>P742*R740</f>
        <v>259.67795413333334</v>
      </c>
    </row>
    <row r="743" spans="1:18" x14ac:dyDescent="0.2">
      <c r="A743" s="13" t="s">
        <v>50</v>
      </c>
      <c r="B743" s="48" t="s">
        <v>51</v>
      </c>
      <c r="C743" s="43"/>
      <c r="D743" s="43"/>
      <c r="E743" s="39"/>
      <c r="F743" s="49"/>
      <c r="G743" s="52">
        <f>5/100</f>
        <v>0.05</v>
      </c>
      <c r="H743" s="53" t="s">
        <v>52</v>
      </c>
      <c r="I743" s="51">
        <f>G743*(I740+I741+I742)</f>
        <v>280.05198975000002</v>
      </c>
      <c r="J743" s="13" t="s">
        <v>50</v>
      </c>
      <c r="K743" s="48" t="s">
        <v>51</v>
      </c>
      <c r="L743" s="43"/>
      <c r="M743" s="43"/>
      <c r="N743" s="161"/>
      <c r="O743" s="49"/>
      <c r="P743" s="52">
        <v>0.05</v>
      </c>
      <c r="Q743" s="53" t="s">
        <v>52</v>
      </c>
      <c r="R743" s="51">
        <f>P743*(R740+R741+R742)</f>
        <v>189.88950396000001</v>
      </c>
    </row>
    <row r="744" spans="1:18" x14ac:dyDescent="0.2">
      <c r="A744" s="54" t="s">
        <v>53</v>
      </c>
      <c r="B744" s="48" t="s">
        <v>54</v>
      </c>
      <c r="C744" s="43"/>
      <c r="D744" s="43"/>
      <c r="E744" s="39"/>
      <c r="F744" s="49"/>
      <c r="G744" s="49"/>
      <c r="H744" s="55" t="s">
        <v>55</v>
      </c>
      <c r="I744" s="51">
        <f>SUM(I740+I741+I742+I743)</f>
        <v>5881.0917847499995</v>
      </c>
      <c r="J744" s="54" t="s">
        <v>53</v>
      </c>
      <c r="K744" s="48" t="s">
        <v>54</v>
      </c>
      <c r="L744" s="43"/>
      <c r="M744" s="43"/>
      <c r="N744" s="161"/>
      <c r="O744" s="49"/>
      <c r="P744" s="49"/>
      <c r="Q744" s="55" t="s">
        <v>55</v>
      </c>
      <c r="R744" s="51">
        <f>SUM(R740+R741+R742+R743)</f>
        <v>3987.6795831600002</v>
      </c>
    </row>
    <row r="745" spans="1:18" s="1" customFormat="1" x14ac:dyDescent="0.2">
      <c r="A745" s="236" t="s">
        <v>0</v>
      </c>
      <c r="B745" s="236"/>
      <c r="C745" s="236"/>
      <c r="D745" s="236"/>
      <c r="E745" s="236"/>
      <c r="F745" s="236"/>
      <c r="G745" s="236"/>
      <c r="H745" s="236"/>
      <c r="I745" s="236"/>
      <c r="J745" s="236" t="s">
        <v>0</v>
      </c>
      <c r="K745" s="236"/>
      <c r="L745" s="236"/>
      <c r="M745" s="236"/>
      <c r="N745" s="236"/>
      <c r="O745" s="236"/>
      <c r="P745" s="236"/>
      <c r="Q745" s="236"/>
      <c r="R745" s="236"/>
    </row>
    <row r="747" spans="1:18" x14ac:dyDescent="0.2">
      <c r="A747" s="2" t="s">
        <v>1</v>
      </c>
      <c r="C747" s="4" t="s">
        <v>2</v>
      </c>
      <c r="D747" s="5" t="s">
        <v>512</v>
      </c>
      <c r="E747" s="2" t="s">
        <v>513</v>
      </c>
      <c r="F747" s="2"/>
      <c r="G747" s="2"/>
      <c r="H747" s="2"/>
      <c r="J747" s="158" t="s">
        <v>1</v>
      </c>
      <c r="L747" s="4" t="s">
        <v>2</v>
      </c>
      <c r="M747" s="5" t="s">
        <v>514</v>
      </c>
      <c r="N747" s="237" t="s">
        <v>515</v>
      </c>
      <c r="O747" s="237"/>
      <c r="P747" s="237"/>
      <c r="Q747" s="237"/>
    </row>
    <row r="748" spans="1:18" x14ac:dyDescent="0.2">
      <c r="A748" s="2" t="s">
        <v>7</v>
      </c>
      <c r="C748" s="4" t="s">
        <v>2</v>
      </c>
      <c r="E748" s="2" t="s">
        <v>509</v>
      </c>
      <c r="F748" s="8"/>
      <c r="G748" s="8"/>
      <c r="H748" s="8"/>
      <c r="J748" s="158" t="s">
        <v>7</v>
      </c>
      <c r="L748" s="4" t="s">
        <v>2</v>
      </c>
      <c r="N748" s="158" t="s">
        <v>9</v>
      </c>
      <c r="O748" s="8"/>
      <c r="P748" s="8"/>
      <c r="Q748" s="8"/>
    </row>
    <row r="749" spans="1:18" x14ac:dyDescent="0.2">
      <c r="A749" s="2" t="s">
        <v>493</v>
      </c>
      <c r="C749" s="4" t="s">
        <v>2</v>
      </c>
      <c r="E749" s="9">
        <v>1</v>
      </c>
      <c r="F749" s="8"/>
      <c r="G749" s="8"/>
      <c r="H749" s="8"/>
      <c r="J749" s="158" t="s">
        <v>10</v>
      </c>
      <c r="L749" s="4" t="s">
        <v>2</v>
      </c>
      <c r="N749" s="9">
        <v>0.5</v>
      </c>
      <c r="O749" s="8"/>
      <c r="P749" s="8"/>
      <c r="Q749" s="8"/>
    </row>
    <row r="750" spans="1:18" x14ac:dyDescent="0.2">
      <c r="B750" s="8"/>
      <c r="F750" s="11"/>
      <c r="G750" s="8"/>
      <c r="H750" s="8"/>
      <c r="I750" s="8"/>
      <c r="K750" s="8"/>
      <c r="O750" s="11"/>
      <c r="P750" s="8"/>
      <c r="Q750" s="8"/>
      <c r="R750" s="8"/>
    </row>
    <row r="751" spans="1:18" x14ac:dyDescent="0.2">
      <c r="A751" s="12"/>
      <c r="B751" s="238" t="s">
        <v>11</v>
      </c>
      <c r="C751" s="239"/>
      <c r="D751" s="239"/>
      <c r="E751" s="240"/>
      <c r="F751" s="244" t="s">
        <v>12</v>
      </c>
      <c r="G751" s="244" t="s">
        <v>13</v>
      </c>
      <c r="H751" s="244" t="s">
        <v>14</v>
      </c>
      <c r="I751" s="246" t="s">
        <v>15</v>
      </c>
      <c r="J751" s="12"/>
      <c r="K751" s="238" t="s">
        <v>11</v>
      </c>
      <c r="L751" s="239"/>
      <c r="M751" s="239"/>
      <c r="N751" s="240"/>
      <c r="O751" s="244" t="s">
        <v>12</v>
      </c>
      <c r="P751" s="244" t="s">
        <v>13</v>
      </c>
      <c r="Q751" s="244" t="s">
        <v>14</v>
      </c>
      <c r="R751" s="246" t="s">
        <v>15</v>
      </c>
    </row>
    <row r="752" spans="1:18" x14ac:dyDescent="0.2">
      <c r="A752" s="13"/>
      <c r="B752" s="241"/>
      <c r="C752" s="242"/>
      <c r="D752" s="242"/>
      <c r="E752" s="243"/>
      <c r="F752" s="245"/>
      <c r="G752" s="245"/>
      <c r="H752" s="245"/>
      <c r="I752" s="247"/>
      <c r="J752" s="13"/>
      <c r="K752" s="241"/>
      <c r="L752" s="242"/>
      <c r="M752" s="242"/>
      <c r="N752" s="243"/>
      <c r="O752" s="245"/>
      <c r="P752" s="245"/>
      <c r="Q752" s="245"/>
      <c r="R752" s="247"/>
    </row>
    <row r="753" spans="1:18" x14ac:dyDescent="0.2">
      <c r="A753" s="13" t="s">
        <v>16</v>
      </c>
      <c r="B753" s="14" t="s">
        <v>17</v>
      </c>
      <c r="C753" s="15"/>
      <c r="D753" s="15"/>
      <c r="E753" s="16"/>
      <c r="F753" s="17"/>
      <c r="G753" s="17"/>
      <c r="H753" s="17"/>
      <c r="I753" s="17"/>
      <c r="J753" s="13" t="s">
        <v>16</v>
      </c>
      <c r="K753" s="14" t="s">
        <v>17</v>
      </c>
      <c r="L753" s="15"/>
      <c r="M753" s="15"/>
      <c r="N753" s="16"/>
      <c r="O753" s="17"/>
      <c r="P753" s="17"/>
      <c r="Q753" s="17"/>
      <c r="R753" s="17"/>
    </row>
    <row r="754" spans="1:18" x14ac:dyDescent="0.2">
      <c r="A754" s="13"/>
      <c r="B754" s="18"/>
      <c r="C754" s="19"/>
      <c r="D754" s="19"/>
      <c r="E754" s="20"/>
      <c r="F754" s="21"/>
      <c r="G754" s="22"/>
      <c r="H754" s="21"/>
      <c r="I754" s="21"/>
      <c r="J754" s="13"/>
      <c r="K754" s="18"/>
      <c r="L754" s="19"/>
      <c r="M754" s="19"/>
      <c r="N754" s="20"/>
      <c r="O754" s="21"/>
      <c r="P754" s="22"/>
      <c r="Q754" s="21"/>
      <c r="R754" s="21"/>
    </row>
    <row r="755" spans="1:18" x14ac:dyDescent="0.2">
      <c r="A755" s="13"/>
      <c r="B755" s="24" t="s">
        <v>18</v>
      </c>
      <c r="C755" s="25"/>
      <c r="D755" s="25"/>
      <c r="E755" s="26"/>
      <c r="F755" s="22">
        <v>1</v>
      </c>
      <c r="G755" s="23">
        <v>0.5</v>
      </c>
      <c r="H755" s="23">
        <v>69.42</v>
      </c>
      <c r="I755" s="23">
        <f>G755*H755*F755</f>
        <v>34.71</v>
      </c>
      <c r="J755" s="13"/>
      <c r="K755" s="24" t="s">
        <v>18</v>
      </c>
      <c r="L755" s="25"/>
      <c r="M755" s="25"/>
      <c r="N755" s="26"/>
      <c r="O755" s="22">
        <v>1</v>
      </c>
      <c r="P755" s="23">
        <v>1</v>
      </c>
      <c r="Q755" s="23">
        <v>69.42</v>
      </c>
      <c r="R755" s="23">
        <f>P755*Q755*O755</f>
        <v>69.42</v>
      </c>
    </row>
    <row r="756" spans="1:18" x14ac:dyDescent="0.2">
      <c r="A756" s="13"/>
      <c r="B756" s="257" t="s">
        <v>1178</v>
      </c>
      <c r="C756" s="258"/>
      <c r="D756" s="25"/>
      <c r="E756" s="26"/>
      <c r="F756" s="22">
        <v>1</v>
      </c>
      <c r="G756" s="23">
        <v>0.5</v>
      </c>
      <c r="H756" s="23">
        <v>50.18</v>
      </c>
      <c r="I756" s="23">
        <f>G756*H756*F756</f>
        <v>25.09</v>
      </c>
      <c r="J756" s="13"/>
      <c r="K756" s="257" t="s">
        <v>1178</v>
      </c>
      <c r="L756" s="258"/>
      <c r="M756" s="25"/>
      <c r="N756" s="26"/>
      <c r="O756" s="22">
        <v>2</v>
      </c>
      <c r="P756" s="23">
        <v>1</v>
      </c>
      <c r="Q756" s="23">
        <v>50.18</v>
      </c>
      <c r="R756" s="23">
        <f>P756*Q756*O756</f>
        <v>100.36</v>
      </c>
    </row>
    <row r="757" spans="1:18" x14ac:dyDescent="0.2">
      <c r="A757" s="13"/>
      <c r="B757" s="257" t="s">
        <v>1177</v>
      </c>
      <c r="C757" s="258"/>
      <c r="D757" s="19"/>
      <c r="E757" s="20"/>
      <c r="F757" s="22">
        <v>1</v>
      </c>
      <c r="G757" s="23">
        <v>0.5</v>
      </c>
      <c r="H757" s="23">
        <v>38.97</v>
      </c>
      <c r="I757" s="23">
        <f>G757*H757*F757</f>
        <v>19.484999999999999</v>
      </c>
      <c r="J757" s="13"/>
      <c r="K757" s="257" t="s">
        <v>1177</v>
      </c>
      <c r="L757" s="258"/>
      <c r="M757" s="19"/>
      <c r="N757" s="20"/>
      <c r="O757" s="22">
        <v>4</v>
      </c>
      <c r="P757" s="23">
        <v>1</v>
      </c>
      <c r="Q757" s="23">
        <v>38.97</v>
      </c>
      <c r="R757" s="23">
        <f>P757*Q757*O757</f>
        <v>155.88</v>
      </c>
    </row>
    <row r="758" spans="1:18" x14ac:dyDescent="0.2">
      <c r="A758" s="13"/>
      <c r="B758" s="27"/>
      <c r="C758" s="19"/>
      <c r="D758" s="19"/>
      <c r="E758" s="20"/>
      <c r="F758" s="22"/>
      <c r="G758" s="22"/>
      <c r="H758" s="29"/>
      <c r="I758" s="30"/>
      <c r="J758" s="13"/>
      <c r="K758" s="159"/>
      <c r="L758" s="19"/>
      <c r="M758" s="19"/>
      <c r="N758" s="20"/>
      <c r="O758" s="22"/>
      <c r="P758" s="22"/>
      <c r="Q758" s="29"/>
      <c r="R758" s="30"/>
    </row>
    <row r="759" spans="1:18" x14ac:dyDescent="0.2">
      <c r="A759" s="13"/>
      <c r="B759" s="27"/>
      <c r="C759" s="19"/>
      <c r="D759" s="19"/>
      <c r="E759" s="20"/>
      <c r="F759" s="22"/>
      <c r="G759" s="22"/>
      <c r="H759" s="29"/>
      <c r="I759" s="30"/>
      <c r="J759" s="13"/>
      <c r="K759" s="159"/>
      <c r="L759" s="19"/>
      <c r="M759" s="19"/>
      <c r="N759" s="20"/>
      <c r="O759" s="22"/>
      <c r="P759" s="22"/>
      <c r="Q759" s="29"/>
      <c r="R759" s="30"/>
    </row>
    <row r="760" spans="1:18" x14ac:dyDescent="0.2">
      <c r="A760" s="13"/>
      <c r="B760" s="18"/>
      <c r="C760" s="19"/>
      <c r="D760" s="19"/>
      <c r="E760" s="20"/>
      <c r="F760" s="22"/>
      <c r="G760" s="22"/>
      <c r="H760" s="28"/>
      <c r="I760" s="23"/>
      <c r="J760" s="13"/>
      <c r="K760" s="18"/>
      <c r="L760" s="19"/>
      <c r="M760" s="19"/>
      <c r="N760" s="20"/>
      <c r="O760" s="22"/>
      <c r="P760" s="22"/>
      <c r="Q760" s="28"/>
      <c r="R760" s="23"/>
    </row>
    <row r="761" spans="1:18" x14ac:dyDescent="0.2">
      <c r="A761" s="13"/>
      <c r="B761" s="18"/>
      <c r="C761" s="19"/>
      <c r="D761" s="19"/>
      <c r="E761" s="20"/>
      <c r="F761" s="22"/>
      <c r="G761" s="22"/>
      <c r="H761" s="23"/>
      <c r="I761" s="23"/>
      <c r="J761" s="13"/>
      <c r="K761" s="18"/>
      <c r="L761" s="19"/>
      <c r="M761" s="19"/>
      <c r="N761" s="20"/>
      <c r="O761" s="22"/>
      <c r="P761" s="22"/>
      <c r="Q761" s="23"/>
      <c r="R761" s="23"/>
    </row>
    <row r="762" spans="1:18" x14ac:dyDescent="0.2">
      <c r="A762" s="13"/>
      <c r="B762" s="248" t="s">
        <v>20</v>
      </c>
      <c r="C762" s="249"/>
      <c r="D762" s="249"/>
      <c r="E762" s="250"/>
      <c r="F762" s="31"/>
      <c r="G762" s="31"/>
      <c r="H762" s="32"/>
      <c r="I762" s="32">
        <f>SUM(I755:I761)</f>
        <v>79.284999999999997</v>
      </c>
      <c r="J762" s="13"/>
      <c r="K762" s="248" t="s">
        <v>20</v>
      </c>
      <c r="L762" s="249"/>
      <c r="M762" s="249"/>
      <c r="N762" s="250"/>
      <c r="O762" s="31"/>
      <c r="P762" s="31"/>
      <c r="Q762" s="32"/>
      <c r="R762" s="32">
        <f>SUM(R755:R761)</f>
        <v>325.65999999999997</v>
      </c>
    </row>
    <row r="763" spans="1:18" x14ac:dyDescent="0.2">
      <c r="A763" s="12"/>
      <c r="B763" s="251" t="s">
        <v>21</v>
      </c>
      <c r="C763" s="252"/>
      <c r="D763" s="252"/>
      <c r="E763" s="253"/>
      <c r="F763" s="244" t="s">
        <v>22</v>
      </c>
      <c r="G763" s="244" t="s">
        <v>13</v>
      </c>
      <c r="H763" s="244" t="s">
        <v>14</v>
      </c>
      <c r="I763" s="246" t="s">
        <v>15</v>
      </c>
      <c r="J763" s="12"/>
      <c r="K763" s="251" t="s">
        <v>21</v>
      </c>
      <c r="L763" s="252"/>
      <c r="M763" s="252"/>
      <c r="N763" s="253"/>
      <c r="O763" s="244" t="s">
        <v>22</v>
      </c>
      <c r="P763" s="244" t="s">
        <v>13</v>
      </c>
      <c r="Q763" s="244" t="s">
        <v>14</v>
      </c>
      <c r="R763" s="246" t="s">
        <v>15</v>
      </c>
    </row>
    <row r="764" spans="1:18" x14ac:dyDescent="0.2">
      <c r="A764" s="13"/>
      <c r="B764" s="254"/>
      <c r="C764" s="255"/>
      <c r="D764" s="255"/>
      <c r="E764" s="256"/>
      <c r="F764" s="245"/>
      <c r="G764" s="245"/>
      <c r="H764" s="245"/>
      <c r="I764" s="247"/>
      <c r="J764" s="13"/>
      <c r="K764" s="254"/>
      <c r="L764" s="255"/>
      <c r="M764" s="255"/>
      <c r="N764" s="256"/>
      <c r="O764" s="245"/>
      <c r="P764" s="245"/>
      <c r="Q764" s="245"/>
      <c r="R764" s="247"/>
    </row>
    <row r="765" spans="1:18" x14ac:dyDescent="0.2">
      <c r="A765" s="13" t="s">
        <v>23</v>
      </c>
      <c r="B765" s="33" t="s">
        <v>24</v>
      </c>
      <c r="C765" s="15"/>
      <c r="D765" s="15"/>
      <c r="E765" s="16"/>
      <c r="F765" s="34"/>
      <c r="G765" s="34"/>
      <c r="H765" s="35"/>
      <c r="I765" s="35"/>
      <c r="J765" s="13" t="s">
        <v>23</v>
      </c>
      <c r="K765" s="33" t="s">
        <v>24</v>
      </c>
      <c r="L765" s="15"/>
      <c r="M765" s="15"/>
      <c r="N765" s="16"/>
      <c r="O765" s="34"/>
      <c r="P765" s="34"/>
      <c r="Q765" s="35"/>
      <c r="R765" s="35"/>
    </row>
    <row r="766" spans="1:18" x14ac:dyDescent="0.2">
      <c r="A766" s="13"/>
      <c r="B766" s="18"/>
      <c r="C766" s="19"/>
      <c r="D766" s="19"/>
      <c r="E766" s="20"/>
      <c r="F766" s="22"/>
      <c r="G766" s="22"/>
      <c r="H766" s="23"/>
      <c r="I766" s="23"/>
      <c r="J766" s="13"/>
      <c r="K766" s="18"/>
      <c r="L766" s="19"/>
      <c r="M766" s="19"/>
      <c r="N766" s="20"/>
      <c r="O766" s="22"/>
      <c r="P766" s="22"/>
      <c r="Q766" s="23"/>
      <c r="R766" s="23"/>
    </row>
    <row r="767" spans="1:18" x14ac:dyDescent="0.2">
      <c r="A767" s="13"/>
      <c r="B767" s="18" t="s">
        <v>1192</v>
      </c>
      <c r="C767" s="19"/>
      <c r="D767" s="19"/>
      <c r="E767" s="20"/>
      <c r="F767" s="22"/>
      <c r="G767" s="36"/>
      <c r="I767" s="37">
        <f>I762*0.1</f>
        <v>7.9284999999999997</v>
      </c>
      <c r="J767" s="13"/>
      <c r="K767" s="18" t="s">
        <v>403</v>
      </c>
      <c r="L767" s="19"/>
      <c r="M767" s="19"/>
      <c r="N767" s="20"/>
      <c r="O767" s="22">
        <v>1</v>
      </c>
      <c r="P767" s="23">
        <v>1</v>
      </c>
      <c r="Q767" s="37">
        <f>172</f>
        <v>172</v>
      </c>
      <c r="R767" s="37">
        <f>P767*Q767*O767</f>
        <v>172</v>
      </c>
    </row>
    <row r="768" spans="1:18" x14ac:dyDescent="0.2">
      <c r="A768" s="13"/>
      <c r="B768" s="18"/>
      <c r="C768" s="66"/>
      <c r="D768" s="19"/>
      <c r="E768" s="20"/>
      <c r="F768" s="22"/>
      <c r="G768" s="23"/>
      <c r="H768" s="37"/>
      <c r="I768" s="37"/>
      <c r="J768" s="13"/>
      <c r="K768" s="18" t="s">
        <v>1169</v>
      </c>
      <c r="L768" s="19"/>
      <c r="M768" s="19"/>
      <c r="N768" s="20"/>
      <c r="O768" s="22">
        <v>1</v>
      </c>
      <c r="P768" s="23">
        <v>0.05</v>
      </c>
      <c r="Q768" s="37">
        <v>2450</v>
      </c>
      <c r="R768" s="37">
        <f>P768*Q768*O768</f>
        <v>122.5</v>
      </c>
    </row>
    <row r="769" spans="1:18" x14ac:dyDescent="0.2">
      <c r="A769" s="13"/>
      <c r="B769" s="18"/>
      <c r="C769" s="66"/>
      <c r="F769" s="22"/>
      <c r="G769" s="23"/>
      <c r="H769" s="37"/>
      <c r="I769" s="37"/>
      <c r="J769" s="13"/>
      <c r="K769" s="18" t="s">
        <v>471</v>
      </c>
      <c r="L769" s="19"/>
      <c r="M769" s="19"/>
      <c r="N769" s="20"/>
      <c r="O769" s="22">
        <v>1</v>
      </c>
      <c r="P769" s="23">
        <v>1</v>
      </c>
      <c r="Q769" s="37">
        <v>922</v>
      </c>
      <c r="R769" s="37">
        <f>P769*Q769*O769</f>
        <v>922</v>
      </c>
    </row>
    <row r="770" spans="1:18" x14ac:dyDescent="0.2">
      <c r="A770" s="13"/>
      <c r="B770" s="18"/>
      <c r="C770" s="19"/>
      <c r="D770" s="19"/>
      <c r="E770" s="20"/>
      <c r="F770" s="22"/>
      <c r="G770" s="36"/>
      <c r="H770" s="37"/>
      <c r="I770" s="37"/>
      <c r="J770" s="13"/>
      <c r="K770" s="18" t="s">
        <v>260</v>
      </c>
      <c r="L770" s="19"/>
      <c r="M770" s="19"/>
      <c r="N770" s="20"/>
      <c r="O770" s="22"/>
      <c r="P770" s="36"/>
      <c r="R770" s="37">
        <f>0.05*R762</f>
        <v>16.282999999999998</v>
      </c>
    </row>
    <row r="771" spans="1:18" x14ac:dyDescent="0.2">
      <c r="A771" s="13"/>
      <c r="B771" s="18"/>
      <c r="C771" s="66"/>
      <c r="F771" s="22"/>
      <c r="G771" s="23"/>
      <c r="H771" s="37"/>
      <c r="I771" s="37"/>
      <c r="J771" s="13"/>
      <c r="K771" s="18"/>
      <c r="L771" s="19"/>
      <c r="M771" s="19"/>
      <c r="N771" s="20"/>
      <c r="O771" s="22"/>
      <c r="P771" s="36"/>
      <c r="Q771" s="37"/>
      <c r="R771" s="37"/>
    </row>
    <row r="772" spans="1:18" x14ac:dyDescent="0.2">
      <c r="A772" s="13"/>
      <c r="B772" s="18"/>
      <c r="C772" s="19"/>
      <c r="D772" s="19"/>
      <c r="E772" s="20"/>
      <c r="F772" s="22"/>
      <c r="G772" s="68"/>
      <c r="H772" s="37"/>
      <c r="I772" s="37"/>
      <c r="J772" s="13"/>
      <c r="K772" s="18"/>
      <c r="L772" s="19"/>
      <c r="M772" s="19"/>
      <c r="N772" s="20"/>
      <c r="O772" s="22"/>
      <c r="P772" s="36"/>
      <c r="Q772" s="38"/>
      <c r="R772" s="38"/>
    </row>
    <row r="773" spans="1:18" x14ac:dyDescent="0.2">
      <c r="A773" s="13"/>
      <c r="B773" s="18"/>
      <c r="C773" s="19"/>
      <c r="D773" s="19"/>
      <c r="E773" s="20"/>
      <c r="F773" s="22"/>
      <c r="G773" s="36"/>
      <c r="H773" s="38"/>
      <c r="I773" s="38"/>
      <c r="J773" s="13"/>
      <c r="K773" s="18"/>
      <c r="L773" s="19"/>
      <c r="M773" s="19"/>
      <c r="N773" s="20"/>
      <c r="O773" s="22"/>
      <c r="P773" s="36"/>
      <c r="Q773" s="38"/>
      <c r="R773" s="38"/>
    </row>
    <row r="774" spans="1:18" x14ac:dyDescent="0.2">
      <c r="A774" s="13"/>
      <c r="B774" s="18"/>
      <c r="C774" s="19"/>
      <c r="D774" s="19"/>
      <c r="E774" s="20"/>
      <c r="F774" s="22"/>
      <c r="G774" s="36"/>
      <c r="H774" s="38"/>
      <c r="I774" s="38"/>
      <c r="J774" s="13"/>
      <c r="K774" s="18"/>
      <c r="L774" s="19"/>
      <c r="M774" s="19"/>
      <c r="N774" s="20"/>
      <c r="O774" s="22"/>
      <c r="P774" s="36"/>
      <c r="Q774" s="38"/>
      <c r="R774" s="38"/>
    </row>
    <row r="775" spans="1:18" x14ac:dyDescent="0.2">
      <c r="A775" s="13"/>
      <c r="B775" s="18"/>
      <c r="C775" s="19"/>
      <c r="D775" s="19"/>
      <c r="E775" s="20"/>
      <c r="F775" s="22"/>
      <c r="G775" s="36"/>
      <c r="H775" s="38"/>
      <c r="I775" s="38"/>
      <c r="J775" s="13"/>
      <c r="K775" s="18"/>
      <c r="L775" s="19"/>
      <c r="M775" s="19"/>
      <c r="N775" s="20"/>
      <c r="O775" s="22"/>
      <c r="P775" s="36"/>
      <c r="Q775" s="38"/>
      <c r="R775" s="38"/>
    </row>
    <row r="776" spans="1:18" x14ac:dyDescent="0.2">
      <c r="A776" s="13"/>
      <c r="B776" s="18"/>
      <c r="C776" s="19"/>
      <c r="D776" s="19"/>
      <c r="E776" s="20"/>
      <c r="F776" s="22"/>
      <c r="G776" s="36"/>
      <c r="H776" s="37"/>
      <c r="I776" s="37"/>
      <c r="J776" s="13"/>
      <c r="K776" s="18"/>
      <c r="L776" s="19"/>
      <c r="M776" s="19"/>
      <c r="N776" s="20"/>
      <c r="O776" s="22"/>
      <c r="P776" s="36"/>
      <c r="Q776" s="37"/>
      <c r="R776" s="37"/>
    </row>
    <row r="777" spans="1:18" x14ac:dyDescent="0.2">
      <c r="A777" s="13"/>
      <c r="B777" s="18"/>
      <c r="C777" s="19"/>
      <c r="D777" s="19"/>
      <c r="E777" s="20"/>
      <c r="F777" s="22"/>
      <c r="G777" s="36"/>
      <c r="H777" s="37"/>
      <c r="I777" s="37"/>
      <c r="J777" s="13"/>
      <c r="K777" s="18"/>
      <c r="L777" s="19"/>
      <c r="M777" s="19"/>
      <c r="N777" s="20"/>
      <c r="O777" s="22"/>
      <c r="P777" s="36"/>
      <c r="Q777" s="37"/>
      <c r="R777" s="37"/>
    </row>
    <row r="778" spans="1:18" x14ac:dyDescent="0.2">
      <c r="A778" s="13"/>
      <c r="B778" s="18"/>
      <c r="C778" s="19"/>
      <c r="D778" s="19"/>
      <c r="E778" s="20"/>
      <c r="F778" s="22"/>
      <c r="G778" s="36"/>
      <c r="H778" s="37"/>
      <c r="I778" s="37"/>
      <c r="J778" s="13"/>
      <c r="K778" s="18"/>
      <c r="L778" s="19"/>
      <c r="M778" s="19"/>
      <c r="N778" s="20"/>
      <c r="O778" s="22"/>
      <c r="P778" s="36"/>
      <c r="Q778" s="37"/>
      <c r="R778" s="37"/>
    </row>
    <row r="779" spans="1:18" x14ac:dyDescent="0.2">
      <c r="A779" s="13"/>
      <c r="B779" s="18"/>
      <c r="C779" s="19"/>
      <c r="D779" s="19"/>
      <c r="E779" s="20"/>
      <c r="F779" s="22"/>
      <c r="G779" s="22"/>
      <c r="H779" s="23"/>
      <c r="I779" s="23"/>
      <c r="J779" s="13"/>
      <c r="K779" s="18"/>
      <c r="L779" s="19"/>
      <c r="M779" s="19"/>
      <c r="N779" s="20"/>
      <c r="O779" s="22"/>
      <c r="P779" s="22"/>
      <c r="Q779" s="23"/>
      <c r="R779" s="23"/>
    </row>
    <row r="780" spans="1:18" x14ac:dyDescent="0.2">
      <c r="A780" s="13"/>
      <c r="B780" s="248" t="s">
        <v>30</v>
      </c>
      <c r="C780" s="249"/>
      <c r="D780" s="249"/>
      <c r="E780" s="250"/>
      <c r="F780" s="22"/>
      <c r="G780" s="22"/>
      <c r="H780" s="23"/>
      <c r="I780" s="23">
        <f>SUM(I767:I779)</f>
        <v>7.9284999999999997</v>
      </c>
      <c r="J780" s="13"/>
      <c r="K780" s="248" t="s">
        <v>30</v>
      </c>
      <c r="L780" s="249"/>
      <c r="M780" s="249"/>
      <c r="N780" s="250"/>
      <c r="O780" s="22"/>
      <c r="P780" s="22"/>
      <c r="Q780" s="23"/>
      <c r="R780" s="23">
        <f>SUM(R767:R779)</f>
        <v>1232.7829999999999</v>
      </c>
    </row>
    <row r="781" spans="1:18" x14ac:dyDescent="0.2">
      <c r="A781" s="12" t="s">
        <v>31</v>
      </c>
      <c r="B781" s="260" t="s">
        <v>32</v>
      </c>
      <c r="C781" s="261"/>
      <c r="D781" s="261"/>
      <c r="E781" s="261"/>
      <c r="F781" s="39"/>
      <c r="G781" s="39"/>
      <c r="H781" s="40"/>
      <c r="I781" s="41">
        <f>SUM(I780+I762)</f>
        <v>87.213499999999996</v>
      </c>
      <c r="J781" s="12" t="s">
        <v>31</v>
      </c>
      <c r="K781" s="260" t="s">
        <v>32</v>
      </c>
      <c r="L781" s="261"/>
      <c r="M781" s="261"/>
      <c r="N781" s="261"/>
      <c r="O781" s="161"/>
      <c r="P781" s="161"/>
      <c r="Q781" s="40"/>
      <c r="R781" s="41">
        <f>SUM(R780+R762)</f>
        <v>1558.4429999999998</v>
      </c>
    </row>
    <row r="782" spans="1:18" x14ac:dyDescent="0.2">
      <c r="A782" s="13" t="s">
        <v>33</v>
      </c>
      <c r="B782" s="334">
        <f>E749</f>
        <v>1</v>
      </c>
      <c r="C782" s="335"/>
      <c r="D782" s="335"/>
      <c r="E782" s="335"/>
      <c r="F782" s="335"/>
      <c r="G782" s="335"/>
      <c r="H782" s="40"/>
      <c r="I782" s="41"/>
      <c r="J782" s="13" t="s">
        <v>33</v>
      </c>
      <c r="K782" s="329">
        <f>N749</f>
        <v>0.5</v>
      </c>
      <c r="L782" s="330"/>
      <c r="M782" s="330"/>
      <c r="N782" s="330"/>
      <c r="O782" s="330"/>
      <c r="P782" s="330"/>
      <c r="Q782" s="40"/>
      <c r="R782" s="41"/>
    </row>
    <row r="783" spans="1:18" x14ac:dyDescent="0.2">
      <c r="A783" s="13" t="s">
        <v>34</v>
      </c>
      <c r="B783" s="42" t="s">
        <v>35</v>
      </c>
      <c r="C783" s="43"/>
      <c r="D783" s="43"/>
      <c r="E783" s="39"/>
      <c r="F783" s="44"/>
      <c r="G783" s="44"/>
      <c r="H783" s="40"/>
      <c r="I783" s="41">
        <f>I781/E749</f>
        <v>87.213499999999996</v>
      </c>
      <c r="J783" s="13" t="s">
        <v>34</v>
      </c>
      <c r="K783" s="162" t="s">
        <v>35</v>
      </c>
      <c r="L783" s="43"/>
      <c r="M783" s="43"/>
      <c r="N783" s="161"/>
      <c r="O783" s="163"/>
      <c r="P783" s="163"/>
      <c r="Q783" s="40"/>
      <c r="R783" s="41">
        <f>R781/N749</f>
        <v>3116.8859999999995</v>
      </c>
    </row>
    <row r="784" spans="1:18" x14ac:dyDescent="0.2">
      <c r="A784" s="12"/>
      <c r="B784" s="251" t="s">
        <v>36</v>
      </c>
      <c r="C784" s="252"/>
      <c r="D784" s="252"/>
      <c r="E784" s="253"/>
      <c r="F784" s="244" t="s">
        <v>37</v>
      </c>
      <c r="G784" s="244" t="s">
        <v>38</v>
      </c>
      <c r="H784" s="244" t="s">
        <v>39</v>
      </c>
      <c r="I784" s="246" t="s">
        <v>15</v>
      </c>
      <c r="J784" s="12"/>
      <c r="K784" s="251" t="s">
        <v>36</v>
      </c>
      <c r="L784" s="252"/>
      <c r="M784" s="252"/>
      <c r="N784" s="253"/>
      <c r="O784" s="244" t="s">
        <v>37</v>
      </c>
      <c r="P784" s="244" t="s">
        <v>38</v>
      </c>
      <c r="Q784" s="244" t="s">
        <v>39</v>
      </c>
      <c r="R784" s="246" t="s">
        <v>15</v>
      </c>
    </row>
    <row r="785" spans="1:18" x14ac:dyDescent="0.2">
      <c r="A785" s="13"/>
      <c r="B785" s="254"/>
      <c r="C785" s="255"/>
      <c r="D785" s="255"/>
      <c r="E785" s="256"/>
      <c r="F785" s="245"/>
      <c r="G785" s="245"/>
      <c r="H785" s="245"/>
      <c r="I785" s="247"/>
      <c r="J785" s="13"/>
      <c r="K785" s="254"/>
      <c r="L785" s="255"/>
      <c r="M785" s="255"/>
      <c r="N785" s="256"/>
      <c r="O785" s="245"/>
      <c r="P785" s="245"/>
      <c r="Q785" s="245"/>
      <c r="R785" s="247"/>
    </row>
    <row r="786" spans="1:18" x14ac:dyDescent="0.2">
      <c r="A786" s="13" t="s">
        <v>40</v>
      </c>
      <c r="B786" s="18" t="s">
        <v>41</v>
      </c>
      <c r="C786" s="19"/>
      <c r="D786" s="19"/>
      <c r="E786" s="20"/>
      <c r="F786" s="22"/>
      <c r="G786" s="22"/>
      <c r="H786" s="23"/>
      <c r="I786" s="23"/>
      <c r="J786" s="13" t="s">
        <v>40</v>
      </c>
      <c r="K786" s="18" t="s">
        <v>41</v>
      </c>
      <c r="L786" s="19"/>
      <c r="M786" s="19"/>
      <c r="N786" s="20"/>
      <c r="O786" s="22"/>
      <c r="P786" s="22"/>
      <c r="Q786" s="23"/>
      <c r="R786" s="23"/>
    </row>
    <row r="787" spans="1:18" x14ac:dyDescent="0.2">
      <c r="A787" s="13"/>
      <c r="B787" s="18"/>
      <c r="C787" s="19"/>
      <c r="D787" s="19"/>
      <c r="E787" s="20"/>
      <c r="F787" s="22"/>
      <c r="G787" s="22"/>
      <c r="H787" s="23"/>
      <c r="I787" s="23"/>
      <c r="J787" s="13"/>
      <c r="K787" s="18"/>
      <c r="L787" s="19"/>
      <c r="M787" s="19"/>
      <c r="N787" s="20"/>
      <c r="O787" s="22"/>
      <c r="P787" s="22"/>
      <c r="Q787" s="23"/>
      <c r="R787" s="23"/>
    </row>
    <row r="788" spans="1:18" x14ac:dyDescent="0.2">
      <c r="A788" s="13"/>
      <c r="B788" s="18" t="s">
        <v>516</v>
      </c>
      <c r="C788" s="19"/>
      <c r="D788" s="19"/>
      <c r="E788" s="20"/>
      <c r="F788" s="22" t="s">
        <v>103</v>
      </c>
      <c r="G788" s="62">
        <v>1</v>
      </c>
      <c r="H788" s="107">
        <v>5700</v>
      </c>
      <c r="I788" s="23">
        <f>G788*H788</f>
        <v>5700</v>
      </c>
      <c r="J788" s="13"/>
      <c r="K788" s="18" t="s">
        <v>234</v>
      </c>
      <c r="L788" s="19"/>
      <c r="M788" s="19"/>
      <c r="N788" s="20"/>
      <c r="O788" s="22" t="s">
        <v>227</v>
      </c>
      <c r="P788" s="62">
        <v>1.8</v>
      </c>
      <c r="Q788" s="107">
        <v>220</v>
      </c>
      <c r="R788" s="23">
        <f t="shared" ref="R788:R793" si="4">Q788*P788</f>
        <v>396</v>
      </c>
    </row>
    <row r="789" spans="1:18" x14ac:dyDescent="0.2">
      <c r="A789" s="13"/>
      <c r="B789" s="18"/>
      <c r="C789" s="19"/>
      <c r="D789" s="19"/>
      <c r="E789" s="20"/>
      <c r="F789" s="22"/>
      <c r="G789" s="62"/>
      <c r="H789" s="23"/>
      <c r="I789" s="23"/>
      <c r="J789" s="13"/>
      <c r="K789" s="18" t="s">
        <v>426</v>
      </c>
      <c r="L789" s="19"/>
      <c r="M789" s="19"/>
      <c r="N789" s="20"/>
      <c r="O789" s="22" t="s">
        <v>9</v>
      </c>
      <c r="P789" s="62">
        <v>0.15</v>
      </c>
      <c r="Q789" s="107">
        <v>850</v>
      </c>
      <c r="R789" s="23">
        <f t="shared" si="4"/>
        <v>127.5</v>
      </c>
    </row>
    <row r="790" spans="1:18" x14ac:dyDescent="0.2">
      <c r="A790" s="13"/>
      <c r="B790" s="18"/>
      <c r="C790" s="19"/>
      <c r="D790" s="19"/>
      <c r="E790" s="20"/>
      <c r="F790" s="22"/>
      <c r="G790" s="62"/>
      <c r="H790" s="23"/>
      <c r="I790" s="23"/>
      <c r="J790" s="13"/>
      <c r="K790" s="18" t="s">
        <v>485</v>
      </c>
      <c r="L790" s="19"/>
      <c r="M790" s="19"/>
      <c r="N790" s="20"/>
      <c r="O790" s="22" t="s">
        <v>9</v>
      </c>
      <c r="P790" s="70">
        <v>1.4999999999999999E-2</v>
      </c>
      <c r="Q790" s="107">
        <v>650</v>
      </c>
      <c r="R790" s="23">
        <f t="shared" si="4"/>
        <v>9.75</v>
      </c>
    </row>
    <row r="791" spans="1:18" x14ac:dyDescent="0.2">
      <c r="A791" s="13"/>
      <c r="B791" s="18"/>
      <c r="C791" s="19"/>
      <c r="D791" s="19"/>
      <c r="E791" s="20"/>
      <c r="F791" s="22"/>
      <c r="G791" s="62"/>
      <c r="H791" s="23"/>
      <c r="I791" s="23"/>
      <c r="J791" s="13"/>
      <c r="K791" s="18" t="s">
        <v>486</v>
      </c>
      <c r="L791" s="19"/>
      <c r="M791" s="19"/>
      <c r="N791" s="20"/>
      <c r="O791" s="22" t="s">
        <v>1153</v>
      </c>
      <c r="P791" s="62">
        <v>0.3</v>
      </c>
      <c r="Q791" s="107">
        <f>ROUND(434/3,2)</f>
        <v>144.66999999999999</v>
      </c>
      <c r="R791" s="23">
        <f t="shared" si="4"/>
        <v>43.400999999999996</v>
      </c>
    </row>
    <row r="792" spans="1:18" x14ac:dyDescent="0.2">
      <c r="A792" s="13"/>
      <c r="B792" s="18"/>
      <c r="C792" s="19"/>
      <c r="D792" s="19"/>
      <c r="E792" s="20"/>
      <c r="F792" s="22"/>
      <c r="G792" s="62"/>
      <c r="H792" s="23"/>
      <c r="I792" s="23"/>
      <c r="J792" s="13"/>
      <c r="K792" s="18" t="s">
        <v>487</v>
      </c>
      <c r="L792" s="19"/>
      <c r="M792" s="19"/>
      <c r="N792" s="20"/>
      <c r="O792" s="22" t="s">
        <v>8</v>
      </c>
      <c r="P792" s="70">
        <v>1.4999999999999999E-2</v>
      </c>
      <c r="Q792" s="107">
        <v>275</v>
      </c>
      <c r="R792" s="23">
        <f t="shared" si="4"/>
        <v>4.125</v>
      </c>
    </row>
    <row r="793" spans="1:18" x14ac:dyDescent="0.2">
      <c r="A793" s="13"/>
      <c r="B793" s="18"/>
      <c r="C793" s="19"/>
      <c r="D793" s="19"/>
      <c r="E793" s="20"/>
      <c r="F793" s="22"/>
      <c r="G793" s="62"/>
      <c r="H793" s="23"/>
      <c r="I793" s="23"/>
      <c r="J793" s="13"/>
      <c r="K793" s="18" t="s">
        <v>517</v>
      </c>
      <c r="L793" s="19"/>
      <c r="M793" s="19"/>
      <c r="N793" s="20"/>
      <c r="O793" s="22" t="s">
        <v>9</v>
      </c>
      <c r="P793" s="62">
        <v>1.05</v>
      </c>
      <c r="Q793" s="107">
        <v>650</v>
      </c>
      <c r="R793" s="23">
        <f t="shared" si="4"/>
        <v>682.5</v>
      </c>
    </row>
    <row r="794" spans="1:18" x14ac:dyDescent="0.2">
      <c r="A794" s="13"/>
      <c r="B794" s="18"/>
      <c r="C794" s="19"/>
      <c r="D794" s="19"/>
      <c r="E794" s="20"/>
      <c r="F794" s="22"/>
      <c r="G794" s="62"/>
      <c r="H794" s="23"/>
      <c r="I794" s="23"/>
      <c r="J794" s="13"/>
      <c r="K794" s="18" t="s">
        <v>169</v>
      </c>
      <c r="L794" s="19"/>
      <c r="M794" s="19"/>
      <c r="N794" s="20"/>
      <c r="O794" s="22"/>
      <c r="P794" s="62"/>
      <c r="R794" s="23">
        <f>(R788+R789+R790+R791+R792+R793)*0.01</f>
        <v>12.632759999999999</v>
      </c>
    </row>
    <row r="795" spans="1:18" x14ac:dyDescent="0.2">
      <c r="A795" s="13"/>
      <c r="B795" s="18"/>
      <c r="C795" s="19"/>
      <c r="D795" s="19"/>
      <c r="E795" s="20"/>
      <c r="F795" s="22"/>
      <c r="G795" s="62"/>
      <c r="H795" s="23"/>
      <c r="I795" s="23"/>
      <c r="J795" s="13"/>
      <c r="K795" s="18"/>
      <c r="L795" s="19"/>
      <c r="M795" s="19"/>
      <c r="N795" s="20"/>
      <c r="O795" s="22"/>
      <c r="P795" s="22"/>
      <c r="Q795" s="23"/>
      <c r="R795" s="23"/>
    </row>
    <row r="796" spans="1:18" x14ac:dyDescent="0.2">
      <c r="A796" s="13"/>
      <c r="B796" s="18"/>
      <c r="C796" s="19"/>
      <c r="D796" s="19"/>
      <c r="E796" s="20"/>
      <c r="F796" s="22"/>
      <c r="G796" s="62"/>
      <c r="H796" s="23"/>
      <c r="I796" s="23"/>
      <c r="J796" s="13"/>
      <c r="K796" s="18"/>
      <c r="L796" s="19"/>
      <c r="M796" s="19"/>
      <c r="N796" s="20"/>
      <c r="O796" s="22"/>
      <c r="P796" s="22"/>
      <c r="Q796" s="23"/>
      <c r="R796" s="23"/>
    </row>
    <row r="797" spans="1:18" x14ac:dyDescent="0.2">
      <c r="A797" s="13"/>
      <c r="B797" s="18"/>
      <c r="C797" s="19"/>
      <c r="D797" s="19"/>
      <c r="E797" s="20"/>
      <c r="F797" s="22"/>
      <c r="G797" s="22"/>
      <c r="H797" s="23"/>
      <c r="I797" s="23"/>
      <c r="J797" s="13"/>
      <c r="K797" s="18"/>
      <c r="L797" s="19"/>
      <c r="M797" s="19"/>
      <c r="N797" s="20"/>
      <c r="O797" s="22"/>
      <c r="P797" s="22"/>
      <c r="Q797" s="23"/>
      <c r="R797" s="23"/>
    </row>
    <row r="798" spans="1:18" x14ac:dyDescent="0.2">
      <c r="A798" s="13"/>
      <c r="B798" s="18"/>
      <c r="C798" s="19"/>
      <c r="D798" s="19"/>
      <c r="E798" s="20"/>
      <c r="F798" s="22"/>
      <c r="G798" s="22"/>
      <c r="H798" s="23"/>
      <c r="I798" s="23"/>
      <c r="J798" s="13"/>
      <c r="K798" s="18"/>
      <c r="L798" s="19"/>
      <c r="M798" s="19"/>
      <c r="N798" s="20"/>
      <c r="O798" s="22"/>
      <c r="P798" s="22"/>
      <c r="Q798" s="23"/>
      <c r="R798" s="23"/>
    </row>
    <row r="799" spans="1:18" x14ac:dyDescent="0.2">
      <c r="A799" s="13"/>
      <c r="B799" s="18"/>
      <c r="C799" s="19"/>
      <c r="D799" s="19"/>
      <c r="E799" s="20"/>
      <c r="F799" s="22"/>
      <c r="G799" s="22"/>
      <c r="H799" s="23"/>
      <c r="I799" s="23"/>
      <c r="J799" s="13"/>
      <c r="K799" s="18"/>
      <c r="L799" s="19"/>
      <c r="M799" s="19"/>
      <c r="N799" s="20"/>
      <c r="O799" s="22"/>
      <c r="P799" s="22"/>
      <c r="Q799" s="23"/>
      <c r="R799" s="23"/>
    </row>
    <row r="800" spans="1:18" x14ac:dyDescent="0.2">
      <c r="A800" s="13"/>
      <c r="B800" s="18"/>
      <c r="C800" s="19"/>
      <c r="D800" s="19"/>
      <c r="E800" s="20"/>
      <c r="F800" s="22"/>
      <c r="G800" s="36"/>
      <c r="H800" s="37"/>
      <c r="I800" s="37"/>
      <c r="J800" s="13"/>
      <c r="K800" s="18"/>
      <c r="L800" s="19"/>
      <c r="M800" s="19"/>
      <c r="N800" s="20"/>
      <c r="O800" s="22"/>
      <c r="P800" s="36"/>
      <c r="Q800" s="37"/>
      <c r="R800" s="37"/>
    </row>
    <row r="801" spans="1:18" x14ac:dyDescent="0.2">
      <c r="A801" s="13"/>
      <c r="B801" s="248" t="s">
        <v>42</v>
      </c>
      <c r="C801" s="249"/>
      <c r="D801" s="249"/>
      <c r="E801" s="250"/>
      <c r="F801" s="46"/>
      <c r="G801" s="46"/>
      <c r="H801" s="47"/>
      <c r="I801" s="47">
        <f>SUM(I788:I800)</f>
        <v>5700</v>
      </c>
      <c r="J801" s="13"/>
      <c r="K801" s="248" t="s">
        <v>42</v>
      </c>
      <c r="L801" s="249"/>
      <c r="M801" s="249"/>
      <c r="N801" s="250"/>
      <c r="O801" s="46"/>
      <c r="P801" s="46"/>
      <c r="Q801" s="47"/>
      <c r="R801" s="47">
        <f>SUM(R788:R800)</f>
        <v>1275.9087599999998</v>
      </c>
    </row>
    <row r="802" spans="1:18" x14ac:dyDescent="0.2">
      <c r="A802" s="12" t="s">
        <v>43</v>
      </c>
      <c r="B802" s="48" t="s">
        <v>44</v>
      </c>
      <c r="C802" s="43"/>
      <c r="D802" s="43"/>
      <c r="E802" s="39"/>
      <c r="F802" s="49"/>
      <c r="G802" s="49"/>
      <c r="H802" s="50"/>
      <c r="I802" s="51">
        <f>SUM(I783+I801)</f>
        <v>5787.2134999999998</v>
      </c>
      <c r="J802" s="12" t="s">
        <v>43</v>
      </c>
      <c r="K802" s="48" t="s">
        <v>44</v>
      </c>
      <c r="L802" s="43"/>
      <c r="M802" s="43"/>
      <c r="N802" s="161"/>
      <c r="O802" s="49"/>
      <c r="P802" s="49"/>
      <c r="Q802" s="50"/>
      <c r="R802" s="51">
        <f>SUM(R783+R801)</f>
        <v>4392.7947599999989</v>
      </c>
    </row>
    <row r="803" spans="1:18" x14ac:dyDescent="0.2">
      <c r="A803" s="13" t="s">
        <v>45</v>
      </c>
      <c r="B803" s="48" t="s">
        <v>46</v>
      </c>
      <c r="C803" s="43"/>
      <c r="D803" s="43"/>
      <c r="E803" s="39"/>
      <c r="F803" s="49"/>
      <c r="G803" s="52">
        <v>0.09</v>
      </c>
      <c r="H803" s="53" t="s">
        <v>47</v>
      </c>
      <c r="I803" s="51">
        <f>G803*I802</f>
        <v>520.84921499999996</v>
      </c>
      <c r="J803" s="13" t="s">
        <v>45</v>
      </c>
      <c r="K803" s="48" t="s">
        <v>46</v>
      </c>
      <c r="L803" s="43"/>
      <c r="M803" s="43"/>
      <c r="N803" s="161"/>
      <c r="O803" s="49"/>
      <c r="P803" s="52">
        <v>0.09</v>
      </c>
      <c r="Q803" s="53" t="s">
        <v>47</v>
      </c>
      <c r="R803" s="51">
        <f>P803*R802</f>
        <v>395.35152839999989</v>
      </c>
    </row>
    <row r="804" spans="1:18" x14ac:dyDescent="0.2">
      <c r="A804" s="13" t="s">
        <v>48</v>
      </c>
      <c r="B804" s="48" t="s">
        <v>49</v>
      </c>
      <c r="C804" s="43"/>
      <c r="D804" s="43"/>
      <c r="E804" s="39"/>
      <c r="F804" s="49"/>
      <c r="G804" s="52">
        <v>0.08</v>
      </c>
      <c r="H804" s="53" t="s">
        <v>47</v>
      </c>
      <c r="I804" s="51">
        <f>G804*I802</f>
        <v>462.97708</v>
      </c>
      <c r="J804" s="13" t="s">
        <v>48</v>
      </c>
      <c r="K804" s="48" t="s">
        <v>49</v>
      </c>
      <c r="L804" s="43"/>
      <c r="M804" s="43"/>
      <c r="N804" s="161"/>
      <c r="O804" s="49"/>
      <c r="P804" s="52">
        <v>0.08</v>
      </c>
      <c r="Q804" s="53" t="s">
        <v>47</v>
      </c>
      <c r="R804" s="51">
        <f>P804*R802</f>
        <v>351.42358079999991</v>
      </c>
    </row>
    <row r="805" spans="1:18" x14ac:dyDescent="0.2">
      <c r="A805" s="13" t="s">
        <v>50</v>
      </c>
      <c r="B805" s="48" t="s">
        <v>51</v>
      </c>
      <c r="C805" s="43"/>
      <c r="D805" s="43"/>
      <c r="E805" s="39"/>
      <c r="F805" s="49"/>
      <c r="G805" s="52">
        <f>5/100</f>
        <v>0.05</v>
      </c>
      <c r="H805" s="53" t="s">
        <v>52</v>
      </c>
      <c r="I805" s="51">
        <f>G805*(I802+I803+I804)</f>
        <v>338.55198975000002</v>
      </c>
      <c r="J805" s="13" t="s">
        <v>50</v>
      </c>
      <c r="K805" s="48" t="s">
        <v>51</v>
      </c>
      <c r="L805" s="43"/>
      <c r="M805" s="43"/>
      <c r="N805" s="161"/>
      <c r="O805" s="49"/>
      <c r="P805" s="52">
        <v>0.05</v>
      </c>
      <c r="Q805" s="53" t="s">
        <v>52</v>
      </c>
      <c r="R805" s="51">
        <f>P805*(R802+R803+R804)</f>
        <v>256.97849345999992</v>
      </c>
    </row>
    <row r="806" spans="1:18" x14ac:dyDescent="0.2">
      <c r="A806" s="54" t="s">
        <v>53</v>
      </c>
      <c r="B806" s="48" t="s">
        <v>54</v>
      </c>
      <c r="C806" s="43"/>
      <c r="D806" s="43"/>
      <c r="E806" s="39"/>
      <c r="F806" s="49"/>
      <c r="G806" s="49"/>
      <c r="H806" s="55" t="s">
        <v>55</v>
      </c>
      <c r="I806" s="51">
        <f>SUM(I802+I803+I804+I805)</f>
        <v>7109.5917847499995</v>
      </c>
      <c r="J806" s="54" t="s">
        <v>53</v>
      </c>
      <c r="K806" s="48" t="s">
        <v>54</v>
      </c>
      <c r="L806" s="43"/>
      <c r="M806" s="43"/>
      <c r="N806" s="161"/>
      <c r="O806" s="49"/>
      <c r="P806" s="49"/>
      <c r="Q806" s="55" t="s">
        <v>55</v>
      </c>
      <c r="R806" s="51">
        <f>SUM(R802+R803+R804+R805)</f>
        <v>5396.5483626599989</v>
      </c>
    </row>
    <row r="807" spans="1:18" s="1" customFormat="1" x14ac:dyDescent="0.2">
      <c r="A807" s="236" t="s">
        <v>0</v>
      </c>
      <c r="B807" s="236"/>
      <c r="C807" s="236"/>
      <c r="D807" s="236"/>
      <c r="E807" s="236"/>
      <c r="F807" s="236"/>
      <c r="G807" s="236"/>
      <c r="H807" s="236"/>
      <c r="I807" s="236"/>
      <c r="J807" s="236" t="s">
        <v>0</v>
      </c>
      <c r="K807" s="236"/>
      <c r="L807" s="236"/>
      <c r="M807" s="236"/>
      <c r="N807" s="236"/>
      <c r="O807" s="236"/>
      <c r="P807" s="236"/>
      <c r="Q807" s="236"/>
      <c r="R807" s="236"/>
    </row>
    <row r="809" spans="1:18" x14ac:dyDescent="0.2">
      <c r="A809" s="2" t="s">
        <v>1</v>
      </c>
      <c r="C809" s="4" t="s">
        <v>2</v>
      </c>
      <c r="D809" s="5" t="s">
        <v>518</v>
      </c>
      <c r="E809" s="2" t="s">
        <v>519</v>
      </c>
      <c r="F809" s="2"/>
      <c r="G809" s="2"/>
      <c r="H809" s="2"/>
      <c r="J809" s="2" t="s">
        <v>1</v>
      </c>
      <c r="L809" s="4" t="s">
        <v>2</v>
      </c>
      <c r="M809" s="5" t="s">
        <v>520</v>
      </c>
      <c r="N809" s="2" t="s">
        <v>521</v>
      </c>
      <c r="O809" s="2"/>
      <c r="P809" s="2"/>
      <c r="Q809" s="2"/>
    </row>
    <row r="810" spans="1:18" x14ac:dyDescent="0.2">
      <c r="A810" s="2" t="s">
        <v>7</v>
      </c>
      <c r="C810" s="4" t="s">
        <v>2</v>
      </c>
      <c r="E810" s="2" t="s">
        <v>103</v>
      </c>
      <c r="F810" s="8"/>
      <c r="G810" s="8"/>
      <c r="H810" s="8"/>
      <c r="J810" s="2" t="s">
        <v>7</v>
      </c>
      <c r="L810" s="4" t="s">
        <v>2</v>
      </c>
      <c r="N810" s="2" t="s">
        <v>9</v>
      </c>
      <c r="O810" s="8"/>
      <c r="P810" s="8"/>
      <c r="Q810" s="8"/>
    </row>
    <row r="811" spans="1:18" x14ac:dyDescent="0.2">
      <c r="A811" s="2" t="s">
        <v>10</v>
      </c>
      <c r="C811" s="4" t="s">
        <v>2</v>
      </c>
      <c r="E811" s="9">
        <v>1</v>
      </c>
      <c r="F811" s="8"/>
      <c r="G811" s="8"/>
      <c r="H811" s="8"/>
      <c r="J811" s="2" t="s">
        <v>10</v>
      </c>
      <c r="L811" s="4" t="s">
        <v>2</v>
      </c>
      <c r="N811" s="9">
        <v>1</v>
      </c>
      <c r="O811" s="8"/>
      <c r="P811" s="8"/>
      <c r="Q811" s="8"/>
    </row>
    <row r="812" spans="1:18" x14ac:dyDescent="0.2">
      <c r="B812" s="8"/>
      <c r="F812" s="11"/>
      <c r="G812" s="8"/>
      <c r="H812" s="8"/>
      <c r="I812" s="8"/>
      <c r="K812" s="8"/>
      <c r="O812" s="11"/>
      <c r="P812" s="8"/>
      <c r="Q812" s="8"/>
      <c r="R812" s="8"/>
    </row>
    <row r="813" spans="1:18" x14ac:dyDescent="0.2">
      <c r="A813" s="12"/>
      <c r="B813" s="238" t="s">
        <v>11</v>
      </c>
      <c r="C813" s="239"/>
      <c r="D813" s="239"/>
      <c r="E813" s="240"/>
      <c r="F813" s="244" t="s">
        <v>12</v>
      </c>
      <c r="G813" s="244" t="s">
        <v>13</v>
      </c>
      <c r="H813" s="244" t="s">
        <v>14</v>
      </c>
      <c r="I813" s="246" t="s">
        <v>15</v>
      </c>
      <c r="J813" s="12"/>
      <c r="K813" s="238" t="s">
        <v>11</v>
      </c>
      <c r="L813" s="239"/>
      <c r="M813" s="239"/>
      <c r="N813" s="240"/>
      <c r="O813" s="244" t="s">
        <v>12</v>
      </c>
      <c r="P813" s="244" t="s">
        <v>13</v>
      </c>
      <c r="Q813" s="244" t="s">
        <v>14</v>
      </c>
      <c r="R813" s="246" t="s">
        <v>15</v>
      </c>
    </row>
    <row r="814" spans="1:18" x14ac:dyDescent="0.2">
      <c r="A814" s="13"/>
      <c r="B814" s="241"/>
      <c r="C814" s="242"/>
      <c r="D814" s="242"/>
      <c r="E814" s="243"/>
      <c r="F814" s="245"/>
      <c r="G814" s="245"/>
      <c r="H814" s="245"/>
      <c r="I814" s="247"/>
      <c r="J814" s="13"/>
      <c r="K814" s="241"/>
      <c r="L814" s="242"/>
      <c r="M814" s="242"/>
      <c r="N814" s="243"/>
      <c r="O814" s="245"/>
      <c r="P814" s="245"/>
      <c r="Q814" s="245"/>
      <c r="R814" s="247"/>
    </row>
    <row r="815" spans="1:18" x14ac:dyDescent="0.2">
      <c r="A815" s="13" t="s">
        <v>16</v>
      </c>
      <c r="B815" s="14" t="s">
        <v>17</v>
      </c>
      <c r="C815" s="15"/>
      <c r="D815" s="15"/>
      <c r="E815" s="16"/>
      <c r="F815" s="17"/>
      <c r="G815" s="17"/>
      <c r="H815" s="17"/>
      <c r="I815" s="17"/>
      <c r="J815" s="13" t="s">
        <v>16</v>
      </c>
      <c r="K815" s="14" t="s">
        <v>17</v>
      </c>
      <c r="L815" s="15"/>
      <c r="M815" s="15"/>
      <c r="N815" s="16"/>
      <c r="O815" s="17"/>
      <c r="P815" s="17"/>
      <c r="Q815" s="17"/>
      <c r="R815" s="17"/>
    </row>
    <row r="816" spans="1:18" x14ac:dyDescent="0.2">
      <c r="A816" s="13"/>
      <c r="B816" s="18"/>
      <c r="C816" s="19"/>
      <c r="D816" s="19"/>
      <c r="E816" s="20"/>
      <c r="F816" s="21"/>
      <c r="G816" s="22"/>
      <c r="H816" s="21"/>
      <c r="I816" s="21"/>
      <c r="J816" s="13"/>
      <c r="K816" s="18"/>
      <c r="L816" s="19"/>
      <c r="M816" s="19"/>
      <c r="N816" s="20"/>
      <c r="O816" s="21"/>
      <c r="P816" s="22"/>
      <c r="Q816" s="21"/>
      <c r="R816" s="21"/>
    </row>
    <row r="817" spans="1:18" x14ac:dyDescent="0.2">
      <c r="A817" s="13"/>
      <c r="B817" s="24" t="s">
        <v>18</v>
      </c>
      <c r="C817" s="25"/>
      <c r="D817" s="25"/>
      <c r="E817" s="26"/>
      <c r="F817" s="22">
        <v>1</v>
      </c>
      <c r="G817" s="23">
        <v>4</v>
      </c>
      <c r="H817" s="23">
        <v>69.42</v>
      </c>
      <c r="I817" s="23">
        <f>G817*H817*F817</f>
        <v>277.68</v>
      </c>
      <c r="J817" s="13"/>
      <c r="K817" s="24" t="s">
        <v>18</v>
      </c>
      <c r="L817" s="25"/>
      <c r="M817" s="25"/>
      <c r="N817" s="26"/>
      <c r="O817" s="22">
        <v>1</v>
      </c>
      <c r="P817" s="23">
        <v>1</v>
      </c>
      <c r="Q817" s="23">
        <v>69.42</v>
      </c>
      <c r="R817" s="23">
        <f>P817*Q817*O817</f>
        <v>69.42</v>
      </c>
    </row>
    <row r="818" spans="1:18" x14ac:dyDescent="0.2">
      <c r="A818" s="13"/>
      <c r="B818" s="257" t="s">
        <v>1178</v>
      </c>
      <c r="C818" s="258"/>
      <c r="D818" s="25"/>
      <c r="E818" s="26"/>
      <c r="F818" s="22">
        <v>1</v>
      </c>
      <c r="G818" s="23">
        <v>4</v>
      </c>
      <c r="H818" s="23">
        <v>50.18</v>
      </c>
      <c r="I818" s="23">
        <f>G818*H818*F818</f>
        <v>200.72</v>
      </c>
      <c r="J818" s="13"/>
      <c r="K818" s="257" t="s">
        <v>1178</v>
      </c>
      <c r="L818" s="258"/>
      <c r="M818" s="25"/>
      <c r="N818" s="26"/>
      <c r="O818" s="22">
        <v>1</v>
      </c>
      <c r="P818" s="23">
        <v>1</v>
      </c>
      <c r="Q818" s="23">
        <v>50.18</v>
      </c>
      <c r="R818" s="23">
        <f>P818*Q818*O818</f>
        <v>50.18</v>
      </c>
    </row>
    <row r="819" spans="1:18" x14ac:dyDescent="0.2">
      <c r="A819" s="13"/>
      <c r="B819" s="257" t="s">
        <v>1177</v>
      </c>
      <c r="C819" s="258"/>
      <c r="D819" s="19"/>
      <c r="E819" s="20"/>
      <c r="F819" s="22">
        <v>1</v>
      </c>
      <c r="G819" s="23">
        <v>4</v>
      </c>
      <c r="H819" s="23">
        <v>38.97</v>
      </c>
      <c r="I819" s="23">
        <f>G819*H819*F819</f>
        <v>155.88</v>
      </c>
      <c r="J819" s="13"/>
      <c r="K819" s="257" t="s">
        <v>1177</v>
      </c>
      <c r="L819" s="258"/>
      <c r="M819" s="19"/>
      <c r="N819" s="20"/>
      <c r="O819" s="22">
        <v>2</v>
      </c>
      <c r="P819" s="23">
        <v>1</v>
      </c>
      <c r="Q819" s="23">
        <v>38.97</v>
      </c>
      <c r="R819" s="23">
        <f>P819*Q819*O819</f>
        <v>77.94</v>
      </c>
    </row>
    <row r="820" spans="1:18" x14ac:dyDescent="0.2">
      <c r="A820" s="13"/>
      <c r="B820" s="27"/>
      <c r="C820" s="19"/>
      <c r="D820" s="19"/>
      <c r="E820" s="20"/>
      <c r="F820" s="22"/>
      <c r="G820" s="22"/>
      <c r="H820" s="29"/>
      <c r="I820" s="30"/>
      <c r="J820" s="13"/>
      <c r="K820" s="27"/>
      <c r="L820" s="19"/>
      <c r="M820" s="19"/>
      <c r="N820" s="20"/>
      <c r="O820" s="22"/>
      <c r="P820" s="22"/>
      <c r="Q820" s="29"/>
      <c r="R820" s="30"/>
    </row>
    <row r="821" spans="1:18" x14ac:dyDescent="0.2">
      <c r="A821" s="13"/>
      <c r="B821" s="27"/>
      <c r="C821" s="19"/>
      <c r="D821" s="19"/>
      <c r="E821" s="20"/>
      <c r="F821" s="22"/>
      <c r="G821" s="22"/>
      <c r="H821" s="29"/>
      <c r="I821" s="30"/>
      <c r="J821" s="13"/>
      <c r="K821" s="27"/>
      <c r="L821" s="19"/>
      <c r="M821" s="19"/>
      <c r="N821" s="20"/>
      <c r="O821" s="22"/>
      <c r="P821" s="22"/>
      <c r="Q821" s="29"/>
      <c r="R821" s="30"/>
    </row>
    <row r="822" spans="1:18" x14ac:dyDescent="0.2">
      <c r="A822" s="13"/>
      <c r="B822" s="18"/>
      <c r="C822" s="19"/>
      <c r="D822" s="19"/>
      <c r="E822" s="20"/>
      <c r="F822" s="22"/>
      <c r="G822" s="22"/>
      <c r="H822" s="28"/>
      <c r="I822" s="23"/>
      <c r="J822" s="13"/>
      <c r="K822" s="18"/>
      <c r="L822" s="19"/>
      <c r="M822" s="19"/>
      <c r="N822" s="20"/>
      <c r="O822" s="22"/>
      <c r="P822" s="22"/>
      <c r="Q822" s="28"/>
      <c r="R822" s="23"/>
    </row>
    <row r="823" spans="1:18" x14ac:dyDescent="0.2">
      <c r="A823" s="13"/>
      <c r="B823" s="18"/>
      <c r="C823" s="19"/>
      <c r="D823" s="19"/>
      <c r="E823" s="20"/>
      <c r="F823" s="22"/>
      <c r="G823" s="22"/>
      <c r="H823" s="23"/>
      <c r="I823" s="23"/>
      <c r="J823" s="13"/>
      <c r="K823" s="18"/>
      <c r="L823" s="19"/>
      <c r="M823" s="19"/>
      <c r="N823" s="20"/>
      <c r="O823" s="22"/>
      <c r="P823" s="22"/>
      <c r="Q823" s="23"/>
      <c r="R823" s="23"/>
    </row>
    <row r="824" spans="1:18" x14ac:dyDescent="0.2">
      <c r="A824" s="13"/>
      <c r="B824" s="248" t="s">
        <v>20</v>
      </c>
      <c r="C824" s="249"/>
      <c r="D824" s="249"/>
      <c r="E824" s="250"/>
      <c r="F824" s="31"/>
      <c r="G824" s="31"/>
      <c r="H824" s="32"/>
      <c r="I824" s="32">
        <f>SUM(I817:I823)</f>
        <v>634.28</v>
      </c>
      <c r="J824" s="13"/>
      <c r="K824" s="248" t="s">
        <v>20</v>
      </c>
      <c r="L824" s="249"/>
      <c r="M824" s="249"/>
      <c r="N824" s="250"/>
      <c r="O824" s="31"/>
      <c r="P824" s="31"/>
      <c r="Q824" s="32"/>
      <c r="R824" s="32">
        <f>SUM(R817:R823)</f>
        <v>197.54</v>
      </c>
    </row>
    <row r="825" spans="1:18" x14ac:dyDescent="0.2">
      <c r="A825" s="12"/>
      <c r="B825" s="251" t="s">
        <v>21</v>
      </c>
      <c r="C825" s="252"/>
      <c r="D825" s="252"/>
      <c r="E825" s="253"/>
      <c r="F825" s="244" t="s">
        <v>22</v>
      </c>
      <c r="G825" s="244" t="s">
        <v>13</v>
      </c>
      <c r="H825" s="244" t="s">
        <v>14</v>
      </c>
      <c r="I825" s="246" t="s">
        <v>15</v>
      </c>
      <c r="J825" s="12"/>
      <c r="K825" s="251" t="s">
        <v>21</v>
      </c>
      <c r="L825" s="252"/>
      <c r="M825" s="252"/>
      <c r="N825" s="253"/>
      <c r="O825" s="244" t="s">
        <v>22</v>
      </c>
      <c r="P825" s="244" t="s">
        <v>13</v>
      </c>
      <c r="Q825" s="244" t="s">
        <v>14</v>
      </c>
      <c r="R825" s="246" t="s">
        <v>15</v>
      </c>
    </row>
    <row r="826" spans="1:18" x14ac:dyDescent="0.2">
      <c r="A826" s="13"/>
      <c r="B826" s="254"/>
      <c r="C826" s="255"/>
      <c r="D826" s="255"/>
      <c r="E826" s="256"/>
      <c r="F826" s="245"/>
      <c r="G826" s="245"/>
      <c r="H826" s="245"/>
      <c r="I826" s="247"/>
      <c r="J826" s="13"/>
      <c r="K826" s="254"/>
      <c r="L826" s="255"/>
      <c r="M826" s="255"/>
      <c r="N826" s="256"/>
      <c r="O826" s="245"/>
      <c r="P826" s="245"/>
      <c r="Q826" s="245"/>
      <c r="R826" s="247"/>
    </row>
    <row r="827" spans="1:18" x14ac:dyDescent="0.2">
      <c r="A827" s="13" t="s">
        <v>23</v>
      </c>
      <c r="B827" s="33" t="s">
        <v>24</v>
      </c>
      <c r="C827" s="15"/>
      <c r="D827" s="15"/>
      <c r="E827" s="16"/>
      <c r="F827" s="34"/>
      <c r="G827" s="34"/>
      <c r="H827" s="35"/>
      <c r="I827" s="35"/>
      <c r="J827" s="13" t="s">
        <v>23</v>
      </c>
      <c r="K827" s="33" t="s">
        <v>24</v>
      </c>
      <c r="L827" s="15"/>
      <c r="M827" s="15"/>
      <c r="N827" s="16"/>
      <c r="O827" s="34"/>
      <c r="P827" s="34"/>
      <c r="Q827" s="35"/>
      <c r="R827" s="35"/>
    </row>
    <row r="828" spans="1:18" x14ac:dyDescent="0.2">
      <c r="A828" s="13"/>
      <c r="B828" s="18"/>
      <c r="C828" s="19"/>
      <c r="D828" s="19"/>
      <c r="E828" s="20"/>
      <c r="F828" s="22"/>
      <c r="G828" s="22"/>
      <c r="H828" s="23"/>
      <c r="I828" s="23"/>
      <c r="J828" s="13"/>
      <c r="K828" s="18"/>
      <c r="L828" s="19"/>
      <c r="M828" s="19"/>
      <c r="N828" s="20"/>
      <c r="O828" s="22"/>
      <c r="P828" s="22"/>
      <c r="Q828" s="23"/>
      <c r="R828" s="23"/>
    </row>
    <row r="829" spans="1:18" x14ac:dyDescent="0.2">
      <c r="A829" s="13"/>
      <c r="B829" s="18" t="s">
        <v>406</v>
      </c>
      <c r="C829" s="19"/>
      <c r="D829" s="19"/>
      <c r="E829" s="20"/>
      <c r="F829" s="22">
        <v>1</v>
      </c>
      <c r="G829" s="62">
        <v>2</v>
      </c>
      <c r="H829" s="37">
        <v>219.75</v>
      </c>
      <c r="I829" s="37">
        <f>G829*H829*F829</f>
        <v>439.5</v>
      </c>
      <c r="J829" s="13"/>
      <c r="K829" s="18" t="s">
        <v>1192</v>
      </c>
      <c r="L829" s="19"/>
      <c r="M829" s="19"/>
      <c r="N829" s="20"/>
      <c r="O829" s="22"/>
      <c r="P829" s="23"/>
      <c r="R829" s="37">
        <f>R824*0.1</f>
        <v>19.754000000000001</v>
      </c>
    </row>
    <row r="830" spans="1:18" x14ac:dyDescent="0.2">
      <c r="A830" s="13"/>
      <c r="B830" s="18" t="s">
        <v>1230</v>
      </c>
      <c r="C830" s="19"/>
      <c r="D830" s="19"/>
      <c r="E830" s="20"/>
      <c r="F830" s="22">
        <v>1</v>
      </c>
      <c r="G830" s="23">
        <v>4</v>
      </c>
      <c r="H830" s="37">
        <v>371</v>
      </c>
      <c r="I830" s="37">
        <f>G830*H830*F830</f>
        <v>1484</v>
      </c>
      <c r="J830" s="13"/>
      <c r="K830" s="18"/>
      <c r="L830" s="19"/>
      <c r="M830" s="19"/>
      <c r="N830" s="20"/>
      <c r="O830" s="22"/>
      <c r="P830" s="23"/>
      <c r="Q830" s="37"/>
      <c r="R830" s="37"/>
    </row>
    <row r="831" spans="1:18" x14ac:dyDescent="0.2">
      <c r="A831" s="13"/>
      <c r="B831" s="18"/>
      <c r="C831" s="19"/>
      <c r="D831" s="19"/>
      <c r="E831" s="20"/>
      <c r="F831" s="22"/>
      <c r="G831" s="36"/>
      <c r="H831" s="37"/>
      <c r="I831" s="37"/>
      <c r="J831" s="13"/>
      <c r="K831" s="18"/>
      <c r="L831" s="66"/>
      <c r="M831" s="19"/>
      <c r="N831" s="20"/>
      <c r="O831" s="22"/>
      <c r="P831" s="23"/>
      <c r="Q831" s="37"/>
      <c r="R831" s="37"/>
    </row>
    <row r="832" spans="1:18" x14ac:dyDescent="0.2">
      <c r="A832" s="13"/>
      <c r="F832" s="21"/>
      <c r="G832" s="21"/>
      <c r="H832" s="21"/>
      <c r="I832" s="37"/>
      <c r="J832" s="13"/>
      <c r="K832" s="18"/>
      <c r="L832" s="19"/>
      <c r="M832" s="19"/>
      <c r="N832" s="20"/>
      <c r="O832" s="22"/>
      <c r="P832" s="23"/>
      <c r="Q832" s="37"/>
      <c r="R832" s="37"/>
    </row>
    <row r="833" spans="1:18" x14ac:dyDescent="0.2">
      <c r="A833" s="13"/>
      <c r="B833" s="18"/>
      <c r="C833" s="19"/>
      <c r="D833" s="19"/>
      <c r="E833" s="20"/>
      <c r="F833" s="22"/>
      <c r="G833" s="36"/>
      <c r="H833" s="37"/>
      <c r="I833" s="37"/>
      <c r="J833" s="13"/>
      <c r="K833" s="18"/>
      <c r="L833" s="66"/>
      <c r="M833" s="19"/>
      <c r="N833" s="20"/>
      <c r="O833" s="22"/>
      <c r="P833" s="23"/>
      <c r="Q833" s="37"/>
      <c r="R833" s="37"/>
    </row>
    <row r="834" spans="1:18" x14ac:dyDescent="0.2">
      <c r="A834" s="13"/>
      <c r="B834" s="18"/>
      <c r="C834" s="19"/>
      <c r="D834" s="19"/>
      <c r="E834" s="20"/>
      <c r="F834" s="22"/>
      <c r="G834" s="36"/>
      <c r="H834" s="38"/>
      <c r="I834" s="38"/>
      <c r="J834" s="13"/>
      <c r="K834" s="18"/>
      <c r="L834" s="19"/>
      <c r="M834" s="19"/>
      <c r="N834" s="20"/>
      <c r="O834" s="22"/>
      <c r="P834" s="36"/>
      <c r="Q834" s="38"/>
      <c r="R834" s="38"/>
    </row>
    <row r="835" spans="1:18" x14ac:dyDescent="0.2">
      <c r="A835" s="13"/>
      <c r="B835" s="18"/>
      <c r="C835" s="19"/>
      <c r="D835" s="19"/>
      <c r="E835" s="20"/>
      <c r="F835" s="22"/>
      <c r="G835" s="36"/>
      <c r="H835" s="38"/>
      <c r="I835" s="38"/>
      <c r="J835" s="13"/>
      <c r="K835" s="18"/>
      <c r="L835" s="19"/>
      <c r="M835" s="19"/>
      <c r="N835" s="20"/>
      <c r="O835" s="22"/>
      <c r="P835" s="36"/>
      <c r="Q835" s="38"/>
      <c r="R835" s="38"/>
    </row>
    <row r="836" spans="1:18" x14ac:dyDescent="0.2">
      <c r="A836" s="13"/>
      <c r="B836" s="18"/>
      <c r="C836" s="19"/>
      <c r="D836" s="19"/>
      <c r="E836" s="20"/>
      <c r="F836" s="22"/>
      <c r="G836" s="36"/>
      <c r="H836" s="38"/>
      <c r="I836" s="38"/>
      <c r="J836" s="13"/>
      <c r="K836" s="18"/>
      <c r="L836" s="19"/>
      <c r="M836" s="19"/>
      <c r="N836" s="20"/>
      <c r="O836" s="22"/>
      <c r="P836" s="36"/>
      <c r="Q836" s="38"/>
      <c r="R836" s="38"/>
    </row>
    <row r="837" spans="1:18" x14ac:dyDescent="0.2">
      <c r="A837" s="13"/>
      <c r="B837" s="18"/>
      <c r="C837" s="19"/>
      <c r="D837" s="19"/>
      <c r="E837" s="20"/>
      <c r="F837" s="22"/>
      <c r="G837" s="36"/>
      <c r="H837" s="38"/>
      <c r="I837" s="38"/>
      <c r="J837" s="13"/>
      <c r="K837" s="18"/>
      <c r="L837" s="19"/>
      <c r="M837" s="19"/>
      <c r="N837" s="20"/>
      <c r="O837" s="22"/>
      <c r="P837" s="36"/>
      <c r="Q837" s="38"/>
      <c r="R837" s="38"/>
    </row>
    <row r="838" spans="1:18" x14ac:dyDescent="0.2">
      <c r="A838" s="13"/>
      <c r="B838" s="18"/>
      <c r="C838" s="19"/>
      <c r="D838" s="19"/>
      <c r="E838" s="20"/>
      <c r="F838" s="22"/>
      <c r="G838" s="36"/>
      <c r="H838" s="37"/>
      <c r="I838" s="37"/>
      <c r="J838" s="13"/>
      <c r="K838" s="18"/>
      <c r="L838" s="19"/>
      <c r="M838" s="19"/>
      <c r="N838" s="20"/>
      <c r="O838" s="22"/>
      <c r="P838" s="36"/>
      <c r="Q838" s="37"/>
      <c r="R838" s="37"/>
    </row>
    <row r="839" spans="1:18" x14ac:dyDescent="0.2">
      <c r="A839" s="13"/>
      <c r="B839" s="18"/>
      <c r="C839" s="19"/>
      <c r="D839" s="19"/>
      <c r="E839" s="20"/>
      <c r="F839" s="22"/>
      <c r="G839" s="36"/>
      <c r="H839" s="37"/>
      <c r="I839" s="37"/>
      <c r="J839" s="13"/>
      <c r="K839" s="18"/>
      <c r="L839" s="19"/>
      <c r="M839" s="19"/>
      <c r="N839" s="20"/>
      <c r="O839" s="22"/>
      <c r="P839" s="36"/>
      <c r="Q839" s="37"/>
      <c r="R839" s="37"/>
    </row>
    <row r="840" spans="1:18" x14ac:dyDescent="0.2">
      <c r="A840" s="13"/>
      <c r="B840" s="18"/>
      <c r="C840" s="19"/>
      <c r="D840" s="19"/>
      <c r="E840" s="20"/>
      <c r="F840" s="22"/>
      <c r="G840" s="36"/>
      <c r="H840" s="37"/>
      <c r="I840" s="37"/>
      <c r="J840" s="13"/>
      <c r="K840" s="18"/>
      <c r="L840" s="19"/>
      <c r="M840" s="19"/>
      <c r="N840" s="20"/>
      <c r="O840" s="22"/>
      <c r="P840" s="36"/>
      <c r="Q840" s="37"/>
      <c r="R840" s="37"/>
    </row>
    <row r="841" spans="1:18" x14ac:dyDescent="0.2">
      <c r="A841" s="13"/>
      <c r="B841" s="18"/>
      <c r="C841" s="19"/>
      <c r="D841" s="19"/>
      <c r="E841" s="20"/>
      <c r="F841" s="22"/>
      <c r="G841" s="22"/>
      <c r="H841" s="23"/>
      <c r="I841" s="23"/>
      <c r="J841" s="13"/>
      <c r="K841" s="18"/>
      <c r="L841" s="19"/>
      <c r="M841" s="19"/>
      <c r="N841" s="20"/>
      <c r="O841" s="22"/>
      <c r="P841" s="22"/>
      <c r="Q841" s="23"/>
      <c r="R841" s="23"/>
    </row>
    <row r="842" spans="1:18" x14ac:dyDescent="0.2">
      <c r="A842" s="13"/>
      <c r="B842" s="248" t="s">
        <v>30</v>
      </c>
      <c r="C842" s="249"/>
      <c r="D842" s="249"/>
      <c r="E842" s="250"/>
      <c r="F842" s="22"/>
      <c r="G842" s="22"/>
      <c r="H842" s="23"/>
      <c r="I842" s="23">
        <f>SUM(I829:I841)</f>
        <v>1923.5</v>
      </c>
      <c r="J842" s="13"/>
      <c r="K842" s="248" t="s">
        <v>30</v>
      </c>
      <c r="L842" s="249"/>
      <c r="M842" s="249"/>
      <c r="N842" s="250"/>
      <c r="O842" s="22"/>
      <c r="P842" s="22"/>
      <c r="Q842" s="23"/>
      <c r="R842" s="23">
        <f>SUM(R829:R841)</f>
        <v>19.754000000000001</v>
      </c>
    </row>
    <row r="843" spans="1:18" x14ac:dyDescent="0.2">
      <c r="A843" s="12" t="s">
        <v>31</v>
      </c>
      <c r="B843" s="260" t="s">
        <v>32</v>
      </c>
      <c r="C843" s="261"/>
      <c r="D843" s="261"/>
      <c r="E843" s="261"/>
      <c r="F843" s="39"/>
      <c r="G843" s="39"/>
      <c r="H843" s="40"/>
      <c r="I843" s="41">
        <f>SUM(I842+I824)</f>
        <v>2557.7799999999997</v>
      </c>
      <c r="J843" s="12" t="s">
        <v>31</v>
      </c>
      <c r="K843" s="260" t="s">
        <v>32</v>
      </c>
      <c r="L843" s="261"/>
      <c r="M843" s="261"/>
      <c r="N843" s="261"/>
      <c r="O843" s="39"/>
      <c r="P843" s="39"/>
      <c r="Q843" s="40"/>
      <c r="R843" s="41">
        <f>SUM(R842+R824)</f>
        <v>217.29399999999998</v>
      </c>
    </row>
    <row r="844" spans="1:18" x14ac:dyDescent="0.2">
      <c r="A844" s="13" t="s">
        <v>33</v>
      </c>
      <c r="B844" s="336">
        <f>E811</f>
        <v>1</v>
      </c>
      <c r="C844" s="337"/>
      <c r="D844" s="337"/>
      <c r="E844" s="337"/>
      <c r="F844" s="337"/>
      <c r="G844" s="337"/>
      <c r="H844" s="40"/>
      <c r="I844" s="41"/>
      <c r="J844" s="13" t="s">
        <v>33</v>
      </c>
      <c r="K844" s="264">
        <f>N811</f>
        <v>1</v>
      </c>
      <c r="L844" s="265"/>
      <c r="M844" s="265"/>
      <c r="N844" s="265"/>
      <c r="O844" s="265"/>
      <c r="P844" s="265"/>
      <c r="Q844" s="40"/>
      <c r="R844" s="41"/>
    </row>
    <row r="845" spans="1:18" x14ac:dyDescent="0.2">
      <c r="A845" s="13" t="s">
        <v>34</v>
      </c>
      <c r="B845" s="42" t="s">
        <v>35</v>
      </c>
      <c r="C845" s="43"/>
      <c r="D845" s="43"/>
      <c r="E845" s="39"/>
      <c r="F845" s="44"/>
      <c r="G845" s="44"/>
      <c r="H845" s="40"/>
      <c r="I845" s="41">
        <f>I843/E811</f>
        <v>2557.7799999999997</v>
      </c>
      <c r="J845" s="13" t="s">
        <v>34</v>
      </c>
      <c r="K845" s="42" t="s">
        <v>35</v>
      </c>
      <c r="L845" s="43"/>
      <c r="M845" s="43"/>
      <c r="N845" s="39"/>
      <c r="O845" s="44"/>
      <c r="P845" s="44"/>
      <c r="Q845" s="40"/>
      <c r="R845" s="41">
        <f>R843/N811</f>
        <v>217.29399999999998</v>
      </c>
    </row>
    <row r="846" spans="1:18" x14ac:dyDescent="0.2">
      <c r="A846" s="12"/>
      <c r="B846" s="251" t="s">
        <v>36</v>
      </c>
      <c r="C846" s="252"/>
      <c r="D846" s="252"/>
      <c r="E846" s="253"/>
      <c r="F846" s="244" t="s">
        <v>37</v>
      </c>
      <c r="G846" s="244" t="s">
        <v>38</v>
      </c>
      <c r="H846" s="244" t="s">
        <v>39</v>
      </c>
      <c r="I846" s="246" t="s">
        <v>15</v>
      </c>
      <c r="J846" s="12"/>
      <c r="K846" s="251" t="s">
        <v>36</v>
      </c>
      <c r="L846" s="252"/>
      <c r="M846" s="252"/>
      <c r="N846" s="253"/>
      <c r="O846" s="244" t="s">
        <v>37</v>
      </c>
      <c r="P846" s="244" t="s">
        <v>38</v>
      </c>
      <c r="Q846" s="244" t="s">
        <v>39</v>
      </c>
      <c r="R846" s="246" t="s">
        <v>15</v>
      </c>
    </row>
    <row r="847" spans="1:18" x14ac:dyDescent="0.2">
      <c r="A847" s="13"/>
      <c r="B847" s="254"/>
      <c r="C847" s="255"/>
      <c r="D847" s="255"/>
      <c r="E847" s="256"/>
      <c r="F847" s="245"/>
      <c r="G847" s="245"/>
      <c r="H847" s="245"/>
      <c r="I847" s="247"/>
      <c r="J847" s="13"/>
      <c r="K847" s="254"/>
      <c r="L847" s="255"/>
      <c r="M847" s="255"/>
      <c r="N847" s="256"/>
      <c r="O847" s="245"/>
      <c r="P847" s="245"/>
      <c r="Q847" s="245"/>
      <c r="R847" s="247"/>
    </row>
    <row r="848" spans="1:18" x14ac:dyDescent="0.2">
      <c r="A848" s="13" t="s">
        <v>40</v>
      </c>
      <c r="B848" s="18" t="s">
        <v>41</v>
      </c>
      <c r="C848" s="19"/>
      <c r="D848" s="19"/>
      <c r="E848" s="20"/>
      <c r="F848" s="22"/>
      <c r="G848" s="22"/>
      <c r="H848" s="23"/>
      <c r="I848" s="23"/>
      <c r="J848" s="13" t="s">
        <v>40</v>
      </c>
      <c r="K848" s="18" t="s">
        <v>41</v>
      </c>
      <c r="L848" s="19"/>
      <c r="M848" s="19"/>
      <c r="N848" s="20"/>
      <c r="O848" s="22"/>
      <c r="P848" s="22"/>
      <c r="Q848" s="23"/>
      <c r="R848" s="23"/>
    </row>
    <row r="849" spans="1:18" x14ac:dyDescent="0.2">
      <c r="A849" s="13"/>
      <c r="B849" s="18"/>
      <c r="C849" s="19"/>
      <c r="D849" s="19"/>
      <c r="E849" s="20"/>
      <c r="F849" s="22"/>
      <c r="G849" s="22"/>
      <c r="H849" s="23"/>
      <c r="I849" s="23"/>
      <c r="J849" s="13"/>
      <c r="K849" s="18"/>
      <c r="L849" s="19"/>
      <c r="M849" s="19"/>
      <c r="N849" s="20"/>
      <c r="O849" s="22"/>
      <c r="P849" s="22"/>
      <c r="Q849" s="23"/>
      <c r="R849" s="23"/>
    </row>
    <row r="850" spans="1:18" x14ac:dyDescent="0.2">
      <c r="A850" s="13"/>
      <c r="B850" s="18" t="s">
        <v>522</v>
      </c>
      <c r="C850" s="19"/>
      <c r="D850" s="19"/>
      <c r="E850" s="20"/>
      <c r="F850" s="22" t="s">
        <v>77</v>
      </c>
      <c r="G850" s="70">
        <v>62.557000000000002</v>
      </c>
      <c r="H850" s="107">
        <v>48</v>
      </c>
      <c r="I850" s="23">
        <f>G850*H850</f>
        <v>3002.7359999999999</v>
      </c>
      <c r="J850" s="13"/>
      <c r="K850" s="18" t="s">
        <v>523</v>
      </c>
      <c r="L850" s="19"/>
      <c r="M850" s="19"/>
      <c r="N850" s="20"/>
      <c r="O850" s="22" t="s">
        <v>9</v>
      </c>
      <c r="P850" s="62">
        <v>1.05</v>
      </c>
      <c r="Q850" s="107">
        <v>900</v>
      </c>
      <c r="R850" s="23">
        <f>P850*Q850</f>
        <v>945</v>
      </c>
    </row>
    <row r="851" spans="1:18" x14ac:dyDescent="0.2">
      <c r="A851" s="13"/>
      <c r="B851" s="18" t="s">
        <v>524</v>
      </c>
      <c r="C851" s="19"/>
      <c r="D851" s="19"/>
      <c r="E851" s="20"/>
      <c r="F851" s="22" t="s">
        <v>77</v>
      </c>
      <c r="G851" s="22">
        <v>1.244</v>
      </c>
      <c r="H851" s="107">
        <v>48</v>
      </c>
      <c r="I851" s="23">
        <f>G851*H851</f>
        <v>59.712000000000003</v>
      </c>
      <c r="J851" s="13"/>
      <c r="K851" s="18"/>
      <c r="L851" s="19"/>
      <c r="M851" s="19"/>
      <c r="N851" s="20"/>
      <c r="O851" s="22"/>
      <c r="P851" s="22"/>
      <c r="Q851" s="23"/>
      <c r="R851" s="23"/>
    </row>
    <row r="852" spans="1:18" x14ac:dyDescent="0.2">
      <c r="A852" s="13"/>
      <c r="B852" s="18" t="s">
        <v>525</v>
      </c>
      <c r="C852" s="19"/>
      <c r="D852" s="19"/>
      <c r="E852" s="20"/>
      <c r="F852" s="22" t="s">
        <v>77</v>
      </c>
      <c r="G852" s="62">
        <v>38.36</v>
      </c>
      <c r="H852" s="107">
        <v>48</v>
      </c>
      <c r="I852" s="23">
        <f>G852*H852</f>
        <v>1841.28</v>
      </c>
      <c r="J852" s="13"/>
      <c r="K852" s="18"/>
      <c r="L852" s="19"/>
      <c r="M852" s="19"/>
      <c r="N852" s="20"/>
      <c r="O852" s="22"/>
      <c r="P852" s="22"/>
      <c r="Q852" s="23"/>
      <c r="R852" s="23"/>
    </row>
    <row r="853" spans="1:18" x14ac:dyDescent="0.2">
      <c r="A853" s="13"/>
      <c r="B853" s="18" t="s">
        <v>526</v>
      </c>
      <c r="C853" s="19"/>
      <c r="D853" s="19"/>
      <c r="E853" s="20"/>
      <c r="F853" s="22" t="s">
        <v>77</v>
      </c>
      <c r="G853" s="22">
        <f>ROUND((G850+G851+G852)/2000,3)</f>
        <v>5.0999999999999997E-2</v>
      </c>
      <c r="H853" s="107">
        <v>90</v>
      </c>
      <c r="I853" s="23">
        <f>G853*H853</f>
        <v>4.59</v>
      </c>
      <c r="J853" s="13"/>
      <c r="K853" s="18"/>
      <c r="L853" s="19"/>
      <c r="M853" s="19"/>
      <c r="N853" s="20"/>
      <c r="O853" s="22"/>
      <c r="P853" s="22"/>
      <c r="Q853" s="23"/>
      <c r="R853" s="23"/>
    </row>
    <row r="854" spans="1:18" x14ac:dyDescent="0.2">
      <c r="A854" s="13"/>
      <c r="B854" s="18"/>
      <c r="C854" s="19"/>
      <c r="D854" s="19"/>
      <c r="E854" s="20"/>
      <c r="F854" s="22"/>
      <c r="G854" s="22"/>
      <c r="H854" s="45"/>
      <c r="I854" s="23"/>
      <c r="J854" s="13"/>
      <c r="K854" s="18"/>
      <c r="L854" s="19"/>
      <c r="M854" s="19"/>
      <c r="N854" s="20"/>
      <c r="O854" s="22"/>
      <c r="P854" s="22"/>
      <c r="Q854" s="23"/>
      <c r="R854" s="23"/>
    </row>
    <row r="855" spans="1:18" x14ac:dyDescent="0.2">
      <c r="A855" s="13"/>
      <c r="B855" s="18"/>
      <c r="C855" s="19"/>
      <c r="D855" s="19"/>
      <c r="E855" s="20"/>
      <c r="F855" s="22"/>
      <c r="G855" s="22"/>
      <c r="H855" s="45"/>
      <c r="I855" s="45"/>
      <c r="J855" s="13"/>
      <c r="K855" s="18"/>
      <c r="L855" s="19"/>
      <c r="M855" s="19"/>
      <c r="N855" s="20"/>
      <c r="O855" s="22"/>
      <c r="P855" s="22"/>
      <c r="Q855" s="23"/>
      <c r="R855" s="23"/>
    </row>
    <row r="856" spans="1:18" x14ac:dyDescent="0.2">
      <c r="A856" s="13"/>
      <c r="B856" s="18"/>
      <c r="C856" s="19"/>
      <c r="D856" s="19"/>
      <c r="E856" s="20"/>
      <c r="F856" s="22"/>
      <c r="G856" s="22"/>
      <c r="H856" s="23"/>
      <c r="I856" s="23"/>
      <c r="J856" s="13"/>
      <c r="K856" s="18"/>
      <c r="L856" s="19"/>
      <c r="M856" s="19"/>
      <c r="N856" s="20"/>
      <c r="O856" s="22"/>
      <c r="P856" s="22"/>
      <c r="Q856" s="23"/>
      <c r="R856" s="23"/>
    </row>
    <row r="857" spans="1:18" x14ac:dyDescent="0.2">
      <c r="A857" s="13"/>
      <c r="B857" s="18"/>
      <c r="C857" s="19"/>
      <c r="D857" s="19"/>
      <c r="E857" s="20"/>
      <c r="F857" s="22"/>
      <c r="G857" s="22"/>
      <c r="H857" s="23"/>
      <c r="I857" s="23"/>
      <c r="J857" s="13"/>
      <c r="K857" s="18"/>
      <c r="L857" s="19"/>
      <c r="M857" s="19"/>
      <c r="N857" s="20"/>
      <c r="O857" s="22"/>
      <c r="P857" s="22"/>
      <c r="Q857" s="23"/>
      <c r="R857" s="23"/>
    </row>
    <row r="858" spans="1:18" x14ac:dyDescent="0.2">
      <c r="A858" s="13"/>
      <c r="B858" s="18"/>
      <c r="C858" s="19"/>
      <c r="D858" s="19"/>
      <c r="E858" s="20"/>
      <c r="F858" s="22"/>
      <c r="G858" s="22"/>
      <c r="H858" s="23"/>
      <c r="I858" s="23"/>
      <c r="J858" s="13"/>
      <c r="K858" s="18"/>
      <c r="L858" s="19"/>
      <c r="M858" s="19"/>
      <c r="N858" s="20"/>
      <c r="O858" s="22"/>
      <c r="P858" s="22"/>
      <c r="Q858" s="23"/>
      <c r="R858" s="23"/>
    </row>
    <row r="859" spans="1:18" x14ac:dyDescent="0.2">
      <c r="A859" s="13"/>
      <c r="B859" s="18"/>
      <c r="C859" s="19"/>
      <c r="D859" s="19"/>
      <c r="E859" s="20"/>
      <c r="F859" s="22"/>
      <c r="G859" s="22"/>
      <c r="H859" s="23"/>
      <c r="I859" s="23"/>
      <c r="J859" s="13"/>
      <c r="K859" s="18"/>
      <c r="L859" s="19"/>
      <c r="M859" s="19"/>
      <c r="N859" s="20"/>
      <c r="O859" s="22"/>
      <c r="P859" s="22"/>
      <c r="Q859" s="23"/>
      <c r="R859" s="23"/>
    </row>
    <row r="860" spans="1:18" x14ac:dyDescent="0.2">
      <c r="A860" s="13"/>
      <c r="B860" s="18"/>
      <c r="C860" s="19"/>
      <c r="D860" s="19"/>
      <c r="E860" s="20"/>
      <c r="F860" s="22"/>
      <c r="G860" s="22"/>
      <c r="H860" s="23"/>
      <c r="I860" s="23"/>
      <c r="J860" s="13"/>
      <c r="K860" s="18"/>
      <c r="L860" s="19"/>
      <c r="M860" s="19"/>
      <c r="N860" s="20"/>
      <c r="O860" s="22"/>
      <c r="P860" s="22"/>
      <c r="Q860" s="23"/>
      <c r="R860" s="23"/>
    </row>
    <row r="861" spans="1:18" x14ac:dyDescent="0.2">
      <c r="A861" s="13"/>
      <c r="B861" s="18"/>
      <c r="C861" s="19"/>
      <c r="D861" s="19"/>
      <c r="E861" s="20"/>
      <c r="F861" s="22"/>
      <c r="G861" s="22"/>
      <c r="H861" s="23"/>
      <c r="I861" s="23"/>
      <c r="J861" s="13"/>
      <c r="K861" s="18"/>
      <c r="L861" s="19"/>
      <c r="M861" s="19"/>
      <c r="N861" s="20"/>
      <c r="O861" s="22"/>
      <c r="P861" s="22"/>
      <c r="Q861" s="23"/>
      <c r="R861" s="23"/>
    </row>
    <row r="862" spans="1:18" x14ac:dyDescent="0.2">
      <c r="A862" s="13"/>
      <c r="B862" s="18"/>
      <c r="C862" s="19"/>
      <c r="D862" s="19"/>
      <c r="E862" s="20"/>
      <c r="F862" s="22"/>
      <c r="G862" s="36"/>
      <c r="H862" s="37"/>
      <c r="I862" s="37"/>
      <c r="J862" s="13"/>
      <c r="K862" s="18"/>
      <c r="L862" s="19"/>
      <c r="M862" s="19"/>
      <c r="N862" s="20"/>
      <c r="O862" s="22"/>
      <c r="P862" s="36"/>
      <c r="Q862" s="37"/>
      <c r="R862" s="37"/>
    </row>
    <row r="863" spans="1:18" x14ac:dyDescent="0.2">
      <c r="A863" s="13"/>
      <c r="B863" s="248" t="s">
        <v>42</v>
      </c>
      <c r="C863" s="249"/>
      <c r="D863" s="249"/>
      <c r="E863" s="250"/>
      <c r="F863" s="46"/>
      <c r="G863" s="46"/>
      <c r="H863" s="47"/>
      <c r="I863" s="47">
        <f>SUM(I850:I862)</f>
        <v>4908.3180000000002</v>
      </c>
      <c r="J863" s="13"/>
      <c r="K863" s="248" t="s">
        <v>42</v>
      </c>
      <c r="L863" s="249"/>
      <c r="M863" s="249"/>
      <c r="N863" s="250"/>
      <c r="O863" s="46"/>
      <c r="P863" s="46"/>
      <c r="Q863" s="47"/>
      <c r="R863" s="47">
        <f>SUM(R850:R862)</f>
        <v>945</v>
      </c>
    </row>
    <row r="864" spans="1:18" x14ac:dyDescent="0.2">
      <c r="A864" s="12" t="s">
        <v>43</v>
      </c>
      <c r="B864" s="48" t="s">
        <v>44</v>
      </c>
      <c r="C864" s="43"/>
      <c r="D864" s="43"/>
      <c r="E864" s="39"/>
      <c r="F864" s="49"/>
      <c r="G864" s="49"/>
      <c r="H864" s="50"/>
      <c r="I864" s="51">
        <f>SUM(I845+I863)</f>
        <v>7466.098</v>
      </c>
      <c r="J864" s="12" t="s">
        <v>43</v>
      </c>
      <c r="K864" s="48" t="s">
        <v>44</v>
      </c>
      <c r="L864" s="43"/>
      <c r="M864" s="43"/>
      <c r="N864" s="39"/>
      <c r="O864" s="49"/>
      <c r="P864" s="49"/>
      <c r="Q864" s="50"/>
      <c r="R864" s="51">
        <f>SUM(R845+R863)</f>
        <v>1162.2939999999999</v>
      </c>
    </row>
    <row r="865" spans="1:18" x14ac:dyDescent="0.2">
      <c r="A865" s="13" t="s">
        <v>45</v>
      </c>
      <c r="B865" s="48" t="s">
        <v>46</v>
      </c>
      <c r="C865" s="43"/>
      <c r="D865" s="43"/>
      <c r="E865" s="39"/>
      <c r="F865" s="49"/>
      <c r="G865" s="52">
        <v>0.09</v>
      </c>
      <c r="H865" s="53" t="s">
        <v>47</v>
      </c>
      <c r="I865" s="51">
        <f>G865*I864</f>
        <v>671.94881999999996</v>
      </c>
      <c r="J865" s="13" t="s">
        <v>45</v>
      </c>
      <c r="K865" s="48" t="s">
        <v>46</v>
      </c>
      <c r="L865" s="43"/>
      <c r="M865" s="43"/>
      <c r="N865" s="39"/>
      <c r="O865" s="49"/>
      <c r="P865" s="52">
        <v>0.09</v>
      </c>
      <c r="Q865" s="53" t="s">
        <v>47</v>
      </c>
      <c r="R865" s="51">
        <f>P865*R864</f>
        <v>104.60645999999998</v>
      </c>
    </row>
    <row r="866" spans="1:18" x14ac:dyDescent="0.2">
      <c r="A866" s="13" t="s">
        <v>48</v>
      </c>
      <c r="B866" s="48" t="s">
        <v>49</v>
      </c>
      <c r="C866" s="43"/>
      <c r="D866" s="43"/>
      <c r="E866" s="39"/>
      <c r="F866" s="49"/>
      <c r="G866" s="52">
        <v>0.08</v>
      </c>
      <c r="H866" s="53" t="s">
        <v>47</v>
      </c>
      <c r="I866" s="51">
        <f>G866*I864</f>
        <v>597.28783999999996</v>
      </c>
      <c r="J866" s="13" t="s">
        <v>48</v>
      </c>
      <c r="K866" s="48" t="s">
        <v>49</v>
      </c>
      <c r="L866" s="43"/>
      <c r="M866" s="43"/>
      <c r="N866" s="39"/>
      <c r="O866" s="49"/>
      <c r="P866" s="52">
        <v>0.08</v>
      </c>
      <c r="Q866" s="53" t="s">
        <v>47</v>
      </c>
      <c r="R866" s="51">
        <f>P866*R864</f>
        <v>92.983519999999984</v>
      </c>
    </row>
    <row r="867" spans="1:18" x14ac:dyDescent="0.2">
      <c r="A867" s="13" t="s">
        <v>50</v>
      </c>
      <c r="B867" s="48" t="s">
        <v>51</v>
      </c>
      <c r="C867" s="43"/>
      <c r="D867" s="43"/>
      <c r="E867" s="39"/>
      <c r="F867" s="49"/>
      <c r="G867" s="52">
        <f>5/100</f>
        <v>0.05</v>
      </c>
      <c r="H867" s="53" t="s">
        <v>52</v>
      </c>
      <c r="I867" s="51">
        <f>G867*(I864+I865+I866)</f>
        <v>436.76673300000004</v>
      </c>
      <c r="J867" s="13" t="s">
        <v>50</v>
      </c>
      <c r="K867" s="48" t="s">
        <v>51</v>
      </c>
      <c r="L867" s="43"/>
      <c r="M867" s="43"/>
      <c r="N867" s="39"/>
      <c r="O867" s="49"/>
      <c r="P867" s="52">
        <v>0.05</v>
      </c>
      <c r="Q867" s="53" t="s">
        <v>52</v>
      </c>
      <c r="R867" s="51">
        <f>P867*(R864+R865+R866)</f>
        <v>67.994198999999995</v>
      </c>
    </row>
    <row r="868" spans="1:18" x14ac:dyDescent="0.2">
      <c r="A868" s="54" t="s">
        <v>53</v>
      </c>
      <c r="B868" s="48" t="s">
        <v>54</v>
      </c>
      <c r="C868" s="43"/>
      <c r="D868" s="43"/>
      <c r="E868" s="39"/>
      <c r="F868" s="49"/>
      <c r="G868" s="49"/>
      <c r="H868" s="55" t="s">
        <v>55</v>
      </c>
      <c r="I868" s="51">
        <f>SUM(I864+I865+I866+I867)</f>
        <v>9172.1013930000008</v>
      </c>
      <c r="J868" s="54" t="s">
        <v>53</v>
      </c>
      <c r="K868" s="48" t="s">
        <v>54</v>
      </c>
      <c r="L868" s="43"/>
      <c r="M868" s="43"/>
      <c r="N868" s="39"/>
      <c r="O868" s="49"/>
      <c r="P868" s="49"/>
      <c r="Q868" s="55" t="s">
        <v>55</v>
      </c>
      <c r="R868" s="51">
        <f>SUM(R864+R865+R866+R867)</f>
        <v>1427.8781789999998</v>
      </c>
    </row>
    <row r="869" spans="1:18" s="1" customFormat="1" x14ac:dyDescent="0.2">
      <c r="A869" s="236" t="s">
        <v>0</v>
      </c>
      <c r="B869" s="236"/>
      <c r="C869" s="236"/>
      <c r="D869" s="236"/>
      <c r="E869" s="236"/>
      <c r="F869" s="236"/>
      <c r="G869" s="236"/>
      <c r="H869" s="236"/>
      <c r="I869" s="236"/>
      <c r="J869" s="236" t="s">
        <v>0</v>
      </c>
      <c r="K869" s="236"/>
      <c r="L869" s="236"/>
      <c r="M869" s="236"/>
      <c r="N869" s="236"/>
      <c r="O869" s="236"/>
      <c r="P869" s="236"/>
      <c r="Q869" s="236"/>
      <c r="R869" s="236"/>
    </row>
    <row r="871" spans="1:18" x14ac:dyDescent="0.2">
      <c r="A871" s="152" t="s">
        <v>1</v>
      </c>
      <c r="C871" s="4" t="s">
        <v>2</v>
      </c>
      <c r="D871" s="5" t="s">
        <v>527</v>
      </c>
      <c r="E871" s="152" t="s">
        <v>528</v>
      </c>
      <c r="F871" s="152"/>
      <c r="G871" s="152"/>
      <c r="H871" s="152"/>
      <c r="J871" s="2" t="s">
        <v>1</v>
      </c>
      <c r="L871" s="4" t="s">
        <v>2</v>
      </c>
      <c r="M871" s="5">
        <v>506</v>
      </c>
      <c r="N871" s="237" t="s">
        <v>529</v>
      </c>
      <c r="O871" s="237"/>
      <c r="P871" s="237"/>
      <c r="Q871" s="237"/>
    </row>
    <row r="872" spans="1:18" x14ac:dyDescent="0.2">
      <c r="A872" s="152" t="s">
        <v>7</v>
      </c>
      <c r="C872" s="4" t="s">
        <v>2</v>
      </c>
      <c r="E872" s="152" t="s">
        <v>103</v>
      </c>
      <c r="F872" s="8"/>
      <c r="G872" s="8"/>
      <c r="H872" s="8"/>
      <c r="J872" s="2" t="s">
        <v>7</v>
      </c>
      <c r="L872" s="4" t="s">
        <v>2</v>
      </c>
      <c r="N872" s="2" t="s">
        <v>9</v>
      </c>
      <c r="O872" s="8"/>
      <c r="P872" s="8"/>
      <c r="Q872" s="8"/>
    </row>
    <row r="873" spans="1:18" x14ac:dyDescent="0.2">
      <c r="A873" s="152" t="s">
        <v>10</v>
      </c>
      <c r="C873" s="4" t="s">
        <v>2</v>
      </c>
      <c r="E873" s="9">
        <v>1</v>
      </c>
      <c r="F873" s="8"/>
      <c r="G873" s="8"/>
      <c r="H873" s="8"/>
      <c r="J873" s="2" t="s">
        <v>10</v>
      </c>
      <c r="L873" s="4" t="s">
        <v>2</v>
      </c>
      <c r="N873" s="9">
        <v>1.6</v>
      </c>
      <c r="O873" s="8"/>
      <c r="P873" s="8"/>
      <c r="Q873" s="8"/>
    </row>
    <row r="874" spans="1:18" x14ac:dyDescent="0.2">
      <c r="B874" s="8"/>
      <c r="F874" s="11"/>
      <c r="G874" s="8"/>
      <c r="H874" s="8"/>
      <c r="I874" s="8"/>
      <c r="K874" s="8"/>
      <c r="O874" s="11"/>
      <c r="P874" s="8"/>
      <c r="Q874" s="8"/>
      <c r="R874" s="8"/>
    </row>
    <row r="875" spans="1:18" x14ac:dyDescent="0.2">
      <c r="A875" s="12"/>
      <c r="B875" s="238" t="s">
        <v>11</v>
      </c>
      <c r="C875" s="239"/>
      <c r="D875" s="239"/>
      <c r="E875" s="240"/>
      <c r="F875" s="244" t="s">
        <v>12</v>
      </c>
      <c r="G875" s="244" t="s">
        <v>13</v>
      </c>
      <c r="H875" s="244" t="s">
        <v>14</v>
      </c>
      <c r="I875" s="246" t="s">
        <v>15</v>
      </c>
      <c r="J875" s="12"/>
      <c r="K875" s="238" t="s">
        <v>11</v>
      </c>
      <c r="L875" s="239"/>
      <c r="M875" s="239"/>
      <c r="N875" s="240"/>
      <c r="O875" s="244" t="s">
        <v>12</v>
      </c>
      <c r="P875" s="244" t="s">
        <v>13</v>
      </c>
      <c r="Q875" s="244" t="s">
        <v>14</v>
      </c>
      <c r="R875" s="246" t="s">
        <v>15</v>
      </c>
    </row>
    <row r="876" spans="1:18" x14ac:dyDescent="0.2">
      <c r="A876" s="13"/>
      <c r="B876" s="241"/>
      <c r="C876" s="242"/>
      <c r="D876" s="242"/>
      <c r="E876" s="243"/>
      <c r="F876" s="245"/>
      <c r="G876" s="245"/>
      <c r="H876" s="245"/>
      <c r="I876" s="247"/>
      <c r="J876" s="13"/>
      <c r="K876" s="241"/>
      <c r="L876" s="242"/>
      <c r="M876" s="242"/>
      <c r="N876" s="243"/>
      <c r="O876" s="245"/>
      <c r="P876" s="245"/>
      <c r="Q876" s="245"/>
      <c r="R876" s="247"/>
    </row>
    <row r="877" spans="1:18" x14ac:dyDescent="0.2">
      <c r="A877" s="13" t="s">
        <v>16</v>
      </c>
      <c r="B877" s="14" t="s">
        <v>17</v>
      </c>
      <c r="C877" s="15"/>
      <c r="D877" s="15"/>
      <c r="E877" s="16"/>
      <c r="F877" s="17"/>
      <c r="G877" s="17"/>
      <c r="H877" s="17"/>
      <c r="I877" s="17"/>
      <c r="J877" s="13" t="s">
        <v>16</v>
      </c>
      <c r="K877" s="14" t="s">
        <v>17</v>
      </c>
      <c r="L877" s="15"/>
      <c r="M877" s="15"/>
      <c r="N877" s="16"/>
      <c r="O877" s="17"/>
      <c r="P877" s="17"/>
      <c r="Q877" s="17"/>
      <c r="R877" s="17"/>
    </row>
    <row r="878" spans="1:18" x14ac:dyDescent="0.2">
      <c r="A878" s="13"/>
      <c r="B878" s="18"/>
      <c r="C878" s="19"/>
      <c r="D878" s="19"/>
      <c r="E878" s="20"/>
      <c r="F878" s="21"/>
      <c r="G878" s="22"/>
      <c r="H878" s="21"/>
      <c r="I878" s="21"/>
      <c r="J878" s="13"/>
      <c r="K878" s="18"/>
      <c r="L878" s="19"/>
      <c r="M878" s="19"/>
      <c r="N878" s="20"/>
      <c r="O878" s="21"/>
      <c r="P878" s="22"/>
      <c r="Q878" s="21"/>
      <c r="R878" s="21"/>
    </row>
    <row r="879" spans="1:18" x14ac:dyDescent="0.2">
      <c r="A879" s="13"/>
      <c r="B879" s="24" t="s">
        <v>18</v>
      </c>
      <c r="C879" s="25"/>
      <c r="D879" s="25"/>
      <c r="E879" s="26"/>
      <c r="F879" s="22">
        <v>1</v>
      </c>
      <c r="G879" s="23">
        <v>8</v>
      </c>
      <c r="H879" s="23">
        <v>69.42</v>
      </c>
      <c r="I879" s="23">
        <f>G879*H879*F879</f>
        <v>555.36</v>
      </c>
      <c r="J879" s="13"/>
      <c r="K879" s="24" t="s">
        <v>18</v>
      </c>
      <c r="L879" s="25"/>
      <c r="M879" s="25"/>
      <c r="N879" s="26"/>
      <c r="O879" s="22">
        <v>1</v>
      </c>
      <c r="P879" s="23">
        <v>1</v>
      </c>
      <c r="Q879" s="23">
        <v>69.42</v>
      </c>
      <c r="R879" s="23">
        <f>P879*Q879*O879</f>
        <v>69.42</v>
      </c>
    </row>
    <row r="880" spans="1:18" x14ac:dyDescent="0.2">
      <c r="A880" s="13"/>
      <c r="B880" s="257" t="s">
        <v>1178</v>
      </c>
      <c r="C880" s="258"/>
      <c r="D880" s="25"/>
      <c r="E880" s="26"/>
      <c r="F880" s="22">
        <v>1</v>
      </c>
      <c r="G880" s="23">
        <v>8</v>
      </c>
      <c r="H880" s="23">
        <v>50.18</v>
      </c>
      <c r="I880" s="23">
        <f>G880*H880*F880</f>
        <v>401.44</v>
      </c>
      <c r="J880" s="13"/>
      <c r="K880" s="257" t="s">
        <v>1178</v>
      </c>
      <c r="L880" s="258"/>
      <c r="M880" s="25"/>
      <c r="N880" s="26"/>
      <c r="O880" s="22">
        <v>2</v>
      </c>
      <c r="P880" s="23">
        <v>1</v>
      </c>
      <c r="Q880" s="23">
        <v>50.18</v>
      </c>
      <c r="R880" s="23">
        <f>P880*Q880*O880</f>
        <v>100.36</v>
      </c>
    </row>
    <row r="881" spans="1:20" x14ac:dyDescent="0.2">
      <c r="A881" s="13"/>
      <c r="B881" s="257" t="s">
        <v>1177</v>
      </c>
      <c r="C881" s="258"/>
      <c r="D881" s="19"/>
      <c r="E881" s="20"/>
      <c r="F881" s="22">
        <v>1</v>
      </c>
      <c r="G881" s="23">
        <v>8</v>
      </c>
      <c r="H881" s="23">
        <v>38.97</v>
      </c>
      <c r="I881" s="23">
        <f>G881*H881*F881</f>
        <v>311.76</v>
      </c>
      <c r="J881" s="13"/>
      <c r="K881" s="257" t="s">
        <v>1177</v>
      </c>
      <c r="L881" s="258"/>
      <c r="M881" s="19"/>
      <c r="N881" s="20"/>
      <c r="O881" s="22">
        <v>8</v>
      </c>
      <c r="P881" s="23">
        <v>1</v>
      </c>
      <c r="Q881" s="23">
        <v>38.97</v>
      </c>
      <c r="R881" s="23">
        <f>P881*Q881*O881</f>
        <v>311.76</v>
      </c>
    </row>
    <row r="882" spans="1:20" x14ac:dyDescent="0.2">
      <c r="A882" s="13"/>
      <c r="B882" s="153"/>
      <c r="C882" s="19"/>
      <c r="D882" s="19"/>
      <c r="E882" s="20"/>
      <c r="F882" s="22"/>
      <c r="G882" s="22"/>
      <c r="H882" s="29"/>
      <c r="I882" s="30"/>
      <c r="J882" s="13"/>
      <c r="K882" s="27"/>
      <c r="L882" s="19"/>
      <c r="M882" s="19"/>
      <c r="N882" s="20"/>
      <c r="O882" s="22"/>
      <c r="P882" s="22"/>
      <c r="Q882" s="29"/>
      <c r="R882" s="30"/>
    </row>
    <row r="883" spans="1:20" x14ac:dyDescent="0.2">
      <c r="A883" s="13"/>
      <c r="B883" s="153"/>
      <c r="C883" s="19"/>
      <c r="D883" s="19"/>
      <c r="E883" s="20"/>
      <c r="F883" s="22"/>
      <c r="G883" s="22"/>
      <c r="H883" s="29"/>
      <c r="I883" s="30"/>
      <c r="J883" s="13"/>
      <c r="K883" s="27"/>
      <c r="L883" s="19"/>
      <c r="M883" s="19"/>
      <c r="N883" s="20"/>
      <c r="O883" s="22"/>
      <c r="P883" s="22"/>
      <c r="Q883" s="29"/>
      <c r="R883" s="30"/>
    </row>
    <row r="884" spans="1:20" x14ac:dyDescent="0.2">
      <c r="A884" s="13"/>
      <c r="B884" s="18"/>
      <c r="C884" s="19"/>
      <c r="D884" s="19"/>
      <c r="E884" s="20"/>
      <c r="F884" s="22"/>
      <c r="G884" s="22"/>
      <c r="H884" s="28"/>
      <c r="I884" s="23"/>
      <c r="J884" s="13"/>
      <c r="K884" s="18"/>
      <c r="L884" s="19"/>
      <c r="M884" s="19"/>
      <c r="N884" s="20"/>
      <c r="O884" s="22"/>
      <c r="P884" s="22"/>
      <c r="Q884" s="28"/>
      <c r="R884" s="23"/>
    </row>
    <row r="885" spans="1:20" x14ac:dyDescent="0.2">
      <c r="A885" s="13"/>
      <c r="B885" s="18"/>
      <c r="C885" s="19"/>
      <c r="D885" s="19"/>
      <c r="E885" s="20"/>
      <c r="F885" s="22"/>
      <c r="G885" s="22"/>
      <c r="H885" s="23"/>
      <c r="I885" s="23"/>
      <c r="J885" s="13"/>
      <c r="K885" s="18"/>
      <c r="L885" s="19"/>
      <c r="M885" s="19"/>
      <c r="N885" s="20"/>
      <c r="O885" s="22"/>
      <c r="P885" s="22"/>
      <c r="Q885" s="23"/>
      <c r="R885" s="23"/>
    </row>
    <row r="886" spans="1:20" x14ac:dyDescent="0.2">
      <c r="A886" s="13"/>
      <c r="B886" s="248" t="s">
        <v>20</v>
      </c>
      <c r="C886" s="249"/>
      <c r="D886" s="249"/>
      <c r="E886" s="250"/>
      <c r="F886" s="31"/>
      <c r="G886" s="31"/>
      <c r="H886" s="32"/>
      <c r="I886" s="32">
        <f>SUM(I879:I885)</f>
        <v>1268.56</v>
      </c>
      <c r="J886" s="13"/>
      <c r="K886" s="248" t="s">
        <v>20</v>
      </c>
      <c r="L886" s="249"/>
      <c r="M886" s="249"/>
      <c r="N886" s="250"/>
      <c r="O886" s="31"/>
      <c r="P886" s="31"/>
      <c r="Q886" s="32"/>
      <c r="R886" s="32">
        <f>SUM(R879:R885)</f>
        <v>481.53999999999996</v>
      </c>
    </row>
    <row r="887" spans="1:20" x14ac:dyDescent="0.2">
      <c r="A887" s="12"/>
      <c r="B887" s="251" t="s">
        <v>21</v>
      </c>
      <c r="C887" s="252"/>
      <c r="D887" s="252"/>
      <c r="E887" s="253"/>
      <c r="F887" s="244" t="s">
        <v>22</v>
      </c>
      <c r="G887" s="244" t="s">
        <v>13</v>
      </c>
      <c r="H887" s="244" t="s">
        <v>14</v>
      </c>
      <c r="I887" s="246" t="s">
        <v>15</v>
      </c>
      <c r="J887" s="12"/>
      <c r="K887" s="251" t="s">
        <v>21</v>
      </c>
      <c r="L887" s="252"/>
      <c r="M887" s="252"/>
      <c r="N887" s="253"/>
      <c r="O887" s="244" t="s">
        <v>22</v>
      </c>
      <c r="P887" s="244" t="s">
        <v>13</v>
      </c>
      <c r="Q887" s="244" t="s">
        <v>14</v>
      </c>
      <c r="R887" s="246" t="s">
        <v>15</v>
      </c>
    </row>
    <row r="888" spans="1:20" x14ac:dyDescent="0.2">
      <c r="A888" s="13"/>
      <c r="B888" s="254"/>
      <c r="C888" s="255"/>
      <c r="D888" s="255"/>
      <c r="E888" s="256"/>
      <c r="F888" s="245"/>
      <c r="G888" s="245"/>
      <c r="H888" s="245"/>
      <c r="I888" s="247"/>
      <c r="J888" s="13"/>
      <c r="K888" s="254"/>
      <c r="L888" s="255"/>
      <c r="M888" s="255"/>
      <c r="N888" s="256"/>
      <c r="O888" s="245"/>
      <c r="P888" s="245"/>
      <c r="Q888" s="245"/>
      <c r="R888" s="247"/>
    </row>
    <row r="889" spans="1:20" x14ac:dyDescent="0.2">
      <c r="A889" s="13" t="s">
        <v>23</v>
      </c>
      <c r="B889" s="33" t="s">
        <v>24</v>
      </c>
      <c r="C889" s="15"/>
      <c r="D889" s="15"/>
      <c r="E889" s="16"/>
      <c r="F889" s="34"/>
      <c r="G889" s="34"/>
      <c r="H889" s="35"/>
      <c r="I889" s="35"/>
      <c r="J889" s="13" t="s">
        <v>23</v>
      </c>
      <c r="K889" s="33" t="s">
        <v>24</v>
      </c>
      <c r="L889" s="15"/>
      <c r="M889" s="15"/>
      <c r="N889" s="16"/>
      <c r="O889" s="34"/>
      <c r="P889" s="34"/>
      <c r="Q889" s="35"/>
      <c r="R889" s="35"/>
    </row>
    <row r="890" spans="1:20" x14ac:dyDescent="0.2">
      <c r="A890" s="13"/>
      <c r="B890" s="18"/>
      <c r="C890" s="19"/>
      <c r="D890" s="19"/>
      <c r="E890" s="20"/>
      <c r="F890" s="22"/>
      <c r="G890" s="22"/>
      <c r="H890" s="23"/>
      <c r="I890" s="23"/>
      <c r="J890" s="13"/>
      <c r="K890" s="18"/>
      <c r="L890" s="19"/>
      <c r="M890" s="19"/>
      <c r="N890" s="20"/>
      <c r="O890" s="22"/>
      <c r="P890" s="22"/>
      <c r="Q890" s="23"/>
      <c r="R890" s="23"/>
    </row>
    <row r="891" spans="1:20" x14ac:dyDescent="0.2">
      <c r="A891" s="13"/>
      <c r="B891" s="18" t="s">
        <v>406</v>
      </c>
      <c r="C891" s="19"/>
      <c r="D891" s="19"/>
      <c r="E891" s="20"/>
      <c r="F891" s="22">
        <v>1</v>
      </c>
      <c r="G891" s="62">
        <v>4</v>
      </c>
      <c r="H891" s="37">
        <v>219.75</v>
      </c>
      <c r="I891" s="37">
        <f>G891*H891*F891</f>
        <v>879</v>
      </c>
      <c r="J891" s="13"/>
      <c r="K891" s="18" t="s">
        <v>403</v>
      </c>
      <c r="L891" s="19"/>
      <c r="M891" s="19"/>
      <c r="N891" s="20"/>
      <c r="O891" s="22">
        <v>1</v>
      </c>
      <c r="P891" s="23">
        <v>1</v>
      </c>
      <c r="Q891" s="37">
        <f>172</f>
        <v>172</v>
      </c>
      <c r="R891" s="37">
        <f>P891*Q891*O891</f>
        <v>172</v>
      </c>
      <c r="T891" s="7">
        <f>172*8</f>
        <v>1376</v>
      </c>
    </row>
    <row r="892" spans="1:20" x14ac:dyDescent="0.2">
      <c r="A892" s="13"/>
      <c r="B892" s="18" t="s">
        <v>1230</v>
      </c>
      <c r="C892" s="19"/>
      <c r="D892" s="19"/>
      <c r="E892" s="20"/>
      <c r="F892" s="22">
        <v>1</v>
      </c>
      <c r="G892" s="23">
        <v>8</v>
      </c>
      <c r="H892" s="37">
        <v>371</v>
      </c>
      <c r="I892" s="37">
        <f>G892*H892*F892</f>
        <v>2968</v>
      </c>
      <c r="J892" s="13"/>
      <c r="K892" s="18" t="s">
        <v>1169</v>
      </c>
      <c r="L892" s="19"/>
      <c r="M892" s="19"/>
      <c r="N892" s="20"/>
      <c r="O892" s="22">
        <v>1</v>
      </c>
      <c r="P892" s="23">
        <v>0.05</v>
      </c>
      <c r="Q892" s="37">
        <v>2450</v>
      </c>
      <c r="R892" s="37">
        <f>P892*Q892*O892</f>
        <v>122.5</v>
      </c>
    </row>
    <row r="893" spans="1:20" x14ac:dyDescent="0.2">
      <c r="A893" s="13"/>
      <c r="B893" s="18"/>
      <c r="C893" s="19"/>
      <c r="D893" s="19"/>
      <c r="E893" s="20"/>
      <c r="F893" s="22"/>
      <c r="G893" s="36"/>
      <c r="H893" s="37"/>
      <c r="I893" s="37"/>
      <c r="J893" s="13"/>
      <c r="K893" s="18" t="s">
        <v>471</v>
      </c>
      <c r="L893" s="19"/>
      <c r="M893" s="19"/>
      <c r="N893" s="20"/>
      <c r="O893" s="22">
        <v>1</v>
      </c>
      <c r="P893" s="23">
        <v>0.1</v>
      </c>
      <c r="Q893" s="37">
        <v>922</v>
      </c>
      <c r="R893" s="37">
        <f>P893*Q893*O893</f>
        <v>92.2</v>
      </c>
    </row>
    <row r="894" spans="1:20" x14ac:dyDescent="0.2">
      <c r="A894" s="13"/>
      <c r="F894" s="21"/>
      <c r="G894" s="21"/>
      <c r="H894" s="21"/>
      <c r="I894" s="37"/>
      <c r="J894" s="13"/>
      <c r="K894" s="18" t="s">
        <v>1231</v>
      </c>
      <c r="O894" s="22"/>
      <c r="P894" s="36"/>
      <c r="R894" s="37">
        <f>0.1*R886</f>
        <v>48.153999999999996</v>
      </c>
    </row>
    <row r="895" spans="1:20" x14ac:dyDescent="0.2">
      <c r="A895" s="13"/>
      <c r="B895" s="18"/>
      <c r="C895" s="19"/>
      <c r="D895" s="19"/>
      <c r="E895" s="20"/>
      <c r="F895" s="22"/>
      <c r="G895" s="36"/>
      <c r="H895" s="37"/>
      <c r="I895" s="37"/>
      <c r="J895" s="13"/>
      <c r="K895" s="18"/>
      <c r="L895" s="19"/>
      <c r="M895" s="19"/>
      <c r="N895" s="20"/>
      <c r="O895" s="22"/>
      <c r="P895" s="36"/>
      <c r="Q895" s="37"/>
      <c r="R895" s="37"/>
    </row>
    <row r="896" spans="1:20" x14ac:dyDescent="0.2">
      <c r="A896" s="13"/>
      <c r="B896" s="18"/>
      <c r="C896" s="19"/>
      <c r="D896" s="19"/>
      <c r="E896" s="20"/>
      <c r="F896" s="22"/>
      <c r="G896" s="36"/>
      <c r="H896" s="38"/>
      <c r="I896" s="38"/>
      <c r="J896" s="13"/>
      <c r="K896" s="18"/>
      <c r="L896" s="19"/>
      <c r="M896" s="19"/>
      <c r="N896" s="20"/>
      <c r="O896" s="22"/>
      <c r="P896" s="36"/>
      <c r="Q896" s="38"/>
      <c r="R896" s="38"/>
    </row>
    <row r="897" spans="1:18" x14ac:dyDescent="0.2">
      <c r="A897" s="13"/>
      <c r="B897" s="18"/>
      <c r="C897" s="19"/>
      <c r="D897" s="19"/>
      <c r="E897" s="20"/>
      <c r="F897" s="22"/>
      <c r="G897" s="36"/>
      <c r="H897" s="38"/>
      <c r="I897" s="38"/>
      <c r="J897" s="13"/>
      <c r="K897" s="18"/>
      <c r="L897" s="19"/>
      <c r="M897" s="19"/>
      <c r="N897" s="20"/>
      <c r="O897" s="22"/>
      <c r="P897" s="36"/>
      <c r="Q897" s="38"/>
      <c r="R897" s="38"/>
    </row>
    <row r="898" spans="1:18" x14ac:dyDescent="0.2">
      <c r="A898" s="13"/>
      <c r="B898" s="18"/>
      <c r="C898" s="19"/>
      <c r="D898" s="19"/>
      <c r="E898" s="20"/>
      <c r="F898" s="22"/>
      <c r="G898" s="36"/>
      <c r="H898" s="38"/>
      <c r="I898" s="38"/>
      <c r="J898" s="13"/>
      <c r="K898" s="18"/>
      <c r="L898" s="19"/>
      <c r="M898" s="19"/>
      <c r="N898" s="20"/>
      <c r="O898" s="22"/>
      <c r="P898" s="36"/>
      <c r="Q898" s="38"/>
      <c r="R898" s="38"/>
    </row>
    <row r="899" spans="1:18" x14ac:dyDescent="0.2">
      <c r="A899" s="13"/>
      <c r="B899" s="18"/>
      <c r="C899" s="19"/>
      <c r="D899" s="19"/>
      <c r="E899" s="20"/>
      <c r="F899" s="22"/>
      <c r="G899" s="36"/>
      <c r="H899" s="38"/>
      <c r="I899" s="38"/>
      <c r="J899" s="13"/>
      <c r="K899" s="18"/>
      <c r="L899" s="19"/>
      <c r="M899" s="19"/>
      <c r="N899" s="20"/>
      <c r="O899" s="22"/>
      <c r="P899" s="36"/>
      <c r="Q899" s="38"/>
      <c r="R899" s="38"/>
    </row>
    <row r="900" spans="1:18" x14ac:dyDescent="0.2">
      <c r="A900" s="13"/>
      <c r="B900" s="18"/>
      <c r="C900" s="19"/>
      <c r="D900" s="19"/>
      <c r="E900" s="20"/>
      <c r="F900" s="22"/>
      <c r="G900" s="36"/>
      <c r="H900" s="37"/>
      <c r="I900" s="37"/>
      <c r="J900" s="13"/>
      <c r="K900" s="18"/>
      <c r="L900" s="19"/>
      <c r="M900" s="19"/>
      <c r="N900" s="20"/>
      <c r="O900" s="22"/>
      <c r="P900" s="36"/>
      <c r="Q900" s="37"/>
      <c r="R900" s="37"/>
    </row>
    <row r="901" spans="1:18" x14ac:dyDescent="0.2">
      <c r="A901" s="13"/>
      <c r="B901" s="18"/>
      <c r="C901" s="19"/>
      <c r="D901" s="19"/>
      <c r="E901" s="20"/>
      <c r="F901" s="22"/>
      <c r="G901" s="36"/>
      <c r="H901" s="37"/>
      <c r="I901" s="37"/>
      <c r="J901" s="13"/>
      <c r="K901" s="18"/>
      <c r="L901" s="19"/>
      <c r="M901" s="19"/>
      <c r="N901" s="20"/>
      <c r="O901" s="22"/>
      <c r="P901" s="36"/>
      <c r="Q901" s="37"/>
      <c r="R901" s="37"/>
    </row>
    <row r="902" spans="1:18" x14ac:dyDescent="0.2">
      <c r="A902" s="13"/>
      <c r="B902" s="18"/>
      <c r="C902" s="19"/>
      <c r="D902" s="19"/>
      <c r="E902" s="20"/>
      <c r="F902" s="22"/>
      <c r="G902" s="36"/>
      <c r="H902" s="37"/>
      <c r="I902" s="37"/>
      <c r="J902" s="13"/>
      <c r="K902" s="18"/>
      <c r="L902" s="19"/>
      <c r="M902" s="19"/>
      <c r="N902" s="20"/>
      <c r="O902" s="22"/>
      <c r="P902" s="36"/>
      <c r="Q902" s="37"/>
      <c r="R902" s="37"/>
    </row>
    <row r="903" spans="1:18" x14ac:dyDescent="0.2">
      <c r="A903" s="13"/>
      <c r="B903" s="18"/>
      <c r="C903" s="19"/>
      <c r="D903" s="19"/>
      <c r="E903" s="20"/>
      <c r="F903" s="22"/>
      <c r="G903" s="22"/>
      <c r="H903" s="23"/>
      <c r="I903" s="23"/>
      <c r="J903" s="13"/>
      <c r="K903" s="18"/>
      <c r="L903" s="19"/>
      <c r="M903" s="19"/>
      <c r="N903" s="20"/>
      <c r="O903" s="22"/>
      <c r="P903" s="22"/>
      <c r="Q903" s="23"/>
      <c r="R903" s="23"/>
    </row>
    <row r="904" spans="1:18" x14ac:dyDescent="0.2">
      <c r="A904" s="13"/>
      <c r="B904" s="248" t="s">
        <v>30</v>
      </c>
      <c r="C904" s="249"/>
      <c r="D904" s="249"/>
      <c r="E904" s="250"/>
      <c r="F904" s="22"/>
      <c r="G904" s="22"/>
      <c r="H904" s="23"/>
      <c r="I904" s="23">
        <f>SUM(I891:I903)</f>
        <v>3847</v>
      </c>
      <c r="J904" s="13"/>
      <c r="K904" s="248" t="s">
        <v>30</v>
      </c>
      <c r="L904" s="249"/>
      <c r="M904" s="249"/>
      <c r="N904" s="250"/>
      <c r="O904" s="22"/>
      <c r="P904" s="22"/>
      <c r="Q904" s="23"/>
      <c r="R904" s="23">
        <f>SUM(R891:R903)</f>
        <v>434.85399999999998</v>
      </c>
    </row>
    <row r="905" spans="1:18" x14ac:dyDescent="0.2">
      <c r="A905" s="12" t="s">
        <v>31</v>
      </c>
      <c r="B905" s="260" t="s">
        <v>32</v>
      </c>
      <c r="C905" s="261"/>
      <c r="D905" s="261"/>
      <c r="E905" s="261"/>
      <c r="F905" s="151"/>
      <c r="G905" s="151"/>
      <c r="H905" s="40"/>
      <c r="I905" s="41">
        <f>SUM(I904+I886)</f>
        <v>5115.5599999999995</v>
      </c>
      <c r="J905" s="12" t="s">
        <v>31</v>
      </c>
      <c r="K905" s="260" t="s">
        <v>32</v>
      </c>
      <c r="L905" s="261"/>
      <c r="M905" s="261"/>
      <c r="N905" s="261"/>
      <c r="O905" s="39"/>
      <c r="P905" s="39"/>
      <c r="Q905" s="40"/>
      <c r="R905" s="41">
        <f>SUM(R904+R886)</f>
        <v>916.39400000000001</v>
      </c>
    </row>
    <row r="906" spans="1:18" x14ac:dyDescent="0.2">
      <c r="A906" s="13" t="s">
        <v>33</v>
      </c>
      <c r="B906" s="336">
        <f>E873</f>
        <v>1</v>
      </c>
      <c r="C906" s="337"/>
      <c r="D906" s="337"/>
      <c r="E906" s="337"/>
      <c r="F906" s="337"/>
      <c r="G906" s="337"/>
      <c r="H906" s="40"/>
      <c r="I906" s="41"/>
      <c r="J906" s="13" t="s">
        <v>33</v>
      </c>
      <c r="K906" s="338">
        <f>N873</f>
        <v>1.6</v>
      </c>
      <c r="L906" s="339"/>
      <c r="M906" s="339"/>
      <c r="N906" s="339"/>
      <c r="O906" s="339"/>
      <c r="P906" s="339"/>
      <c r="Q906" s="40"/>
      <c r="R906" s="41"/>
    </row>
    <row r="907" spans="1:18" x14ac:dyDescent="0.2">
      <c r="A907" s="13" t="s">
        <v>34</v>
      </c>
      <c r="B907" s="155" t="s">
        <v>35</v>
      </c>
      <c r="C907" s="43"/>
      <c r="D907" s="43"/>
      <c r="E907" s="151"/>
      <c r="F907" s="156"/>
      <c r="G907" s="156"/>
      <c r="H907" s="40"/>
      <c r="I907" s="41">
        <f>I905/E873</f>
        <v>5115.5599999999995</v>
      </c>
      <c r="J907" s="13" t="s">
        <v>34</v>
      </c>
      <c r="K907" s="42" t="s">
        <v>35</v>
      </c>
      <c r="L907" s="43"/>
      <c r="M907" s="43"/>
      <c r="N907" s="39"/>
      <c r="O907" s="44"/>
      <c r="P907" s="44"/>
      <c r="Q907" s="40"/>
      <c r="R907" s="41">
        <f>R905/N873</f>
        <v>572.74624999999992</v>
      </c>
    </row>
    <row r="908" spans="1:18" x14ac:dyDescent="0.2">
      <c r="A908" s="12"/>
      <c r="B908" s="251" t="s">
        <v>36</v>
      </c>
      <c r="C908" s="252"/>
      <c r="D908" s="252"/>
      <c r="E908" s="253"/>
      <c r="F908" s="244" t="s">
        <v>37</v>
      </c>
      <c r="G908" s="244" t="s">
        <v>38</v>
      </c>
      <c r="H908" s="244" t="s">
        <v>39</v>
      </c>
      <c r="I908" s="246" t="s">
        <v>15</v>
      </c>
      <c r="J908" s="12"/>
      <c r="K908" s="251" t="s">
        <v>36</v>
      </c>
      <c r="L908" s="252"/>
      <c r="M908" s="252"/>
      <c r="N908" s="253"/>
      <c r="O908" s="244" t="s">
        <v>37</v>
      </c>
      <c r="P908" s="244" t="s">
        <v>38</v>
      </c>
      <c r="Q908" s="244" t="s">
        <v>39</v>
      </c>
      <c r="R908" s="246" t="s">
        <v>15</v>
      </c>
    </row>
    <row r="909" spans="1:18" x14ac:dyDescent="0.2">
      <c r="A909" s="13"/>
      <c r="B909" s="254"/>
      <c r="C909" s="255"/>
      <c r="D909" s="255"/>
      <c r="E909" s="256"/>
      <c r="F909" s="245"/>
      <c r="G909" s="245"/>
      <c r="H909" s="245"/>
      <c r="I909" s="247"/>
      <c r="J909" s="13"/>
      <c r="K909" s="254"/>
      <c r="L909" s="255"/>
      <c r="M909" s="255"/>
      <c r="N909" s="256"/>
      <c r="O909" s="245"/>
      <c r="P909" s="245"/>
      <c r="Q909" s="245"/>
      <c r="R909" s="247"/>
    </row>
    <row r="910" spans="1:18" x14ac:dyDescent="0.2">
      <c r="A910" s="13" t="s">
        <v>40</v>
      </c>
      <c r="B910" s="18" t="s">
        <v>41</v>
      </c>
      <c r="C910" s="19"/>
      <c r="D910" s="19"/>
      <c r="E910" s="20"/>
      <c r="F910" s="22"/>
      <c r="G910" s="22"/>
      <c r="H910" s="23"/>
      <c r="I910" s="23"/>
      <c r="J910" s="13" t="s">
        <v>40</v>
      </c>
      <c r="K910" s="18" t="s">
        <v>41</v>
      </c>
      <c r="L910" s="19"/>
      <c r="M910" s="19"/>
      <c r="N910" s="20"/>
      <c r="O910" s="22"/>
      <c r="P910" s="22"/>
      <c r="Q910" s="23"/>
      <c r="R910" s="23"/>
    </row>
    <row r="911" spans="1:18" x14ac:dyDescent="0.2">
      <c r="A911" s="13"/>
      <c r="B911" s="18"/>
      <c r="C911" s="19"/>
      <c r="D911" s="19"/>
      <c r="E911" s="20"/>
      <c r="F911" s="22"/>
      <c r="G911" s="22"/>
      <c r="H911" s="23"/>
      <c r="I911" s="23"/>
      <c r="J911" s="13"/>
      <c r="K911" s="18"/>
      <c r="L911" s="19"/>
      <c r="M911" s="19"/>
      <c r="N911" s="20"/>
      <c r="O911" s="22"/>
      <c r="P911" s="22"/>
      <c r="Q911" s="23"/>
      <c r="R911" s="23"/>
    </row>
    <row r="912" spans="1:18" x14ac:dyDescent="0.2">
      <c r="A912" s="13"/>
      <c r="B912" s="18" t="s">
        <v>522</v>
      </c>
      <c r="C912" s="19"/>
      <c r="D912" s="19"/>
      <c r="E912" s="20"/>
      <c r="F912" s="22" t="s">
        <v>77</v>
      </c>
      <c r="G912" s="70">
        <v>127.066</v>
      </c>
      <c r="H912" s="107">
        <v>48</v>
      </c>
      <c r="I912" s="23">
        <f>G912*H912</f>
        <v>6099.1679999999997</v>
      </c>
      <c r="J912" s="13"/>
      <c r="K912" s="18" t="s">
        <v>234</v>
      </c>
      <c r="L912" s="19"/>
      <c r="M912" s="19"/>
      <c r="N912" s="20"/>
      <c r="O912" s="22" t="s">
        <v>227</v>
      </c>
      <c r="P912" s="62">
        <v>5.5</v>
      </c>
      <c r="Q912" s="23">
        <v>240</v>
      </c>
      <c r="R912" s="23">
        <f t="shared" ref="R912:R917" si="5">Q912*P912</f>
        <v>1320</v>
      </c>
    </row>
    <row r="913" spans="1:18" x14ac:dyDescent="0.2">
      <c r="A913" s="13"/>
      <c r="B913" s="18" t="s">
        <v>524</v>
      </c>
      <c r="C913" s="19"/>
      <c r="D913" s="19"/>
      <c r="E913" s="20"/>
      <c r="F913" s="22" t="s">
        <v>77</v>
      </c>
      <c r="G913" s="22">
        <v>3.1739999999999999</v>
      </c>
      <c r="H913" s="107">
        <v>48</v>
      </c>
      <c r="I913" s="23">
        <f>G913*H913</f>
        <v>152.352</v>
      </c>
      <c r="J913" s="13"/>
      <c r="K913" s="18" t="s">
        <v>426</v>
      </c>
      <c r="L913" s="19"/>
      <c r="M913" s="19"/>
      <c r="N913" s="20"/>
      <c r="O913" s="22" t="s">
        <v>9</v>
      </c>
      <c r="P913" s="62">
        <v>0.3</v>
      </c>
      <c r="Q913" s="23">
        <v>500</v>
      </c>
      <c r="R913" s="23">
        <f t="shared" si="5"/>
        <v>150</v>
      </c>
    </row>
    <row r="914" spans="1:18" x14ac:dyDescent="0.2">
      <c r="A914" s="13"/>
      <c r="B914" s="18" t="s">
        <v>525</v>
      </c>
      <c r="C914" s="19"/>
      <c r="D914" s="19"/>
      <c r="E914" s="20"/>
      <c r="F914" s="22" t="s">
        <v>77</v>
      </c>
      <c r="G914" s="62">
        <v>41.64</v>
      </c>
      <c r="H914" s="107">
        <v>48</v>
      </c>
      <c r="I914" s="23">
        <f>G914*H914</f>
        <v>1998.72</v>
      </c>
      <c r="J914" s="13"/>
      <c r="K914" s="18" t="s">
        <v>485</v>
      </c>
      <c r="L914" s="19"/>
      <c r="M914" s="19"/>
      <c r="N914" s="20"/>
      <c r="O914" s="22" t="s">
        <v>9</v>
      </c>
      <c r="P914" s="62">
        <v>0.02</v>
      </c>
      <c r="Q914" s="23">
        <v>600</v>
      </c>
      <c r="R914" s="23">
        <f t="shared" si="5"/>
        <v>12</v>
      </c>
    </row>
    <row r="915" spans="1:18" x14ac:dyDescent="0.2">
      <c r="A915" s="13"/>
      <c r="B915" s="18" t="s">
        <v>526</v>
      </c>
      <c r="C915" s="19"/>
      <c r="D915" s="19"/>
      <c r="E915" s="20"/>
      <c r="F915" s="22" t="s">
        <v>77</v>
      </c>
      <c r="G915" s="22">
        <f>ROUND((G912+G913+G914)/2000,3)</f>
        <v>8.5999999999999993E-2</v>
      </c>
      <c r="H915" s="107">
        <v>90</v>
      </c>
      <c r="I915" s="23">
        <f>G915*H915</f>
        <v>7.7399999999999993</v>
      </c>
      <c r="J915" s="13"/>
      <c r="K915" s="18" t="s">
        <v>486</v>
      </c>
      <c r="L915" s="19"/>
      <c r="M915" s="19"/>
      <c r="N915" s="20"/>
      <c r="O915" s="22" t="s">
        <v>1153</v>
      </c>
      <c r="P915" s="62">
        <v>0.3</v>
      </c>
      <c r="Q915" s="23">
        <v>195</v>
      </c>
      <c r="R915" s="23">
        <f t="shared" si="5"/>
        <v>58.5</v>
      </c>
    </row>
    <row r="916" spans="1:18" x14ac:dyDescent="0.2">
      <c r="A916" s="13"/>
      <c r="B916" s="18"/>
      <c r="C916" s="19"/>
      <c r="D916" s="19"/>
      <c r="E916" s="20"/>
      <c r="F916" s="22"/>
      <c r="G916" s="22"/>
      <c r="H916" s="45"/>
      <c r="I916" s="23"/>
      <c r="J916" s="13"/>
      <c r="K916" s="18" t="s">
        <v>487</v>
      </c>
      <c r="L916" s="19"/>
      <c r="M916" s="19"/>
      <c r="N916" s="20"/>
      <c r="O916" s="22" t="s">
        <v>8</v>
      </c>
      <c r="P916" s="70">
        <v>1.4999999999999999E-2</v>
      </c>
      <c r="Q916" s="23">
        <v>160</v>
      </c>
      <c r="R916" s="23">
        <f t="shared" si="5"/>
        <v>2.4</v>
      </c>
    </row>
    <row r="917" spans="1:18" x14ac:dyDescent="0.2">
      <c r="A917" s="13"/>
      <c r="B917" s="18"/>
      <c r="C917" s="19"/>
      <c r="D917" s="19"/>
      <c r="E917" s="20"/>
      <c r="F917" s="22"/>
      <c r="G917" s="22"/>
      <c r="H917" s="45"/>
      <c r="I917" s="45"/>
      <c r="J917" s="13"/>
      <c r="K917" s="18" t="s">
        <v>531</v>
      </c>
      <c r="L917" s="19"/>
      <c r="M917" s="19"/>
      <c r="N917" s="20"/>
      <c r="O917" s="22" t="s">
        <v>9</v>
      </c>
      <c r="P917" s="62">
        <v>1.05</v>
      </c>
      <c r="Q917" s="60">
        <v>560</v>
      </c>
      <c r="R917" s="23">
        <f t="shared" si="5"/>
        <v>588</v>
      </c>
    </row>
    <row r="918" spans="1:18" x14ac:dyDescent="0.2">
      <c r="A918" s="13"/>
      <c r="B918" s="18"/>
      <c r="C918" s="19"/>
      <c r="D918" s="19"/>
      <c r="E918" s="20"/>
      <c r="F918" s="22"/>
      <c r="G918" s="22"/>
      <c r="H918" s="23"/>
      <c r="I918" s="23"/>
      <c r="J918" s="13"/>
      <c r="K918" s="18" t="s">
        <v>1200</v>
      </c>
      <c r="L918" s="19"/>
      <c r="M918" s="19"/>
      <c r="N918" s="20"/>
      <c r="O918" s="22"/>
      <c r="P918" s="22"/>
      <c r="R918" s="23">
        <f>(R912+R913+R914+R915+R916+R917)*0.01</f>
        <v>21.309000000000001</v>
      </c>
    </row>
    <row r="919" spans="1:18" x14ac:dyDescent="0.2">
      <c r="A919" s="13"/>
      <c r="B919" s="18"/>
      <c r="C919" s="19"/>
      <c r="D919" s="19"/>
      <c r="E919" s="20"/>
      <c r="F919" s="22"/>
      <c r="G919" s="22"/>
      <c r="H919" s="23"/>
      <c r="I919" s="23"/>
      <c r="J919" s="13"/>
      <c r="K919" s="18"/>
      <c r="L919" s="19"/>
      <c r="M919" s="19"/>
      <c r="N919" s="20"/>
      <c r="O919" s="22"/>
      <c r="P919" s="22"/>
      <c r="Q919" s="23"/>
      <c r="R919" s="23"/>
    </row>
    <row r="920" spans="1:18" x14ac:dyDescent="0.2">
      <c r="A920" s="13"/>
      <c r="B920" s="18"/>
      <c r="C920" s="19"/>
      <c r="D920" s="19"/>
      <c r="E920" s="20"/>
      <c r="F920" s="22"/>
      <c r="G920" s="22"/>
      <c r="H920" s="23"/>
      <c r="I920" s="23"/>
      <c r="J920" s="13"/>
      <c r="K920" s="18"/>
      <c r="L920" s="19"/>
      <c r="M920" s="19"/>
      <c r="N920" s="20"/>
      <c r="O920" s="22"/>
      <c r="P920" s="22"/>
      <c r="Q920" s="23"/>
      <c r="R920" s="23"/>
    </row>
    <row r="921" spans="1:18" x14ac:dyDescent="0.2">
      <c r="A921" s="13"/>
      <c r="B921" s="18"/>
      <c r="C921" s="19"/>
      <c r="D921" s="19"/>
      <c r="E921" s="20"/>
      <c r="F921" s="22"/>
      <c r="G921" s="22"/>
      <c r="H921" s="23"/>
      <c r="I921" s="23"/>
      <c r="J921" s="13"/>
      <c r="K921" s="18"/>
      <c r="L921" s="19"/>
      <c r="M921" s="19"/>
      <c r="N921" s="20"/>
      <c r="O921" s="22"/>
      <c r="P921" s="22"/>
      <c r="Q921" s="23"/>
      <c r="R921" s="23"/>
    </row>
    <row r="922" spans="1:18" x14ac:dyDescent="0.2">
      <c r="A922" s="13"/>
      <c r="B922" s="18"/>
      <c r="C922" s="19"/>
      <c r="D922" s="19"/>
      <c r="E922" s="20"/>
      <c r="F922" s="22"/>
      <c r="G922" s="22"/>
      <c r="H922" s="23"/>
      <c r="I922" s="23"/>
      <c r="J922" s="13"/>
      <c r="K922" s="18"/>
      <c r="L922" s="19"/>
      <c r="M922" s="19"/>
      <c r="N922" s="20"/>
      <c r="O922" s="22"/>
      <c r="P922" s="22"/>
      <c r="Q922" s="23"/>
      <c r="R922" s="23"/>
    </row>
    <row r="923" spans="1:18" x14ac:dyDescent="0.2">
      <c r="A923" s="13"/>
      <c r="B923" s="18"/>
      <c r="C923" s="19"/>
      <c r="D923" s="19"/>
      <c r="E923" s="20"/>
      <c r="F923" s="22"/>
      <c r="G923" s="22"/>
      <c r="H923" s="23"/>
      <c r="I923" s="23"/>
      <c r="J923" s="13"/>
      <c r="K923" s="18"/>
      <c r="L923" s="19"/>
      <c r="M923" s="19"/>
      <c r="N923" s="20"/>
      <c r="O923" s="22"/>
      <c r="P923" s="22"/>
      <c r="Q923" s="23"/>
      <c r="R923" s="23"/>
    </row>
    <row r="924" spans="1:18" x14ac:dyDescent="0.2">
      <c r="A924" s="13"/>
      <c r="B924" s="18"/>
      <c r="C924" s="19"/>
      <c r="D924" s="19"/>
      <c r="E924" s="20"/>
      <c r="F924" s="22"/>
      <c r="G924" s="36"/>
      <c r="H924" s="37"/>
      <c r="I924" s="37"/>
      <c r="J924" s="13"/>
      <c r="K924" s="18"/>
      <c r="L924" s="19"/>
      <c r="M924" s="19"/>
      <c r="N924" s="20"/>
      <c r="O924" s="22"/>
      <c r="P924" s="36"/>
      <c r="Q924" s="37"/>
      <c r="R924" s="37"/>
    </row>
    <row r="925" spans="1:18" x14ac:dyDescent="0.2">
      <c r="A925" s="13"/>
      <c r="B925" s="248" t="s">
        <v>42</v>
      </c>
      <c r="C925" s="249"/>
      <c r="D925" s="249"/>
      <c r="E925" s="250"/>
      <c r="F925" s="46"/>
      <c r="G925" s="46"/>
      <c r="H925" s="47"/>
      <c r="I925" s="47">
        <f>SUM(I912:I924)</f>
        <v>8257.98</v>
      </c>
      <c r="J925" s="13"/>
      <c r="K925" s="248" t="s">
        <v>42</v>
      </c>
      <c r="L925" s="249"/>
      <c r="M925" s="249"/>
      <c r="N925" s="250"/>
      <c r="O925" s="46"/>
      <c r="P925" s="46"/>
      <c r="Q925" s="47"/>
      <c r="R925" s="47">
        <f>SUM(R912:R924)</f>
        <v>2152.2090000000003</v>
      </c>
    </row>
    <row r="926" spans="1:18" x14ac:dyDescent="0.2">
      <c r="A926" s="12" t="s">
        <v>43</v>
      </c>
      <c r="B926" s="48" t="s">
        <v>44</v>
      </c>
      <c r="C926" s="43"/>
      <c r="D926" s="43"/>
      <c r="E926" s="151"/>
      <c r="F926" s="49"/>
      <c r="G926" s="49"/>
      <c r="H926" s="50"/>
      <c r="I926" s="51">
        <f>SUM(I907+I925)</f>
        <v>13373.539999999999</v>
      </c>
      <c r="J926" s="12" t="s">
        <v>43</v>
      </c>
      <c r="K926" s="48" t="s">
        <v>44</v>
      </c>
      <c r="L926" s="43"/>
      <c r="M926" s="43"/>
      <c r="N926" s="39"/>
      <c r="O926" s="49"/>
      <c r="P926" s="49"/>
      <c r="Q926" s="50"/>
      <c r="R926" s="51">
        <f>SUM(R907+R925)</f>
        <v>2724.95525</v>
      </c>
    </row>
    <row r="927" spans="1:18" x14ac:dyDescent="0.2">
      <c r="A927" s="13" t="s">
        <v>45</v>
      </c>
      <c r="B927" s="48" t="s">
        <v>46</v>
      </c>
      <c r="C927" s="43"/>
      <c r="D927" s="43"/>
      <c r="E927" s="151"/>
      <c r="F927" s="49"/>
      <c r="G927" s="52">
        <v>0.09</v>
      </c>
      <c r="H927" s="53" t="s">
        <v>47</v>
      </c>
      <c r="I927" s="51">
        <f>G927*I926</f>
        <v>1203.6185999999998</v>
      </c>
      <c r="J927" s="13" t="s">
        <v>45</v>
      </c>
      <c r="K927" s="48" t="s">
        <v>46</v>
      </c>
      <c r="L927" s="43"/>
      <c r="M927" s="43"/>
      <c r="N927" s="39"/>
      <c r="O927" s="49"/>
      <c r="P927" s="52">
        <v>0.09</v>
      </c>
      <c r="Q927" s="53" t="s">
        <v>47</v>
      </c>
      <c r="R927" s="51">
        <f>P927*R926</f>
        <v>245.24597249999999</v>
      </c>
    </row>
    <row r="928" spans="1:18" x14ac:dyDescent="0.2">
      <c r="A928" s="13" t="s">
        <v>48</v>
      </c>
      <c r="B928" s="48" t="s">
        <v>49</v>
      </c>
      <c r="C928" s="43"/>
      <c r="D928" s="43"/>
      <c r="E928" s="151"/>
      <c r="F928" s="49"/>
      <c r="G928" s="52">
        <v>0.08</v>
      </c>
      <c r="H928" s="53" t="s">
        <v>47</v>
      </c>
      <c r="I928" s="51">
        <f>G928*I926</f>
        <v>1069.8832</v>
      </c>
      <c r="J928" s="13" t="s">
        <v>48</v>
      </c>
      <c r="K928" s="48" t="s">
        <v>49</v>
      </c>
      <c r="L928" s="43"/>
      <c r="M928" s="43"/>
      <c r="N928" s="39"/>
      <c r="O928" s="49"/>
      <c r="P928" s="52">
        <v>0.08</v>
      </c>
      <c r="Q928" s="53" t="s">
        <v>47</v>
      </c>
      <c r="R928" s="51">
        <f>P928*R926</f>
        <v>217.99642</v>
      </c>
    </row>
    <row r="929" spans="1:18" x14ac:dyDescent="0.2">
      <c r="A929" s="13" t="s">
        <v>50</v>
      </c>
      <c r="B929" s="48" t="s">
        <v>51</v>
      </c>
      <c r="C929" s="43"/>
      <c r="D929" s="43"/>
      <c r="E929" s="151"/>
      <c r="F929" s="49"/>
      <c r="G929" s="52">
        <v>0.05</v>
      </c>
      <c r="H929" s="53" t="s">
        <v>52</v>
      </c>
      <c r="I929" s="51">
        <f>G929*(I926+I927+I928)</f>
        <v>782.35208999999998</v>
      </c>
      <c r="J929" s="13" t="s">
        <v>50</v>
      </c>
      <c r="K929" s="48" t="s">
        <v>51</v>
      </c>
      <c r="L929" s="43"/>
      <c r="M929" s="43"/>
      <c r="N929" s="39"/>
      <c r="O929" s="49"/>
      <c r="P929" s="52">
        <f>5/100</f>
        <v>0.05</v>
      </c>
      <c r="Q929" s="53" t="s">
        <v>52</v>
      </c>
      <c r="R929" s="51">
        <f>P929*(R926+R927+R928)</f>
        <v>159.409882125</v>
      </c>
    </row>
    <row r="930" spans="1:18" x14ac:dyDescent="0.2">
      <c r="A930" s="54" t="s">
        <v>53</v>
      </c>
      <c r="B930" s="48" t="s">
        <v>54</v>
      </c>
      <c r="C930" s="43"/>
      <c r="D930" s="43"/>
      <c r="E930" s="151"/>
      <c r="F930" s="49"/>
      <c r="G930" s="49"/>
      <c r="H930" s="55" t="s">
        <v>55</v>
      </c>
      <c r="I930" s="51">
        <f>SUM(I926+I927+I928+I929)</f>
        <v>16429.393889999999</v>
      </c>
      <c r="J930" s="54" t="s">
        <v>53</v>
      </c>
      <c r="K930" s="48" t="s">
        <v>54</v>
      </c>
      <c r="L930" s="43"/>
      <c r="M930" s="43"/>
      <c r="N930" s="39"/>
      <c r="O930" s="49"/>
      <c r="P930" s="49"/>
      <c r="Q930" s="55" t="s">
        <v>55</v>
      </c>
      <c r="R930" s="51">
        <f>SUM(R926+R927+R928+R929)</f>
        <v>3347.6075246249998</v>
      </c>
    </row>
    <row r="931" spans="1:18" s="1" customFormat="1" x14ac:dyDescent="0.2">
      <c r="A931" s="236" t="s">
        <v>0</v>
      </c>
      <c r="B931" s="236"/>
      <c r="C931" s="236"/>
      <c r="D931" s="236"/>
      <c r="E931" s="236"/>
      <c r="F931" s="236"/>
      <c r="G931" s="236"/>
      <c r="H931" s="236"/>
      <c r="I931" s="236"/>
      <c r="J931" s="236" t="s">
        <v>0</v>
      </c>
      <c r="K931" s="236"/>
      <c r="L931" s="236"/>
      <c r="M931" s="236"/>
      <c r="N931" s="236"/>
      <c r="O931" s="236"/>
      <c r="P931" s="236"/>
      <c r="Q931" s="236"/>
      <c r="R931" s="236"/>
    </row>
    <row r="933" spans="1:18" x14ac:dyDescent="0.2">
      <c r="A933" s="158" t="s">
        <v>1</v>
      </c>
      <c r="C933" s="4" t="s">
        <v>2</v>
      </c>
      <c r="D933" s="5" t="s">
        <v>532</v>
      </c>
      <c r="E933" s="158" t="s">
        <v>533</v>
      </c>
      <c r="F933" s="158"/>
      <c r="G933" s="158"/>
      <c r="H933" s="158"/>
      <c r="J933" s="2" t="s">
        <v>1</v>
      </c>
      <c r="L933" s="4" t="s">
        <v>2</v>
      </c>
      <c r="M933" s="5">
        <v>507</v>
      </c>
      <c r="N933" s="237" t="s">
        <v>534</v>
      </c>
      <c r="O933" s="237"/>
      <c r="P933" s="237"/>
      <c r="Q933" s="237"/>
    </row>
    <row r="934" spans="1:18" x14ac:dyDescent="0.2">
      <c r="A934" s="158" t="s">
        <v>7</v>
      </c>
      <c r="C934" s="4" t="s">
        <v>2</v>
      </c>
      <c r="E934" s="158" t="s">
        <v>1153</v>
      </c>
      <c r="F934" s="8"/>
      <c r="G934" s="8"/>
      <c r="H934" s="8"/>
      <c r="J934" s="2" t="s">
        <v>7</v>
      </c>
      <c r="L934" s="4" t="s">
        <v>2</v>
      </c>
      <c r="N934" s="2" t="s">
        <v>9</v>
      </c>
      <c r="O934" s="8"/>
      <c r="P934" s="8"/>
      <c r="Q934" s="8"/>
    </row>
    <row r="935" spans="1:18" x14ac:dyDescent="0.2">
      <c r="A935" s="158" t="s">
        <v>10</v>
      </c>
      <c r="C935" s="4" t="s">
        <v>2</v>
      </c>
      <c r="E935" s="9">
        <v>1</v>
      </c>
      <c r="F935" s="8"/>
      <c r="G935" s="8"/>
      <c r="H935" s="8"/>
      <c r="J935" s="2" t="s">
        <v>10</v>
      </c>
      <c r="L935" s="4" t="s">
        <v>2</v>
      </c>
      <c r="N935" s="9">
        <v>1.4</v>
      </c>
      <c r="O935" s="8"/>
      <c r="P935" s="8"/>
      <c r="Q935" s="8"/>
    </row>
    <row r="936" spans="1:18" x14ac:dyDescent="0.2">
      <c r="B936" s="8"/>
      <c r="F936" s="11"/>
      <c r="G936" s="8"/>
      <c r="H936" s="8"/>
      <c r="I936" s="8"/>
      <c r="K936" s="8"/>
      <c r="O936" s="11"/>
      <c r="P936" s="8"/>
      <c r="Q936" s="8"/>
      <c r="R936" s="8"/>
    </row>
    <row r="937" spans="1:18" x14ac:dyDescent="0.2">
      <c r="A937" s="12"/>
      <c r="B937" s="238" t="s">
        <v>11</v>
      </c>
      <c r="C937" s="239"/>
      <c r="D937" s="239"/>
      <c r="E937" s="240"/>
      <c r="F937" s="244" t="s">
        <v>12</v>
      </c>
      <c r="G937" s="244" t="s">
        <v>13</v>
      </c>
      <c r="H937" s="244" t="s">
        <v>14</v>
      </c>
      <c r="I937" s="246" t="s">
        <v>15</v>
      </c>
      <c r="J937" s="12"/>
      <c r="K937" s="238" t="s">
        <v>11</v>
      </c>
      <c r="L937" s="239"/>
      <c r="M937" s="239"/>
      <c r="N937" s="240"/>
      <c r="O937" s="244" t="s">
        <v>12</v>
      </c>
      <c r="P937" s="244" t="s">
        <v>13</v>
      </c>
      <c r="Q937" s="244" t="s">
        <v>14</v>
      </c>
      <c r="R937" s="246" t="s">
        <v>15</v>
      </c>
    </row>
    <row r="938" spans="1:18" x14ac:dyDescent="0.2">
      <c r="A938" s="13"/>
      <c r="B938" s="241"/>
      <c r="C938" s="242"/>
      <c r="D938" s="242"/>
      <c r="E938" s="243"/>
      <c r="F938" s="245"/>
      <c r="G938" s="245"/>
      <c r="H938" s="245"/>
      <c r="I938" s="247"/>
      <c r="J938" s="13"/>
      <c r="K938" s="241"/>
      <c r="L938" s="242"/>
      <c r="M938" s="242"/>
      <c r="N938" s="243"/>
      <c r="O938" s="245"/>
      <c r="P938" s="245"/>
      <c r="Q938" s="245"/>
      <c r="R938" s="247"/>
    </row>
    <row r="939" spans="1:18" x14ac:dyDescent="0.2">
      <c r="A939" s="13" t="s">
        <v>16</v>
      </c>
      <c r="B939" s="14" t="s">
        <v>17</v>
      </c>
      <c r="C939" s="15"/>
      <c r="D939" s="15"/>
      <c r="E939" s="16"/>
      <c r="F939" s="17"/>
      <c r="G939" s="17"/>
      <c r="H939" s="17"/>
      <c r="I939" s="17"/>
      <c r="J939" s="13" t="s">
        <v>16</v>
      </c>
      <c r="K939" s="14" t="s">
        <v>17</v>
      </c>
      <c r="L939" s="15"/>
      <c r="M939" s="15"/>
      <c r="N939" s="16"/>
      <c r="O939" s="17"/>
      <c r="P939" s="17"/>
      <c r="Q939" s="17"/>
      <c r="R939" s="17"/>
    </row>
    <row r="940" spans="1:18" x14ac:dyDescent="0.2">
      <c r="A940" s="13"/>
      <c r="B940" s="18"/>
      <c r="C940" s="19"/>
      <c r="D940" s="19"/>
      <c r="E940" s="20"/>
      <c r="F940" s="21"/>
      <c r="G940" s="22"/>
      <c r="H940" s="21"/>
      <c r="I940" s="21"/>
      <c r="J940" s="13"/>
      <c r="K940" s="18"/>
      <c r="L940" s="19"/>
      <c r="M940" s="19"/>
      <c r="N940" s="20"/>
      <c r="O940" s="21"/>
      <c r="P940" s="22"/>
      <c r="Q940" s="21"/>
      <c r="R940" s="21"/>
    </row>
    <row r="941" spans="1:18" x14ac:dyDescent="0.2">
      <c r="A941" s="13"/>
      <c r="B941" s="24" t="s">
        <v>18</v>
      </c>
      <c r="C941" s="25"/>
      <c r="D941" s="25"/>
      <c r="E941" s="26"/>
      <c r="F941" s="22">
        <v>1</v>
      </c>
      <c r="G941" s="23">
        <v>0.33</v>
      </c>
      <c r="H941" s="23">
        <v>69.42</v>
      </c>
      <c r="I941" s="23">
        <f>G941*H941*F941</f>
        <v>22.908600000000003</v>
      </c>
      <c r="J941" s="13"/>
      <c r="K941" s="24" t="s">
        <v>18</v>
      </c>
      <c r="L941" s="25"/>
      <c r="M941" s="25"/>
      <c r="N941" s="26"/>
      <c r="O941" s="22">
        <v>1</v>
      </c>
      <c r="P941" s="23">
        <v>1</v>
      </c>
      <c r="Q941" s="23">
        <v>69.42</v>
      </c>
      <c r="R941" s="23">
        <f>P941*Q941*O941</f>
        <v>69.42</v>
      </c>
    </row>
    <row r="942" spans="1:18" x14ac:dyDescent="0.2">
      <c r="A942" s="13"/>
      <c r="B942" s="257" t="s">
        <v>1178</v>
      </c>
      <c r="C942" s="258"/>
      <c r="D942" s="25"/>
      <c r="E942" s="26"/>
      <c r="F942" s="22">
        <v>2</v>
      </c>
      <c r="G942" s="23">
        <v>0.33</v>
      </c>
      <c r="H942" s="23">
        <v>50.18</v>
      </c>
      <c r="I942" s="23">
        <f>G942*H942*F942</f>
        <v>33.1188</v>
      </c>
      <c r="J942" s="13"/>
      <c r="K942" s="257" t="s">
        <v>1178</v>
      </c>
      <c r="L942" s="258"/>
      <c r="M942" s="25"/>
      <c r="N942" s="26"/>
      <c r="O942" s="22">
        <v>2</v>
      </c>
      <c r="P942" s="23">
        <v>1</v>
      </c>
      <c r="Q942" s="23">
        <v>50.18</v>
      </c>
      <c r="R942" s="23">
        <f>P942*Q942*O942</f>
        <v>100.36</v>
      </c>
    </row>
    <row r="943" spans="1:18" x14ac:dyDescent="0.2">
      <c r="A943" s="13"/>
      <c r="B943" s="257" t="s">
        <v>1177</v>
      </c>
      <c r="C943" s="258"/>
      <c r="D943" s="19"/>
      <c r="E943" s="20"/>
      <c r="F943" s="22">
        <v>4</v>
      </c>
      <c r="G943" s="23">
        <v>0.33</v>
      </c>
      <c r="H943" s="23">
        <v>38.97</v>
      </c>
      <c r="I943" s="23">
        <f>G943*H943*F943</f>
        <v>51.440400000000004</v>
      </c>
      <c r="J943" s="13"/>
      <c r="K943" s="257" t="s">
        <v>1177</v>
      </c>
      <c r="L943" s="258"/>
      <c r="M943" s="19"/>
      <c r="N943" s="20"/>
      <c r="O943" s="22">
        <v>8</v>
      </c>
      <c r="P943" s="23">
        <v>1</v>
      </c>
      <c r="Q943" s="23">
        <v>38.97</v>
      </c>
      <c r="R943" s="23">
        <f>P943*Q943*O943</f>
        <v>311.76</v>
      </c>
    </row>
    <row r="944" spans="1:18" x14ac:dyDescent="0.2">
      <c r="A944" s="13"/>
      <c r="B944" s="159"/>
      <c r="C944" s="19"/>
      <c r="D944" s="19"/>
      <c r="E944" s="20"/>
      <c r="F944" s="22"/>
      <c r="G944" s="22"/>
      <c r="H944" s="29"/>
      <c r="I944" s="30"/>
      <c r="J944" s="13"/>
      <c r="K944" s="27"/>
      <c r="L944" s="19"/>
      <c r="M944" s="19"/>
      <c r="N944" s="20"/>
      <c r="O944" s="22"/>
      <c r="P944" s="22"/>
      <c r="Q944" s="29"/>
      <c r="R944" s="30"/>
    </row>
    <row r="945" spans="1:18" x14ac:dyDescent="0.2">
      <c r="A945" s="13"/>
      <c r="B945" s="159"/>
      <c r="C945" s="19"/>
      <c r="D945" s="19"/>
      <c r="E945" s="20"/>
      <c r="F945" s="22"/>
      <c r="G945" s="22"/>
      <c r="H945" s="29"/>
      <c r="I945" s="30"/>
      <c r="J945" s="13"/>
      <c r="K945" s="27"/>
      <c r="L945" s="19"/>
      <c r="M945" s="19"/>
      <c r="N945" s="20"/>
      <c r="O945" s="22"/>
      <c r="P945" s="22"/>
      <c r="Q945" s="29"/>
      <c r="R945" s="30"/>
    </row>
    <row r="946" spans="1:18" x14ac:dyDescent="0.2">
      <c r="A946" s="13"/>
      <c r="B946" s="18"/>
      <c r="C946" s="19"/>
      <c r="D946" s="19"/>
      <c r="E946" s="20"/>
      <c r="F946" s="22"/>
      <c r="G946" s="22"/>
      <c r="H946" s="28"/>
      <c r="I946" s="23"/>
      <c r="J946" s="13"/>
      <c r="K946" s="18"/>
      <c r="L946" s="19"/>
      <c r="M946" s="19"/>
      <c r="N946" s="20"/>
      <c r="O946" s="22"/>
      <c r="P946" s="22"/>
      <c r="Q946" s="28"/>
      <c r="R946" s="23"/>
    </row>
    <row r="947" spans="1:18" x14ac:dyDescent="0.2">
      <c r="A947" s="13"/>
      <c r="B947" s="18"/>
      <c r="C947" s="19"/>
      <c r="D947" s="19"/>
      <c r="E947" s="20"/>
      <c r="F947" s="22"/>
      <c r="G947" s="22"/>
      <c r="H947" s="23"/>
      <c r="I947" s="23"/>
      <c r="J947" s="13"/>
      <c r="K947" s="18"/>
      <c r="L947" s="19"/>
      <c r="M947" s="19"/>
      <c r="N947" s="20"/>
      <c r="O947" s="22"/>
      <c r="P947" s="22"/>
      <c r="Q947" s="23"/>
      <c r="R947" s="23"/>
    </row>
    <row r="948" spans="1:18" x14ac:dyDescent="0.2">
      <c r="A948" s="13"/>
      <c r="B948" s="248" t="s">
        <v>20</v>
      </c>
      <c r="C948" s="249"/>
      <c r="D948" s="249"/>
      <c r="E948" s="250"/>
      <c r="F948" s="31"/>
      <c r="G948" s="31"/>
      <c r="H948" s="32"/>
      <c r="I948" s="32">
        <f>SUM(I941:I947)</f>
        <v>107.46780000000001</v>
      </c>
      <c r="J948" s="13"/>
      <c r="K948" s="248" t="s">
        <v>20</v>
      </c>
      <c r="L948" s="249"/>
      <c r="M948" s="249"/>
      <c r="N948" s="250"/>
      <c r="O948" s="31"/>
      <c r="P948" s="31"/>
      <c r="Q948" s="32"/>
      <c r="R948" s="32">
        <f>SUM(R941:R947)</f>
        <v>481.53999999999996</v>
      </c>
    </row>
    <row r="949" spans="1:18" x14ac:dyDescent="0.2">
      <c r="A949" s="12"/>
      <c r="B949" s="251" t="s">
        <v>21</v>
      </c>
      <c r="C949" s="252"/>
      <c r="D949" s="252"/>
      <c r="E949" s="253"/>
      <c r="F949" s="244" t="s">
        <v>22</v>
      </c>
      <c r="G949" s="244" t="s">
        <v>13</v>
      </c>
      <c r="H949" s="244" t="s">
        <v>14</v>
      </c>
      <c r="I949" s="246" t="s">
        <v>15</v>
      </c>
      <c r="J949" s="12"/>
      <c r="K949" s="251" t="s">
        <v>21</v>
      </c>
      <c r="L949" s="252"/>
      <c r="M949" s="252"/>
      <c r="N949" s="253"/>
      <c r="O949" s="244" t="s">
        <v>22</v>
      </c>
      <c r="P949" s="244" t="s">
        <v>13</v>
      </c>
      <c r="Q949" s="244" t="s">
        <v>14</v>
      </c>
      <c r="R949" s="246" t="s">
        <v>15</v>
      </c>
    </row>
    <row r="950" spans="1:18" x14ac:dyDescent="0.2">
      <c r="A950" s="13"/>
      <c r="B950" s="254"/>
      <c r="C950" s="255"/>
      <c r="D950" s="255"/>
      <c r="E950" s="256"/>
      <c r="F950" s="245"/>
      <c r="G950" s="245"/>
      <c r="H950" s="245"/>
      <c r="I950" s="247"/>
      <c r="J950" s="13"/>
      <c r="K950" s="254"/>
      <c r="L950" s="255"/>
      <c r="M950" s="255"/>
      <c r="N950" s="256"/>
      <c r="O950" s="245"/>
      <c r="P950" s="245"/>
      <c r="Q950" s="245"/>
      <c r="R950" s="247"/>
    </row>
    <row r="951" spans="1:18" x14ac:dyDescent="0.2">
      <c r="A951" s="13" t="s">
        <v>23</v>
      </c>
      <c r="B951" s="33" t="s">
        <v>24</v>
      </c>
      <c r="C951" s="15"/>
      <c r="D951" s="15"/>
      <c r="E951" s="16"/>
      <c r="F951" s="34"/>
      <c r="G951" s="34"/>
      <c r="H951" s="35"/>
      <c r="I951" s="35"/>
      <c r="J951" s="13" t="s">
        <v>23</v>
      </c>
      <c r="K951" s="33" t="s">
        <v>24</v>
      </c>
      <c r="L951" s="15"/>
      <c r="M951" s="15"/>
      <c r="N951" s="16"/>
      <c r="O951" s="34"/>
      <c r="P951" s="34"/>
      <c r="Q951" s="35"/>
      <c r="R951" s="35"/>
    </row>
    <row r="952" spans="1:18" x14ac:dyDescent="0.2">
      <c r="A952" s="13"/>
      <c r="B952" s="18"/>
      <c r="C952" s="19"/>
      <c r="D952" s="19"/>
      <c r="E952" s="20"/>
      <c r="F952" s="22"/>
      <c r="G952" s="22"/>
      <c r="H952" s="23"/>
      <c r="I952" s="23"/>
      <c r="J952" s="13"/>
      <c r="K952" s="18"/>
      <c r="L952" s="19"/>
      <c r="M952" s="19"/>
      <c r="N952" s="20"/>
      <c r="O952" s="22"/>
      <c r="P952" s="22"/>
      <c r="Q952" s="23"/>
      <c r="R952" s="23"/>
    </row>
    <row r="953" spans="1:18" x14ac:dyDescent="0.2">
      <c r="A953" s="13"/>
      <c r="B953" s="18" t="s">
        <v>62</v>
      </c>
      <c r="C953" s="66"/>
      <c r="D953" s="19"/>
      <c r="E953" s="20"/>
      <c r="F953" s="22">
        <v>1</v>
      </c>
      <c r="G953" s="23">
        <v>0.17</v>
      </c>
      <c r="H953" s="37">
        <v>1537</v>
      </c>
      <c r="I953" s="37">
        <f>G953*H953*F953</f>
        <v>261.29000000000002</v>
      </c>
      <c r="J953" s="13"/>
      <c r="K953" s="18" t="s">
        <v>403</v>
      </c>
      <c r="L953" s="19"/>
      <c r="M953" s="19"/>
      <c r="N953" s="20"/>
      <c r="O953" s="22">
        <v>1</v>
      </c>
      <c r="P953" s="23">
        <v>1</v>
      </c>
      <c r="Q953" s="37">
        <f>172</f>
        <v>172</v>
      </c>
      <c r="R953" s="37">
        <f>P953*Q953*O953</f>
        <v>172</v>
      </c>
    </row>
    <row r="954" spans="1:18" x14ac:dyDescent="0.2">
      <c r="A954" s="13"/>
      <c r="B954" s="18" t="s">
        <v>1149</v>
      </c>
      <c r="C954" s="66"/>
      <c r="D954" s="19"/>
      <c r="E954" s="20"/>
      <c r="F954" s="22">
        <v>1</v>
      </c>
      <c r="G954" s="23">
        <v>0.17</v>
      </c>
      <c r="H954" s="37">
        <v>1017.9</v>
      </c>
      <c r="I954" s="37">
        <f>G954*H954*F954</f>
        <v>173.04300000000001</v>
      </c>
      <c r="J954" s="13"/>
      <c r="K954" s="18" t="s">
        <v>1169</v>
      </c>
      <c r="L954" s="19"/>
      <c r="M954" s="19"/>
      <c r="N954" s="20"/>
      <c r="O954" s="22">
        <v>1</v>
      </c>
      <c r="P954" s="23">
        <v>0.05</v>
      </c>
      <c r="Q954" s="37">
        <v>2450</v>
      </c>
      <c r="R954" s="37">
        <f>P954*Q954*O954</f>
        <v>122.5</v>
      </c>
    </row>
    <row r="955" spans="1:18" x14ac:dyDescent="0.2">
      <c r="A955" s="13"/>
      <c r="B955" s="18" t="s">
        <v>1174</v>
      </c>
      <c r="C955" s="19"/>
      <c r="D955" s="19"/>
      <c r="E955" s="20"/>
      <c r="F955" s="22">
        <v>1</v>
      </c>
      <c r="G955" s="23">
        <v>0.08</v>
      </c>
      <c r="H955" s="37">
        <v>2450</v>
      </c>
      <c r="I955" s="37">
        <f>F955*G955*H955</f>
        <v>196</v>
      </c>
      <c r="J955" s="13"/>
      <c r="K955" s="18" t="s">
        <v>471</v>
      </c>
      <c r="L955" s="19"/>
      <c r="M955" s="19"/>
      <c r="N955" s="20"/>
      <c r="O955" s="22">
        <v>1</v>
      </c>
      <c r="P955" s="23">
        <v>0.1</v>
      </c>
      <c r="Q955" s="37">
        <v>922</v>
      </c>
      <c r="R955" s="37">
        <f>P955*Q955*O955</f>
        <v>92.2</v>
      </c>
    </row>
    <row r="956" spans="1:18" x14ac:dyDescent="0.2">
      <c r="A956" s="13"/>
      <c r="B956" s="18" t="s">
        <v>1192</v>
      </c>
      <c r="C956" s="19"/>
      <c r="D956" s="19"/>
      <c r="E956" s="20"/>
      <c r="F956" s="22"/>
      <c r="G956" s="36"/>
      <c r="I956" s="37">
        <f>I948*0.1</f>
        <v>10.746780000000001</v>
      </c>
      <c r="J956" s="13"/>
      <c r="K956" s="18" t="s">
        <v>1231</v>
      </c>
      <c r="O956" s="22"/>
      <c r="P956" s="36"/>
      <c r="R956" s="37">
        <f>0.1*R948</f>
        <v>48.153999999999996</v>
      </c>
    </row>
    <row r="957" spans="1:18" x14ac:dyDescent="0.2">
      <c r="A957" s="13"/>
      <c r="B957" s="18"/>
      <c r="C957" s="19"/>
      <c r="D957" s="19"/>
      <c r="E957" s="20"/>
      <c r="F957" s="22"/>
      <c r="G957" s="36"/>
      <c r="H957" s="37"/>
      <c r="I957" s="37"/>
      <c r="J957" s="13"/>
      <c r="K957" s="18"/>
      <c r="L957" s="19"/>
      <c r="M957" s="19"/>
      <c r="N957" s="20"/>
      <c r="O957" s="22"/>
      <c r="P957" s="36"/>
      <c r="Q957" s="37"/>
      <c r="R957" s="37"/>
    </row>
    <row r="958" spans="1:18" x14ac:dyDescent="0.2">
      <c r="A958" s="13"/>
      <c r="B958" s="18"/>
      <c r="C958" s="19"/>
      <c r="D958" s="19"/>
      <c r="E958" s="20"/>
      <c r="F958" s="22"/>
      <c r="G958" s="36"/>
      <c r="H958" s="38"/>
      <c r="I958" s="38"/>
      <c r="J958" s="13"/>
      <c r="K958" s="18"/>
      <c r="L958" s="19"/>
      <c r="M958" s="19"/>
      <c r="N958" s="20"/>
      <c r="O958" s="22"/>
      <c r="P958" s="36"/>
      <c r="Q958" s="38"/>
      <c r="R958" s="38"/>
    </row>
    <row r="959" spans="1:18" x14ac:dyDescent="0.2">
      <c r="A959" s="13"/>
      <c r="B959" s="18"/>
      <c r="C959" s="19"/>
      <c r="D959" s="19"/>
      <c r="E959" s="20"/>
      <c r="F959" s="22"/>
      <c r="G959" s="36"/>
      <c r="H959" s="38"/>
      <c r="I959" s="38"/>
      <c r="J959" s="13"/>
      <c r="K959" s="18"/>
      <c r="L959" s="19"/>
      <c r="M959" s="19"/>
      <c r="N959" s="20"/>
      <c r="O959" s="22"/>
      <c r="P959" s="36"/>
      <c r="Q959" s="38"/>
      <c r="R959" s="38"/>
    </row>
    <row r="960" spans="1:18" x14ac:dyDescent="0.2">
      <c r="A960" s="13"/>
      <c r="B960" s="18"/>
      <c r="C960" s="19"/>
      <c r="D960" s="19"/>
      <c r="E960" s="20"/>
      <c r="F960" s="22"/>
      <c r="G960" s="36"/>
      <c r="H960" s="38"/>
      <c r="I960" s="38"/>
      <c r="J960" s="13"/>
      <c r="K960" s="18"/>
      <c r="L960" s="19"/>
      <c r="M960" s="19"/>
      <c r="N960" s="20"/>
      <c r="O960" s="22"/>
      <c r="P960" s="36"/>
      <c r="Q960" s="38"/>
      <c r="R960" s="38"/>
    </row>
    <row r="961" spans="1:18" x14ac:dyDescent="0.2">
      <c r="A961" s="13"/>
      <c r="B961" s="18"/>
      <c r="C961" s="19"/>
      <c r="D961" s="19"/>
      <c r="E961" s="20"/>
      <c r="F961" s="22"/>
      <c r="G961" s="36"/>
      <c r="H961" s="38"/>
      <c r="I961" s="38"/>
      <c r="J961" s="13"/>
      <c r="K961" s="18"/>
      <c r="L961" s="19"/>
      <c r="M961" s="19"/>
      <c r="N961" s="20"/>
      <c r="O961" s="22"/>
      <c r="P961" s="36"/>
      <c r="Q961" s="38"/>
      <c r="R961" s="38"/>
    </row>
    <row r="962" spans="1:18" x14ac:dyDescent="0.2">
      <c r="A962" s="13"/>
      <c r="B962" s="18"/>
      <c r="C962" s="19"/>
      <c r="D962" s="19"/>
      <c r="E962" s="20"/>
      <c r="F962" s="22"/>
      <c r="G962" s="36"/>
      <c r="H962" s="37"/>
      <c r="I962" s="37"/>
      <c r="J962" s="13"/>
      <c r="K962" s="18"/>
      <c r="L962" s="19"/>
      <c r="M962" s="19"/>
      <c r="N962" s="20"/>
      <c r="O962" s="22"/>
      <c r="P962" s="36"/>
      <c r="Q962" s="37"/>
      <c r="R962" s="37"/>
    </row>
    <row r="963" spans="1:18" x14ac:dyDescent="0.2">
      <c r="A963" s="13"/>
      <c r="B963" s="18"/>
      <c r="C963" s="19"/>
      <c r="D963" s="19"/>
      <c r="E963" s="20"/>
      <c r="F963" s="22"/>
      <c r="G963" s="36"/>
      <c r="H963" s="37"/>
      <c r="I963" s="37"/>
      <c r="J963" s="13"/>
      <c r="K963" s="18"/>
      <c r="L963" s="19"/>
      <c r="M963" s="19"/>
      <c r="N963" s="20"/>
      <c r="O963" s="22"/>
      <c r="P963" s="36"/>
      <c r="Q963" s="37"/>
      <c r="R963" s="37"/>
    </row>
    <row r="964" spans="1:18" x14ac:dyDescent="0.2">
      <c r="A964" s="13"/>
      <c r="B964" s="18"/>
      <c r="C964" s="19"/>
      <c r="D964" s="19"/>
      <c r="E964" s="20"/>
      <c r="F964" s="22"/>
      <c r="G964" s="36"/>
      <c r="H964" s="37"/>
      <c r="I964" s="37"/>
      <c r="J964" s="13"/>
      <c r="K964" s="18"/>
      <c r="L964" s="19"/>
      <c r="M964" s="19"/>
      <c r="N964" s="20"/>
      <c r="O964" s="22"/>
      <c r="P964" s="36"/>
      <c r="Q964" s="37"/>
      <c r="R964" s="37"/>
    </row>
    <row r="965" spans="1:18" x14ac:dyDescent="0.2">
      <c r="A965" s="13"/>
      <c r="B965" s="18"/>
      <c r="C965" s="19"/>
      <c r="D965" s="19"/>
      <c r="E965" s="20"/>
      <c r="F965" s="22"/>
      <c r="G965" s="22"/>
      <c r="H965" s="23"/>
      <c r="I965" s="23"/>
      <c r="J965" s="13"/>
      <c r="K965" s="18"/>
      <c r="L965" s="19"/>
      <c r="M965" s="19"/>
      <c r="N965" s="20"/>
      <c r="O965" s="22"/>
      <c r="P965" s="22"/>
      <c r="Q965" s="23"/>
      <c r="R965" s="23"/>
    </row>
    <row r="966" spans="1:18" x14ac:dyDescent="0.2">
      <c r="A966" s="13"/>
      <c r="B966" s="248" t="s">
        <v>30</v>
      </c>
      <c r="C966" s="249"/>
      <c r="D966" s="249"/>
      <c r="E966" s="250"/>
      <c r="F966" s="22"/>
      <c r="G966" s="22"/>
      <c r="H966" s="23"/>
      <c r="I966" s="23">
        <f>SUM(I953:I965)</f>
        <v>641.07978000000003</v>
      </c>
      <c r="J966" s="13"/>
      <c r="K966" s="248" t="s">
        <v>30</v>
      </c>
      <c r="L966" s="249"/>
      <c r="M966" s="249"/>
      <c r="N966" s="250"/>
      <c r="O966" s="22"/>
      <c r="P966" s="22"/>
      <c r="Q966" s="23"/>
      <c r="R966" s="23">
        <f>SUM(R953:R965)</f>
        <v>434.85399999999998</v>
      </c>
    </row>
    <row r="967" spans="1:18" x14ac:dyDescent="0.2">
      <c r="A967" s="12" t="s">
        <v>31</v>
      </c>
      <c r="B967" s="260" t="s">
        <v>32</v>
      </c>
      <c r="C967" s="261"/>
      <c r="D967" s="261"/>
      <c r="E967" s="261"/>
      <c r="F967" s="161"/>
      <c r="G967" s="161"/>
      <c r="H967" s="40"/>
      <c r="I967" s="41">
        <f>SUM(I966+I948)</f>
        <v>748.54758000000004</v>
      </c>
      <c r="J967" s="12" t="s">
        <v>31</v>
      </c>
      <c r="K967" s="260" t="s">
        <v>32</v>
      </c>
      <c r="L967" s="261"/>
      <c r="M967" s="261"/>
      <c r="N967" s="261"/>
      <c r="O967" s="39"/>
      <c r="P967" s="39"/>
      <c r="Q967" s="40"/>
      <c r="R967" s="41">
        <f>SUM(R966+R948)</f>
        <v>916.39400000000001</v>
      </c>
    </row>
    <row r="968" spans="1:18" x14ac:dyDescent="0.2">
      <c r="A968" s="13" t="s">
        <v>33</v>
      </c>
      <c r="B968" s="321">
        <f>E935</f>
        <v>1</v>
      </c>
      <c r="C968" s="322"/>
      <c r="D968" s="322"/>
      <c r="E968" s="322"/>
      <c r="F968" s="322"/>
      <c r="G968" s="322"/>
      <c r="H968" s="40"/>
      <c r="I968" s="41"/>
      <c r="J968" s="13" t="s">
        <v>33</v>
      </c>
      <c r="K968" s="279">
        <f>N935</f>
        <v>1.4</v>
      </c>
      <c r="L968" s="280"/>
      <c r="M968" s="280"/>
      <c r="N968" s="280"/>
      <c r="O968" s="280"/>
      <c r="P968" s="280"/>
      <c r="Q968" s="40"/>
      <c r="R968" s="41"/>
    </row>
    <row r="969" spans="1:18" x14ac:dyDescent="0.2">
      <c r="A969" s="13" t="s">
        <v>34</v>
      </c>
      <c r="B969" s="162" t="s">
        <v>35</v>
      </c>
      <c r="C969" s="43"/>
      <c r="D969" s="43"/>
      <c r="E969" s="161"/>
      <c r="F969" s="163"/>
      <c r="G969" s="163"/>
      <c r="H969" s="40"/>
      <c r="I969" s="41">
        <f>I967/E935</f>
        <v>748.54758000000004</v>
      </c>
      <c r="J969" s="13" t="s">
        <v>34</v>
      </c>
      <c r="K969" s="42" t="s">
        <v>35</v>
      </c>
      <c r="L969" s="43"/>
      <c r="M969" s="43"/>
      <c r="N969" s="39"/>
      <c r="O969" s="44"/>
      <c r="P969" s="44"/>
      <c r="Q969" s="40"/>
      <c r="R969" s="41">
        <f>R967/N935</f>
        <v>654.56714285714293</v>
      </c>
    </row>
    <row r="970" spans="1:18" x14ac:dyDescent="0.2">
      <c r="A970" s="12"/>
      <c r="B970" s="251" t="s">
        <v>36</v>
      </c>
      <c r="C970" s="252"/>
      <c r="D970" s="252"/>
      <c r="E970" s="253"/>
      <c r="F970" s="244" t="s">
        <v>37</v>
      </c>
      <c r="G970" s="244" t="s">
        <v>38</v>
      </c>
      <c r="H970" s="244" t="s">
        <v>39</v>
      </c>
      <c r="I970" s="246" t="s">
        <v>15</v>
      </c>
      <c r="J970" s="12"/>
      <c r="K970" s="251" t="s">
        <v>36</v>
      </c>
      <c r="L970" s="252"/>
      <c r="M970" s="252"/>
      <c r="N970" s="253"/>
      <c r="O970" s="244" t="s">
        <v>37</v>
      </c>
      <c r="P970" s="244" t="s">
        <v>38</v>
      </c>
      <c r="Q970" s="244" t="s">
        <v>39</v>
      </c>
      <c r="R970" s="246" t="s">
        <v>15</v>
      </c>
    </row>
    <row r="971" spans="1:18" x14ac:dyDescent="0.2">
      <c r="A971" s="13"/>
      <c r="B971" s="254"/>
      <c r="C971" s="255"/>
      <c r="D971" s="255"/>
      <c r="E971" s="256"/>
      <c r="F971" s="245"/>
      <c r="G971" s="245"/>
      <c r="H971" s="245"/>
      <c r="I971" s="247"/>
      <c r="J971" s="13"/>
      <c r="K971" s="254"/>
      <c r="L971" s="255"/>
      <c r="M971" s="255"/>
      <c r="N971" s="256"/>
      <c r="O971" s="245"/>
      <c r="P971" s="245"/>
      <c r="Q971" s="245"/>
      <c r="R971" s="247"/>
    </row>
    <row r="972" spans="1:18" x14ac:dyDescent="0.2">
      <c r="A972" s="13" t="s">
        <v>40</v>
      </c>
      <c r="B972" s="18" t="s">
        <v>41</v>
      </c>
      <c r="C972" s="19"/>
      <c r="D972" s="19"/>
      <c r="E972" s="20"/>
      <c r="F972" s="22"/>
      <c r="G972" s="22"/>
      <c r="H972" s="23"/>
      <c r="I972" s="23"/>
      <c r="J972" s="13" t="s">
        <v>40</v>
      </c>
      <c r="K972" s="18" t="s">
        <v>41</v>
      </c>
      <c r="L972" s="19"/>
      <c r="M972" s="19"/>
      <c r="N972" s="20"/>
      <c r="O972" s="22"/>
      <c r="P972" s="22"/>
      <c r="Q972" s="23"/>
      <c r="R972" s="23"/>
    </row>
    <row r="973" spans="1:18" x14ac:dyDescent="0.2">
      <c r="A973" s="13"/>
      <c r="B973" s="18"/>
      <c r="C973" s="19"/>
      <c r="D973" s="19"/>
      <c r="E973" s="20"/>
      <c r="F973" s="22"/>
      <c r="G973" s="22"/>
      <c r="H973" s="23"/>
      <c r="I973" s="23"/>
      <c r="J973" s="13"/>
      <c r="K973" s="18"/>
      <c r="L973" s="19"/>
      <c r="M973" s="19"/>
      <c r="N973" s="20"/>
      <c r="O973" s="22"/>
      <c r="P973" s="22"/>
      <c r="Q973" s="23"/>
      <c r="R973" s="23"/>
    </row>
    <row r="974" spans="1:18" x14ac:dyDescent="0.2">
      <c r="A974" s="13"/>
      <c r="B974" s="18"/>
      <c r="C974" s="19"/>
      <c r="D974" s="19"/>
      <c r="E974" s="20"/>
      <c r="F974" s="22"/>
      <c r="G974" s="62"/>
      <c r="H974" s="23"/>
      <c r="I974" s="23"/>
      <c r="J974" s="13"/>
      <c r="K974" s="18" t="s">
        <v>234</v>
      </c>
      <c r="L974" s="19"/>
      <c r="M974" s="19"/>
      <c r="N974" s="20"/>
      <c r="O974" s="22" t="s">
        <v>227</v>
      </c>
      <c r="P974" s="62">
        <v>4.2</v>
      </c>
      <c r="Q974" s="107">
        <v>220</v>
      </c>
      <c r="R974" s="23">
        <f t="shared" ref="R974:R979" si="6">Q974*P974</f>
        <v>924</v>
      </c>
    </row>
    <row r="975" spans="1:18" x14ac:dyDescent="0.2">
      <c r="A975" s="13"/>
      <c r="B975" s="18"/>
      <c r="C975" s="19"/>
      <c r="D975" s="19"/>
      <c r="E975" s="20"/>
      <c r="F975" s="22"/>
      <c r="G975" s="22"/>
      <c r="H975" s="23"/>
      <c r="I975" s="23"/>
      <c r="J975" s="13"/>
      <c r="K975" s="18" t="s">
        <v>426</v>
      </c>
      <c r="L975" s="19"/>
      <c r="M975" s="19"/>
      <c r="N975" s="20"/>
      <c r="O975" s="22" t="s">
        <v>9</v>
      </c>
      <c r="P975" s="105">
        <v>0.26250000000000001</v>
      </c>
      <c r="Q975" s="107">
        <v>850</v>
      </c>
      <c r="R975" s="23">
        <f t="shared" si="6"/>
        <v>223.125</v>
      </c>
    </row>
    <row r="976" spans="1:18" x14ac:dyDescent="0.2">
      <c r="A976" s="13"/>
      <c r="B976" s="18"/>
      <c r="C976" s="19"/>
      <c r="D976" s="19"/>
      <c r="E976" s="20"/>
      <c r="F976" s="22"/>
      <c r="G976" s="22"/>
      <c r="H976" s="38"/>
      <c r="I976" s="38"/>
      <c r="J976" s="13"/>
      <c r="K976" s="18" t="s">
        <v>485</v>
      </c>
      <c r="L976" s="19"/>
      <c r="M976" s="19"/>
      <c r="N976" s="20"/>
      <c r="O976" s="22" t="s">
        <v>9</v>
      </c>
      <c r="P976" s="62">
        <v>0.02</v>
      </c>
      <c r="Q976" s="107">
        <v>650</v>
      </c>
      <c r="R976" s="23">
        <f t="shared" si="6"/>
        <v>13</v>
      </c>
    </row>
    <row r="977" spans="1:18" x14ac:dyDescent="0.2">
      <c r="A977" s="13"/>
      <c r="B977" s="18"/>
      <c r="C977" s="19"/>
      <c r="D977" s="19"/>
      <c r="E977" s="20"/>
      <c r="F977" s="22"/>
      <c r="G977" s="22"/>
      <c r="H977" s="38"/>
      <c r="I977" s="38"/>
      <c r="J977" s="13"/>
      <c r="K977" s="18" t="s">
        <v>486</v>
      </c>
      <c r="L977" s="19"/>
      <c r="M977" s="19"/>
      <c r="N977" s="20"/>
      <c r="O977" s="22" t="s">
        <v>1153</v>
      </c>
      <c r="P977" s="62">
        <v>0.3</v>
      </c>
      <c r="Q977" s="107">
        <f>ROUND(434/3,2)</f>
        <v>144.66999999999999</v>
      </c>
      <c r="R977" s="23">
        <f t="shared" si="6"/>
        <v>43.400999999999996</v>
      </c>
    </row>
    <row r="978" spans="1:18" x14ac:dyDescent="0.2">
      <c r="A978" s="13"/>
      <c r="B978" s="18"/>
      <c r="C978" s="19"/>
      <c r="D978" s="19"/>
      <c r="E978" s="20"/>
      <c r="F978" s="22"/>
      <c r="G978" s="22"/>
      <c r="H978" s="45"/>
      <c r="I978" s="45"/>
      <c r="J978" s="13"/>
      <c r="K978" s="18" t="s">
        <v>487</v>
      </c>
      <c r="L978" s="19"/>
      <c r="M978" s="19"/>
      <c r="N978" s="20"/>
      <c r="O978" s="22" t="s">
        <v>8</v>
      </c>
      <c r="P978" s="70">
        <v>1.4999999999999999E-2</v>
      </c>
      <c r="Q978" s="107">
        <v>275</v>
      </c>
      <c r="R978" s="23">
        <f t="shared" si="6"/>
        <v>4.125</v>
      </c>
    </row>
    <row r="979" spans="1:18" x14ac:dyDescent="0.2">
      <c r="A979" s="13"/>
      <c r="B979" s="18"/>
      <c r="C979" s="19"/>
      <c r="D979" s="19"/>
      <c r="E979" s="20"/>
      <c r="F979" s="22"/>
      <c r="G979" s="22"/>
      <c r="H979" s="45"/>
      <c r="I979" s="45"/>
      <c r="J979" s="13"/>
      <c r="K979" s="18" t="s">
        <v>531</v>
      </c>
      <c r="L979" s="19"/>
      <c r="M979" s="19"/>
      <c r="N979" s="20"/>
      <c r="O979" s="22" t="s">
        <v>9</v>
      </c>
      <c r="P979" s="62">
        <v>0.63</v>
      </c>
      <c r="Q979" s="107">
        <v>810</v>
      </c>
      <c r="R979" s="23">
        <f t="shared" si="6"/>
        <v>510.3</v>
      </c>
    </row>
    <row r="980" spans="1:18" x14ac:dyDescent="0.2">
      <c r="A980" s="13"/>
      <c r="B980" s="18"/>
      <c r="C980" s="19"/>
      <c r="D980" s="19"/>
      <c r="E980" s="20"/>
      <c r="F980" s="22"/>
      <c r="G980" s="22"/>
      <c r="H980" s="23"/>
      <c r="I980" s="23"/>
      <c r="J980" s="13"/>
      <c r="K980" s="18" t="s">
        <v>535</v>
      </c>
      <c r="L980" s="19"/>
      <c r="M980" s="19"/>
      <c r="N980" s="20"/>
      <c r="O980" s="22" t="s">
        <v>9</v>
      </c>
      <c r="P980" s="70">
        <v>0.52500000000000002</v>
      </c>
      <c r="Q980" s="107">
        <v>650</v>
      </c>
      <c r="R980" s="23">
        <f>Q980*P980</f>
        <v>341.25</v>
      </c>
    </row>
    <row r="981" spans="1:18" x14ac:dyDescent="0.2">
      <c r="A981" s="13"/>
      <c r="B981" s="18"/>
      <c r="C981" s="19"/>
      <c r="D981" s="19"/>
      <c r="E981" s="20"/>
      <c r="F981" s="22"/>
      <c r="G981" s="22"/>
      <c r="H981" s="23"/>
      <c r="I981" s="23"/>
      <c r="J981" s="13"/>
      <c r="K981" s="3" t="s">
        <v>536</v>
      </c>
      <c r="L981" s="19"/>
      <c r="M981" s="19"/>
      <c r="N981" s="20"/>
      <c r="O981" s="22"/>
      <c r="P981" s="22"/>
      <c r="R981" s="23">
        <f>(R974+R976+R977+R978+R979+R980)*0.02</f>
        <v>36.721519999999998</v>
      </c>
    </row>
    <row r="982" spans="1:18" x14ac:dyDescent="0.2">
      <c r="A982" s="13"/>
      <c r="B982" s="18"/>
      <c r="C982" s="19"/>
      <c r="D982" s="19"/>
      <c r="E982" s="20"/>
      <c r="F982" s="22"/>
      <c r="G982" s="22"/>
      <c r="H982" s="23"/>
      <c r="I982" s="23"/>
      <c r="J982" s="13"/>
      <c r="K982" s="3" t="s">
        <v>417</v>
      </c>
      <c r="L982" s="19"/>
      <c r="M982" s="19"/>
      <c r="N982" s="20"/>
      <c r="O982" s="22"/>
      <c r="P982" s="22"/>
      <c r="Q982" s="23"/>
      <c r="R982" s="23"/>
    </row>
    <row r="983" spans="1:18" x14ac:dyDescent="0.2">
      <c r="A983" s="13"/>
      <c r="B983" s="18"/>
      <c r="C983" s="19"/>
      <c r="D983" s="19"/>
      <c r="E983" s="20"/>
      <c r="F983" s="22"/>
      <c r="G983" s="22"/>
      <c r="H983" s="23"/>
      <c r="I983" s="23"/>
      <c r="J983" s="13"/>
      <c r="K983" s="18" t="s">
        <v>537</v>
      </c>
      <c r="L983" s="19"/>
      <c r="M983" s="19"/>
      <c r="N983" s="20"/>
      <c r="O983" s="22"/>
      <c r="P983" s="22"/>
      <c r="Q983" s="23"/>
      <c r="R983" s="23"/>
    </row>
    <row r="984" spans="1:18" x14ac:dyDescent="0.2">
      <c r="A984" s="13"/>
      <c r="B984" s="18"/>
      <c r="C984" s="19"/>
      <c r="D984" s="19"/>
      <c r="E984" s="20"/>
      <c r="F984" s="22"/>
      <c r="G984" s="22"/>
      <c r="H984" s="23"/>
      <c r="I984" s="23"/>
      <c r="J984" s="13"/>
      <c r="K984" s="18" t="s">
        <v>538</v>
      </c>
      <c r="L984" s="19"/>
      <c r="M984" s="19"/>
      <c r="N984" s="20"/>
      <c r="O984" s="22"/>
      <c r="P984" s="22"/>
      <c r="Q984" s="23"/>
      <c r="R984" s="23"/>
    </row>
    <row r="985" spans="1:18" x14ac:dyDescent="0.2">
      <c r="A985" s="13"/>
      <c r="B985" s="18"/>
      <c r="C985" s="19"/>
      <c r="D985" s="19"/>
      <c r="E985" s="20"/>
      <c r="F985" s="22"/>
      <c r="G985" s="22"/>
      <c r="H985" s="23"/>
      <c r="I985" s="23"/>
      <c r="J985" s="13"/>
      <c r="K985" s="18"/>
      <c r="L985" s="19"/>
      <c r="M985" s="19"/>
      <c r="N985" s="20"/>
      <c r="O985" s="22"/>
      <c r="P985" s="22"/>
      <c r="Q985" s="23"/>
      <c r="R985" s="23"/>
    </row>
    <row r="986" spans="1:18" x14ac:dyDescent="0.2">
      <c r="A986" s="13"/>
      <c r="B986" s="18"/>
      <c r="C986" s="19"/>
      <c r="D986" s="19"/>
      <c r="E986" s="20"/>
      <c r="F986" s="22"/>
      <c r="G986" s="36"/>
      <c r="H986" s="37"/>
      <c r="I986" s="37"/>
      <c r="J986" s="13"/>
      <c r="K986" s="18"/>
      <c r="L986" s="19"/>
      <c r="M986" s="19"/>
      <c r="N986" s="20"/>
      <c r="O986" s="22"/>
      <c r="P986" s="36"/>
      <c r="Q986" s="37"/>
      <c r="R986" s="37"/>
    </row>
    <row r="987" spans="1:18" x14ac:dyDescent="0.2">
      <c r="A987" s="13"/>
      <c r="B987" s="248" t="s">
        <v>42</v>
      </c>
      <c r="C987" s="249"/>
      <c r="D987" s="249"/>
      <c r="E987" s="250"/>
      <c r="F987" s="46"/>
      <c r="G987" s="46"/>
      <c r="H987" s="47"/>
      <c r="I987" s="47">
        <f>SUM(I974:I986)</f>
        <v>0</v>
      </c>
      <c r="J987" s="13"/>
      <c r="K987" s="248" t="s">
        <v>42</v>
      </c>
      <c r="L987" s="249"/>
      <c r="M987" s="249"/>
      <c r="N987" s="250"/>
      <c r="O987" s="46"/>
      <c r="P987" s="46"/>
      <c r="Q987" s="47"/>
      <c r="R987" s="47">
        <f>SUM(R974:R986)</f>
        <v>2095.9225200000001</v>
      </c>
    </row>
    <row r="988" spans="1:18" x14ac:dyDescent="0.2">
      <c r="A988" s="12" t="s">
        <v>43</v>
      </c>
      <c r="B988" s="48" t="s">
        <v>44</v>
      </c>
      <c r="C988" s="43"/>
      <c r="D988" s="43"/>
      <c r="E988" s="161"/>
      <c r="F988" s="49"/>
      <c r="G988" s="49"/>
      <c r="H988" s="50"/>
      <c r="I988" s="51">
        <f>SUM(I969+I987)</f>
        <v>748.54758000000004</v>
      </c>
      <c r="J988" s="12" t="s">
        <v>43</v>
      </c>
      <c r="K988" s="48" t="s">
        <v>44</v>
      </c>
      <c r="L988" s="43"/>
      <c r="M988" s="43"/>
      <c r="N988" s="39"/>
      <c r="O988" s="49"/>
      <c r="P988" s="49"/>
      <c r="Q988" s="50"/>
      <c r="R988" s="51">
        <f>SUM(R969+R987)</f>
        <v>2750.4896628571432</v>
      </c>
    </row>
    <row r="989" spans="1:18" x14ac:dyDescent="0.2">
      <c r="A989" s="13" t="s">
        <v>45</v>
      </c>
      <c r="B989" s="48" t="s">
        <v>46</v>
      </c>
      <c r="C989" s="43"/>
      <c r="D989" s="43"/>
      <c r="E989" s="161"/>
      <c r="F989" s="49"/>
      <c r="G989" s="52">
        <v>0.09</v>
      </c>
      <c r="H989" s="53" t="s">
        <v>47</v>
      </c>
      <c r="I989" s="51">
        <f>G989*I988</f>
        <v>67.369282200000001</v>
      </c>
      <c r="J989" s="13" t="s">
        <v>45</v>
      </c>
      <c r="K989" s="48" t="s">
        <v>46</v>
      </c>
      <c r="L989" s="43"/>
      <c r="M989" s="43"/>
      <c r="N989" s="39"/>
      <c r="O989" s="49"/>
      <c r="P989" s="52">
        <v>0.09</v>
      </c>
      <c r="Q989" s="53" t="s">
        <v>47</v>
      </c>
      <c r="R989" s="51">
        <f>P989*R988</f>
        <v>247.54406965714287</v>
      </c>
    </row>
    <row r="990" spans="1:18" x14ac:dyDescent="0.2">
      <c r="A990" s="13" t="s">
        <v>48</v>
      </c>
      <c r="B990" s="48" t="s">
        <v>49</v>
      </c>
      <c r="C990" s="43"/>
      <c r="D990" s="43"/>
      <c r="E990" s="161"/>
      <c r="F990" s="49"/>
      <c r="G990" s="52">
        <v>0.08</v>
      </c>
      <c r="H990" s="53" t="s">
        <v>47</v>
      </c>
      <c r="I990" s="51">
        <f>G990*I988</f>
        <v>59.883806400000005</v>
      </c>
      <c r="J990" s="13" t="s">
        <v>48</v>
      </c>
      <c r="K990" s="48" t="s">
        <v>49</v>
      </c>
      <c r="L990" s="43"/>
      <c r="M990" s="43"/>
      <c r="N990" s="39"/>
      <c r="O990" s="49"/>
      <c r="P990" s="52">
        <v>0.08</v>
      </c>
      <c r="Q990" s="53" t="s">
        <v>47</v>
      </c>
      <c r="R990" s="51">
        <f>P990*R988</f>
        <v>220.03917302857147</v>
      </c>
    </row>
    <row r="991" spans="1:18" x14ac:dyDescent="0.2">
      <c r="A991" s="13" t="s">
        <v>50</v>
      </c>
      <c r="B991" s="48" t="s">
        <v>51</v>
      </c>
      <c r="C991" s="43"/>
      <c r="D991" s="43"/>
      <c r="E991" s="161"/>
      <c r="F991" s="49"/>
      <c r="G991" s="52">
        <v>0.05</v>
      </c>
      <c r="H991" s="53" t="s">
        <v>52</v>
      </c>
      <c r="I991" s="51">
        <f>G991*(I988+I989+I990)</f>
        <v>43.790033430000008</v>
      </c>
      <c r="J991" s="13" t="s">
        <v>50</v>
      </c>
      <c r="K991" s="48" t="s">
        <v>51</v>
      </c>
      <c r="L991" s="43"/>
      <c r="M991" s="43"/>
      <c r="N991" s="39"/>
      <c r="O991" s="49"/>
      <c r="P991" s="52">
        <f>5/100</f>
        <v>0.05</v>
      </c>
      <c r="Q991" s="53" t="s">
        <v>52</v>
      </c>
      <c r="R991" s="51">
        <f>P991*(R988+R989+R990)</f>
        <v>160.90364527714289</v>
      </c>
    </row>
    <row r="992" spans="1:18" x14ac:dyDescent="0.2">
      <c r="A992" s="54" t="s">
        <v>53</v>
      </c>
      <c r="B992" s="48" t="s">
        <v>54</v>
      </c>
      <c r="C992" s="43"/>
      <c r="D992" s="43"/>
      <c r="E992" s="161"/>
      <c r="F992" s="49"/>
      <c r="G992" s="49"/>
      <c r="H992" s="55" t="s">
        <v>55</v>
      </c>
      <c r="I992" s="51">
        <f>SUM(I988+I989+I990+I991)</f>
        <v>919.5907020300001</v>
      </c>
      <c r="J992" s="54" t="s">
        <v>53</v>
      </c>
      <c r="K992" s="48" t="s">
        <v>54</v>
      </c>
      <c r="L992" s="43"/>
      <c r="M992" s="43"/>
      <c r="N992" s="39"/>
      <c r="O992" s="49"/>
      <c r="P992" s="49"/>
      <c r="Q992" s="55" t="s">
        <v>55</v>
      </c>
      <c r="R992" s="51">
        <f>SUM(R988+R989+R990+R991)</f>
        <v>3378.9765508200003</v>
      </c>
    </row>
    <row r="993" spans="1:18" s="1" customFormat="1" x14ac:dyDescent="0.2">
      <c r="A993" s="236" t="s">
        <v>0</v>
      </c>
      <c r="B993" s="236"/>
      <c r="C993" s="236"/>
      <c r="D993" s="236"/>
      <c r="E993" s="236"/>
      <c r="F993" s="236"/>
      <c r="G993" s="236"/>
      <c r="H993" s="236"/>
      <c r="I993" s="236"/>
      <c r="J993" s="236" t="s">
        <v>0</v>
      </c>
      <c r="K993" s="236"/>
      <c r="L993" s="236"/>
      <c r="M993" s="236"/>
      <c r="N993" s="236"/>
      <c r="O993" s="236"/>
      <c r="P993" s="236"/>
      <c r="Q993" s="236"/>
      <c r="R993" s="236"/>
    </row>
    <row r="995" spans="1:18" x14ac:dyDescent="0.2">
      <c r="A995" s="158" t="s">
        <v>1</v>
      </c>
      <c r="C995" s="4" t="s">
        <v>2</v>
      </c>
      <c r="D995" s="5" t="s">
        <v>539</v>
      </c>
      <c r="E995" s="158" t="s">
        <v>540</v>
      </c>
      <c r="F995" s="158"/>
      <c r="G995" s="158"/>
      <c r="H995" s="158"/>
      <c r="J995" s="2" t="s">
        <v>1</v>
      </c>
      <c r="L995" s="4" t="s">
        <v>2</v>
      </c>
      <c r="M995" s="5">
        <v>508</v>
      </c>
      <c r="N995" s="237" t="s">
        <v>541</v>
      </c>
      <c r="O995" s="237"/>
      <c r="P995" s="237"/>
      <c r="Q995" s="237"/>
      <c r="R995" s="8"/>
    </row>
    <row r="996" spans="1:18" x14ac:dyDescent="0.2">
      <c r="A996" s="158" t="s">
        <v>7</v>
      </c>
      <c r="C996" s="4" t="s">
        <v>2</v>
      </c>
      <c r="E996" s="158" t="s">
        <v>1153</v>
      </c>
      <c r="F996" s="8"/>
      <c r="G996" s="8"/>
      <c r="H996" s="8"/>
      <c r="J996" s="2" t="s">
        <v>7</v>
      </c>
      <c r="L996" s="4" t="s">
        <v>2</v>
      </c>
      <c r="N996" s="2" t="s">
        <v>9</v>
      </c>
      <c r="O996" s="8"/>
      <c r="P996" s="8"/>
      <c r="Q996" s="8"/>
    </row>
    <row r="997" spans="1:18" x14ac:dyDescent="0.2">
      <c r="A997" s="158" t="s">
        <v>10</v>
      </c>
      <c r="C997" s="4" t="s">
        <v>2</v>
      </c>
      <c r="E997" s="9">
        <v>1</v>
      </c>
      <c r="F997" s="8"/>
      <c r="G997" s="8"/>
      <c r="H997" s="8"/>
      <c r="J997" s="2" t="s">
        <v>10</v>
      </c>
      <c r="L997" s="4" t="s">
        <v>2</v>
      </c>
      <c r="N997" s="67">
        <v>3.125</v>
      </c>
      <c r="O997" s="8"/>
      <c r="P997" s="8"/>
      <c r="Q997" s="8"/>
    </row>
    <row r="998" spans="1:18" x14ac:dyDescent="0.2">
      <c r="B998" s="8"/>
      <c r="F998" s="11"/>
      <c r="G998" s="8"/>
      <c r="H998" s="8"/>
      <c r="I998" s="8"/>
      <c r="K998" s="8"/>
      <c r="O998" s="11"/>
      <c r="P998" s="8"/>
      <c r="Q998" s="8"/>
      <c r="R998" s="8"/>
    </row>
    <row r="999" spans="1:18" x14ac:dyDescent="0.2">
      <c r="A999" s="12"/>
      <c r="B999" s="238" t="s">
        <v>11</v>
      </c>
      <c r="C999" s="239"/>
      <c r="D999" s="239"/>
      <c r="E999" s="240"/>
      <c r="F999" s="244" t="s">
        <v>12</v>
      </c>
      <c r="G999" s="244" t="s">
        <v>13</v>
      </c>
      <c r="H999" s="244" t="s">
        <v>14</v>
      </c>
      <c r="I999" s="246" t="s">
        <v>15</v>
      </c>
      <c r="J999" s="12"/>
      <c r="K999" s="238" t="s">
        <v>11</v>
      </c>
      <c r="L999" s="239"/>
      <c r="M999" s="239"/>
      <c r="N999" s="240"/>
      <c r="O999" s="244" t="s">
        <v>12</v>
      </c>
      <c r="P999" s="244" t="s">
        <v>13</v>
      </c>
      <c r="Q999" s="244" t="s">
        <v>14</v>
      </c>
      <c r="R999" s="246" t="s">
        <v>15</v>
      </c>
    </row>
    <row r="1000" spans="1:18" x14ac:dyDescent="0.2">
      <c r="A1000" s="13"/>
      <c r="B1000" s="241"/>
      <c r="C1000" s="242"/>
      <c r="D1000" s="242"/>
      <c r="E1000" s="243"/>
      <c r="F1000" s="245"/>
      <c r="G1000" s="245"/>
      <c r="H1000" s="245"/>
      <c r="I1000" s="247"/>
      <c r="J1000" s="13"/>
      <c r="K1000" s="241"/>
      <c r="L1000" s="242"/>
      <c r="M1000" s="242"/>
      <c r="N1000" s="243"/>
      <c r="O1000" s="245"/>
      <c r="P1000" s="245"/>
      <c r="Q1000" s="245"/>
      <c r="R1000" s="247"/>
    </row>
    <row r="1001" spans="1:18" x14ac:dyDescent="0.2">
      <c r="A1001" s="13" t="s">
        <v>16</v>
      </c>
      <c r="B1001" s="14" t="s">
        <v>17</v>
      </c>
      <c r="C1001" s="15"/>
      <c r="D1001" s="15"/>
      <c r="E1001" s="16"/>
      <c r="F1001" s="17"/>
      <c r="G1001" s="17"/>
      <c r="H1001" s="17"/>
      <c r="I1001" s="17"/>
      <c r="J1001" s="13" t="s">
        <v>16</v>
      </c>
      <c r="K1001" s="14" t="s">
        <v>17</v>
      </c>
      <c r="L1001" s="15"/>
      <c r="M1001" s="15"/>
      <c r="N1001" s="16"/>
      <c r="O1001" s="17"/>
      <c r="P1001" s="17"/>
      <c r="Q1001" s="17"/>
      <c r="R1001" s="17"/>
    </row>
    <row r="1002" spans="1:18" x14ac:dyDescent="0.2">
      <c r="A1002" s="13"/>
      <c r="B1002" s="18"/>
      <c r="C1002" s="19"/>
      <c r="D1002" s="19"/>
      <c r="E1002" s="20"/>
      <c r="F1002" s="21"/>
      <c r="G1002" s="22"/>
      <c r="H1002" s="21"/>
      <c r="I1002" s="21"/>
      <c r="J1002" s="13"/>
      <c r="K1002" s="18"/>
      <c r="L1002" s="19"/>
      <c r="M1002" s="19"/>
      <c r="N1002" s="20"/>
      <c r="O1002" s="21"/>
      <c r="P1002" s="22"/>
      <c r="Q1002" s="21"/>
      <c r="R1002" s="21"/>
    </row>
    <row r="1003" spans="1:18" x14ac:dyDescent="0.2">
      <c r="A1003" s="13"/>
      <c r="B1003" s="24" t="s">
        <v>18</v>
      </c>
      <c r="C1003" s="25"/>
      <c r="D1003" s="25"/>
      <c r="E1003" s="26"/>
      <c r="F1003" s="22">
        <v>1</v>
      </c>
      <c r="G1003" s="23">
        <v>0.4</v>
      </c>
      <c r="H1003" s="23">
        <v>69.42</v>
      </c>
      <c r="I1003" s="23">
        <f>G1003*H1003*F1003</f>
        <v>27.768000000000001</v>
      </c>
      <c r="J1003" s="13"/>
      <c r="K1003" s="24" t="s">
        <v>18</v>
      </c>
      <c r="L1003" s="25"/>
      <c r="M1003" s="25"/>
      <c r="N1003" s="26"/>
      <c r="O1003" s="22">
        <v>1</v>
      </c>
      <c r="P1003" s="23">
        <v>1</v>
      </c>
      <c r="Q1003" s="23">
        <v>69.42</v>
      </c>
      <c r="R1003" s="23">
        <f>P1003*Q1003*O1003</f>
        <v>69.42</v>
      </c>
    </row>
    <row r="1004" spans="1:18" x14ac:dyDescent="0.2">
      <c r="A1004" s="13"/>
      <c r="B1004" s="257" t="s">
        <v>1178</v>
      </c>
      <c r="C1004" s="258"/>
      <c r="D1004" s="25"/>
      <c r="E1004" s="26"/>
      <c r="F1004" s="22">
        <v>2</v>
      </c>
      <c r="G1004" s="23">
        <v>0.4</v>
      </c>
      <c r="H1004" s="23">
        <v>50.18</v>
      </c>
      <c r="I1004" s="23">
        <f>G1004*H1004*F1004</f>
        <v>40.144000000000005</v>
      </c>
      <c r="J1004" s="13"/>
      <c r="K1004" s="257" t="s">
        <v>1178</v>
      </c>
      <c r="L1004" s="258"/>
      <c r="M1004" s="25"/>
      <c r="N1004" s="26"/>
      <c r="O1004" s="22">
        <v>2</v>
      </c>
      <c r="P1004" s="23">
        <v>1</v>
      </c>
      <c r="Q1004" s="23">
        <v>50.18</v>
      </c>
      <c r="R1004" s="23">
        <f>P1004*Q1004*O1004</f>
        <v>100.36</v>
      </c>
    </row>
    <row r="1005" spans="1:18" x14ac:dyDescent="0.2">
      <c r="A1005" s="13"/>
      <c r="B1005" s="257" t="s">
        <v>1177</v>
      </c>
      <c r="C1005" s="258"/>
      <c r="D1005" s="19"/>
      <c r="E1005" s="20"/>
      <c r="F1005" s="22">
        <v>4</v>
      </c>
      <c r="G1005" s="23">
        <v>0.4</v>
      </c>
      <c r="H1005" s="23">
        <v>38.97</v>
      </c>
      <c r="I1005" s="23">
        <f>G1005*H1005*F1005</f>
        <v>62.352000000000004</v>
      </c>
      <c r="J1005" s="13"/>
      <c r="K1005" s="257" t="s">
        <v>1177</v>
      </c>
      <c r="L1005" s="258"/>
      <c r="M1005" s="19"/>
      <c r="N1005" s="20"/>
      <c r="O1005" s="22">
        <v>8</v>
      </c>
      <c r="P1005" s="23">
        <v>1</v>
      </c>
      <c r="Q1005" s="23">
        <v>38.97</v>
      </c>
      <c r="R1005" s="23">
        <f>P1005*Q1005*O1005</f>
        <v>311.76</v>
      </c>
    </row>
    <row r="1006" spans="1:18" x14ac:dyDescent="0.2">
      <c r="A1006" s="13"/>
      <c r="B1006" s="159"/>
      <c r="C1006" s="19"/>
      <c r="D1006" s="19"/>
      <c r="E1006" s="20"/>
      <c r="F1006" s="22"/>
      <c r="G1006" s="22"/>
      <c r="H1006" s="29"/>
      <c r="I1006" s="30"/>
      <c r="J1006" s="13"/>
      <c r="K1006" s="27"/>
      <c r="L1006" s="63"/>
      <c r="M1006" s="19"/>
      <c r="N1006" s="20"/>
      <c r="O1006" s="22"/>
      <c r="P1006" s="22"/>
      <c r="Q1006" s="29"/>
      <c r="R1006" s="30"/>
    </row>
    <row r="1007" spans="1:18" x14ac:dyDescent="0.2">
      <c r="A1007" s="13"/>
      <c r="B1007" s="159"/>
      <c r="C1007" s="19"/>
      <c r="D1007" s="19"/>
      <c r="E1007" s="20"/>
      <c r="F1007" s="22"/>
      <c r="G1007" s="22"/>
      <c r="H1007" s="29"/>
      <c r="I1007" s="30"/>
      <c r="J1007" s="13"/>
      <c r="K1007" s="27"/>
      <c r="L1007" s="63"/>
      <c r="M1007" s="106"/>
      <c r="N1007" s="20"/>
      <c r="O1007" s="22"/>
      <c r="P1007" s="22"/>
      <c r="Q1007" s="29"/>
      <c r="R1007" s="30"/>
    </row>
    <row r="1008" spans="1:18" x14ac:dyDescent="0.2">
      <c r="A1008" s="13"/>
      <c r="B1008" s="18"/>
      <c r="C1008" s="19"/>
      <c r="D1008" s="19"/>
      <c r="E1008" s="20"/>
      <c r="F1008" s="22"/>
      <c r="G1008" s="22"/>
      <c r="H1008" s="28"/>
      <c r="I1008" s="23"/>
      <c r="J1008" s="13"/>
      <c r="K1008" s="24"/>
      <c r="L1008" s="25"/>
      <c r="M1008" s="19"/>
      <c r="N1008" s="20"/>
      <c r="O1008" s="22"/>
      <c r="P1008" s="22"/>
      <c r="Q1008" s="23"/>
      <c r="R1008" s="23"/>
    </row>
    <row r="1009" spans="1:18" x14ac:dyDescent="0.2">
      <c r="A1009" s="13"/>
      <c r="B1009" s="18"/>
      <c r="C1009" s="19"/>
      <c r="D1009" s="19"/>
      <c r="E1009" s="20"/>
      <c r="F1009" s="22"/>
      <c r="G1009" s="22"/>
      <c r="H1009" s="23"/>
      <c r="I1009" s="23"/>
      <c r="J1009" s="13"/>
      <c r="K1009" s="24"/>
      <c r="L1009" s="25"/>
      <c r="M1009" s="19"/>
      <c r="N1009" s="20"/>
      <c r="O1009" s="22"/>
      <c r="P1009" s="22"/>
      <c r="Q1009" s="23"/>
      <c r="R1009" s="23"/>
    </row>
    <row r="1010" spans="1:18" x14ac:dyDescent="0.2">
      <c r="A1010" s="13"/>
      <c r="B1010" s="248" t="s">
        <v>20</v>
      </c>
      <c r="C1010" s="249"/>
      <c r="D1010" s="249"/>
      <c r="E1010" s="250"/>
      <c r="F1010" s="31"/>
      <c r="G1010" s="31"/>
      <c r="H1010" s="32"/>
      <c r="I1010" s="32">
        <f>SUM(I1003:I1009)</f>
        <v>130.26400000000001</v>
      </c>
      <c r="J1010" s="13"/>
      <c r="K1010" s="248" t="s">
        <v>20</v>
      </c>
      <c r="L1010" s="249"/>
      <c r="M1010" s="249"/>
      <c r="N1010" s="250"/>
      <c r="O1010" s="31"/>
      <c r="P1010" s="31"/>
      <c r="Q1010" s="32"/>
      <c r="R1010" s="32">
        <f>SUM(R1003:R1009)</f>
        <v>481.53999999999996</v>
      </c>
    </row>
    <row r="1011" spans="1:18" x14ac:dyDescent="0.2">
      <c r="A1011" s="12"/>
      <c r="B1011" s="251" t="s">
        <v>21</v>
      </c>
      <c r="C1011" s="252"/>
      <c r="D1011" s="252"/>
      <c r="E1011" s="253"/>
      <c r="F1011" s="244" t="s">
        <v>22</v>
      </c>
      <c r="G1011" s="244" t="s">
        <v>13</v>
      </c>
      <c r="H1011" s="244" t="s">
        <v>14</v>
      </c>
      <c r="I1011" s="246" t="s">
        <v>15</v>
      </c>
      <c r="J1011" s="12"/>
      <c r="K1011" s="251" t="s">
        <v>21</v>
      </c>
      <c r="L1011" s="252"/>
      <c r="M1011" s="252"/>
      <c r="N1011" s="253"/>
      <c r="O1011" s="244" t="s">
        <v>22</v>
      </c>
      <c r="P1011" s="244" t="s">
        <v>13</v>
      </c>
      <c r="Q1011" s="244" t="s">
        <v>14</v>
      </c>
      <c r="R1011" s="246" t="s">
        <v>15</v>
      </c>
    </row>
    <row r="1012" spans="1:18" x14ac:dyDescent="0.2">
      <c r="A1012" s="13"/>
      <c r="B1012" s="254"/>
      <c r="C1012" s="255"/>
      <c r="D1012" s="255"/>
      <c r="E1012" s="256"/>
      <c r="F1012" s="245"/>
      <c r="G1012" s="245"/>
      <c r="H1012" s="245"/>
      <c r="I1012" s="247"/>
      <c r="J1012" s="13"/>
      <c r="K1012" s="254"/>
      <c r="L1012" s="255"/>
      <c r="M1012" s="255"/>
      <c r="N1012" s="256"/>
      <c r="O1012" s="245"/>
      <c r="P1012" s="245"/>
      <c r="Q1012" s="245"/>
      <c r="R1012" s="247"/>
    </row>
    <row r="1013" spans="1:18" x14ac:dyDescent="0.2">
      <c r="A1013" s="13" t="s">
        <v>23</v>
      </c>
      <c r="B1013" s="33" t="s">
        <v>24</v>
      </c>
      <c r="C1013" s="15"/>
      <c r="D1013" s="15"/>
      <c r="E1013" s="16"/>
      <c r="F1013" s="34"/>
      <c r="G1013" s="34"/>
      <c r="H1013" s="35"/>
      <c r="I1013" s="35"/>
      <c r="J1013" s="13" t="s">
        <v>23</v>
      </c>
      <c r="K1013" s="33" t="s">
        <v>24</v>
      </c>
      <c r="L1013" s="15"/>
      <c r="M1013" s="15"/>
      <c r="N1013" s="16"/>
      <c r="O1013" s="34"/>
      <c r="P1013" s="34"/>
      <c r="Q1013" s="35"/>
      <c r="R1013" s="35"/>
    </row>
    <row r="1014" spans="1:18" x14ac:dyDescent="0.2">
      <c r="A1014" s="13"/>
      <c r="B1014" s="18"/>
      <c r="C1014" s="19"/>
      <c r="D1014" s="19"/>
      <c r="E1014" s="20"/>
      <c r="F1014" s="22"/>
      <c r="G1014" s="22"/>
      <c r="H1014" s="23"/>
      <c r="I1014" s="23"/>
      <c r="J1014" s="13"/>
      <c r="K1014" s="18"/>
      <c r="L1014" s="19"/>
      <c r="M1014" s="19"/>
      <c r="N1014" s="20"/>
      <c r="O1014" s="22"/>
      <c r="P1014" s="22"/>
      <c r="Q1014" s="23"/>
      <c r="R1014" s="23"/>
    </row>
    <row r="1015" spans="1:18" x14ac:dyDescent="0.2">
      <c r="A1015" s="13"/>
      <c r="B1015" s="18" t="s">
        <v>62</v>
      </c>
      <c r="C1015" s="66"/>
      <c r="D1015" s="19"/>
      <c r="E1015" s="20"/>
      <c r="F1015" s="22">
        <v>1</v>
      </c>
      <c r="G1015" s="23">
        <v>0.2</v>
      </c>
      <c r="H1015" s="37">
        <v>1537</v>
      </c>
      <c r="I1015" s="37">
        <f>G1015*H1015*F1015</f>
        <v>307.40000000000003</v>
      </c>
      <c r="J1015" s="13"/>
      <c r="K1015" s="18"/>
      <c r="L1015" s="66"/>
      <c r="M1015" s="19"/>
      <c r="N1015" s="20"/>
      <c r="O1015" s="22"/>
      <c r="P1015" s="36"/>
      <c r="Q1015" s="37"/>
      <c r="R1015" s="37"/>
    </row>
    <row r="1016" spans="1:18" x14ac:dyDescent="0.2">
      <c r="A1016" s="13"/>
      <c r="B1016" s="18" t="s">
        <v>1149</v>
      </c>
      <c r="C1016" s="66"/>
      <c r="D1016" s="19"/>
      <c r="E1016" s="20"/>
      <c r="F1016" s="22">
        <v>1</v>
      </c>
      <c r="G1016" s="23">
        <v>0.2</v>
      </c>
      <c r="H1016" s="37">
        <v>1017.9</v>
      </c>
      <c r="I1016" s="37">
        <f>G1016*H1016*F1016</f>
        <v>203.58</v>
      </c>
      <c r="J1016" s="13"/>
      <c r="K1016" s="18" t="s">
        <v>1192</v>
      </c>
      <c r="L1016" s="66"/>
      <c r="M1016" s="19"/>
      <c r="N1016" s="20"/>
      <c r="O1016" s="22"/>
      <c r="P1016" s="36"/>
      <c r="R1016" s="37">
        <f>R1010*0.1</f>
        <v>48.153999999999996</v>
      </c>
    </row>
    <row r="1017" spans="1:18" x14ac:dyDescent="0.2">
      <c r="A1017" s="13"/>
      <c r="B1017" s="18" t="s">
        <v>1174</v>
      </c>
      <c r="C1017" s="19"/>
      <c r="D1017" s="19"/>
      <c r="E1017" s="20"/>
      <c r="F1017" s="22">
        <v>1</v>
      </c>
      <c r="G1017" s="23">
        <v>0.1</v>
      </c>
      <c r="H1017" s="37">
        <v>2450</v>
      </c>
      <c r="I1017" s="37">
        <f>F1017*G1017*H1017</f>
        <v>245</v>
      </c>
      <c r="J1017" s="13"/>
      <c r="K1017" s="18"/>
      <c r="L1017" s="66"/>
      <c r="M1017" s="19"/>
      <c r="N1017" s="20"/>
      <c r="O1017" s="22"/>
      <c r="P1017" s="36"/>
      <c r="Q1017" s="37"/>
      <c r="R1017" s="37"/>
    </row>
    <row r="1018" spans="1:18" x14ac:dyDescent="0.2">
      <c r="A1018" s="13"/>
      <c r="B1018" s="18" t="s">
        <v>92</v>
      </c>
      <c r="C1018" s="19"/>
      <c r="D1018" s="19"/>
      <c r="E1018" s="20"/>
      <c r="F1018" s="22"/>
      <c r="G1018" s="36"/>
      <c r="I1018" s="37">
        <f>I1010*0.1</f>
        <v>13.026400000000002</v>
      </c>
      <c r="J1018" s="13"/>
      <c r="K1018" s="18"/>
      <c r="L1018" s="66"/>
      <c r="O1018" s="22"/>
      <c r="P1018" s="23"/>
      <c r="Q1018" s="37"/>
      <c r="R1018" s="37"/>
    </row>
    <row r="1019" spans="1:18" x14ac:dyDescent="0.2">
      <c r="A1019" s="13"/>
      <c r="B1019" s="18"/>
      <c r="C1019" s="19"/>
      <c r="D1019" s="19"/>
      <c r="E1019" s="20"/>
      <c r="F1019" s="22"/>
      <c r="G1019" s="36"/>
      <c r="H1019" s="37"/>
      <c r="I1019" s="37"/>
      <c r="J1019" s="13"/>
      <c r="K1019" s="18"/>
      <c r="L1019" s="19"/>
      <c r="M1019" s="19"/>
      <c r="N1019" s="20"/>
      <c r="O1019" s="22"/>
      <c r="P1019" s="36"/>
      <c r="Q1019" s="37"/>
      <c r="R1019" s="37"/>
    </row>
    <row r="1020" spans="1:18" x14ac:dyDescent="0.2">
      <c r="A1020" s="13"/>
      <c r="B1020" s="18"/>
      <c r="C1020" s="19"/>
      <c r="D1020" s="19"/>
      <c r="E1020" s="20"/>
      <c r="F1020" s="22"/>
      <c r="G1020" s="36"/>
      <c r="H1020" s="38"/>
      <c r="I1020" s="38"/>
      <c r="J1020" s="13"/>
      <c r="K1020" s="18"/>
      <c r="L1020" s="19"/>
      <c r="M1020" s="19"/>
      <c r="N1020" s="20"/>
      <c r="O1020" s="22"/>
      <c r="P1020" s="36"/>
      <c r="Q1020" s="37"/>
      <c r="R1020" s="37"/>
    </row>
    <row r="1021" spans="1:18" x14ac:dyDescent="0.2">
      <c r="A1021" s="13"/>
      <c r="B1021" s="18"/>
      <c r="C1021" s="19"/>
      <c r="D1021" s="19"/>
      <c r="E1021" s="20"/>
      <c r="F1021" s="22"/>
      <c r="G1021" s="36"/>
      <c r="H1021" s="38"/>
      <c r="I1021" s="38"/>
      <c r="J1021" s="13"/>
      <c r="K1021" s="18"/>
      <c r="L1021" s="19"/>
      <c r="M1021" s="19"/>
      <c r="N1021" s="20"/>
      <c r="O1021" s="22"/>
      <c r="P1021" s="36"/>
      <c r="Q1021" s="37"/>
      <c r="R1021" s="37"/>
    </row>
    <row r="1022" spans="1:18" x14ac:dyDescent="0.2">
      <c r="A1022" s="13"/>
      <c r="B1022" s="18"/>
      <c r="C1022" s="19"/>
      <c r="D1022" s="19"/>
      <c r="E1022" s="20"/>
      <c r="F1022" s="22"/>
      <c r="G1022" s="36"/>
      <c r="H1022" s="38"/>
      <c r="I1022" s="38"/>
      <c r="J1022" s="13"/>
      <c r="K1022" s="18"/>
      <c r="L1022" s="19"/>
      <c r="M1022" s="19"/>
      <c r="N1022" s="20"/>
      <c r="O1022" s="22"/>
      <c r="P1022" s="23"/>
      <c r="Q1022" s="37"/>
      <c r="R1022" s="37"/>
    </row>
    <row r="1023" spans="1:18" x14ac:dyDescent="0.2">
      <c r="A1023" s="13"/>
      <c r="B1023" s="18"/>
      <c r="C1023" s="19"/>
      <c r="D1023" s="19"/>
      <c r="E1023" s="20"/>
      <c r="F1023" s="22"/>
      <c r="G1023" s="36"/>
      <c r="H1023" s="38"/>
      <c r="I1023" s="38"/>
      <c r="J1023" s="13"/>
      <c r="K1023" s="18"/>
      <c r="L1023" s="19"/>
      <c r="M1023" s="19"/>
      <c r="N1023" s="20"/>
      <c r="O1023" s="22"/>
      <c r="P1023" s="23"/>
      <c r="Q1023" s="37"/>
      <c r="R1023" s="37"/>
    </row>
    <row r="1024" spans="1:18" x14ac:dyDescent="0.2">
      <c r="A1024" s="13"/>
      <c r="B1024" s="18"/>
      <c r="C1024" s="19"/>
      <c r="D1024" s="19"/>
      <c r="E1024" s="20"/>
      <c r="F1024" s="22"/>
      <c r="G1024" s="36"/>
      <c r="H1024" s="37"/>
      <c r="I1024" s="37"/>
      <c r="J1024" s="13"/>
      <c r="K1024" s="7"/>
      <c r="L1024" s="7"/>
      <c r="M1024" s="7"/>
      <c r="N1024" s="7"/>
      <c r="O1024" s="72"/>
      <c r="P1024" s="72"/>
      <c r="Q1024" s="72"/>
      <c r="R1024" s="72"/>
    </row>
    <row r="1025" spans="1:18" x14ac:dyDescent="0.2">
      <c r="A1025" s="13"/>
      <c r="B1025" s="18"/>
      <c r="C1025" s="19"/>
      <c r="D1025" s="19"/>
      <c r="E1025" s="20"/>
      <c r="F1025" s="22"/>
      <c r="G1025" s="36"/>
      <c r="H1025" s="37"/>
      <c r="I1025" s="37"/>
      <c r="J1025" s="13"/>
      <c r="K1025" s="18"/>
      <c r="L1025" s="19"/>
      <c r="M1025" s="19"/>
      <c r="N1025" s="20"/>
      <c r="O1025" s="22"/>
      <c r="P1025" s="36"/>
      <c r="Q1025" s="37"/>
      <c r="R1025" s="37"/>
    </row>
    <row r="1026" spans="1:18" x14ac:dyDescent="0.2">
      <c r="A1026" s="13"/>
      <c r="B1026" s="18"/>
      <c r="C1026" s="19"/>
      <c r="D1026" s="19"/>
      <c r="E1026" s="20"/>
      <c r="F1026" s="22"/>
      <c r="G1026" s="36"/>
      <c r="H1026" s="37"/>
      <c r="I1026" s="37"/>
      <c r="J1026" s="13"/>
      <c r="K1026" s="18"/>
      <c r="L1026" s="19"/>
      <c r="M1026" s="19"/>
      <c r="N1026" s="20"/>
      <c r="O1026" s="22"/>
      <c r="P1026" s="36"/>
      <c r="Q1026" s="37"/>
      <c r="R1026" s="37"/>
    </row>
    <row r="1027" spans="1:18" x14ac:dyDescent="0.2">
      <c r="A1027" s="13"/>
      <c r="B1027" s="18"/>
      <c r="C1027" s="19"/>
      <c r="D1027" s="19"/>
      <c r="E1027" s="20"/>
      <c r="F1027" s="22"/>
      <c r="G1027" s="22"/>
      <c r="H1027" s="23"/>
      <c r="I1027" s="23"/>
      <c r="J1027" s="13"/>
      <c r="K1027" s="18"/>
      <c r="L1027" s="19"/>
      <c r="M1027" s="19"/>
      <c r="N1027" s="20"/>
      <c r="O1027" s="22"/>
      <c r="P1027" s="22"/>
      <c r="Q1027" s="23"/>
      <c r="R1027" s="23"/>
    </row>
    <row r="1028" spans="1:18" x14ac:dyDescent="0.2">
      <c r="A1028" s="13"/>
      <c r="B1028" s="248" t="s">
        <v>30</v>
      </c>
      <c r="C1028" s="249"/>
      <c r="D1028" s="249"/>
      <c r="E1028" s="250"/>
      <c r="F1028" s="22"/>
      <c r="G1028" s="22"/>
      <c r="H1028" s="23"/>
      <c r="I1028" s="23">
        <f>SUM(I1015:I1027)</f>
        <v>769.00639999999999</v>
      </c>
      <c r="J1028" s="13"/>
      <c r="K1028" s="248" t="s">
        <v>30</v>
      </c>
      <c r="L1028" s="249"/>
      <c r="M1028" s="249"/>
      <c r="N1028" s="250"/>
      <c r="O1028" s="22"/>
      <c r="P1028" s="22"/>
      <c r="Q1028" s="23"/>
      <c r="R1028" s="23">
        <f>SUM(R1015:R1027)</f>
        <v>48.153999999999996</v>
      </c>
    </row>
    <row r="1029" spans="1:18" x14ac:dyDescent="0.2">
      <c r="A1029" s="12" t="s">
        <v>31</v>
      </c>
      <c r="B1029" s="260" t="s">
        <v>32</v>
      </c>
      <c r="C1029" s="261"/>
      <c r="D1029" s="261"/>
      <c r="E1029" s="261"/>
      <c r="F1029" s="161"/>
      <c r="G1029" s="161"/>
      <c r="H1029" s="40"/>
      <c r="I1029" s="41">
        <f>SUM(I1028+I1010)</f>
        <v>899.2704</v>
      </c>
      <c r="J1029" s="12" t="s">
        <v>31</v>
      </c>
      <c r="K1029" s="260" t="s">
        <v>32</v>
      </c>
      <c r="L1029" s="261"/>
      <c r="M1029" s="261"/>
      <c r="N1029" s="261"/>
      <c r="O1029" s="39"/>
      <c r="P1029" s="39"/>
      <c r="Q1029" s="40"/>
      <c r="R1029" s="41">
        <f>SUM(R1028+R1010)</f>
        <v>529.69399999999996</v>
      </c>
    </row>
    <row r="1030" spans="1:18" x14ac:dyDescent="0.2">
      <c r="A1030" s="13" t="s">
        <v>33</v>
      </c>
      <c r="B1030" s="321">
        <f>E997</f>
        <v>1</v>
      </c>
      <c r="C1030" s="322"/>
      <c r="D1030" s="322"/>
      <c r="E1030" s="322"/>
      <c r="F1030" s="322"/>
      <c r="G1030" s="322"/>
      <c r="H1030" s="40"/>
      <c r="I1030" s="41"/>
      <c r="J1030" s="13" t="s">
        <v>33</v>
      </c>
      <c r="K1030" s="279">
        <f>N997</f>
        <v>3.125</v>
      </c>
      <c r="L1030" s="280"/>
      <c r="M1030" s="280"/>
      <c r="N1030" s="280"/>
      <c r="O1030" s="280"/>
      <c r="P1030" s="280"/>
      <c r="Q1030" s="40"/>
      <c r="R1030" s="41"/>
    </row>
    <row r="1031" spans="1:18" x14ac:dyDescent="0.2">
      <c r="A1031" s="13" t="s">
        <v>34</v>
      </c>
      <c r="B1031" s="162" t="s">
        <v>35</v>
      </c>
      <c r="C1031" s="43"/>
      <c r="D1031" s="43"/>
      <c r="E1031" s="161"/>
      <c r="F1031" s="163"/>
      <c r="G1031" s="163"/>
      <c r="H1031" s="40"/>
      <c r="I1031" s="41">
        <f>I1029/E997</f>
        <v>899.2704</v>
      </c>
      <c r="J1031" s="13" t="s">
        <v>34</v>
      </c>
      <c r="K1031" s="42" t="s">
        <v>35</v>
      </c>
      <c r="L1031" s="43"/>
      <c r="M1031" s="43"/>
      <c r="N1031" s="39"/>
      <c r="O1031" s="44"/>
      <c r="P1031" s="44"/>
      <c r="Q1031" s="40"/>
      <c r="R1031" s="41">
        <f>R1029/N997</f>
        <v>169.50207999999998</v>
      </c>
    </row>
    <row r="1032" spans="1:18" x14ac:dyDescent="0.2">
      <c r="A1032" s="12"/>
      <c r="B1032" s="251" t="s">
        <v>36</v>
      </c>
      <c r="C1032" s="252"/>
      <c r="D1032" s="252"/>
      <c r="E1032" s="253"/>
      <c r="F1032" s="244" t="s">
        <v>37</v>
      </c>
      <c r="G1032" s="244" t="s">
        <v>38</v>
      </c>
      <c r="H1032" s="244" t="s">
        <v>39</v>
      </c>
      <c r="I1032" s="246" t="s">
        <v>15</v>
      </c>
      <c r="J1032" s="12"/>
      <c r="K1032" s="251" t="s">
        <v>36</v>
      </c>
      <c r="L1032" s="252"/>
      <c r="M1032" s="252"/>
      <c r="N1032" s="253"/>
      <c r="O1032" s="244" t="s">
        <v>37</v>
      </c>
      <c r="P1032" s="244" t="s">
        <v>38</v>
      </c>
      <c r="Q1032" s="244" t="s">
        <v>39</v>
      </c>
      <c r="R1032" s="246" t="s">
        <v>15</v>
      </c>
    </row>
    <row r="1033" spans="1:18" x14ac:dyDescent="0.2">
      <c r="A1033" s="13"/>
      <c r="B1033" s="254"/>
      <c r="C1033" s="255"/>
      <c r="D1033" s="255"/>
      <c r="E1033" s="256"/>
      <c r="F1033" s="245"/>
      <c r="G1033" s="245"/>
      <c r="H1033" s="245"/>
      <c r="I1033" s="247"/>
      <c r="J1033" s="13"/>
      <c r="K1033" s="254"/>
      <c r="L1033" s="255"/>
      <c r="M1033" s="255"/>
      <c r="N1033" s="256"/>
      <c r="O1033" s="245"/>
      <c r="P1033" s="245"/>
      <c r="Q1033" s="245"/>
      <c r="R1033" s="247"/>
    </row>
    <row r="1034" spans="1:18" x14ac:dyDescent="0.2">
      <c r="A1034" s="13" t="s">
        <v>40</v>
      </c>
      <c r="B1034" s="18" t="s">
        <v>41</v>
      </c>
      <c r="C1034" s="19"/>
      <c r="D1034" s="19"/>
      <c r="E1034" s="20"/>
      <c r="F1034" s="22"/>
      <c r="G1034" s="22"/>
      <c r="H1034" s="23"/>
      <c r="I1034" s="23"/>
      <c r="J1034" s="13" t="s">
        <v>40</v>
      </c>
      <c r="K1034" s="18" t="s">
        <v>41</v>
      </c>
      <c r="L1034" s="19"/>
      <c r="M1034" s="19"/>
      <c r="N1034" s="20"/>
      <c r="O1034" s="22"/>
      <c r="P1034" s="22"/>
      <c r="Q1034" s="23"/>
      <c r="R1034" s="23"/>
    </row>
    <row r="1035" spans="1:18" x14ac:dyDescent="0.2">
      <c r="A1035" s="13"/>
      <c r="B1035" s="18"/>
      <c r="C1035" s="19"/>
      <c r="D1035" s="19"/>
      <c r="E1035" s="20"/>
      <c r="F1035" s="22"/>
      <c r="G1035" s="22"/>
      <c r="H1035" s="23"/>
      <c r="I1035" s="23"/>
      <c r="J1035" s="13"/>
      <c r="K1035" s="18"/>
      <c r="L1035" s="19"/>
      <c r="M1035" s="19"/>
      <c r="N1035" s="20"/>
      <c r="O1035" s="22"/>
      <c r="P1035" s="22"/>
      <c r="Q1035" s="23"/>
      <c r="R1035" s="23"/>
    </row>
    <row r="1036" spans="1:18" x14ac:dyDescent="0.2">
      <c r="A1036" s="13"/>
      <c r="B1036" s="18"/>
      <c r="C1036" s="19"/>
      <c r="D1036" s="19"/>
      <c r="E1036" s="20"/>
      <c r="F1036" s="22"/>
      <c r="G1036" s="62"/>
      <c r="H1036" s="23"/>
      <c r="I1036" s="23"/>
      <c r="J1036" s="13"/>
      <c r="K1036" s="18" t="s">
        <v>542</v>
      </c>
      <c r="L1036" s="66"/>
      <c r="M1036" s="19"/>
      <c r="N1036" s="20"/>
      <c r="O1036" s="22" t="s">
        <v>9</v>
      </c>
      <c r="P1036" s="62">
        <v>1.05</v>
      </c>
      <c r="Q1036" s="107">
        <v>920</v>
      </c>
      <c r="R1036" s="23">
        <f>P1036*Q1036</f>
        <v>966</v>
      </c>
    </row>
    <row r="1037" spans="1:18" x14ac:dyDescent="0.2">
      <c r="A1037" s="13"/>
      <c r="B1037" s="18"/>
      <c r="C1037" s="19"/>
      <c r="D1037" s="19"/>
      <c r="E1037" s="20"/>
      <c r="F1037" s="22"/>
      <c r="G1037" s="22"/>
      <c r="H1037" s="23"/>
      <c r="I1037" s="23"/>
      <c r="J1037" s="13"/>
      <c r="K1037" s="18"/>
      <c r="L1037" s="66"/>
      <c r="M1037" s="19"/>
      <c r="N1037" s="20"/>
      <c r="O1037" s="22"/>
      <c r="P1037" s="70"/>
      <c r="Q1037" s="23"/>
      <c r="R1037" s="23"/>
    </row>
    <row r="1038" spans="1:18" x14ac:dyDescent="0.2">
      <c r="A1038" s="13"/>
      <c r="B1038" s="18"/>
      <c r="C1038" s="19"/>
      <c r="D1038" s="19"/>
      <c r="E1038" s="20"/>
      <c r="F1038" s="22"/>
      <c r="G1038" s="22"/>
      <c r="H1038" s="38"/>
      <c r="I1038" s="38"/>
      <c r="J1038" s="13"/>
      <c r="K1038" s="18"/>
      <c r="L1038" s="19"/>
      <c r="M1038" s="19"/>
      <c r="N1038" s="20"/>
      <c r="O1038" s="22"/>
      <c r="P1038" s="22"/>
      <c r="Q1038" s="23"/>
      <c r="R1038" s="23"/>
    </row>
    <row r="1039" spans="1:18" x14ac:dyDescent="0.2">
      <c r="A1039" s="13"/>
      <c r="B1039" s="18"/>
      <c r="C1039" s="19"/>
      <c r="D1039" s="19"/>
      <c r="E1039" s="20"/>
      <c r="F1039" s="22"/>
      <c r="G1039" s="22"/>
      <c r="H1039" s="38"/>
      <c r="I1039" s="38"/>
      <c r="J1039" s="13"/>
      <c r="K1039" s="18"/>
      <c r="L1039" s="19"/>
      <c r="M1039" s="19"/>
      <c r="N1039" s="20"/>
      <c r="O1039" s="22"/>
      <c r="P1039" s="22"/>
      <c r="Q1039" s="23"/>
      <c r="R1039" s="23"/>
    </row>
    <row r="1040" spans="1:18" x14ac:dyDescent="0.2">
      <c r="A1040" s="13"/>
      <c r="B1040" s="18"/>
      <c r="C1040" s="19"/>
      <c r="D1040" s="19"/>
      <c r="E1040" s="20"/>
      <c r="F1040" s="22"/>
      <c r="G1040" s="22"/>
      <c r="H1040" s="45"/>
      <c r="I1040" s="45"/>
      <c r="J1040" s="13"/>
      <c r="K1040" s="18"/>
      <c r="L1040" s="19"/>
      <c r="M1040" s="19"/>
      <c r="N1040" s="20"/>
      <c r="O1040" s="22"/>
      <c r="P1040" s="22"/>
      <c r="Q1040" s="23"/>
      <c r="R1040" s="23"/>
    </row>
    <row r="1041" spans="1:18" x14ac:dyDescent="0.2">
      <c r="A1041" s="13"/>
      <c r="B1041" s="18"/>
      <c r="C1041" s="19"/>
      <c r="D1041" s="19"/>
      <c r="E1041" s="20"/>
      <c r="F1041" s="22"/>
      <c r="G1041" s="22"/>
      <c r="H1041" s="45"/>
      <c r="I1041" s="45"/>
      <c r="J1041" s="13"/>
      <c r="K1041" s="18"/>
      <c r="L1041" s="19"/>
      <c r="M1041" s="19"/>
      <c r="N1041" s="20"/>
      <c r="O1041" s="22"/>
      <c r="P1041" s="22"/>
      <c r="Q1041" s="23"/>
      <c r="R1041" s="23"/>
    </row>
    <row r="1042" spans="1:18" x14ac:dyDescent="0.2">
      <c r="A1042" s="13"/>
      <c r="B1042" s="18"/>
      <c r="C1042" s="19"/>
      <c r="D1042" s="19"/>
      <c r="E1042" s="20"/>
      <c r="F1042" s="22"/>
      <c r="G1042" s="22"/>
      <c r="H1042" s="23"/>
      <c r="I1042" s="23"/>
      <c r="J1042" s="13"/>
      <c r="K1042" s="18"/>
      <c r="L1042" s="19"/>
      <c r="M1042" s="19"/>
      <c r="N1042" s="20"/>
      <c r="O1042" s="22"/>
      <c r="P1042" s="22"/>
      <c r="Q1042" s="23"/>
      <c r="R1042" s="23"/>
    </row>
    <row r="1043" spans="1:18" x14ac:dyDescent="0.2">
      <c r="A1043" s="13"/>
      <c r="B1043" s="18"/>
      <c r="C1043" s="19"/>
      <c r="D1043" s="19"/>
      <c r="E1043" s="20"/>
      <c r="F1043" s="22"/>
      <c r="G1043" s="22"/>
      <c r="H1043" s="23"/>
      <c r="I1043" s="23"/>
      <c r="J1043" s="13"/>
      <c r="K1043" s="18"/>
      <c r="L1043" s="19"/>
      <c r="M1043" s="19"/>
      <c r="N1043" s="20"/>
      <c r="O1043" s="22"/>
      <c r="P1043" s="22"/>
      <c r="Q1043" s="23"/>
      <c r="R1043" s="23"/>
    </row>
    <row r="1044" spans="1:18" x14ac:dyDescent="0.2">
      <c r="A1044" s="13"/>
      <c r="B1044" s="18"/>
      <c r="C1044" s="19"/>
      <c r="D1044" s="19"/>
      <c r="E1044" s="20"/>
      <c r="F1044" s="22"/>
      <c r="G1044" s="22"/>
      <c r="H1044" s="23"/>
      <c r="I1044" s="23"/>
      <c r="J1044" s="13"/>
      <c r="K1044" s="18"/>
      <c r="L1044" s="19"/>
      <c r="M1044" s="19"/>
      <c r="N1044" s="20"/>
      <c r="O1044" s="22"/>
      <c r="P1044" s="22"/>
      <c r="Q1044" s="23"/>
      <c r="R1044" s="23"/>
    </row>
    <row r="1045" spans="1:18" x14ac:dyDescent="0.2">
      <c r="A1045" s="13"/>
      <c r="B1045" s="18"/>
      <c r="C1045" s="19"/>
      <c r="D1045" s="19"/>
      <c r="E1045" s="20"/>
      <c r="F1045" s="22"/>
      <c r="G1045" s="22"/>
      <c r="H1045" s="23"/>
      <c r="I1045" s="23"/>
      <c r="J1045" s="13"/>
      <c r="K1045" s="18"/>
      <c r="L1045" s="19"/>
      <c r="M1045" s="19"/>
      <c r="N1045" s="20"/>
      <c r="O1045" s="22"/>
      <c r="P1045" s="22"/>
      <c r="Q1045" s="23"/>
      <c r="R1045" s="23"/>
    </row>
    <row r="1046" spans="1:18" x14ac:dyDescent="0.2">
      <c r="A1046" s="13"/>
      <c r="B1046" s="18"/>
      <c r="C1046" s="19"/>
      <c r="D1046" s="19"/>
      <c r="E1046" s="20"/>
      <c r="F1046" s="22"/>
      <c r="G1046" s="22"/>
      <c r="H1046" s="23"/>
      <c r="I1046" s="23"/>
      <c r="J1046" s="13"/>
      <c r="K1046" s="18"/>
      <c r="L1046" s="19"/>
      <c r="M1046" s="19"/>
      <c r="N1046" s="20"/>
      <c r="O1046" s="22"/>
      <c r="P1046" s="22"/>
      <c r="Q1046" s="23"/>
      <c r="R1046" s="23"/>
    </row>
    <row r="1047" spans="1:18" x14ac:dyDescent="0.2">
      <c r="A1047" s="13"/>
      <c r="B1047" s="18"/>
      <c r="C1047" s="19"/>
      <c r="D1047" s="19"/>
      <c r="E1047" s="20"/>
      <c r="F1047" s="22"/>
      <c r="G1047" s="22"/>
      <c r="H1047" s="23"/>
      <c r="I1047" s="23"/>
      <c r="J1047" s="13"/>
      <c r="K1047" s="18"/>
      <c r="L1047" s="19"/>
      <c r="M1047" s="19"/>
      <c r="N1047" s="20"/>
      <c r="O1047" s="22"/>
      <c r="P1047" s="22"/>
      <c r="Q1047" s="23"/>
      <c r="R1047" s="23"/>
    </row>
    <row r="1048" spans="1:18" x14ac:dyDescent="0.2">
      <c r="A1048" s="13"/>
      <c r="B1048" s="18"/>
      <c r="C1048" s="19"/>
      <c r="D1048" s="19"/>
      <c r="E1048" s="20"/>
      <c r="F1048" s="22"/>
      <c r="G1048" s="36"/>
      <c r="H1048" s="37"/>
      <c r="I1048" s="37"/>
      <c r="J1048" s="13"/>
      <c r="K1048" s="18"/>
      <c r="L1048" s="19"/>
      <c r="M1048" s="19"/>
      <c r="N1048" s="20"/>
      <c r="O1048" s="22"/>
      <c r="P1048" s="36"/>
      <c r="Q1048" s="37"/>
      <c r="R1048" s="37"/>
    </row>
    <row r="1049" spans="1:18" x14ac:dyDescent="0.2">
      <c r="A1049" s="13"/>
      <c r="B1049" s="248" t="s">
        <v>42</v>
      </c>
      <c r="C1049" s="249"/>
      <c r="D1049" s="249"/>
      <c r="E1049" s="250"/>
      <c r="F1049" s="46"/>
      <c r="G1049" s="46"/>
      <c r="H1049" s="47"/>
      <c r="I1049" s="47">
        <f>SUM(I1036:I1048)</f>
        <v>0</v>
      </c>
      <c r="J1049" s="13"/>
      <c r="K1049" s="248" t="s">
        <v>42</v>
      </c>
      <c r="L1049" s="249"/>
      <c r="M1049" s="249"/>
      <c r="N1049" s="250"/>
      <c r="O1049" s="46"/>
      <c r="P1049" s="46"/>
      <c r="Q1049" s="47"/>
      <c r="R1049" s="47">
        <f>SUM(R1036:R1048)</f>
        <v>966</v>
      </c>
    </row>
    <row r="1050" spans="1:18" x14ac:dyDescent="0.2">
      <c r="A1050" s="12" t="s">
        <v>43</v>
      </c>
      <c r="B1050" s="48" t="s">
        <v>44</v>
      </c>
      <c r="C1050" s="43"/>
      <c r="D1050" s="43"/>
      <c r="E1050" s="161"/>
      <c r="F1050" s="49"/>
      <c r="G1050" s="49"/>
      <c r="H1050" s="50"/>
      <c r="I1050" s="51">
        <f>SUM(I1031+I1049)</f>
        <v>899.2704</v>
      </c>
      <c r="J1050" s="12" t="s">
        <v>43</v>
      </c>
      <c r="K1050" s="48" t="s">
        <v>44</v>
      </c>
      <c r="L1050" s="43"/>
      <c r="M1050" s="43"/>
      <c r="N1050" s="39"/>
      <c r="O1050" s="49"/>
      <c r="P1050" s="49"/>
      <c r="Q1050" s="50"/>
      <c r="R1050" s="51">
        <f>SUM(R1031+R1049)</f>
        <v>1135.50208</v>
      </c>
    </row>
    <row r="1051" spans="1:18" x14ac:dyDescent="0.2">
      <c r="A1051" s="13" t="s">
        <v>45</v>
      </c>
      <c r="B1051" s="48" t="s">
        <v>46</v>
      </c>
      <c r="C1051" s="43"/>
      <c r="D1051" s="43"/>
      <c r="E1051" s="161"/>
      <c r="F1051" s="49"/>
      <c r="G1051" s="52">
        <v>0.09</v>
      </c>
      <c r="H1051" s="53" t="s">
        <v>47</v>
      </c>
      <c r="I1051" s="51">
        <f>G1051*I1050</f>
        <v>80.934336000000002</v>
      </c>
      <c r="J1051" s="13" t="s">
        <v>45</v>
      </c>
      <c r="K1051" s="48" t="s">
        <v>46</v>
      </c>
      <c r="L1051" s="43"/>
      <c r="M1051" s="43"/>
      <c r="N1051" s="39"/>
      <c r="O1051" s="49"/>
      <c r="P1051" s="52">
        <v>0.09</v>
      </c>
      <c r="Q1051" s="53" t="s">
        <v>47</v>
      </c>
      <c r="R1051" s="51">
        <f>P1051*R1050</f>
        <v>102.19518719999999</v>
      </c>
    </row>
    <row r="1052" spans="1:18" x14ac:dyDescent="0.2">
      <c r="A1052" s="13" t="s">
        <v>48</v>
      </c>
      <c r="B1052" s="48" t="s">
        <v>49</v>
      </c>
      <c r="C1052" s="43"/>
      <c r="D1052" s="43"/>
      <c r="E1052" s="161"/>
      <c r="F1052" s="49"/>
      <c r="G1052" s="52">
        <v>0.08</v>
      </c>
      <c r="H1052" s="53" t="s">
        <v>47</v>
      </c>
      <c r="I1052" s="51">
        <f>G1052*I1050</f>
        <v>71.941631999999998</v>
      </c>
      <c r="J1052" s="13" t="s">
        <v>48</v>
      </c>
      <c r="K1052" s="48" t="s">
        <v>49</v>
      </c>
      <c r="L1052" s="43"/>
      <c r="M1052" s="43"/>
      <c r="N1052" s="39"/>
      <c r="O1052" s="49"/>
      <c r="P1052" s="52">
        <v>0.08</v>
      </c>
      <c r="Q1052" s="53" t="s">
        <v>47</v>
      </c>
      <c r="R1052" s="51">
        <f>P1052*R1050</f>
        <v>90.840166400000001</v>
      </c>
    </row>
    <row r="1053" spans="1:18" x14ac:dyDescent="0.2">
      <c r="A1053" s="13" t="s">
        <v>50</v>
      </c>
      <c r="B1053" s="48" t="s">
        <v>51</v>
      </c>
      <c r="C1053" s="43"/>
      <c r="D1053" s="43"/>
      <c r="E1053" s="161"/>
      <c r="F1053" s="49"/>
      <c r="G1053" s="52">
        <v>0.05</v>
      </c>
      <c r="H1053" s="53" t="s">
        <v>52</v>
      </c>
      <c r="I1053" s="51">
        <f>G1053*(I1050+I1051+I1052)</f>
        <v>52.607318399999997</v>
      </c>
      <c r="J1053" s="13" t="s">
        <v>50</v>
      </c>
      <c r="K1053" s="48" t="s">
        <v>51</v>
      </c>
      <c r="L1053" s="43"/>
      <c r="M1053" s="43"/>
      <c r="N1053" s="39"/>
      <c r="O1053" s="49"/>
      <c r="P1053" s="52">
        <f>5/100</f>
        <v>0.05</v>
      </c>
      <c r="Q1053" s="53" t="s">
        <v>52</v>
      </c>
      <c r="R1053" s="51">
        <f>P1053*(R1050+R1051+R1052)</f>
        <v>66.426871680000005</v>
      </c>
    </row>
    <row r="1054" spans="1:18" x14ac:dyDescent="0.2">
      <c r="A1054" s="54" t="s">
        <v>53</v>
      </c>
      <c r="B1054" s="48" t="s">
        <v>54</v>
      </c>
      <c r="C1054" s="43"/>
      <c r="D1054" s="43"/>
      <c r="E1054" s="161"/>
      <c r="F1054" s="49"/>
      <c r="G1054" s="49"/>
      <c r="H1054" s="55" t="s">
        <v>55</v>
      </c>
      <c r="I1054" s="51">
        <f>SUM(I1050+I1051+I1052+I1053)</f>
        <v>1104.7536863999999</v>
      </c>
      <c r="J1054" s="54" t="s">
        <v>53</v>
      </c>
      <c r="K1054" s="48" t="s">
        <v>54</v>
      </c>
      <c r="L1054" s="43"/>
      <c r="M1054" s="43"/>
      <c r="N1054" s="39"/>
      <c r="O1054" s="49"/>
      <c r="P1054" s="49"/>
      <c r="Q1054" s="55" t="s">
        <v>55</v>
      </c>
      <c r="R1054" s="51">
        <f>SUM(R1050+R1051+R1052+R1053)</f>
        <v>1394.96430528</v>
      </c>
    </row>
    <row r="1055" spans="1:18" s="1" customFormat="1" x14ac:dyDescent="0.2">
      <c r="A1055" s="236" t="s">
        <v>0</v>
      </c>
      <c r="B1055" s="236"/>
      <c r="C1055" s="236"/>
      <c r="D1055" s="236"/>
      <c r="E1055" s="236"/>
      <c r="F1055" s="236"/>
      <c r="G1055" s="236"/>
      <c r="H1055" s="236"/>
      <c r="I1055" s="236"/>
      <c r="J1055" s="236" t="s">
        <v>0</v>
      </c>
      <c r="K1055" s="236"/>
      <c r="L1055" s="236"/>
      <c r="M1055" s="236"/>
      <c r="N1055" s="236"/>
      <c r="O1055" s="236"/>
      <c r="P1055" s="236"/>
      <c r="Q1055" s="236"/>
      <c r="R1055" s="236"/>
    </row>
    <row r="1057" spans="1:18" x14ac:dyDescent="0.2">
      <c r="A1057" s="158" t="s">
        <v>1</v>
      </c>
      <c r="C1057" s="4" t="s">
        <v>2</v>
      </c>
      <c r="D1057" s="5" t="s">
        <v>543</v>
      </c>
      <c r="E1057" s="158" t="s">
        <v>544</v>
      </c>
      <c r="F1057" s="158"/>
      <c r="G1057" s="158"/>
      <c r="H1057" s="158"/>
      <c r="J1057" s="2" t="s">
        <v>1</v>
      </c>
      <c r="L1057" s="4" t="s">
        <v>2</v>
      </c>
      <c r="M1057" s="5" t="s">
        <v>545</v>
      </c>
      <c r="N1057" s="2" t="s">
        <v>546</v>
      </c>
      <c r="O1057" s="2"/>
      <c r="P1057" s="2"/>
      <c r="Q1057" s="2"/>
    </row>
    <row r="1058" spans="1:18" x14ac:dyDescent="0.2">
      <c r="A1058" s="158" t="s">
        <v>7</v>
      </c>
      <c r="C1058" s="4" t="s">
        <v>2</v>
      </c>
      <c r="E1058" s="158" t="s">
        <v>1153</v>
      </c>
      <c r="F1058" s="8"/>
      <c r="G1058" s="8"/>
      <c r="H1058" s="8"/>
      <c r="J1058" s="2" t="s">
        <v>7</v>
      </c>
      <c r="L1058" s="4" t="s">
        <v>2</v>
      </c>
      <c r="N1058" s="152" t="s">
        <v>66</v>
      </c>
      <c r="O1058" s="8"/>
      <c r="P1058" s="8"/>
      <c r="Q1058" s="8"/>
    </row>
    <row r="1059" spans="1:18" x14ac:dyDescent="0.2">
      <c r="A1059" s="158" t="s">
        <v>10</v>
      </c>
      <c r="C1059" s="4" t="s">
        <v>2</v>
      </c>
      <c r="E1059" s="9">
        <v>1</v>
      </c>
      <c r="F1059" s="8"/>
      <c r="G1059" s="8"/>
      <c r="H1059" s="8"/>
      <c r="J1059" s="2" t="s">
        <v>10</v>
      </c>
      <c r="L1059" s="4" t="s">
        <v>2</v>
      </c>
      <c r="N1059" s="9">
        <v>4</v>
      </c>
      <c r="O1059" s="8"/>
      <c r="P1059" s="8"/>
      <c r="Q1059" s="8"/>
    </row>
    <row r="1060" spans="1:18" x14ac:dyDescent="0.2">
      <c r="B1060" s="8"/>
      <c r="F1060" s="11"/>
      <c r="G1060" s="8"/>
      <c r="H1060" s="8"/>
      <c r="I1060" s="8"/>
      <c r="K1060" s="8"/>
      <c r="O1060" s="11"/>
      <c r="P1060" s="8"/>
      <c r="Q1060" s="8"/>
      <c r="R1060" s="8"/>
    </row>
    <row r="1061" spans="1:18" x14ac:dyDescent="0.2">
      <c r="A1061" s="12"/>
      <c r="B1061" s="238" t="s">
        <v>11</v>
      </c>
      <c r="C1061" s="239"/>
      <c r="D1061" s="239"/>
      <c r="E1061" s="240"/>
      <c r="F1061" s="244" t="s">
        <v>12</v>
      </c>
      <c r="G1061" s="244" t="s">
        <v>13</v>
      </c>
      <c r="H1061" s="244" t="s">
        <v>14</v>
      </c>
      <c r="I1061" s="246" t="s">
        <v>15</v>
      </c>
      <c r="J1061" s="12"/>
      <c r="K1061" s="238" t="s">
        <v>11</v>
      </c>
      <c r="L1061" s="239"/>
      <c r="M1061" s="239"/>
      <c r="N1061" s="240"/>
      <c r="O1061" s="244" t="s">
        <v>12</v>
      </c>
      <c r="P1061" s="244" t="s">
        <v>13</v>
      </c>
      <c r="Q1061" s="244" t="s">
        <v>14</v>
      </c>
      <c r="R1061" s="246" t="s">
        <v>15</v>
      </c>
    </row>
    <row r="1062" spans="1:18" x14ac:dyDescent="0.2">
      <c r="A1062" s="13"/>
      <c r="B1062" s="241"/>
      <c r="C1062" s="242"/>
      <c r="D1062" s="242"/>
      <c r="E1062" s="243"/>
      <c r="F1062" s="245"/>
      <c r="G1062" s="245"/>
      <c r="H1062" s="245"/>
      <c r="I1062" s="247"/>
      <c r="J1062" s="13"/>
      <c r="K1062" s="241"/>
      <c r="L1062" s="242"/>
      <c r="M1062" s="242"/>
      <c r="N1062" s="243"/>
      <c r="O1062" s="245"/>
      <c r="P1062" s="245"/>
      <c r="Q1062" s="245"/>
      <c r="R1062" s="247"/>
    </row>
    <row r="1063" spans="1:18" x14ac:dyDescent="0.2">
      <c r="A1063" s="13" t="s">
        <v>16</v>
      </c>
      <c r="B1063" s="14" t="s">
        <v>17</v>
      </c>
      <c r="C1063" s="15"/>
      <c r="D1063" s="15"/>
      <c r="E1063" s="16"/>
      <c r="F1063" s="17"/>
      <c r="G1063" s="17"/>
      <c r="H1063" s="17"/>
      <c r="I1063" s="17"/>
      <c r="J1063" s="13" t="s">
        <v>16</v>
      </c>
      <c r="K1063" s="14" t="s">
        <v>17</v>
      </c>
      <c r="L1063" s="15"/>
      <c r="M1063" s="15"/>
      <c r="N1063" s="16"/>
      <c r="O1063" s="17"/>
      <c r="P1063" s="17"/>
      <c r="Q1063" s="17"/>
      <c r="R1063" s="17"/>
    </row>
    <row r="1064" spans="1:18" x14ac:dyDescent="0.2">
      <c r="A1064" s="13"/>
      <c r="B1064" s="18"/>
      <c r="C1064" s="19"/>
      <c r="D1064" s="19"/>
      <c r="E1064" s="20"/>
      <c r="F1064" s="21"/>
      <c r="G1064" s="22"/>
      <c r="H1064" s="21"/>
      <c r="I1064" s="21"/>
      <c r="J1064" s="13"/>
      <c r="K1064" s="18"/>
      <c r="L1064" s="19"/>
      <c r="M1064" s="19"/>
      <c r="N1064" s="20"/>
      <c r="O1064" s="21"/>
      <c r="P1064" s="22"/>
      <c r="Q1064" s="21"/>
      <c r="R1064" s="21"/>
    </row>
    <row r="1065" spans="1:18" x14ac:dyDescent="0.2">
      <c r="A1065" s="13"/>
      <c r="B1065" s="24" t="s">
        <v>18</v>
      </c>
      <c r="C1065" s="25"/>
      <c r="D1065" s="25"/>
      <c r="E1065" s="26"/>
      <c r="F1065" s="22">
        <v>1</v>
      </c>
      <c r="G1065" s="23">
        <v>0.5</v>
      </c>
      <c r="H1065" s="23">
        <v>69.42</v>
      </c>
      <c r="I1065" s="23">
        <f>G1065*H1065*F1065</f>
        <v>34.71</v>
      </c>
      <c r="J1065" s="13"/>
      <c r="K1065" s="24" t="s">
        <v>18</v>
      </c>
      <c r="L1065" s="25"/>
      <c r="M1065" s="25"/>
      <c r="N1065" s="26"/>
      <c r="O1065" s="22">
        <v>1</v>
      </c>
      <c r="P1065" s="23">
        <v>1</v>
      </c>
      <c r="Q1065" s="23">
        <v>69.42</v>
      </c>
      <c r="R1065" s="23">
        <f>P1065*Q1065*O1065</f>
        <v>69.42</v>
      </c>
    </row>
    <row r="1066" spans="1:18" x14ac:dyDescent="0.2">
      <c r="A1066" s="13"/>
      <c r="B1066" s="257" t="s">
        <v>1178</v>
      </c>
      <c r="C1066" s="258"/>
      <c r="D1066" s="25"/>
      <c r="E1066" s="26"/>
      <c r="F1066" s="22">
        <v>2</v>
      </c>
      <c r="G1066" s="23">
        <v>0.5</v>
      </c>
      <c r="H1066" s="23">
        <v>50.18</v>
      </c>
      <c r="I1066" s="23">
        <f>G1066*H1066*F1066</f>
        <v>50.18</v>
      </c>
      <c r="J1066" s="13"/>
      <c r="K1066" s="257" t="s">
        <v>1178</v>
      </c>
      <c r="L1066" s="258"/>
      <c r="M1066" s="25"/>
      <c r="N1066" s="26"/>
      <c r="O1066" s="22">
        <v>1</v>
      </c>
      <c r="P1066" s="23">
        <v>1</v>
      </c>
      <c r="Q1066" s="23">
        <v>50.18</v>
      </c>
      <c r="R1066" s="23">
        <f>P1066*Q1066*O1066</f>
        <v>50.18</v>
      </c>
    </row>
    <row r="1067" spans="1:18" x14ac:dyDescent="0.2">
      <c r="A1067" s="13"/>
      <c r="B1067" s="257" t="s">
        <v>1177</v>
      </c>
      <c r="C1067" s="258"/>
      <c r="D1067" s="19"/>
      <c r="E1067" s="20"/>
      <c r="F1067" s="22">
        <v>4</v>
      </c>
      <c r="G1067" s="23">
        <v>0.5</v>
      </c>
      <c r="H1067" s="23">
        <v>38.97</v>
      </c>
      <c r="I1067" s="23">
        <f>G1067*H1067*F1067</f>
        <v>77.94</v>
      </c>
      <c r="J1067" s="13"/>
      <c r="K1067" s="257" t="s">
        <v>1177</v>
      </c>
      <c r="L1067" s="258"/>
      <c r="M1067" s="19"/>
      <c r="N1067" s="20"/>
      <c r="O1067" s="22">
        <v>2</v>
      </c>
      <c r="P1067" s="23">
        <v>1</v>
      </c>
      <c r="Q1067" s="23">
        <v>38.97</v>
      </c>
      <c r="R1067" s="23">
        <f>P1067*Q1067*O1067</f>
        <v>77.94</v>
      </c>
    </row>
    <row r="1068" spans="1:18" x14ac:dyDescent="0.2">
      <c r="A1068" s="13"/>
      <c r="B1068" s="159"/>
      <c r="C1068" s="19"/>
      <c r="D1068" s="19"/>
      <c r="E1068" s="20"/>
      <c r="F1068" s="22"/>
      <c r="G1068" s="22"/>
      <c r="H1068" s="29"/>
      <c r="I1068" s="30"/>
      <c r="J1068" s="13"/>
      <c r="K1068" s="27"/>
      <c r="L1068" s="19"/>
      <c r="M1068" s="19"/>
      <c r="N1068" s="20"/>
      <c r="O1068" s="22"/>
      <c r="P1068" s="22"/>
      <c r="Q1068" s="29"/>
      <c r="R1068" s="30"/>
    </row>
    <row r="1069" spans="1:18" x14ac:dyDescent="0.2">
      <c r="A1069" s="13"/>
      <c r="B1069" s="159"/>
      <c r="C1069" s="19"/>
      <c r="D1069" s="19"/>
      <c r="E1069" s="20"/>
      <c r="F1069" s="22"/>
      <c r="G1069" s="22"/>
      <c r="H1069" s="29"/>
      <c r="I1069" s="30"/>
      <c r="J1069" s="13"/>
      <c r="K1069" s="27"/>
      <c r="L1069" s="19"/>
      <c r="M1069" s="19"/>
      <c r="N1069" s="20"/>
      <c r="O1069" s="22"/>
      <c r="P1069" s="22"/>
      <c r="Q1069" s="29"/>
      <c r="R1069" s="30"/>
    </row>
    <row r="1070" spans="1:18" x14ac:dyDescent="0.2">
      <c r="A1070" s="13"/>
      <c r="B1070" s="18"/>
      <c r="C1070" s="19"/>
      <c r="D1070" s="19"/>
      <c r="E1070" s="20"/>
      <c r="F1070" s="22"/>
      <c r="G1070" s="22"/>
      <c r="H1070" s="28"/>
      <c r="I1070" s="23"/>
      <c r="J1070" s="13"/>
      <c r="K1070" s="18"/>
      <c r="L1070" s="19"/>
      <c r="M1070" s="19"/>
      <c r="N1070" s="20"/>
      <c r="O1070" s="22"/>
      <c r="P1070" s="22"/>
      <c r="Q1070" s="28"/>
      <c r="R1070" s="23"/>
    </row>
    <row r="1071" spans="1:18" x14ac:dyDescent="0.2">
      <c r="A1071" s="13"/>
      <c r="B1071" s="18"/>
      <c r="C1071" s="19"/>
      <c r="D1071" s="19"/>
      <c r="E1071" s="20"/>
      <c r="F1071" s="22"/>
      <c r="G1071" s="22"/>
      <c r="H1071" s="23"/>
      <c r="I1071" s="23"/>
      <c r="J1071" s="13"/>
      <c r="K1071" s="18"/>
      <c r="L1071" s="19"/>
      <c r="M1071" s="19"/>
      <c r="N1071" s="20"/>
      <c r="O1071" s="22"/>
      <c r="P1071" s="22"/>
      <c r="Q1071" s="23"/>
      <c r="R1071" s="23"/>
    </row>
    <row r="1072" spans="1:18" x14ac:dyDescent="0.2">
      <c r="A1072" s="13"/>
      <c r="B1072" s="248" t="s">
        <v>20</v>
      </c>
      <c r="C1072" s="249"/>
      <c r="D1072" s="249"/>
      <c r="E1072" s="250"/>
      <c r="F1072" s="31"/>
      <c r="G1072" s="31"/>
      <c r="H1072" s="32"/>
      <c r="I1072" s="32">
        <f>SUM(I1065:I1071)</f>
        <v>162.82999999999998</v>
      </c>
      <c r="J1072" s="13"/>
      <c r="K1072" s="248" t="s">
        <v>20</v>
      </c>
      <c r="L1072" s="249"/>
      <c r="M1072" s="249"/>
      <c r="N1072" s="250"/>
      <c r="O1072" s="31"/>
      <c r="P1072" s="31"/>
      <c r="Q1072" s="32"/>
      <c r="R1072" s="32">
        <f>SUM(R1065:R1071)</f>
        <v>197.54</v>
      </c>
    </row>
    <row r="1073" spans="1:18" x14ac:dyDescent="0.2">
      <c r="A1073" s="12"/>
      <c r="B1073" s="251" t="s">
        <v>21</v>
      </c>
      <c r="C1073" s="252"/>
      <c r="D1073" s="252"/>
      <c r="E1073" s="253"/>
      <c r="F1073" s="244" t="s">
        <v>22</v>
      </c>
      <c r="G1073" s="244" t="s">
        <v>13</v>
      </c>
      <c r="H1073" s="244" t="s">
        <v>14</v>
      </c>
      <c r="I1073" s="246" t="s">
        <v>15</v>
      </c>
      <c r="J1073" s="12"/>
      <c r="K1073" s="251" t="s">
        <v>21</v>
      </c>
      <c r="L1073" s="252"/>
      <c r="M1073" s="252"/>
      <c r="N1073" s="253"/>
      <c r="O1073" s="244" t="s">
        <v>22</v>
      </c>
      <c r="P1073" s="244" t="s">
        <v>13</v>
      </c>
      <c r="Q1073" s="244" t="s">
        <v>14</v>
      </c>
      <c r="R1073" s="246" t="s">
        <v>15</v>
      </c>
    </row>
    <row r="1074" spans="1:18" x14ac:dyDescent="0.2">
      <c r="A1074" s="13"/>
      <c r="B1074" s="254"/>
      <c r="C1074" s="255"/>
      <c r="D1074" s="255"/>
      <c r="E1074" s="256"/>
      <c r="F1074" s="245"/>
      <c r="G1074" s="245"/>
      <c r="H1074" s="245"/>
      <c r="I1074" s="247"/>
      <c r="J1074" s="13"/>
      <c r="K1074" s="254"/>
      <c r="L1074" s="255"/>
      <c r="M1074" s="255"/>
      <c r="N1074" s="256"/>
      <c r="O1074" s="245"/>
      <c r="P1074" s="245"/>
      <c r="Q1074" s="245"/>
      <c r="R1074" s="247"/>
    </row>
    <row r="1075" spans="1:18" x14ac:dyDescent="0.2">
      <c r="A1075" s="13" t="s">
        <v>23</v>
      </c>
      <c r="B1075" s="33" t="s">
        <v>24</v>
      </c>
      <c r="C1075" s="15"/>
      <c r="D1075" s="15"/>
      <c r="E1075" s="16"/>
      <c r="F1075" s="34"/>
      <c r="G1075" s="34"/>
      <c r="H1075" s="35"/>
      <c r="I1075" s="35"/>
      <c r="J1075" s="13" t="s">
        <v>23</v>
      </c>
      <c r="K1075" s="33" t="s">
        <v>24</v>
      </c>
      <c r="L1075" s="15"/>
      <c r="M1075" s="15"/>
      <c r="N1075" s="16"/>
      <c r="O1075" s="34"/>
      <c r="P1075" s="34"/>
      <c r="Q1075" s="35"/>
      <c r="R1075" s="35"/>
    </row>
    <row r="1076" spans="1:18" x14ac:dyDescent="0.2">
      <c r="A1076" s="13"/>
      <c r="B1076" s="18"/>
      <c r="C1076" s="19"/>
      <c r="D1076" s="19"/>
      <c r="E1076" s="20"/>
      <c r="F1076" s="22"/>
      <c r="G1076" s="22"/>
      <c r="H1076" s="23"/>
      <c r="I1076" s="23"/>
      <c r="J1076" s="13"/>
      <c r="K1076" s="18"/>
      <c r="L1076" s="19"/>
      <c r="M1076" s="19"/>
      <c r="N1076" s="20"/>
      <c r="O1076" s="22"/>
      <c r="P1076" s="22"/>
      <c r="Q1076" s="23"/>
      <c r="R1076" s="23"/>
    </row>
    <row r="1077" spans="1:18" x14ac:dyDescent="0.2">
      <c r="A1077" s="13"/>
      <c r="B1077" s="18" t="s">
        <v>62</v>
      </c>
      <c r="C1077" s="66"/>
      <c r="D1077" s="19"/>
      <c r="E1077" s="20"/>
      <c r="F1077" s="22">
        <v>1</v>
      </c>
      <c r="G1077" s="23">
        <v>0.25</v>
      </c>
      <c r="H1077" s="37">
        <v>1537</v>
      </c>
      <c r="I1077" s="37">
        <f>G1077*H1077*F1077</f>
        <v>384.25</v>
      </c>
      <c r="J1077" s="13"/>
      <c r="K1077" s="24" t="s">
        <v>1232</v>
      </c>
      <c r="L1077" s="66"/>
      <c r="M1077" s="19"/>
      <c r="N1077" s="20"/>
      <c r="O1077" s="64">
        <v>1</v>
      </c>
      <c r="P1077" s="23">
        <v>1</v>
      </c>
      <c r="Q1077" s="37">
        <v>2606</v>
      </c>
      <c r="R1077" s="23">
        <f>O1077*P1077*Q1077</f>
        <v>2606</v>
      </c>
    </row>
    <row r="1078" spans="1:18" x14ac:dyDescent="0.2">
      <c r="A1078" s="13"/>
      <c r="B1078" s="18" t="s">
        <v>1149</v>
      </c>
      <c r="C1078" s="66"/>
      <c r="D1078" s="19"/>
      <c r="E1078" s="20"/>
      <c r="F1078" s="22">
        <v>1</v>
      </c>
      <c r="G1078" s="23">
        <v>0.25</v>
      </c>
      <c r="H1078" s="37">
        <v>1017.9</v>
      </c>
      <c r="I1078" s="37">
        <f>G1078*H1078*F1078</f>
        <v>254.47499999999999</v>
      </c>
      <c r="J1078" s="13"/>
      <c r="K1078" s="24" t="s">
        <v>547</v>
      </c>
      <c r="L1078" s="66"/>
      <c r="M1078" s="19"/>
      <c r="N1078" s="20"/>
      <c r="O1078" s="64">
        <v>1</v>
      </c>
      <c r="P1078" s="23">
        <v>1</v>
      </c>
      <c r="Q1078" s="37">
        <v>200</v>
      </c>
      <c r="R1078" s="23">
        <f>O1078*P1078*Q1078</f>
        <v>200</v>
      </c>
    </row>
    <row r="1079" spans="1:18" x14ac:dyDescent="0.2">
      <c r="A1079" s="13"/>
      <c r="B1079" s="18" t="s">
        <v>1174</v>
      </c>
      <c r="C1079" s="19"/>
      <c r="D1079" s="19"/>
      <c r="E1079" s="20"/>
      <c r="F1079" s="22">
        <v>1</v>
      </c>
      <c r="G1079" s="23">
        <v>0.13</v>
      </c>
      <c r="H1079" s="37">
        <v>2450</v>
      </c>
      <c r="I1079" s="37">
        <f>F1079*G1079*H1079</f>
        <v>318.5</v>
      </c>
      <c r="J1079" s="13"/>
      <c r="K1079" s="18" t="s">
        <v>1192</v>
      </c>
      <c r="L1079" s="19"/>
      <c r="M1079" s="19"/>
      <c r="N1079" s="20"/>
      <c r="O1079" s="22"/>
      <c r="P1079" s="36"/>
      <c r="R1079" s="37">
        <f>R1072*0.1</f>
        <v>19.754000000000001</v>
      </c>
    </row>
    <row r="1080" spans="1:18" x14ac:dyDescent="0.2">
      <c r="A1080" s="13"/>
      <c r="B1080" s="18" t="s">
        <v>92</v>
      </c>
      <c r="C1080" s="19"/>
      <c r="D1080" s="19"/>
      <c r="E1080" s="20"/>
      <c r="F1080" s="22"/>
      <c r="G1080" s="36"/>
      <c r="I1080" s="37">
        <f>I1072*0.1</f>
        <v>16.282999999999998</v>
      </c>
      <c r="J1080" s="13"/>
      <c r="K1080" s="18"/>
      <c r="L1080" s="66"/>
      <c r="M1080" s="19"/>
      <c r="N1080" s="20"/>
      <c r="O1080" s="22"/>
      <c r="P1080" s="23"/>
      <c r="Q1080" s="37"/>
      <c r="R1080" s="37"/>
    </row>
    <row r="1081" spans="1:18" x14ac:dyDescent="0.2">
      <c r="A1081" s="13"/>
      <c r="B1081" s="18"/>
      <c r="C1081" s="19"/>
      <c r="D1081" s="19"/>
      <c r="E1081" s="20"/>
      <c r="F1081" s="22"/>
      <c r="G1081" s="36"/>
      <c r="H1081" s="37"/>
      <c r="I1081" s="37"/>
      <c r="J1081" s="13"/>
      <c r="K1081" s="18"/>
      <c r="L1081" s="66"/>
      <c r="O1081" s="22"/>
      <c r="P1081" s="23"/>
      <c r="Q1081" s="37"/>
      <c r="R1081" s="37"/>
    </row>
    <row r="1082" spans="1:18" x14ac:dyDescent="0.2">
      <c r="A1082" s="13"/>
      <c r="B1082" s="18"/>
      <c r="C1082" s="19"/>
      <c r="D1082" s="19"/>
      <c r="E1082" s="20"/>
      <c r="F1082" s="22"/>
      <c r="G1082" s="36"/>
      <c r="H1082" s="38"/>
      <c r="I1082" s="38"/>
      <c r="J1082" s="13"/>
      <c r="K1082" s="18"/>
      <c r="L1082" s="19"/>
      <c r="M1082" s="19"/>
      <c r="N1082" s="20"/>
      <c r="O1082" s="22"/>
      <c r="P1082" s="36"/>
      <c r="Q1082" s="37"/>
      <c r="R1082" s="37"/>
    </row>
    <row r="1083" spans="1:18" x14ac:dyDescent="0.2">
      <c r="A1083" s="13"/>
      <c r="B1083" s="18"/>
      <c r="C1083" s="19"/>
      <c r="D1083" s="19"/>
      <c r="E1083" s="20"/>
      <c r="F1083" s="22"/>
      <c r="G1083" s="36"/>
      <c r="H1083" s="38"/>
      <c r="I1083" s="38"/>
      <c r="J1083" s="13"/>
      <c r="K1083" s="18"/>
      <c r="L1083" s="19"/>
      <c r="M1083" s="19"/>
      <c r="N1083" s="20"/>
      <c r="O1083" s="22"/>
      <c r="P1083" s="36"/>
      <c r="Q1083" s="38"/>
      <c r="R1083" s="38"/>
    </row>
    <row r="1084" spans="1:18" x14ac:dyDescent="0.2">
      <c r="A1084" s="13"/>
      <c r="B1084" s="18"/>
      <c r="C1084" s="19"/>
      <c r="D1084" s="19"/>
      <c r="E1084" s="20"/>
      <c r="F1084" s="22"/>
      <c r="G1084" s="36"/>
      <c r="H1084" s="38"/>
      <c r="I1084" s="38"/>
      <c r="J1084" s="13"/>
      <c r="K1084" s="18"/>
      <c r="L1084" s="19"/>
      <c r="M1084" s="19"/>
      <c r="N1084" s="20"/>
      <c r="O1084" s="22"/>
      <c r="P1084" s="36"/>
      <c r="Q1084" s="38"/>
      <c r="R1084" s="38"/>
    </row>
    <row r="1085" spans="1:18" x14ac:dyDescent="0.2">
      <c r="A1085" s="13"/>
      <c r="B1085" s="18"/>
      <c r="C1085" s="19"/>
      <c r="D1085" s="19"/>
      <c r="E1085" s="20"/>
      <c r="F1085" s="22"/>
      <c r="G1085" s="36"/>
      <c r="H1085" s="38"/>
      <c r="I1085" s="38"/>
      <c r="J1085" s="13"/>
      <c r="K1085" s="18"/>
      <c r="L1085" s="19"/>
      <c r="M1085" s="19"/>
      <c r="N1085" s="20"/>
      <c r="O1085" s="22"/>
      <c r="P1085" s="36"/>
      <c r="Q1085" s="38"/>
      <c r="R1085" s="38"/>
    </row>
    <row r="1086" spans="1:18" x14ac:dyDescent="0.2">
      <c r="A1086" s="13"/>
      <c r="B1086" s="18"/>
      <c r="C1086" s="19"/>
      <c r="D1086" s="19"/>
      <c r="E1086" s="20"/>
      <c r="F1086" s="22"/>
      <c r="G1086" s="36"/>
      <c r="H1086" s="37"/>
      <c r="I1086" s="37"/>
      <c r="J1086" s="13"/>
      <c r="K1086" s="18"/>
      <c r="L1086" s="19"/>
      <c r="M1086" s="19"/>
      <c r="N1086" s="20"/>
      <c r="O1086" s="22"/>
      <c r="P1086" s="36"/>
      <c r="Q1086" s="37"/>
      <c r="R1086" s="37"/>
    </row>
    <row r="1087" spans="1:18" x14ac:dyDescent="0.2">
      <c r="A1087" s="13"/>
      <c r="B1087" s="18"/>
      <c r="C1087" s="19"/>
      <c r="D1087" s="19"/>
      <c r="E1087" s="20"/>
      <c r="F1087" s="22"/>
      <c r="G1087" s="36"/>
      <c r="H1087" s="37"/>
      <c r="I1087" s="37"/>
      <c r="J1087" s="13"/>
      <c r="K1087" s="18"/>
      <c r="L1087" s="19"/>
      <c r="M1087" s="19"/>
      <c r="N1087" s="20"/>
      <c r="O1087" s="22"/>
      <c r="P1087" s="36"/>
      <c r="Q1087" s="37"/>
      <c r="R1087" s="37"/>
    </row>
    <row r="1088" spans="1:18" x14ac:dyDescent="0.2">
      <c r="A1088" s="13"/>
      <c r="B1088" s="18"/>
      <c r="C1088" s="19"/>
      <c r="D1088" s="19"/>
      <c r="E1088" s="20"/>
      <c r="F1088" s="22"/>
      <c r="G1088" s="36"/>
      <c r="H1088" s="37"/>
      <c r="I1088" s="37"/>
      <c r="J1088" s="13"/>
      <c r="K1088" s="18"/>
      <c r="L1088" s="19"/>
      <c r="M1088" s="19"/>
      <c r="N1088" s="20"/>
      <c r="O1088" s="22"/>
      <c r="P1088" s="36"/>
      <c r="Q1088" s="37"/>
      <c r="R1088" s="37"/>
    </row>
    <row r="1089" spans="1:18" x14ac:dyDescent="0.2">
      <c r="A1089" s="13"/>
      <c r="B1089" s="18"/>
      <c r="C1089" s="19"/>
      <c r="D1089" s="19"/>
      <c r="E1089" s="20"/>
      <c r="F1089" s="22"/>
      <c r="G1089" s="22"/>
      <c r="H1089" s="23"/>
      <c r="I1089" s="23"/>
      <c r="J1089" s="13"/>
      <c r="K1089" s="18"/>
      <c r="L1089" s="19"/>
      <c r="M1089" s="19"/>
      <c r="N1089" s="20"/>
      <c r="O1089" s="22"/>
      <c r="P1089" s="22"/>
      <c r="Q1089" s="23"/>
      <c r="R1089" s="23"/>
    </row>
    <row r="1090" spans="1:18" x14ac:dyDescent="0.2">
      <c r="A1090" s="13"/>
      <c r="B1090" s="248" t="s">
        <v>30</v>
      </c>
      <c r="C1090" s="249"/>
      <c r="D1090" s="249"/>
      <c r="E1090" s="250"/>
      <c r="F1090" s="22"/>
      <c r="G1090" s="22"/>
      <c r="H1090" s="23"/>
      <c r="I1090" s="23">
        <f>SUM(I1077:I1089)</f>
        <v>973.50800000000004</v>
      </c>
      <c r="J1090" s="13"/>
      <c r="K1090" s="248" t="s">
        <v>30</v>
      </c>
      <c r="L1090" s="249"/>
      <c r="M1090" s="249"/>
      <c r="N1090" s="250"/>
      <c r="O1090" s="22"/>
      <c r="P1090" s="22"/>
      <c r="Q1090" s="23"/>
      <c r="R1090" s="23">
        <f>SUM(R1077:R1089)</f>
        <v>2825.7539999999999</v>
      </c>
    </row>
    <row r="1091" spans="1:18" x14ac:dyDescent="0.2">
      <c r="A1091" s="12" t="s">
        <v>31</v>
      </c>
      <c r="B1091" s="260" t="s">
        <v>32</v>
      </c>
      <c r="C1091" s="261"/>
      <c r="D1091" s="261"/>
      <c r="E1091" s="261"/>
      <c r="F1091" s="161"/>
      <c r="G1091" s="161"/>
      <c r="H1091" s="40"/>
      <c r="I1091" s="41">
        <f>SUM(I1090+I1072)</f>
        <v>1136.338</v>
      </c>
      <c r="J1091" s="12" t="s">
        <v>31</v>
      </c>
      <c r="K1091" s="260" t="s">
        <v>32</v>
      </c>
      <c r="L1091" s="261"/>
      <c r="M1091" s="261"/>
      <c r="N1091" s="261"/>
      <c r="O1091" s="39"/>
      <c r="P1091" s="39"/>
      <c r="Q1091" s="40"/>
      <c r="R1091" s="41">
        <f>SUM(R1090+R1072)</f>
        <v>3023.2939999999999</v>
      </c>
    </row>
    <row r="1092" spans="1:18" x14ac:dyDescent="0.2">
      <c r="A1092" s="13" t="s">
        <v>33</v>
      </c>
      <c r="B1092" s="321">
        <f>E1059</f>
        <v>1</v>
      </c>
      <c r="C1092" s="322"/>
      <c r="D1092" s="322"/>
      <c r="E1092" s="322"/>
      <c r="F1092" s="322"/>
      <c r="G1092" s="322"/>
      <c r="H1092" s="40"/>
      <c r="I1092" s="41"/>
      <c r="J1092" s="13" t="s">
        <v>33</v>
      </c>
      <c r="K1092" s="321">
        <f>N1059</f>
        <v>4</v>
      </c>
      <c r="L1092" s="322"/>
      <c r="M1092" s="322"/>
      <c r="N1092" s="322"/>
      <c r="O1092" s="322"/>
      <c r="P1092" s="322"/>
      <c r="Q1092" s="40"/>
      <c r="R1092" s="41"/>
    </row>
    <row r="1093" spans="1:18" x14ac:dyDescent="0.2">
      <c r="A1093" s="13" t="s">
        <v>34</v>
      </c>
      <c r="B1093" s="162" t="s">
        <v>35</v>
      </c>
      <c r="C1093" s="43"/>
      <c r="D1093" s="43"/>
      <c r="E1093" s="161"/>
      <c r="F1093" s="163"/>
      <c r="G1093" s="163"/>
      <c r="H1093" s="40"/>
      <c r="I1093" s="41">
        <f>I1091/E1059</f>
        <v>1136.338</v>
      </c>
      <c r="J1093" s="13" t="s">
        <v>34</v>
      </c>
      <c r="K1093" s="42" t="s">
        <v>35</v>
      </c>
      <c r="L1093" s="43"/>
      <c r="M1093" s="43"/>
      <c r="N1093" s="39"/>
      <c r="O1093" s="44"/>
      <c r="P1093" s="44"/>
      <c r="Q1093" s="40"/>
      <c r="R1093" s="41">
        <f>R1091/N1059</f>
        <v>755.82349999999997</v>
      </c>
    </row>
    <row r="1094" spans="1:18" x14ac:dyDescent="0.2">
      <c r="A1094" s="12"/>
      <c r="B1094" s="251" t="s">
        <v>36</v>
      </c>
      <c r="C1094" s="252"/>
      <c r="D1094" s="252"/>
      <c r="E1094" s="253"/>
      <c r="F1094" s="244" t="s">
        <v>37</v>
      </c>
      <c r="G1094" s="244" t="s">
        <v>38</v>
      </c>
      <c r="H1094" s="244" t="s">
        <v>39</v>
      </c>
      <c r="I1094" s="246" t="s">
        <v>15</v>
      </c>
      <c r="J1094" s="12"/>
      <c r="K1094" s="251" t="s">
        <v>36</v>
      </c>
      <c r="L1094" s="252"/>
      <c r="M1094" s="252"/>
      <c r="N1094" s="253"/>
      <c r="O1094" s="244" t="s">
        <v>37</v>
      </c>
      <c r="P1094" s="244" t="s">
        <v>38</v>
      </c>
      <c r="Q1094" s="244" t="s">
        <v>39</v>
      </c>
      <c r="R1094" s="246" t="s">
        <v>15</v>
      </c>
    </row>
    <row r="1095" spans="1:18" x14ac:dyDescent="0.2">
      <c r="A1095" s="13"/>
      <c r="B1095" s="254"/>
      <c r="C1095" s="255"/>
      <c r="D1095" s="255"/>
      <c r="E1095" s="256"/>
      <c r="F1095" s="245"/>
      <c r="G1095" s="245"/>
      <c r="H1095" s="245"/>
      <c r="I1095" s="247"/>
      <c r="J1095" s="13"/>
      <c r="K1095" s="254"/>
      <c r="L1095" s="255"/>
      <c r="M1095" s="255"/>
      <c r="N1095" s="256"/>
      <c r="O1095" s="245"/>
      <c r="P1095" s="245"/>
      <c r="Q1095" s="245"/>
      <c r="R1095" s="247"/>
    </row>
    <row r="1096" spans="1:18" x14ac:dyDescent="0.2">
      <c r="A1096" s="13" t="s">
        <v>40</v>
      </c>
      <c r="B1096" s="18" t="s">
        <v>41</v>
      </c>
      <c r="C1096" s="19"/>
      <c r="D1096" s="19"/>
      <c r="E1096" s="20"/>
      <c r="F1096" s="22"/>
      <c r="G1096" s="22"/>
      <c r="H1096" s="23"/>
      <c r="I1096" s="23"/>
      <c r="J1096" s="13" t="s">
        <v>40</v>
      </c>
      <c r="K1096" s="18" t="s">
        <v>41</v>
      </c>
      <c r="L1096" s="19"/>
      <c r="M1096" s="19"/>
      <c r="N1096" s="20"/>
      <c r="O1096" s="22"/>
      <c r="P1096" s="22"/>
      <c r="Q1096" s="23"/>
      <c r="R1096" s="23"/>
    </row>
    <row r="1097" spans="1:18" x14ac:dyDescent="0.2">
      <c r="A1097" s="13"/>
      <c r="B1097" s="18"/>
      <c r="C1097" s="19"/>
      <c r="D1097" s="19"/>
      <c r="E1097" s="20"/>
      <c r="F1097" s="22"/>
      <c r="G1097" s="22"/>
      <c r="H1097" s="23"/>
      <c r="I1097" s="23"/>
      <c r="J1097" s="13"/>
      <c r="K1097" s="18"/>
      <c r="L1097" s="19"/>
      <c r="M1097" s="19"/>
      <c r="N1097" s="20"/>
      <c r="O1097" s="22"/>
      <c r="P1097" s="22"/>
      <c r="Q1097" s="23"/>
      <c r="R1097" s="23"/>
    </row>
    <row r="1098" spans="1:18" x14ac:dyDescent="0.2">
      <c r="A1098" s="13"/>
      <c r="B1098" s="18"/>
      <c r="C1098" s="19"/>
      <c r="D1098" s="19"/>
      <c r="E1098" s="20"/>
      <c r="F1098" s="22"/>
      <c r="G1098" s="62"/>
      <c r="H1098" s="23"/>
      <c r="I1098" s="23"/>
      <c r="J1098" s="13"/>
      <c r="K1098" s="18" t="s">
        <v>548</v>
      </c>
      <c r="L1098" s="19"/>
      <c r="M1098" s="19"/>
      <c r="N1098" s="20"/>
      <c r="O1098" s="22" t="s">
        <v>413</v>
      </c>
      <c r="P1098" s="62">
        <v>52.25</v>
      </c>
      <c r="Q1098" s="107">
        <v>40</v>
      </c>
      <c r="R1098" s="23">
        <f>P1098*Q1098</f>
        <v>2090</v>
      </c>
    </row>
    <row r="1099" spans="1:18" x14ac:dyDescent="0.2">
      <c r="A1099" s="13"/>
      <c r="B1099" s="18"/>
      <c r="C1099" s="19"/>
      <c r="D1099" s="19"/>
      <c r="E1099" s="20"/>
      <c r="F1099" s="22"/>
      <c r="G1099" s="22"/>
      <c r="H1099" s="23"/>
      <c r="I1099" s="23"/>
      <c r="J1099" s="13"/>
      <c r="K1099" s="18" t="s">
        <v>549</v>
      </c>
      <c r="L1099" s="66"/>
      <c r="M1099" s="19"/>
      <c r="N1099" s="20"/>
      <c r="O1099" s="62" t="s">
        <v>66</v>
      </c>
      <c r="P1099" s="62">
        <v>1</v>
      </c>
      <c r="Q1099" s="107">
        <v>350</v>
      </c>
      <c r="R1099" s="23">
        <f>Q1099*P1099/2</f>
        <v>175</v>
      </c>
    </row>
    <row r="1100" spans="1:18" x14ac:dyDescent="0.2">
      <c r="A1100" s="13"/>
      <c r="B1100" s="18"/>
      <c r="C1100" s="19"/>
      <c r="D1100" s="19"/>
      <c r="E1100" s="20"/>
      <c r="F1100" s="22"/>
      <c r="G1100" s="22"/>
      <c r="H1100" s="38"/>
      <c r="I1100" s="38"/>
      <c r="J1100" s="13"/>
      <c r="K1100" s="18" t="s">
        <v>550</v>
      </c>
      <c r="L1100" s="66"/>
      <c r="M1100" s="19"/>
      <c r="N1100" s="20"/>
      <c r="O1100" s="62" t="s">
        <v>413</v>
      </c>
      <c r="P1100" s="62">
        <v>16</v>
      </c>
      <c r="Q1100" s="107">
        <v>40</v>
      </c>
      <c r="R1100" s="23">
        <f>Q1100*P1100/4</f>
        <v>160</v>
      </c>
    </row>
    <row r="1101" spans="1:18" x14ac:dyDescent="0.2">
      <c r="A1101" s="13"/>
      <c r="B1101" s="18"/>
      <c r="C1101" s="19"/>
      <c r="D1101" s="19"/>
      <c r="E1101" s="20"/>
      <c r="F1101" s="22"/>
      <c r="G1101" s="22"/>
      <c r="H1101" s="38"/>
      <c r="I1101" s="38"/>
      <c r="J1101" s="13"/>
      <c r="K1101" s="18" t="s">
        <v>551</v>
      </c>
      <c r="L1101" s="19"/>
      <c r="M1101" s="19"/>
      <c r="N1101" s="20"/>
      <c r="O1101" s="62" t="s">
        <v>77</v>
      </c>
      <c r="P1101" s="22">
        <v>0.16</v>
      </c>
      <c r="Q1101" s="107">
        <v>68</v>
      </c>
      <c r="R1101" s="23">
        <f>Q1101*P1101</f>
        <v>10.88</v>
      </c>
    </row>
    <row r="1102" spans="1:18" x14ac:dyDescent="0.2">
      <c r="A1102" s="13"/>
      <c r="B1102" s="18"/>
      <c r="C1102" s="19"/>
      <c r="D1102" s="19"/>
      <c r="E1102" s="20"/>
      <c r="F1102" s="22"/>
      <c r="G1102" s="22"/>
      <c r="H1102" s="45"/>
      <c r="I1102" s="45"/>
      <c r="J1102" s="13"/>
      <c r="K1102" s="24"/>
      <c r="L1102" s="19"/>
      <c r="M1102" s="19"/>
      <c r="N1102" s="20"/>
      <c r="O1102" s="22"/>
      <c r="P1102" s="23"/>
      <c r="Q1102" s="23"/>
      <c r="R1102" s="23"/>
    </row>
    <row r="1103" spans="1:18" x14ac:dyDescent="0.2">
      <c r="A1103" s="13"/>
      <c r="B1103" s="18"/>
      <c r="C1103" s="19"/>
      <c r="D1103" s="19"/>
      <c r="E1103" s="20"/>
      <c r="F1103" s="22"/>
      <c r="G1103" s="22"/>
      <c r="H1103" s="45"/>
      <c r="I1103" s="45"/>
      <c r="J1103" s="13"/>
      <c r="K1103" s="18"/>
      <c r="L1103" s="19"/>
      <c r="M1103" s="19"/>
      <c r="N1103" s="20"/>
      <c r="O1103" s="22"/>
      <c r="P1103" s="62"/>
      <c r="Q1103" s="23"/>
      <c r="R1103" s="23"/>
    </row>
    <row r="1104" spans="1:18" x14ac:dyDescent="0.2">
      <c r="A1104" s="13"/>
      <c r="B1104" s="18"/>
      <c r="C1104" s="19"/>
      <c r="D1104" s="19"/>
      <c r="E1104" s="20"/>
      <c r="F1104" s="22"/>
      <c r="G1104" s="22"/>
      <c r="H1104" s="23"/>
      <c r="I1104" s="23"/>
      <c r="J1104" s="13"/>
      <c r="K1104" s="18"/>
      <c r="L1104" s="19"/>
      <c r="M1104" s="19"/>
      <c r="N1104" s="20"/>
      <c r="O1104" s="23"/>
      <c r="P1104" s="62"/>
      <c r="Q1104" s="23"/>
      <c r="R1104" s="23"/>
    </row>
    <row r="1105" spans="1:18" x14ac:dyDescent="0.2">
      <c r="A1105" s="13"/>
      <c r="B1105" s="18"/>
      <c r="C1105" s="19"/>
      <c r="D1105" s="19"/>
      <c r="E1105" s="20"/>
      <c r="F1105" s="22"/>
      <c r="G1105" s="22"/>
      <c r="H1105" s="23"/>
      <c r="I1105" s="23"/>
      <c r="J1105" s="13"/>
      <c r="K1105" s="18"/>
      <c r="L1105" s="19"/>
      <c r="M1105" s="19"/>
      <c r="N1105" s="20"/>
      <c r="O1105" s="22"/>
      <c r="P1105" s="62"/>
      <c r="Q1105" s="23"/>
      <c r="R1105" s="23"/>
    </row>
    <row r="1106" spans="1:18" x14ac:dyDescent="0.2">
      <c r="A1106" s="13"/>
      <c r="B1106" s="18"/>
      <c r="C1106" s="19"/>
      <c r="D1106" s="19"/>
      <c r="E1106" s="20"/>
      <c r="F1106" s="22"/>
      <c r="G1106" s="22"/>
      <c r="H1106" s="23"/>
      <c r="I1106" s="23"/>
      <c r="J1106" s="13"/>
      <c r="K1106" s="18"/>
      <c r="L1106" s="19"/>
      <c r="M1106" s="19"/>
      <c r="N1106" s="20"/>
      <c r="O1106" s="22"/>
      <c r="P1106" s="22"/>
      <c r="Q1106" s="23"/>
      <c r="R1106" s="23"/>
    </row>
    <row r="1107" spans="1:18" x14ac:dyDescent="0.2">
      <c r="A1107" s="13"/>
      <c r="B1107" s="18"/>
      <c r="C1107" s="19"/>
      <c r="D1107" s="19"/>
      <c r="E1107" s="20"/>
      <c r="F1107" s="22"/>
      <c r="G1107" s="22"/>
      <c r="H1107" s="23"/>
      <c r="I1107" s="23"/>
      <c r="J1107" s="13"/>
      <c r="K1107" s="18"/>
      <c r="L1107" s="19"/>
      <c r="M1107" s="19"/>
      <c r="N1107" s="20"/>
      <c r="O1107" s="22"/>
      <c r="P1107" s="22"/>
      <c r="Q1107" s="23"/>
      <c r="R1107" s="23"/>
    </row>
    <row r="1108" spans="1:18" x14ac:dyDescent="0.2">
      <c r="A1108" s="13"/>
      <c r="B1108" s="18"/>
      <c r="C1108" s="19"/>
      <c r="D1108" s="19"/>
      <c r="E1108" s="20"/>
      <c r="F1108" s="22"/>
      <c r="G1108" s="22"/>
      <c r="H1108" s="23"/>
      <c r="I1108" s="23"/>
      <c r="J1108" s="13"/>
      <c r="K1108" s="18"/>
      <c r="L1108" s="19"/>
      <c r="M1108" s="19"/>
      <c r="N1108" s="20"/>
      <c r="O1108" s="22"/>
      <c r="P1108" s="22"/>
      <c r="Q1108" s="23"/>
      <c r="R1108" s="23"/>
    </row>
    <row r="1109" spans="1:18" x14ac:dyDescent="0.2">
      <c r="A1109" s="13"/>
      <c r="B1109" s="18"/>
      <c r="C1109" s="19"/>
      <c r="D1109" s="19"/>
      <c r="E1109" s="20"/>
      <c r="F1109" s="22"/>
      <c r="G1109" s="22"/>
      <c r="H1109" s="23"/>
      <c r="I1109" s="23"/>
      <c r="J1109" s="13"/>
      <c r="K1109" s="18"/>
      <c r="L1109" s="19"/>
      <c r="M1109" s="19"/>
      <c r="N1109" s="20"/>
      <c r="O1109" s="22"/>
      <c r="P1109" s="22"/>
      <c r="Q1109" s="23"/>
      <c r="R1109" s="23"/>
    </row>
    <row r="1110" spans="1:18" x14ac:dyDescent="0.2">
      <c r="A1110" s="13"/>
      <c r="B1110" s="18"/>
      <c r="C1110" s="19"/>
      <c r="D1110" s="19"/>
      <c r="E1110" s="20"/>
      <c r="F1110" s="22"/>
      <c r="G1110" s="36"/>
      <c r="H1110" s="37"/>
      <c r="I1110" s="37"/>
      <c r="J1110" s="13"/>
      <c r="K1110" s="18"/>
      <c r="L1110" s="19"/>
      <c r="M1110" s="19"/>
      <c r="N1110" s="20"/>
      <c r="O1110" s="22"/>
      <c r="P1110" s="36"/>
      <c r="Q1110" s="37"/>
      <c r="R1110" s="37"/>
    </row>
    <row r="1111" spans="1:18" x14ac:dyDescent="0.2">
      <c r="A1111" s="13"/>
      <c r="B1111" s="248" t="s">
        <v>42</v>
      </c>
      <c r="C1111" s="249"/>
      <c r="D1111" s="249"/>
      <c r="E1111" s="250"/>
      <c r="F1111" s="46"/>
      <c r="G1111" s="46"/>
      <c r="H1111" s="47"/>
      <c r="I1111" s="47">
        <f>SUM(I1098:I1110)</f>
        <v>0</v>
      </c>
      <c r="J1111" s="13"/>
      <c r="K1111" s="248" t="s">
        <v>42</v>
      </c>
      <c r="L1111" s="249"/>
      <c r="M1111" s="249"/>
      <c r="N1111" s="250"/>
      <c r="O1111" s="46"/>
      <c r="P1111" s="46"/>
      <c r="Q1111" s="47"/>
      <c r="R1111" s="47">
        <f>SUM(R1098:R1110)</f>
        <v>2435.88</v>
      </c>
    </row>
    <row r="1112" spans="1:18" x14ac:dyDescent="0.2">
      <c r="A1112" s="12" t="s">
        <v>43</v>
      </c>
      <c r="B1112" s="48" t="s">
        <v>44</v>
      </c>
      <c r="C1112" s="43"/>
      <c r="D1112" s="43"/>
      <c r="E1112" s="161"/>
      <c r="F1112" s="49"/>
      <c r="G1112" s="49"/>
      <c r="H1112" s="50"/>
      <c r="I1112" s="51">
        <f>SUM(I1093+I1111)</f>
        <v>1136.338</v>
      </c>
      <c r="J1112" s="12" t="s">
        <v>43</v>
      </c>
      <c r="K1112" s="48" t="s">
        <v>44</v>
      </c>
      <c r="L1112" s="43"/>
      <c r="M1112" s="43"/>
      <c r="N1112" s="39"/>
      <c r="O1112" s="49"/>
      <c r="P1112" s="49"/>
      <c r="Q1112" s="50"/>
      <c r="R1112" s="51">
        <f>SUM(R1093+R1111)</f>
        <v>3191.7035000000001</v>
      </c>
    </row>
    <row r="1113" spans="1:18" x14ac:dyDescent="0.2">
      <c r="A1113" s="13" t="s">
        <v>45</v>
      </c>
      <c r="B1113" s="48" t="s">
        <v>46</v>
      </c>
      <c r="C1113" s="43"/>
      <c r="D1113" s="43"/>
      <c r="E1113" s="161"/>
      <c r="F1113" s="49"/>
      <c r="G1113" s="52">
        <v>0.09</v>
      </c>
      <c r="H1113" s="53" t="s">
        <v>47</v>
      </c>
      <c r="I1113" s="51">
        <f>G1113*I1112</f>
        <v>102.27041999999999</v>
      </c>
      <c r="J1113" s="13" t="s">
        <v>45</v>
      </c>
      <c r="K1113" s="48" t="s">
        <v>46</v>
      </c>
      <c r="L1113" s="43"/>
      <c r="M1113" s="43"/>
      <c r="N1113" s="39"/>
      <c r="O1113" s="49"/>
      <c r="P1113" s="52">
        <v>0.09</v>
      </c>
      <c r="Q1113" s="53" t="s">
        <v>47</v>
      </c>
      <c r="R1113" s="51">
        <f>P1113*R1112</f>
        <v>287.25331499999999</v>
      </c>
    </row>
    <row r="1114" spans="1:18" x14ac:dyDescent="0.2">
      <c r="A1114" s="13" t="s">
        <v>48</v>
      </c>
      <c r="B1114" s="48" t="s">
        <v>49</v>
      </c>
      <c r="C1114" s="43"/>
      <c r="D1114" s="43"/>
      <c r="E1114" s="161"/>
      <c r="F1114" s="49"/>
      <c r="G1114" s="52">
        <v>0.08</v>
      </c>
      <c r="H1114" s="53" t="s">
        <v>47</v>
      </c>
      <c r="I1114" s="51">
        <f>G1114*I1112</f>
        <v>90.907039999999995</v>
      </c>
      <c r="J1114" s="13" t="s">
        <v>48</v>
      </c>
      <c r="K1114" s="48" t="s">
        <v>49</v>
      </c>
      <c r="L1114" s="43"/>
      <c r="M1114" s="43"/>
      <c r="N1114" s="39"/>
      <c r="O1114" s="49"/>
      <c r="P1114" s="52">
        <v>0.08</v>
      </c>
      <c r="Q1114" s="53" t="s">
        <v>47</v>
      </c>
      <c r="R1114" s="51">
        <f>P1114*R1112</f>
        <v>255.33628000000002</v>
      </c>
    </row>
    <row r="1115" spans="1:18" x14ac:dyDescent="0.2">
      <c r="A1115" s="13" t="s">
        <v>50</v>
      </c>
      <c r="B1115" s="48" t="s">
        <v>51</v>
      </c>
      <c r="C1115" s="43"/>
      <c r="D1115" s="43"/>
      <c r="E1115" s="161"/>
      <c r="F1115" s="49"/>
      <c r="G1115" s="52">
        <v>0.05</v>
      </c>
      <c r="H1115" s="53" t="s">
        <v>52</v>
      </c>
      <c r="I1115" s="51">
        <f>G1115*(I1112+I1113+I1114)</f>
        <v>66.475773000000004</v>
      </c>
      <c r="J1115" s="13" t="s">
        <v>50</v>
      </c>
      <c r="K1115" s="48" t="s">
        <v>51</v>
      </c>
      <c r="L1115" s="43"/>
      <c r="M1115" s="43"/>
      <c r="N1115" s="39"/>
      <c r="O1115" s="49"/>
      <c r="P1115" s="52">
        <v>0.05</v>
      </c>
      <c r="Q1115" s="53" t="s">
        <v>52</v>
      </c>
      <c r="R1115" s="51">
        <f>P1115*(R1112+R1113+R1114)</f>
        <v>186.71465475000002</v>
      </c>
    </row>
    <row r="1116" spans="1:18" x14ac:dyDescent="0.2">
      <c r="A1116" s="54" t="s">
        <v>53</v>
      </c>
      <c r="B1116" s="48" t="s">
        <v>54</v>
      </c>
      <c r="C1116" s="43"/>
      <c r="D1116" s="43"/>
      <c r="E1116" s="161"/>
      <c r="F1116" s="49"/>
      <c r="G1116" s="49"/>
      <c r="H1116" s="55" t="s">
        <v>55</v>
      </c>
      <c r="I1116" s="51">
        <f>SUM(I1112+I1113+I1114+I1115)</f>
        <v>1395.9912330000002</v>
      </c>
      <c r="J1116" s="54" t="s">
        <v>53</v>
      </c>
      <c r="K1116" s="48" t="s">
        <v>54</v>
      </c>
      <c r="L1116" s="43"/>
      <c r="M1116" s="43"/>
      <c r="N1116" s="39"/>
      <c r="O1116" s="49"/>
      <c r="P1116" s="49"/>
      <c r="Q1116" s="55" t="s">
        <v>55</v>
      </c>
      <c r="R1116" s="51">
        <f>SUM(R1112+R1113+R1114+R1115)</f>
        <v>3921.0077497500001</v>
      </c>
    </row>
    <row r="1117" spans="1:18" s="1" customFormat="1" x14ac:dyDescent="0.2">
      <c r="A1117" s="236" t="s">
        <v>0</v>
      </c>
      <c r="B1117" s="236"/>
      <c r="C1117" s="236"/>
      <c r="D1117" s="236"/>
      <c r="E1117" s="236"/>
      <c r="F1117" s="236"/>
      <c r="G1117" s="236"/>
      <c r="H1117" s="236"/>
      <c r="I1117" s="236"/>
      <c r="J1117" s="236" t="s">
        <v>0</v>
      </c>
      <c r="K1117" s="236"/>
      <c r="L1117" s="236"/>
      <c r="M1117" s="236"/>
      <c r="N1117" s="236"/>
      <c r="O1117" s="236"/>
      <c r="P1117" s="236"/>
      <c r="Q1117" s="236"/>
      <c r="R1117" s="236"/>
    </row>
    <row r="1119" spans="1:18" x14ac:dyDescent="0.2">
      <c r="A1119" s="158" t="s">
        <v>1</v>
      </c>
      <c r="C1119" s="4" t="s">
        <v>2</v>
      </c>
      <c r="D1119" s="5" t="s">
        <v>552</v>
      </c>
      <c r="E1119" s="158" t="s">
        <v>553</v>
      </c>
      <c r="F1119" s="158"/>
      <c r="G1119" s="158"/>
      <c r="H1119" s="158"/>
      <c r="J1119" s="2" t="s">
        <v>1</v>
      </c>
      <c r="L1119" s="4" t="s">
        <v>2</v>
      </c>
      <c r="M1119" s="5" t="s">
        <v>1279</v>
      </c>
      <c r="N1119" s="237" t="s">
        <v>555</v>
      </c>
      <c r="O1119" s="237"/>
      <c r="P1119" s="237"/>
      <c r="Q1119" s="237"/>
    </row>
    <row r="1120" spans="1:18" x14ac:dyDescent="0.2">
      <c r="A1120" s="158" t="s">
        <v>7</v>
      </c>
      <c r="C1120" s="4" t="s">
        <v>2</v>
      </c>
      <c r="E1120" s="158" t="s">
        <v>1153</v>
      </c>
      <c r="F1120" s="8"/>
      <c r="G1120" s="8"/>
      <c r="H1120" s="8"/>
      <c r="J1120" s="2" t="s">
        <v>7</v>
      </c>
      <c r="L1120" s="4" t="s">
        <v>2</v>
      </c>
      <c r="N1120" s="158" t="s">
        <v>1153</v>
      </c>
      <c r="O1120" s="8"/>
      <c r="P1120" s="8"/>
      <c r="Q1120" s="8"/>
    </row>
    <row r="1121" spans="1:18" x14ac:dyDescent="0.2">
      <c r="A1121" s="158" t="s">
        <v>10</v>
      </c>
      <c r="C1121" s="4" t="s">
        <v>2</v>
      </c>
      <c r="E1121" s="9">
        <v>1</v>
      </c>
      <c r="F1121" s="8"/>
      <c r="G1121" s="8"/>
      <c r="H1121" s="8"/>
      <c r="J1121" s="2" t="s">
        <v>10</v>
      </c>
      <c r="L1121" s="4" t="s">
        <v>2</v>
      </c>
      <c r="N1121" s="9">
        <v>10</v>
      </c>
      <c r="O1121" s="8"/>
      <c r="P1121" s="8"/>
      <c r="Q1121" s="8"/>
    </row>
    <row r="1122" spans="1:18" x14ac:dyDescent="0.2">
      <c r="B1122" s="8"/>
      <c r="F1122" s="11"/>
      <c r="G1122" s="8"/>
      <c r="H1122" s="8"/>
      <c r="I1122" s="8"/>
      <c r="K1122" s="8"/>
      <c r="O1122" s="11"/>
      <c r="P1122" s="8"/>
      <c r="Q1122" s="8"/>
      <c r="R1122" s="8"/>
    </row>
    <row r="1123" spans="1:18" x14ac:dyDescent="0.2">
      <c r="A1123" s="12"/>
      <c r="B1123" s="238" t="s">
        <v>11</v>
      </c>
      <c r="C1123" s="239"/>
      <c r="D1123" s="239"/>
      <c r="E1123" s="240"/>
      <c r="F1123" s="244" t="s">
        <v>12</v>
      </c>
      <c r="G1123" s="244" t="s">
        <v>13</v>
      </c>
      <c r="H1123" s="244" t="s">
        <v>14</v>
      </c>
      <c r="I1123" s="246" t="s">
        <v>15</v>
      </c>
      <c r="J1123" s="12"/>
      <c r="K1123" s="238" t="s">
        <v>11</v>
      </c>
      <c r="L1123" s="239"/>
      <c r="M1123" s="239"/>
      <c r="N1123" s="240"/>
      <c r="O1123" s="244" t="s">
        <v>12</v>
      </c>
      <c r="P1123" s="244" t="s">
        <v>13</v>
      </c>
      <c r="Q1123" s="244" t="s">
        <v>14</v>
      </c>
      <c r="R1123" s="246" t="s">
        <v>15</v>
      </c>
    </row>
    <row r="1124" spans="1:18" x14ac:dyDescent="0.2">
      <c r="A1124" s="13"/>
      <c r="B1124" s="241"/>
      <c r="C1124" s="242"/>
      <c r="D1124" s="242"/>
      <c r="E1124" s="243"/>
      <c r="F1124" s="245"/>
      <c r="G1124" s="245"/>
      <c r="H1124" s="245"/>
      <c r="I1124" s="247"/>
      <c r="J1124" s="13"/>
      <c r="K1124" s="241"/>
      <c r="L1124" s="242"/>
      <c r="M1124" s="242"/>
      <c r="N1124" s="243"/>
      <c r="O1124" s="245"/>
      <c r="P1124" s="245"/>
      <c r="Q1124" s="245"/>
      <c r="R1124" s="247"/>
    </row>
    <row r="1125" spans="1:18" x14ac:dyDescent="0.2">
      <c r="A1125" s="13" t="s">
        <v>16</v>
      </c>
      <c r="B1125" s="14" t="s">
        <v>17</v>
      </c>
      <c r="C1125" s="15"/>
      <c r="D1125" s="15"/>
      <c r="E1125" s="16"/>
      <c r="F1125" s="17"/>
      <c r="G1125" s="17"/>
      <c r="H1125" s="17"/>
      <c r="I1125" s="17"/>
      <c r="J1125" s="13" t="s">
        <v>16</v>
      </c>
      <c r="K1125" s="14" t="s">
        <v>17</v>
      </c>
      <c r="L1125" s="15"/>
      <c r="M1125" s="15"/>
      <c r="N1125" s="16"/>
      <c r="O1125" s="17"/>
      <c r="P1125" s="17"/>
      <c r="Q1125" s="17"/>
      <c r="R1125" s="17"/>
    </row>
    <row r="1126" spans="1:18" x14ac:dyDescent="0.2">
      <c r="A1126" s="13"/>
      <c r="B1126" s="18"/>
      <c r="C1126" s="19"/>
      <c r="D1126" s="19"/>
      <c r="E1126" s="20"/>
      <c r="F1126" s="21"/>
      <c r="G1126" s="22"/>
      <c r="H1126" s="21"/>
      <c r="I1126" s="21"/>
      <c r="J1126" s="13"/>
      <c r="K1126" s="18"/>
      <c r="L1126" s="19"/>
      <c r="M1126" s="19"/>
      <c r="N1126" s="20"/>
      <c r="O1126" s="21"/>
      <c r="P1126" s="22"/>
      <c r="Q1126" s="21"/>
      <c r="R1126" s="21"/>
    </row>
    <row r="1127" spans="1:18" x14ac:dyDescent="0.2">
      <c r="A1127" s="13"/>
      <c r="B1127" s="24" t="s">
        <v>18</v>
      </c>
      <c r="C1127" s="25"/>
      <c r="D1127" s="25"/>
      <c r="E1127" s="26"/>
      <c r="F1127" s="22">
        <v>1</v>
      </c>
      <c r="G1127" s="23">
        <v>0.5</v>
      </c>
      <c r="H1127" s="23">
        <v>69.42</v>
      </c>
      <c r="I1127" s="23">
        <f>G1127*H1127*F1127</f>
        <v>34.71</v>
      </c>
      <c r="J1127" s="13"/>
      <c r="K1127" s="24" t="s">
        <v>18</v>
      </c>
      <c r="L1127" s="25"/>
      <c r="M1127" s="25"/>
      <c r="N1127" s="26"/>
      <c r="O1127" s="22">
        <v>1</v>
      </c>
      <c r="P1127" s="23">
        <v>1</v>
      </c>
      <c r="Q1127" s="23">
        <v>69.42</v>
      </c>
      <c r="R1127" s="23">
        <f>P1127*Q1127*O1127</f>
        <v>69.42</v>
      </c>
    </row>
    <row r="1128" spans="1:18" x14ac:dyDescent="0.2">
      <c r="A1128" s="13"/>
      <c r="B1128" s="257" t="s">
        <v>1178</v>
      </c>
      <c r="C1128" s="258"/>
      <c r="D1128" s="25"/>
      <c r="E1128" s="26"/>
      <c r="F1128" s="22">
        <v>2</v>
      </c>
      <c r="G1128" s="23">
        <v>0.5</v>
      </c>
      <c r="H1128" s="23">
        <v>50.18</v>
      </c>
      <c r="I1128" s="23">
        <f>G1128*H1128*F1128</f>
        <v>50.18</v>
      </c>
      <c r="J1128" s="13"/>
      <c r="K1128" s="257" t="s">
        <v>1178</v>
      </c>
      <c r="L1128" s="258"/>
      <c r="M1128" s="25"/>
      <c r="N1128" s="26"/>
      <c r="O1128" s="22">
        <v>2</v>
      </c>
      <c r="P1128" s="23">
        <v>1</v>
      </c>
      <c r="Q1128" s="23">
        <v>50.18</v>
      </c>
      <c r="R1128" s="23">
        <f>P1128*Q1128*O1128</f>
        <v>100.36</v>
      </c>
    </row>
    <row r="1129" spans="1:18" x14ac:dyDescent="0.2">
      <c r="A1129" s="13"/>
      <c r="B1129" s="257" t="s">
        <v>1177</v>
      </c>
      <c r="C1129" s="258"/>
      <c r="D1129" s="19"/>
      <c r="E1129" s="20"/>
      <c r="F1129" s="22">
        <v>4</v>
      </c>
      <c r="G1129" s="23">
        <v>0.5</v>
      </c>
      <c r="H1129" s="23">
        <v>38.97</v>
      </c>
      <c r="I1129" s="23">
        <f>G1129*H1129*F1129</f>
        <v>77.94</v>
      </c>
      <c r="J1129" s="13"/>
      <c r="K1129" s="257" t="s">
        <v>1177</v>
      </c>
      <c r="L1129" s="258"/>
      <c r="M1129" s="19"/>
      <c r="N1129" s="20"/>
      <c r="O1129" s="22">
        <v>4</v>
      </c>
      <c r="P1129" s="23">
        <v>1</v>
      </c>
      <c r="Q1129" s="23">
        <v>38.97</v>
      </c>
      <c r="R1129" s="23">
        <f>P1129*Q1129*O1129</f>
        <v>155.88</v>
      </c>
    </row>
    <row r="1130" spans="1:18" x14ac:dyDescent="0.2">
      <c r="A1130" s="13"/>
      <c r="B1130" s="159"/>
      <c r="C1130" s="19"/>
      <c r="D1130" s="19"/>
      <c r="E1130" s="20"/>
      <c r="F1130" s="22"/>
      <c r="G1130" s="22"/>
      <c r="H1130" s="29"/>
      <c r="I1130" s="30"/>
      <c r="J1130" s="13"/>
      <c r="K1130" s="27"/>
      <c r="L1130" s="19"/>
      <c r="M1130" s="19"/>
      <c r="N1130" s="20"/>
      <c r="O1130" s="22"/>
      <c r="P1130" s="22"/>
      <c r="Q1130" s="29"/>
      <c r="R1130" s="30"/>
    </row>
    <row r="1131" spans="1:18" x14ac:dyDescent="0.2">
      <c r="A1131" s="13"/>
      <c r="B1131" s="159"/>
      <c r="C1131" s="19"/>
      <c r="D1131" s="19"/>
      <c r="E1131" s="20"/>
      <c r="F1131" s="22"/>
      <c r="G1131" s="22"/>
      <c r="H1131" s="29"/>
      <c r="I1131" s="30"/>
      <c r="J1131" s="13"/>
      <c r="K1131" s="27"/>
      <c r="L1131" s="19"/>
      <c r="M1131" s="19"/>
      <c r="N1131" s="20"/>
      <c r="O1131" s="22"/>
      <c r="P1131" s="22"/>
      <c r="Q1131" s="29"/>
      <c r="R1131" s="30"/>
    </row>
    <row r="1132" spans="1:18" x14ac:dyDescent="0.2">
      <c r="A1132" s="13"/>
      <c r="B1132" s="18"/>
      <c r="C1132" s="19"/>
      <c r="D1132" s="19"/>
      <c r="E1132" s="20"/>
      <c r="F1132" s="22"/>
      <c r="G1132" s="22"/>
      <c r="H1132" s="28"/>
      <c r="I1132" s="23"/>
      <c r="J1132" s="13"/>
      <c r="K1132" s="18"/>
      <c r="L1132" s="19"/>
      <c r="M1132" s="19"/>
      <c r="N1132" s="20"/>
      <c r="O1132" s="22"/>
      <c r="P1132" s="22"/>
      <c r="Q1132" s="28"/>
      <c r="R1132" s="23"/>
    </row>
    <row r="1133" spans="1:18" x14ac:dyDescent="0.2">
      <c r="A1133" s="13"/>
      <c r="B1133" s="18"/>
      <c r="C1133" s="19"/>
      <c r="D1133" s="19"/>
      <c r="E1133" s="20"/>
      <c r="F1133" s="22"/>
      <c r="G1133" s="22"/>
      <c r="H1133" s="23"/>
      <c r="I1133" s="23"/>
      <c r="J1133" s="13"/>
      <c r="K1133" s="18"/>
      <c r="L1133" s="19"/>
      <c r="M1133" s="19"/>
      <c r="N1133" s="20"/>
      <c r="O1133" s="22"/>
      <c r="P1133" s="22"/>
      <c r="Q1133" s="23"/>
      <c r="R1133" s="23"/>
    </row>
    <row r="1134" spans="1:18" x14ac:dyDescent="0.2">
      <c r="A1134" s="13"/>
      <c r="B1134" s="248" t="s">
        <v>20</v>
      </c>
      <c r="C1134" s="249"/>
      <c r="D1134" s="249"/>
      <c r="E1134" s="250"/>
      <c r="F1134" s="31"/>
      <c r="G1134" s="31"/>
      <c r="H1134" s="32"/>
      <c r="I1134" s="32">
        <f>SUM(I1127:I1133)</f>
        <v>162.82999999999998</v>
      </c>
      <c r="J1134" s="13"/>
      <c r="K1134" s="248" t="s">
        <v>20</v>
      </c>
      <c r="L1134" s="249"/>
      <c r="M1134" s="249"/>
      <c r="N1134" s="250"/>
      <c r="O1134" s="31"/>
      <c r="P1134" s="31"/>
      <c r="Q1134" s="32"/>
      <c r="R1134" s="32">
        <f>SUM(R1127:R1133)</f>
        <v>325.65999999999997</v>
      </c>
    </row>
    <row r="1135" spans="1:18" x14ac:dyDescent="0.2">
      <c r="A1135" s="12"/>
      <c r="B1135" s="251" t="s">
        <v>21</v>
      </c>
      <c r="C1135" s="252"/>
      <c r="D1135" s="252"/>
      <c r="E1135" s="253"/>
      <c r="F1135" s="244" t="s">
        <v>22</v>
      </c>
      <c r="G1135" s="244" t="s">
        <v>13</v>
      </c>
      <c r="H1135" s="244" t="s">
        <v>14</v>
      </c>
      <c r="I1135" s="246" t="s">
        <v>15</v>
      </c>
      <c r="J1135" s="12"/>
      <c r="K1135" s="251" t="s">
        <v>21</v>
      </c>
      <c r="L1135" s="252"/>
      <c r="M1135" s="252"/>
      <c r="N1135" s="253"/>
      <c r="O1135" s="244" t="s">
        <v>22</v>
      </c>
      <c r="P1135" s="244" t="s">
        <v>13</v>
      </c>
      <c r="Q1135" s="244" t="s">
        <v>14</v>
      </c>
      <c r="R1135" s="246" t="s">
        <v>15</v>
      </c>
    </row>
    <row r="1136" spans="1:18" x14ac:dyDescent="0.2">
      <c r="A1136" s="13"/>
      <c r="B1136" s="254"/>
      <c r="C1136" s="255"/>
      <c r="D1136" s="255"/>
      <c r="E1136" s="256"/>
      <c r="F1136" s="245"/>
      <c r="G1136" s="245"/>
      <c r="H1136" s="245"/>
      <c r="I1136" s="247"/>
      <c r="J1136" s="13"/>
      <c r="K1136" s="254"/>
      <c r="L1136" s="255"/>
      <c r="M1136" s="255"/>
      <c r="N1136" s="256"/>
      <c r="O1136" s="245"/>
      <c r="P1136" s="245"/>
      <c r="Q1136" s="245"/>
      <c r="R1136" s="247"/>
    </row>
    <row r="1137" spans="1:18" x14ac:dyDescent="0.2">
      <c r="A1137" s="13" t="s">
        <v>23</v>
      </c>
      <c r="B1137" s="33" t="s">
        <v>24</v>
      </c>
      <c r="C1137" s="15"/>
      <c r="D1137" s="15"/>
      <c r="E1137" s="16"/>
      <c r="F1137" s="34"/>
      <c r="G1137" s="34"/>
      <c r="H1137" s="35"/>
      <c r="I1137" s="35"/>
      <c r="J1137" s="13" t="s">
        <v>23</v>
      </c>
      <c r="K1137" s="33" t="s">
        <v>24</v>
      </c>
      <c r="L1137" s="15"/>
      <c r="M1137" s="15"/>
      <c r="N1137" s="16"/>
      <c r="O1137" s="34"/>
      <c r="P1137" s="34"/>
      <c r="Q1137" s="35"/>
      <c r="R1137" s="35"/>
    </row>
    <row r="1138" spans="1:18" x14ac:dyDescent="0.2">
      <c r="A1138" s="13"/>
      <c r="B1138" s="18"/>
      <c r="C1138" s="19"/>
      <c r="D1138" s="19"/>
      <c r="E1138" s="20"/>
      <c r="F1138" s="22"/>
      <c r="G1138" s="22"/>
      <c r="H1138" s="23"/>
      <c r="I1138" s="23"/>
      <c r="J1138" s="13"/>
      <c r="K1138" s="18"/>
      <c r="L1138" s="19"/>
      <c r="M1138" s="19"/>
      <c r="N1138" s="20"/>
      <c r="O1138" s="22"/>
      <c r="P1138" s="22"/>
      <c r="Q1138" s="23"/>
      <c r="R1138" s="23"/>
    </row>
    <row r="1139" spans="1:18" x14ac:dyDescent="0.2">
      <c r="A1139" s="13"/>
      <c r="B1139" s="18" t="s">
        <v>62</v>
      </c>
      <c r="C1139" s="66"/>
      <c r="D1139" s="19"/>
      <c r="E1139" s="20"/>
      <c r="F1139" s="22">
        <v>1</v>
      </c>
      <c r="G1139" s="23">
        <v>0.25</v>
      </c>
      <c r="H1139" s="37">
        <v>1537</v>
      </c>
      <c r="I1139" s="37">
        <f>G1139*H1139*F1139</f>
        <v>384.25</v>
      </c>
      <c r="J1139" s="13"/>
      <c r="K1139" s="18" t="s">
        <v>164</v>
      </c>
      <c r="L1139" s="19"/>
      <c r="M1139" s="19"/>
      <c r="N1139" s="20"/>
      <c r="O1139" s="22">
        <v>1</v>
      </c>
      <c r="P1139" s="23">
        <v>1</v>
      </c>
      <c r="Q1139" s="37">
        <v>1902</v>
      </c>
      <c r="R1139" s="37">
        <f>P1139*Q1139*O1139</f>
        <v>1902</v>
      </c>
    </row>
    <row r="1140" spans="1:18" x14ac:dyDescent="0.2">
      <c r="A1140" s="13"/>
      <c r="B1140" s="18" t="s">
        <v>1149</v>
      </c>
      <c r="C1140" s="66"/>
      <c r="D1140" s="19"/>
      <c r="E1140" s="20"/>
      <c r="F1140" s="22">
        <v>1</v>
      </c>
      <c r="G1140" s="23">
        <v>0.25</v>
      </c>
      <c r="H1140" s="37">
        <v>1017.9</v>
      </c>
      <c r="I1140" s="37">
        <f>G1140*H1140*F1140</f>
        <v>254.47499999999999</v>
      </c>
      <c r="J1140" s="13"/>
      <c r="K1140" s="18" t="s">
        <v>165</v>
      </c>
      <c r="L1140" s="19"/>
      <c r="M1140" s="19"/>
      <c r="N1140" s="20"/>
      <c r="O1140" s="22">
        <v>1</v>
      </c>
      <c r="P1140" s="23">
        <v>1</v>
      </c>
      <c r="Q1140" s="37">
        <v>2123</v>
      </c>
      <c r="R1140" s="37">
        <f>P1140*Q1140*O1140</f>
        <v>2123</v>
      </c>
    </row>
    <row r="1141" spans="1:18" x14ac:dyDescent="0.2">
      <c r="A1141" s="13"/>
      <c r="B1141" s="18" t="s">
        <v>1174</v>
      </c>
      <c r="C1141" s="19"/>
      <c r="D1141" s="19"/>
      <c r="E1141" s="20"/>
      <c r="F1141" s="22">
        <v>1</v>
      </c>
      <c r="G1141" s="23">
        <v>0.13</v>
      </c>
      <c r="H1141" s="37">
        <v>2450</v>
      </c>
      <c r="I1141" s="37">
        <f>F1141*G1141*H1141</f>
        <v>318.5</v>
      </c>
      <c r="J1141" s="13"/>
      <c r="K1141" s="18" t="s">
        <v>1171</v>
      </c>
      <c r="L1141" s="19"/>
      <c r="M1141" s="19"/>
      <c r="N1141" s="20"/>
      <c r="O1141" s="22">
        <v>1</v>
      </c>
      <c r="P1141" s="23">
        <v>0.25</v>
      </c>
      <c r="Q1141" s="37">
        <v>371</v>
      </c>
      <c r="R1141" s="37">
        <f>P1141*Q1141*O1141</f>
        <v>92.75</v>
      </c>
    </row>
    <row r="1142" spans="1:18" x14ac:dyDescent="0.2">
      <c r="A1142" s="13"/>
      <c r="B1142" s="18" t="s">
        <v>92</v>
      </c>
      <c r="C1142" s="19"/>
      <c r="D1142" s="19"/>
      <c r="E1142" s="20"/>
      <c r="F1142" s="22"/>
      <c r="G1142" s="36"/>
      <c r="I1142" s="37">
        <f>I1134*0.1</f>
        <v>16.282999999999998</v>
      </c>
      <c r="J1142" s="13"/>
      <c r="K1142" s="18" t="s">
        <v>108</v>
      </c>
      <c r="O1142" s="22">
        <v>1</v>
      </c>
      <c r="P1142" s="23">
        <v>0.25</v>
      </c>
      <c r="Q1142" s="37">
        <v>45.45</v>
      </c>
      <c r="R1142" s="37">
        <f>P1142*Q1142*O1142</f>
        <v>11.362500000000001</v>
      </c>
    </row>
    <row r="1143" spans="1:18" x14ac:dyDescent="0.2">
      <c r="A1143" s="13"/>
      <c r="B1143" s="18"/>
      <c r="C1143" s="19"/>
      <c r="D1143" s="19"/>
      <c r="E1143" s="20"/>
      <c r="F1143" s="22"/>
      <c r="G1143" s="36"/>
      <c r="H1143" s="37"/>
      <c r="I1143" s="37"/>
      <c r="J1143" s="13"/>
      <c r="K1143" s="18"/>
      <c r="L1143" s="19"/>
      <c r="M1143" s="19"/>
      <c r="N1143" s="20"/>
      <c r="O1143" s="22"/>
      <c r="P1143" s="36"/>
      <c r="Q1143" s="37"/>
      <c r="R1143" s="37"/>
    </row>
    <row r="1144" spans="1:18" x14ac:dyDescent="0.2">
      <c r="A1144" s="13"/>
      <c r="B1144" s="18"/>
      <c r="C1144" s="19"/>
      <c r="D1144" s="19"/>
      <c r="E1144" s="20"/>
      <c r="F1144" s="22"/>
      <c r="G1144" s="36"/>
      <c r="H1144" s="38"/>
      <c r="I1144" s="38"/>
      <c r="J1144" s="13"/>
      <c r="K1144" s="18"/>
      <c r="L1144" s="19"/>
      <c r="M1144" s="19"/>
      <c r="N1144" s="20"/>
      <c r="O1144" s="22"/>
      <c r="P1144" s="36"/>
      <c r="Q1144" s="38"/>
      <c r="R1144" s="38"/>
    </row>
    <row r="1145" spans="1:18" x14ac:dyDescent="0.2">
      <c r="A1145" s="13"/>
      <c r="B1145" s="18"/>
      <c r="C1145" s="19"/>
      <c r="D1145" s="19"/>
      <c r="E1145" s="20"/>
      <c r="F1145" s="22"/>
      <c r="G1145" s="36"/>
      <c r="H1145" s="38"/>
      <c r="I1145" s="38"/>
      <c r="J1145" s="13"/>
      <c r="K1145" s="18"/>
      <c r="L1145" s="19"/>
      <c r="M1145" s="19"/>
      <c r="N1145" s="20"/>
      <c r="O1145" s="22"/>
      <c r="P1145" s="36"/>
      <c r="Q1145" s="38"/>
      <c r="R1145" s="38"/>
    </row>
    <row r="1146" spans="1:18" x14ac:dyDescent="0.2">
      <c r="A1146" s="13"/>
      <c r="B1146" s="18"/>
      <c r="C1146" s="19"/>
      <c r="D1146" s="19"/>
      <c r="E1146" s="20"/>
      <c r="F1146" s="22"/>
      <c r="G1146" s="36"/>
      <c r="H1146" s="38"/>
      <c r="I1146" s="38"/>
      <c r="J1146" s="13"/>
      <c r="K1146" s="18"/>
      <c r="L1146" s="19"/>
      <c r="M1146" s="19"/>
      <c r="N1146" s="20"/>
      <c r="O1146" s="22"/>
      <c r="P1146" s="36"/>
      <c r="Q1146" s="38"/>
      <c r="R1146" s="38"/>
    </row>
    <row r="1147" spans="1:18" x14ac:dyDescent="0.2">
      <c r="A1147" s="13"/>
      <c r="B1147" s="18"/>
      <c r="C1147" s="19"/>
      <c r="D1147" s="19"/>
      <c r="E1147" s="20"/>
      <c r="F1147" s="22"/>
      <c r="G1147" s="36"/>
      <c r="H1147" s="38"/>
      <c r="I1147" s="38"/>
      <c r="J1147" s="13"/>
      <c r="K1147" s="18"/>
      <c r="L1147" s="19"/>
      <c r="M1147" s="19"/>
      <c r="N1147" s="20"/>
      <c r="O1147" s="22"/>
      <c r="P1147" s="36"/>
      <c r="Q1147" s="38"/>
      <c r="R1147" s="38"/>
    </row>
    <row r="1148" spans="1:18" x14ac:dyDescent="0.2">
      <c r="A1148" s="13"/>
      <c r="B1148" s="18"/>
      <c r="C1148" s="19"/>
      <c r="D1148" s="19"/>
      <c r="E1148" s="20"/>
      <c r="F1148" s="22"/>
      <c r="G1148" s="36"/>
      <c r="H1148" s="37"/>
      <c r="I1148" s="37"/>
      <c r="J1148" s="13"/>
      <c r="K1148" s="18"/>
      <c r="L1148" s="19"/>
      <c r="M1148" s="19"/>
      <c r="N1148" s="20"/>
      <c r="O1148" s="22"/>
      <c r="P1148" s="36"/>
      <c r="Q1148" s="37"/>
      <c r="R1148" s="37"/>
    </row>
    <row r="1149" spans="1:18" x14ac:dyDescent="0.2">
      <c r="A1149" s="13"/>
      <c r="B1149" s="18"/>
      <c r="C1149" s="19"/>
      <c r="D1149" s="19"/>
      <c r="E1149" s="20"/>
      <c r="F1149" s="22"/>
      <c r="G1149" s="36"/>
      <c r="H1149" s="37"/>
      <c r="I1149" s="37"/>
      <c r="J1149" s="13"/>
      <c r="K1149" s="18"/>
      <c r="L1149" s="19"/>
      <c r="M1149" s="19"/>
      <c r="N1149" s="20"/>
      <c r="O1149" s="22"/>
      <c r="P1149" s="36"/>
      <c r="Q1149" s="37"/>
      <c r="R1149" s="37"/>
    </row>
    <row r="1150" spans="1:18" x14ac:dyDescent="0.2">
      <c r="A1150" s="13"/>
      <c r="B1150" s="18"/>
      <c r="C1150" s="19"/>
      <c r="D1150" s="19"/>
      <c r="E1150" s="20"/>
      <c r="F1150" s="22"/>
      <c r="G1150" s="36"/>
      <c r="H1150" s="37"/>
      <c r="I1150" s="37"/>
      <c r="J1150" s="13"/>
      <c r="K1150" s="18"/>
      <c r="L1150" s="19"/>
      <c r="M1150" s="19"/>
      <c r="N1150" s="20"/>
      <c r="O1150" s="22"/>
      <c r="P1150" s="36"/>
      <c r="Q1150" s="37"/>
      <c r="R1150" s="37"/>
    </row>
    <row r="1151" spans="1:18" x14ac:dyDescent="0.2">
      <c r="A1151" s="13"/>
      <c r="B1151" s="18"/>
      <c r="C1151" s="19"/>
      <c r="D1151" s="19"/>
      <c r="E1151" s="20"/>
      <c r="F1151" s="22"/>
      <c r="G1151" s="22"/>
      <c r="H1151" s="23"/>
      <c r="I1151" s="23"/>
      <c r="J1151" s="13"/>
      <c r="K1151" s="18"/>
      <c r="L1151" s="19"/>
      <c r="M1151" s="19"/>
      <c r="N1151" s="20"/>
      <c r="O1151" s="22"/>
      <c r="P1151" s="22"/>
      <c r="Q1151" s="23"/>
      <c r="R1151" s="23"/>
    </row>
    <row r="1152" spans="1:18" x14ac:dyDescent="0.2">
      <c r="A1152" s="13"/>
      <c r="B1152" s="248" t="s">
        <v>30</v>
      </c>
      <c r="C1152" s="249"/>
      <c r="D1152" s="249"/>
      <c r="E1152" s="250"/>
      <c r="F1152" s="22"/>
      <c r="G1152" s="22"/>
      <c r="H1152" s="23"/>
      <c r="I1152" s="23">
        <f>SUM(I1139:I1151)</f>
        <v>973.50800000000004</v>
      </c>
      <c r="J1152" s="13"/>
      <c r="K1152" s="248" t="s">
        <v>30</v>
      </c>
      <c r="L1152" s="249"/>
      <c r="M1152" s="249"/>
      <c r="N1152" s="250"/>
      <c r="O1152" s="22"/>
      <c r="P1152" s="22"/>
      <c r="Q1152" s="23"/>
      <c r="R1152" s="23">
        <f>SUM(R1139:R1151)</f>
        <v>4129.1125000000002</v>
      </c>
    </row>
    <row r="1153" spans="1:18" x14ac:dyDescent="0.2">
      <c r="A1153" s="12" t="s">
        <v>31</v>
      </c>
      <c r="B1153" s="260" t="s">
        <v>32</v>
      </c>
      <c r="C1153" s="261"/>
      <c r="D1153" s="261"/>
      <c r="E1153" s="261"/>
      <c r="F1153" s="161"/>
      <c r="G1153" s="161"/>
      <c r="H1153" s="40"/>
      <c r="I1153" s="41">
        <f>SUM(I1152+I1134)</f>
        <v>1136.338</v>
      </c>
      <c r="J1153" s="12" t="s">
        <v>31</v>
      </c>
      <c r="K1153" s="260" t="s">
        <v>32</v>
      </c>
      <c r="L1153" s="261"/>
      <c r="M1153" s="261"/>
      <c r="N1153" s="261"/>
      <c r="O1153" s="39"/>
      <c r="P1153" s="39"/>
      <c r="Q1153" s="40"/>
      <c r="R1153" s="41">
        <f>SUM(R1152+R1134)</f>
        <v>4454.7725</v>
      </c>
    </row>
    <row r="1154" spans="1:18" x14ac:dyDescent="0.2">
      <c r="A1154" s="13" t="s">
        <v>33</v>
      </c>
      <c r="B1154" s="321">
        <f>E1121</f>
        <v>1</v>
      </c>
      <c r="C1154" s="322"/>
      <c r="D1154" s="322"/>
      <c r="E1154" s="322"/>
      <c r="F1154" s="322"/>
      <c r="G1154" s="322"/>
      <c r="H1154" s="40"/>
      <c r="I1154" s="41"/>
      <c r="J1154" s="13" t="s">
        <v>33</v>
      </c>
      <c r="K1154" s="321">
        <f>N1121</f>
        <v>10</v>
      </c>
      <c r="L1154" s="322"/>
      <c r="M1154" s="322"/>
      <c r="N1154" s="322"/>
      <c r="O1154" s="322"/>
      <c r="P1154" s="322"/>
      <c r="Q1154" s="40"/>
      <c r="R1154" s="41"/>
    </row>
    <row r="1155" spans="1:18" x14ac:dyDescent="0.2">
      <c r="A1155" s="13" t="s">
        <v>34</v>
      </c>
      <c r="B1155" s="162" t="s">
        <v>35</v>
      </c>
      <c r="C1155" s="43"/>
      <c r="D1155" s="43"/>
      <c r="E1155" s="161"/>
      <c r="F1155" s="163"/>
      <c r="G1155" s="163"/>
      <c r="H1155" s="40"/>
      <c r="I1155" s="41">
        <f>I1153/E1121</f>
        <v>1136.338</v>
      </c>
      <c r="J1155" s="13" t="s">
        <v>34</v>
      </c>
      <c r="K1155" s="42" t="s">
        <v>35</v>
      </c>
      <c r="L1155" s="43"/>
      <c r="M1155" s="43"/>
      <c r="N1155" s="39"/>
      <c r="O1155" s="44"/>
      <c r="P1155" s="44"/>
      <c r="Q1155" s="40"/>
      <c r="R1155" s="41">
        <f>R1153/N1121</f>
        <v>445.47725000000003</v>
      </c>
    </row>
    <row r="1156" spans="1:18" x14ac:dyDescent="0.2">
      <c r="A1156" s="12"/>
      <c r="B1156" s="251" t="s">
        <v>36</v>
      </c>
      <c r="C1156" s="252"/>
      <c r="D1156" s="252"/>
      <c r="E1156" s="253"/>
      <c r="F1156" s="244" t="s">
        <v>37</v>
      </c>
      <c r="G1156" s="244" t="s">
        <v>38</v>
      </c>
      <c r="H1156" s="244" t="s">
        <v>39</v>
      </c>
      <c r="I1156" s="246" t="s">
        <v>15</v>
      </c>
      <c r="J1156" s="12"/>
      <c r="K1156" s="251" t="s">
        <v>36</v>
      </c>
      <c r="L1156" s="252"/>
      <c r="M1156" s="252"/>
      <c r="N1156" s="253"/>
      <c r="O1156" s="244" t="s">
        <v>37</v>
      </c>
      <c r="P1156" s="244" t="s">
        <v>38</v>
      </c>
      <c r="Q1156" s="244" t="s">
        <v>39</v>
      </c>
      <c r="R1156" s="246" t="s">
        <v>15</v>
      </c>
    </row>
    <row r="1157" spans="1:18" x14ac:dyDescent="0.2">
      <c r="A1157" s="13"/>
      <c r="B1157" s="254"/>
      <c r="C1157" s="255"/>
      <c r="D1157" s="255"/>
      <c r="E1157" s="256"/>
      <c r="F1157" s="245"/>
      <c r="G1157" s="245"/>
      <c r="H1157" s="245"/>
      <c r="I1157" s="247"/>
      <c r="J1157" s="13"/>
      <c r="K1157" s="254"/>
      <c r="L1157" s="255"/>
      <c r="M1157" s="255"/>
      <c r="N1157" s="256"/>
      <c r="O1157" s="245"/>
      <c r="P1157" s="245"/>
      <c r="Q1157" s="245"/>
      <c r="R1157" s="247"/>
    </row>
    <row r="1158" spans="1:18" x14ac:dyDescent="0.2">
      <c r="A1158" s="13" t="s">
        <v>40</v>
      </c>
      <c r="B1158" s="18" t="s">
        <v>41</v>
      </c>
      <c r="C1158" s="19"/>
      <c r="D1158" s="19"/>
      <c r="E1158" s="20"/>
      <c r="F1158" s="22"/>
      <c r="G1158" s="22"/>
      <c r="H1158" s="23"/>
      <c r="I1158" s="23"/>
      <c r="J1158" s="13" t="s">
        <v>40</v>
      </c>
      <c r="K1158" s="18" t="s">
        <v>41</v>
      </c>
      <c r="L1158" s="19"/>
      <c r="M1158" s="19"/>
      <c r="N1158" s="20"/>
      <c r="O1158" s="22"/>
      <c r="P1158" s="22"/>
      <c r="Q1158" s="23"/>
      <c r="R1158" s="23"/>
    </row>
    <row r="1159" spans="1:18" x14ac:dyDescent="0.2">
      <c r="A1159" s="13"/>
      <c r="B1159" s="18"/>
      <c r="C1159" s="19"/>
      <c r="D1159" s="19"/>
      <c r="E1159" s="20"/>
      <c r="F1159" s="22"/>
      <c r="G1159" s="22"/>
      <c r="H1159" s="23"/>
      <c r="I1159" s="23"/>
      <c r="J1159" s="13"/>
      <c r="K1159" s="18"/>
      <c r="L1159" s="19"/>
      <c r="M1159" s="19"/>
      <c r="N1159" s="20"/>
      <c r="O1159" s="22"/>
      <c r="P1159" s="22"/>
      <c r="Q1159" s="23"/>
      <c r="R1159" s="23"/>
    </row>
    <row r="1160" spans="1:18" x14ac:dyDescent="0.2">
      <c r="A1160" s="13"/>
      <c r="B1160" s="18"/>
      <c r="C1160" s="19"/>
      <c r="D1160" s="19"/>
      <c r="E1160" s="20"/>
      <c r="F1160" s="22"/>
      <c r="G1160" s="62"/>
      <c r="H1160" s="23"/>
      <c r="I1160" s="23"/>
      <c r="J1160" s="13"/>
      <c r="K1160" s="18" t="s">
        <v>1280</v>
      </c>
      <c r="L1160" s="19"/>
      <c r="M1160" s="19"/>
      <c r="N1160" s="20"/>
      <c r="O1160" s="62" t="s">
        <v>77</v>
      </c>
      <c r="P1160" s="62">
        <v>48</v>
      </c>
      <c r="Q1160" s="107">
        <v>48</v>
      </c>
      <c r="R1160" s="23">
        <f>Q1160*P1160</f>
        <v>2304</v>
      </c>
    </row>
    <row r="1161" spans="1:18" x14ac:dyDescent="0.2">
      <c r="A1161" s="13"/>
      <c r="B1161" s="18"/>
      <c r="C1161" s="19"/>
      <c r="D1161" s="19"/>
      <c r="E1161" s="20"/>
      <c r="F1161" s="22"/>
      <c r="G1161" s="22"/>
      <c r="H1161" s="23"/>
      <c r="I1161" s="23"/>
      <c r="J1161" s="13"/>
      <c r="K1161" s="18" t="s">
        <v>1233</v>
      </c>
      <c r="L1161" s="19"/>
      <c r="M1161" s="19"/>
      <c r="N1161" s="20"/>
      <c r="O1161" s="62"/>
      <c r="P1161" s="70"/>
      <c r="R1161" s="23">
        <f>R1160*0.03</f>
        <v>69.12</v>
      </c>
    </row>
    <row r="1162" spans="1:18" x14ac:dyDescent="0.2">
      <c r="A1162" s="13"/>
      <c r="B1162" s="18"/>
      <c r="C1162" s="19"/>
      <c r="D1162" s="19"/>
      <c r="E1162" s="20"/>
      <c r="F1162" s="22"/>
      <c r="G1162" s="22"/>
      <c r="H1162" s="38"/>
      <c r="I1162" s="38"/>
      <c r="J1162" s="13"/>
      <c r="K1162" s="18"/>
      <c r="L1162" s="19"/>
      <c r="M1162" s="19"/>
      <c r="N1162" s="20"/>
      <c r="O1162" s="62"/>
      <c r="P1162" s="22"/>
      <c r="Q1162" s="23"/>
      <c r="R1162" s="23"/>
    </row>
    <row r="1163" spans="1:18" x14ac:dyDescent="0.2">
      <c r="A1163" s="13"/>
      <c r="B1163" s="18"/>
      <c r="C1163" s="19"/>
      <c r="D1163" s="19"/>
      <c r="E1163" s="20"/>
      <c r="F1163" s="22"/>
      <c r="G1163" s="22"/>
      <c r="H1163" s="38"/>
      <c r="I1163" s="38"/>
      <c r="J1163" s="13"/>
      <c r="K1163" s="18"/>
      <c r="L1163" s="19"/>
      <c r="M1163" s="19"/>
      <c r="N1163" s="20"/>
      <c r="O1163" s="22"/>
      <c r="P1163" s="22"/>
      <c r="Q1163" s="23"/>
      <c r="R1163" s="23"/>
    </row>
    <row r="1164" spans="1:18" x14ac:dyDescent="0.2">
      <c r="A1164" s="13"/>
      <c r="B1164" s="18"/>
      <c r="C1164" s="19"/>
      <c r="D1164" s="19"/>
      <c r="E1164" s="20"/>
      <c r="F1164" s="22"/>
      <c r="G1164" s="22"/>
      <c r="H1164" s="45"/>
      <c r="I1164" s="45"/>
      <c r="J1164" s="13"/>
      <c r="K1164" s="18"/>
      <c r="L1164" s="19"/>
      <c r="M1164" s="19"/>
      <c r="N1164" s="20"/>
      <c r="O1164" s="22"/>
      <c r="P1164" s="22"/>
      <c r="Q1164" s="45"/>
      <c r="R1164" s="45"/>
    </row>
    <row r="1165" spans="1:18" x14ac:dyDescent="0.2">
      <c r="A1165" s="13"/>
      <c r="B1165" s="18"/>
      <c r="C1165" s="19"/>
      <c r="D1165" s="19"/>
      <c r="E1165" s="20"/>
      <c r="F1165" s="22"/>
      <c r="G1165" s="22"/>
      <c r="H1165" s="45"/>
      <c r="I1165" s="45"/>
      <c r="J1165" s="13"/>
      <c r="K1165" s="18"/>
      <c r="L1165" s="19"/>
      <c r="M1165" s="19"/>
      <c r="N1165" s="20"/>
      <c r="O1165" s="22"/>
      <c r="P1165" s="22"/>
      <c r="Q1165" s="45"/>
      <c r="R1165" s="45"/>
    </row>
    <row r="1166" spans="1:18" x14ac:dyDescent="0.2">
      <c r="A1166" s="13"/>
      <c r="B1166" s="18"/>
      <c r="C1166" s="19"/>
      <c r="D1166" s="19"/>
      <c r="E1166" s="20"/>
      <c r="F1166" s="22"/>
      <c r="G1166" s="22"/>
      <c r="H1166" s="23"/>
      <c r="I1166" s="23"/>
      <c r="J1166" s="13"/>
      <c r="K1166" s="18"/>
      <c r="L1166" s="19"/>
      <c r="M1166" s="19"/>
      <c r="N1166" s="20"/>
      <c r="O1166" s="22"/>
      <c r="P1166" s="22"/>
      <c r="Q1166" s="23"/>
      <c r="R1166" s="23"/>
    </row>
    <row r="1167" spans="1:18" x14ac:dyDescent="0.2">
      <c r="A1167" s="13"/>
      <c r="B1167" s="18"/>
      <c r="C1167" s="19"/>
      <c r="D1167" s="19"/>
      <c r="E1167" s="20"/>
      <c r="F1167" s="22"/>
      <c r="G1167" s="22"/>
      <c r="H1167" s="23"/>
      <c r="I1167" s="23"/>
      <c r="J1167" s="13"/>
      <c r="K1167" s="18"/>
      <c r="L1167" s="19"/>
      <c r="M1167" s="19"/>
      <c r="N1167" s="20"/>
      <c r="O1167" s="22"/>
      <c r="P1167" s="22"/>
      <c r="Q1167" s="23"/>
      <c r="R1167" s="23"/>
    </row>
    <row r="1168" spans="1:18" x14ac:dyDescent="0.2">
      <c r="A1168" s="13"/>
      <c r="B1168" s="18"/>
      <c r="C1168" s="19"/>
      <c r="D1168" s="19"/>
      <c r="E1168" s="20"/>
      <c r="F1168" s="22"/>
      <c r="G1168" s="22"/>
      <c r="H1168" s="23"/>
      <c r="I1168" s="23"/>
      <c r="J1168" s="13"/>
      <c r="K1168" s="18"/>
      <c r="L1168" s="19"/>
      <c r="M1168" s="19"/>
      <c r="N1168" s="20"/>
      <c r="O1168" s="22"/>
      <c r="P1168" s="22"/>
      <c r="Q1168" s="23"/>
      <c r="R1168" s="23"/>
    </row>
    <row r="1169" spans="1:18" x14ac:dyDescent="0.2">
      <c r="A1169" s="13"/>
      <c r="B1169" s="18"/>
      <c r="C1169" s="19"/>
      <c r="D1169" s="19"/>
      <c r="E1169" s="20"/>
      <c r="F1169" s="22"/>
      <c r="G1169" s="22"/>
      <c r="H1169" s="23"/>
      <c r="I1169" s="23"/>
      <c r="J1169" s="13"/>
      <c r="K1169" s="18"/>
      <c r="L1169" s="19"/>
      <c r="M1169" s="19"/>
      <c r="N1169" s="20"/>
      <c r="O1169" s="22"/>
      <c r="P1169" s="22"/>
      <c r="Q1169" s="23"/>
      <c r="R1169" s="23"/>
    </row>
    <row r="1170" spans="1:18" x14ac:dyDescent="0.2">
      <c r="A1170" s="13"/>
      <c r="B1170" s="18"/>
      <c r="C1170" s="19"/>
      <c r="D1170" s="19"/>
      <c r="E1170" s="20"/>
      <c r="F1170" s="22"/>
      <c r="G1170" s="22"/>
      <c r="H1170" s="23"/>
      <c r="I1170" s="23"/>
      <c r="J1170" s="13"/>
      <c r="K1170" s="18"/>
      <c r="L1170" s="19"/>
      <c r="M1170" s="19"/>
      <c r="N1170" s="20"/>
      <c r="O1170" s="22"/>
      <c r="P1170" s="22"/>
      <c r="Q1170" s="23"/>
      <c r="R1170" s="23"/>
    </row>
    <row r="1171" spans="1:18" x14ac:dyDescent="0.2">
      <c r="A1171" s="13"/>
      <c r="B1171" s="18"/>
      <c r="C1171" s="19"/>
      <c r="D1171" s="19"/>
      <c r="E1171" s="20"/>
      <c r="F1171" s="22"/>
      <c r="G1171" s="22"/>
      <c r="H1171" s="23"/>
      <c r="I1171" s="23"/>
      <c r="J1171" s="13"/>
      <c r="K1171" s="18"/>
      <c r="L1171" s="19"/>
      <c r="M1171" s="19"/>
      <c r="N1171" s="20"/>
      <c r="O1171" s="22"/>
      <c r="P1171" s="22"/>
      <c r="Q1171" s="23"/>
      <c r="R1171" s="23"/>
    </row>
    <row r="1172" spans="1:18" x14ac:dyDescent="0.2">
      <c r="A1172" s="13"/>
      <c r="B1172" s="18"/>
      <c r="C1172" s="19"/>
      <c r="D1172" s="19"/>
      <c r="E1172" s="20"/>
      <c r="F1172" s="22"/>
      <c r="G1172" s="36"/>
      <c r="H1172" s="37"/>
      <c r="I1172" s="37"/>
      <c r="J1172" s="13"/>
      <c r="K1172" s="18"/>
      <c r="L1172" s="19"/>
      <c r="M1172" s="19"/>
      <c r="N1172" s="20"/>
      <c r="O1172" s="22"/>
      <c r="P1172" s="36"/>
      <c r="Q1172" s="37"/>
      <c r="R1172" s="37"/>
    </row>
    <row r="1173" spans="1:18" x14ac:dyDescent="0.2">
      <c r="A1173" s="13"/>
      <c r="B1173" s="248" t="s">
        <v>42</v>
      </c>
      <c r="C1173" s="249"/>
      <c r="D1173" s="249"/>
      <c r="E1173" s="250"/>
      <c r="F1173" s="46"/>
      <c r="G1173" s="46"/>
      <c r="H1173" s="47"/>
      <c r="I1173" s="47">
        <f>SUM(I1160:I1172)</f>
        <v>0</v>
      </c>
      <c r="J1173" s="13"/>
      <c r="K1173" s="248" t="s">
        <v>42</v>
      </c>
      <c r="L1173" s="249"/>
      <c r="M1173" s="249"/>
      <c r="N1173" s="250"/>
      <c r="O1173" s="46"/>
      <c r="P1173" s="46"/>
      <c r="Q1173" s="47"/>
      <c r="R1173" s="47">
        <f>SUM(R1160:R1172)</f>
        <v>2373.12</v>
      </c>
    </row>
    <row r="1174" spans="1:18" x14ac:dyDescent="0.2">
      <c r="A1174" s="12" t="s">
        <v>43</v>
      </c>
      <c r="B1174" s="48" t="s">
        <v>44</v>
      </c>
      <c r="C1174" s="43"/>
      <c r="D1174" s="43"/>
      <c r="E1174" s="161"/>
      <c r="F1174" s="49"/>
      <c r="G1174" s="49"/>
      <c r="H1174" s="50"/>
      <c r="I1174" s="51">
        <f>SUM(I1155+I1173)</f>
        <v>1136.338</v>
      </c>
      <c r="J1174" s="12" t="s">
        <v>43</v>
      </c>
      <c r="K1174" s="48" t="s">
        <v>44</v>
      </c>
      <c r="L1174" s="43"/>
      <c r="M1174" s="43"/>
      <c r="N1174" s="161"/>
      <c r="O1174" s="49"/>
      <c r="P1174" s="49"/>
      <c r="Q1174" s="50"/>
      <c r="R1174" s="51">
        <f>SUM(R1155+R1173)</f>
        <v>2818.5972499999998</v>
      </c>
    </row>
    <row r="1175" spans="1:18" x14ac:dyDescent="0.2">
      <c r="A1175" s="13" t="s">
        <v>45</v>
      </c>
      <c r="B1175" s="48" t="s">
        <v>46</v>
      </c>
      <c r="C1175" s="43"/>
      <c r="D1175" s="43"/>
      <c r="E1175" s="161"/>
      <c r="F1175" s="49"/>
      <c r="G1175" s="52">
        <v>0.09</v>
      </c>
      <c r="H1175" s="53" t="s">
        <v>47</v>
      </c>
      <c r="I1175" s="51">
        <f>G1175*I1174</f>
        <v>102.27041999999999</v>
      </c>
      <c r="J1175" s="13" t="s">
        <v>45</v>
      </c>
      <c r="K1175" s="48" t="s">
        <v>46</v>
      </c>
      <c r="L1175" s="43"/>
      <c r="M1175" s="43"/>
      <c r="N1175" s="161"/>
      <c r="O1175" s="49"/>
      <c r="P1175" s="52">
        <v>0.09</v>
      </c>
      <c r="Q1175" s="53" t="s">
        <v>47</v>
      </c>
      <c r="R1175" s="51">
        <f>P1175*R1174</f>
        <v>253.67375249999998</v>
      </c>
    </row>
    <row r="1176" spans="1:18" x14ac:dyDescent="0.2">
      <c r="A1176" s="13" t="s">
        <v>48</v>
      </c>
      <c r="B1176" s="48" t="s">
        <v>49</v>
      </c>
      <c r="C1176" s="43"/>
      <c r="D1176" s="43"/>
      <c r="E1176" s="161"/>
      <c r="F1176" s="49"/>
      <c r="G1176" s="52">
        <v>0.08</v>
      </c>
      <c r="H1176" s="53" t="s">
        <v>47</v>
      </c>
      <c r="I1176" s="51">
        <f>G1176*I1174</f>
        <v>90.907039999999995</v>
      </c>
      <c r="J1176" s="13" t="s">
        <v>48</v>
      </c>
      <c r="K1176" s="48" t="s">
        <v>49</v>
      </c>
      <c r="L1176" s="43"/>
      <c r="M1176" s="43"/>
      <c r="N1176" s="161"/>
      <c r="O1176" s="49"/>
      <c r="P1176" s="52">
        <v>0.08</v>
      </c>
      <c r="Q1176" s="53" t="s">
        <v>47</v>
      </c>
      <c r="R1176" s="51">
        <f>P1176*R1174</f>
        <v>225.48777999999999</v>
      </c>
    </row>
    <row r="1177" spans="1:18" x14ac:dyDescent="0.2">
      <c r="A1177" s="13" t="s">
        <v>50</v>
      </c>
      <c r="B1177" s="48" t="s">
        <v>51</v>
      </c>
      <c r="C1177" s="43"/>
      <c r="D1177" s="43"/>
      <c r="E1177" s="161"/>
      <c r="F1177" s="49"/>
      <c r="G1177" s="52">
        <v>0.05</v>
      </c>
      <c r="H1177" s="53" t="s">
        <v>52</v>
      </c>
      <c r="I1177" s="51">
        <f>G1177*(I1174+I1175+I1176)</f>
        <v>66.475773000000004</v>
      </c>
      <c r="J1177" s="13" t="s">
        <v>50</v>
      </c>
      <c r="K1177" s="48" t="s">
        <v>51</v>
      </c>
      <c r="L1177" s="43"/>
      <c r="M1177" s="43"/>
      <c r="N1177" s="161"/>
      <c r="O1177" s="49"/>
      <c r="P1177" s="52">
        <v>0.05</v>
      </c>
      <c r="Q1177" s="53" t="s">
        <v>52</v>
      </c>
      <c r="R1177" s="51">
        <f>P1177*(R1174+R1175+R1176)</f>
        <v>164.887939125</v>
      </c>
    </row>
    <row r="1178" spans="1:18" x14ac:dyDescent="0.2">
      <c r="A1178" s="54" t="s">
        <v>53</v>
      </c>
      <c r="B1178" s="48" t="s">
        <v>54</v>
      </c>
      <c r="C1178" s="43"/>
      <c r="D1178" s="43"/>
      <c r="E1178" s="161"/>
      <c r="F1178" s="49"/>
      <c r="G1178" s="49"/>
      <c r="H1178" s="55" t="s">
        <v>55</v>
      </c>
      <c r="I1178" s="51">
        <f>SUM(I1174+I1175+I1176+I1177)</f>
        <v>1395.9912330000002</v>
      </c>
      <c r="J1178" s="54" t="s">
        <v>53</v>
      </c>
      <c r="K1178" s="48" t="s">
        <v>54</v>
      </c>
      <c r="L1178" s="43"/>
      <c r="M1178" s="43"/>
      <c r="N1178" s="161"/>
      <c r="O1178" s="49"/>
      <c r="P1178" s="49"/>
      <c r="Q1178" s="55" t="s">
        <v>55</v>
      </c>
      <c r="R1178" s="51">
        <f>SUM(R1174+R1175+R1176+R1177)</f>
        <v>3462.6467216249994</v>
      </c>
    </row>
    <row r="1179" spans="1:18" s="1" customFormat="1" x14ac:dyDescent="0.2">
      <c r="A1179" s="236" t="s">
        <v>0</v>
      </c>
      <c r="B1179" s="236"/>
      <c r="C1179" s="236"/>
      <c r="D1179" s="236"/>
      <c r="E1179" s="236"/>
      <c r="F1179" s="236"/>
      <c r="G1179" s="236"/>
      <c r="H1179" s="236"/>
      <c r="I1179" s="236"/>
      <c r="J1179" s="236" t="s">
        <v>0</v>
      </c>
      <c r="K1179" s="236"/>
      <c r="L1179" s="236"/>
      <c r="M1179" s="236"/>
      <c r="N1179" s="236"/>
      <c r="O1179" s="236"/>
      <c r="P1179" s="236"/>
      <c r="Q1179" s="236"/>
      <c r="R1179" s="236"/>
    </row>
    <row r="1181" spans="1:18" x14ac:dyDescent="0.2">
      <c r="A1181" s="158" t="s">
        <v>1</v>
      </c>
      <c r="C1181" s="4" t="s">
        <v>2</v>
      </c>
      <c r="D1181" s="5" t="s">
        <v>556</v>
      </c>
      <c r="E1181" s="158" t="s">
        <v>557</v>
      </c>
      <c r="F1181" s="158"/>
      <c r="G1181" s="158"/>
      <c r="H1181" s="158"/>
      <c r="J1181" s="158" t="s">
        <v>1</v>
      </c>
      <c r="L1181" s="4" t="s">
        <v>2</v>
      </c>
      <c r="M1181" s="5" t="s">
        <v>561</v>
      </c>
      <c r="N1181" s="158" t="s">
        <v>1281</v>
      </c>
      <c r="O1181" s="158"/>
      <c r="P1181" s="158"/>
      <c r="Q1181" s="158"/>
    </row>
    <row r="1182" spans="1:18" x14ac:dyDescent="0.2">
      <c r="A1182" s="158" t="s">
        <v>7</v>
      </c>
      <c r="C1182" s="4" t="s">
        <v>2</v>
      </c>
      <c r="E1182" s="158" t="s">
        <v>1153</v>
      </c>
      <c r="F1182" s="8"/>
      <c r="G1182" s="8"/>
      <c r="H1182" s="8"/>
      <c r="J1182" s="158" t="s">
        <v>7</v>
      </c>
      <c r="L1182" s="4" t="s">
        <v>2</v>
      </c>
      <c r="N1182" s="158" t="s">
        <v>1153</v>
      </c>
      <c r="O1182" s="8"/>
      <c r="P1182" s="8"/>
      <c r="Q1182" s="8"/>
    </row>
    <row r="1183" spans="1:18" x14ac:dyDescent="0.2">
      <c r="A1183" s="158" t="s">
        <v>10</v>
      </c>
      <c r="C1183" s="4" t="s">
        <v>2</v>
      </c>
      <c r="E1183" s="9">
        <v>1</v>
      </c>
      <c r="F1183" s="8"/>
      <c r="G1183" s="8"/>
      <c r="H1183" s="8"/>
      <c r="J1183" s="158" t="s">
        <v>10</v>
      </c>
      <c r="L1183" s="4" t="s">
        <v>2</v>
      </c>
      <c r="N1183" s="9">
        <v>1.38</v>
      </c>
      <c r="O1183" s="8"/>
      <c r="P1183" s="8"/>
      <c r="Q1183" s="8"/>
    </row>
    <row r="1184" spans="1:18" x14ac:dyDescent="0.2">
      <c r="B1184" s="8"/>
      <c r="F1184" s="11"/>
      <c r="G1184" s="8"/>
      <c r="H1184" s="8"/>
      <c r="I1184" s="8"/>
      <c r="K1184" s="8"/>
      <c r="O1184" s="11"/>
      <c r="P1184" s="8"/>
      <c r="Q1184" s="8"/>
      <c r="R1184" s="8"/>
    </row>
    <row r="1185" spans="1:18" x14ac:dyDescent="0.2">
      <c r="A1185" s="12"/>
      <c r="B1185" s="238" t="s">
        <v>11</v>
      </c>
      <c r="C1185" s="239"/>
      <c r="D1185" s="239"/>
      <c r="E1185" s="240"/>
      <c r="F1185" s="244" t="s">
        <v>12</v>
      </c>
      <c r="G1185" s="244" t="s">
        <v>13</v>
      </c>
      <c r="H1185" s="244" t="s">
        <v>14</v>
      </c>
      <c r="I1185" s="246" t="s">
        <v>15</v>
      </c>
      <c r="J1185" s="12"/>
      <c r="K1185" s="238" t="s">
        <v>11</v>
      </c>
      <c r="L1185" s="239"/>
      <c r="M1185" s="239"/>
      <c r="N1185" s="240"/>
      <c r="O1185" s="244" t="s">
        <v>12</v>
      </c>
      <c r="P1185" s="244" t="s">
        <v>13</v>
      </c>
      <c r="Q1185" s="244" t="s">
        <v>14</v>
      </c>
      <c r="R1185" s="246" t="s">
        <v>15</v>
      </c>
    </row>
    <row r="1186" spans="1:18" x14ac:dyDescent="0.2">
      <c r="A1186" s="13"/>
      <c r="B1186" s="241"/>
      <c r="C1186" s="242"/>
      <c r="D1186" s="242"/>
      <c r="E1186" s="243"/>
      <c r="F1186" s="245"/>
      <c r="G1186" s="245"/>
      <c r="H1186" s="245"/>
      <c r="I1186" s="247"/>
      <c r="J1186" s="13"/>
      <c r="K1186" s="241"/>
      <c r="L1186" s="242"/>
      <c r="M1186" s="242"/>
      <c r="N1186" s="243"/>
      <c r="O1186" s="245"/>
      <c r="P1186" s="245"/>
      <c r="Q1186" s="245"/>
      <c r="R1186" s="247"/>
    </row>
    <row r="1187" spans="1:18" x14ac:dyDescent="0.2">
      <c r="A1187" s="13" t="s">
        <v>16</v>
      </c>
      <c r="B1187" s="14" t="s">
        <v>17</v>
      </c>
      <c r="C1187" s="15"/>
      <c r="D1187" s="15"/>
      <c r="E1187" s="16"/>
      <c r="F1187" s="17"/>
      <c r="G1187" s="17"/>
      <c r="H1187" s="17"/>
      <c r="I1187" s="17"/>
      <c r="J1187" s="13" t="s">
        <v>16</v>
      </c>
      <c r="K1187" s="14" t="s">
        <v>17</v>
      </c>
      <c r="L1187" s="15"/>
      <c r="M1187" s="15"/>
      <c r="N1187" s="16"/>
      <c r="O1187" s="17"/>
      <c r="P1187" s="17"/>
      <c r="Q1187" s="17"/>
      <c r="R1187" s="17"/>
    </row>
    <row r="1188" spans="1:18" x14ac:dyDescent="0.2">
      <c r="A1188" s="13"/>
      <c r="B1188" s="18"/>
      <c r="C1188" s="19"/>
      <c r="D1188" s="19"/>
      <c r="E1188" s="20"/>
      <c r="F1188" s="21"/>
      <c r="G1188" s="22"/>
      <c r="H1188" s="21"/>
      <c r="I1188" s="21"/>
      <c r="J1188" s="13"/>
      <c r="K1188" s="18"/>
      <c r="L1188" s="19"/>
      <c r="M1188" s="19"/>
      <c r="N1188" s="20"/>
      <c r="O1188" s="21"/>
      <c r="P1188" s="22"/>
      <c r="Q1188" s="21"/>
      <c r="R1188" s="21"/>
    </row>
    <row r="1189" spans="1:18" x14ac:dyDescent="0.2">
      <c r="A1189" s="13"/>
      <c r="B1189" s="24" t="s">
        <v>18</v>
      </c>
      <c r="C1189" s="25"/>
      <c r="D1189" s="25"/>
      <c r="E1189" s="26"/>
      <c r="F1189" s="22">
        <v>1</v>
      </c>
      <c r="G1189" s="23">
        <v>0.67</v>
      </c>
      <c r="H1189" s="23">
        <v>69.42</v>
      </c>
      <c r="I1189" s="23">
        <f>G1189*H1189*F1189</f>
        <v>46.511400000000002</v>
      </c>
      <c r="J1189" s="13"/>
      <c r="K1189" s="24" t="s">
        <v>18</v>
      </c>
      <c r="L1189" s="25"/>
      <c r="M1189" s="25"/>
      <c r="N1189" s="26"/>
      <c r="O1189" s="22">
        <v>1</v>
      </c>
      <c r="P1189" s="23">
        <v>1</v>
      </c>
      <c r="Q1189" s="23">
        <v>69.42</v>
      </c>
      <c r="R1189" s="23">
        <f>P1189*Q1189*O1189</f>
        <v>69.42</v>
      </c>
    </row>
    <row r="1190" spans="1:18" x14ac:dyDescent="0.2">
      <c r="A1190" s="13"/>
      <c r="B1190" s="257" t="s">
        <v>1178</v>
      </c>
      <c r="C1190" s="258"/>
      <c r="D1190" s="25"/>
      <c r="E1190" s="26"/>
      <c r="F1190" s="22">
        <v>2</v>
      </c>
      <c r="G1190" s="23">
        <v>0.67</v>
      </c>
      <c r="H1190" s="23">
        <v>50.18</v>
      </c>
      <c r="I1190" s="23">
        <f>G1190*H1190*F1190</f>
        <v>67.241200000000006</v>
      </c>
      <c r="J1190" s="13"/>
      <c r="K1190" s="257" t="s">
        <v>1178</v>
      </c>
      <c r="L1190" s="258"/>
      <c r="M1190" s="25"/>
      <c r="N1190" s="26"/>
      <c r="O1190" s="22">
        <v>6</v>
      </c>
      <c r="P1190" s="23">
        <v>1</v>
      </c>
      <c r="Q1190" s="23">
        <v>50.18</v>
      </c>
      <c r="R1190" s="23">
        <f>P1190*Q1190*O1190</f>
        <v>301.08</v>
      </c>
    </row>
    <row r="1191" spans="1:18" x14ac:dyDescent="0.2">
      <c r="A1191" s="13"/>
      <c r="B1191" s="257" t="s">
        <v>1177</v>
      </c>
      <c r="C1191" s="258"/>
      <c r="D1191" s="19"/>
      <c r="E1191" s="20"/>
      <c r="F1191" s="22">
        <v>4</v>
      </c>
      <c r="G1191" s="23">
        <v>0.67</v>
      </c>
      <c r="H1191" s="23">
        <v>38.97</v>
      </c>
      <c r="I1191" s="23">
        <f>G1191*H1191*F1191</f>
        <v>104.4396</v>
      </c>
      <c r="J1191" s="13"/>
      <c r="K1191" s="257" t="s">
        <v>1177</v>
      </c>
      <c r="L1191" s="258"/>
      <c r="M1191" s="19"/>
      <c r="N1191" s="20"/>
      <c r="O1191" s="22">
        <v>6</v>
      </c>
      <c r="P1191" s="23">
        <v>1</v>
      </c>
      <c r="Q1191" s="23">
        <v>38.97</v>
      </c>
      <c r="R1191" s="23">
        <f>P1191*Q1191*O1191</f>
        <v>233.82</v>
      </c>
    </row>
    <row r="1192" spans="1:18" x14ac:dyDescent="0.2">
      <c r="A1192" s="13"/>
      <c r="B1192" s="159"/>
      <c r="C1192" s="19"/>
      <c r="D1192" s="19"/>
      <c r="E1192" s="20"/>
      <c r="F1192" s="22"/>
      <c r="G1192" s="22"/>
      <c r="H1192" s="29"/>
      <c r="I1192" s="30"/>
      <c r="J1192" s="13"/>
      <c r="K1192" s="159"/>
      <c r="L1192" s="19"/>
      <c r="M1192" s="19"/>
      <c r="N1192" s="20"/>
      <c r="O1192" s="22"/>
      <c r="P1192" s="22"/>
      <c r="Q1192" s="29"/>
      <c r="R1192" s="30"/>
    </row>
    <row r="1193" spans="1:18" x14ac:dyDescent="0.2">
      <c r="A1193" s="13"/>
      <c r="B1193" s="159"/>
      <c r="C1193" s="19"/>
      <c r="D1193" s="19"/>
      <c r="E1193" s="20"/>
      <c r="F1193" s="22"/>
      <c r="G1193" s="22"/>
      <c r="H1193" s="29"/>
      <c r="I1193" s="30"/>
      <c r="J1193" s="13"/>
      <c r="K1193" s="257"/>
      <c r="L1193" s="258"/>
      <c r="M1193" s="25"/>
      <c r="N1193" s="26"/>
      <c r="O1193" s="22"/>
      <c r="P1193" s="22"/>
      <c r="Q1193" s="23"/>
      <c r="R1193" s="23"/>
    </row>
    <row r="1194" spans="1:18" x14ac:dyDescent="0.2">
      <c r="A1194" s="13"/>
      <c r="B1194" s="18"/>
      <c r="C1194" s="19"/>
      <c r="D1194" s="19"/>
      <c r="E1194" s="20"/>
      <c r="F1194" s="22"/>
      <c r="G1194" s="22"/>
      <c r="H1194" s="28"/>
      <c r="I1194" s="23"/>
      <c r="J1194" s="13"/>
      <c r="K1194" s="257"/>
      <c r="L1194" s="258"/>
      <c r="M1194" s="19"/>
      <c r="N1194" s="20"/>
      <c r="O1194" s="22"/>
      <c r="P1194" s="22"/>
      <c r="Q1194" s="23"/>
      <c r="R1194" s="23"/>
    </row>
    <row r="1195" spans="1:18" x14ac:dyDescent="0.2">
      <c r="A1195" s="13"/>
      <c r="B1195" s="18"/>
      <c r="C1195" s="19"/>
      <c r="D1195" s="19"/>
      <c r="E1195" s="20"/>
      <c r="F1195" s="22"/>
      <c r="G1195" s="22"/>
      <c r="H1195" s="23"/>
      <c r="I1195" s="23"/>
      <c r="J1195" s="13"/>
      <c r="K1195" s="18"/>
      <c r="L1195" s="19"/>
      <c r="M1195" s="19"/>
      <c r="N1195" s="20"/>
      <c r="O1195" s="22"/>
      <c r="P1195" s="22"/>
      <c r="Q1195" s="23"/>
      <c r="R1195" s="23"/>
    </row>
    <row r="1196" spans="1:18" x14ac:dyDescent="0.2">
      <c r="A1196" s="13"/>
      <c r="B1196" s="248" t="s">
        <v>20</v>
      </c>
      <c r="C1196" s="249"/>
      <c r="D1196" s="249"/>
      <c r="E1196" s="250"/>
      <c r="F1196" s="31"/>
      <c r="G1196" s="31"/>
      <c r="H1196" s="32"/>
      <c r="I1196" s="32">
        <f>SUM(I1189:I1195)</f>
        <v>218.19220000000001</v>
      </c>
      <c r="J1196" s="13"/>
      <c r="K1196" s="248" t="s">
        <v>20</v>
      </c>
      <c r="L1196" s="249"/>
      <c r="M1196" s="249"/>
      <c r="N1196" s="250"/>
      <c r="O1196" s="31"/>
      <c r="P1196" s="31"/>
      <c r="Q1196" s="32"/>
      <c r="R1196" s="32">
        <f>SUM(R1189:R1195)</f>
        <v>604.31999999999994</v>
      </c>
    </row>
    <row r="1197" spans="1:18" x14ac:dyDescent="0.2">
      <c r="A1197" s="12"/>
      <c r="B1197" s="251" t="s">
        <v>21</v>
      </c>
      <c r="C1197" s="252"/>
      <c r="D1197" s="252"/>
      <c r="E1197" s="253"/>
      <c r="F1197" s="244" t="s">
        <v>22</v>
      </c>
      <c r="G1197" s="244" t="s">
        <v>13</v>
      </c>
      <c r="H1197" s="244" t="s">
        <v>14</v>
      </c>
      <c r="I1197" s="246" t="s">
        <v>15</v>
      </c>
      <c r="J1197" s="12"/>
      <c r="K1197" s="251" t="s">
        <v>21</v>
      </c>
      <c r="L1197" s="252"/>
      <c r="M1197" s="252"/>
      <c r="N1197" s="253"/>
      <c r="O1197" s="244" t="s">
        <v>22</v>
      </c>
      <c r="P1197" s="244" t="s">
        <v>13</v>
      </c>
      <c r="Q1197" s="244" t="s">
        <v>14</v>
      </c>
      <c r="R1197" s="246" t="s">
        <v>15</v>
      </c>
    </row>
    <row r="1198" spans="1:18" x14ac:dyDescent="0.2">
      <c r="A1198" s="13"/>
      <c r="B1198" s="254"/>
      <c r="C1198" s="255"/>
      <c r="D1198" s="255"/>
      <c r="E1198" s="256"/>
      <c r="F1198" s="245"/>
      <c r="G1198" s="245"/>
      <c r="H1198" s="245"/>
      <c r="I1198" s="247"/>
      <c r="J1198" s="13"/>
      <c r="K1198" s="254"/>
      <c r="L1198" s="255"/>
      <c r="M1198" s="255"/>
      <c r="N1198" s="256"/>
      <c r="O1198" s="245"/>
      <c r="P1198" s="245"/>
      <c r="Q1198" s="245"/>
      <c r="R1198" s="247"/>
    </row>
    <row r="1199" spans="1:18" x14ac:dyDescent="0.2">
      <c r="A1199" s="13" t="s">
        <v>23</v>
      </c>
      <c r="B1199" s="33" t="s">
        <v>24</v>
      </c>
      <c r="C1199" s="15"/>
      <c r="D1199" s="15"/>
      <c r="E1199" s="16"/>
      <c r="F1199" s="34"/>
      <c r="G1199" s="34"/>
      <c r="H1199" s="35"/>
      <c r="I1199" s="35"/>
      <c r="J1199" s="13" t="s">
        <v>23</v>
      </c>
      <c r="K1199" s="33" t="s">
        <v>24</v>
      </c>
      <c r="L1199" s="15"/>
      <c r="M1199" s="15"/>
      <c r="N1199" s="16"/>
      <c r="O1199" s="34"/>
      <c r="P1199" s="34"/>
      <c r="Q1199" s="35"/>
      <c r="R1199" s="35"/>
    </row>
    <row r="1200" spans="1:18" x14ac:dyDescent="0.2">
      <c r="A1200" s="13"/>
      <c r="B1200" s="18"/>
      <c r="C1200" s="19"/>
      <c r="D1200" s="19"/>
      <c r="E1200" s="20"/>
      <c r="F1200" s="22"/>
      <c r="G1200" s="22"/>
      <c r="H1200" s="23"/>
      <c r="I1200" s="23"/>
      <c r="J1200" s="13"/>
      <c r="K1200" s="18"/>
      <c r="L1200" s="19"/>
      <c r="M1200" s="19"/>
      <c r="N1200" s="20"/>
      <c r="O1200" s="22"/>
      <c r="P1200" s="22"/>
      <c r="Q1200" s="23"/>
      <c r="R1200" s="23"/>
    </row>
    <row r="1201" spans="1:18" x14ac:dyDescent="0.2">
      <c r="A1201" s="13"/>
      <c r="B1201" s="18" t="s">
        <v>62</v>
      </c>
      <c r="C1201" s="66"/>
      <c r="D1201" s="19"/>
      <c r="E1201" s="20"/>
      <c r="F1201" s="22">
        <v>1</v>
      </c>
      <c r="G1201" s="23">
        <v>0.33</v>
      </c>
      <c r="H1201" s="37">
        <v>1537</v>
      </c>
      <c r="I1201" s="37">
        <f>G1201*H1201*F1201</f>
        <v>507.21000000000004</v>
      </c>
      <c r="J1201" s="13"/>
      <c r="K1201" s="18" t="s">
        <v>1232</v>
      </c>
      <c r="O1201" s="22">
        <v>1</v>
      </c>
      <c r="P1201" s="23">
        <v>0.23</v>
      </c>
      <c r="Q1201" s="37">
        <v>2606</v>
      </c>
      <c r="R1201" s="37">
        <f t="shared" ref="R1201:R1206" si="7">O1201*P1201*Q1201</f>
        <v>599.38</v>
      </c>
    </row>
    <row r="1202" spans="1:18" x14ac:dyDescent="0.2">
      <c r="A1202" s="13"/>
      <c r="B1202" s="18" t="s">
        <v>1149</v>
      </c>
      <c r="C1202" s="66"/>
      <c r="D1202" s="19"/>
      <c r="E1202" s="20"/>
      <c r="F1202" s="22">
        <v>1</v>
      </c>
      <c r="G1202" s="23">
        <v>0.33</v>
      </c>
      <c r="H1202" s="37">
        <v>1017.9</v>
      </c>
      <c r="I1202" s="37">
        <f>G1202*H1202*F1202</f>
        <v>335.90699999999998</v>
      </c>
      <c r="J1202" s="13"/>
      <c r="K1202" s="18" t="s">
        <v>1282</v>
      </c>
      <c r="L1202" s="19"/>
      <c r="M1202" s="19"/>
      <c r="N1202" s="20"/>
      <c r="O1202" s="22">
        <v>1</v>
      </c>
      <c r="P1202" s="23">
        <v>0.13</v>
      </c>
      <c r="Q1202" s="177">
        <v>150</v>
      </c>
      <c r="R1202" s="37">
        <f t="shared" si="7"/>
        <v>19.5</v>
      </c>
    </row>
    <row r="1203" spans="1:18" x14ac:dyDescent="0.2">
      <c r="A1203" s="13"/>
      <c r="B1203" s="18" t="s">
        <v>1174</v>
      </c>
      <c r="C1203" s="19"/>
      <c r="D1203" s="19"/>
      <c r="E1203" s="20"/>
      <c r="F1203" s="22">
        <v>1</v>
      </c>
      <c r="G1203" s="23">
        <v>0.17</v>
      </c>
      <c r="H1203" s="37">
        <v>2450</v>
      </c>
      <c r="I1203" s="37">
        <f>F1203*G1203*H1203</f>
        <v>416.50000000000006</v>
      </c>
      <c r="J1203" s="13"/>
      <c r="K1203" s="18" t="s">
        <v>1283</v>
      </c>
      <c r="L1203" s="19"/>
      <c r="M1203" s="19"/>
      <c r="N1203" s="20"/>
      <c r="O1203" s="22">
        <v>1</v>
      </c>
      <c r="P1203" s="23">
        <v>0.15</v>
      </c>
      <c r="Q1203" s="37">
        <v>172</v>
      </c>
      <c r="R1203" s="37">
        <f t="shared" si="7"/>
        <v>25.8</v>
      </c>
    </row>
    <row r="1204" spans="1:18" x14ac:dyDescent="0.2">
      <c r="A1204" s="13"/>
      <c r="B1204" s="18" t="s">
        <v>92</v>
      </c>
      <c r="C1204" s="19"/>
      <c r="D1204" s="19"/>
      <c r="E1204" s="20"/>
      <c r="F1204" s="22"/>
      <c r="G1204" s="36"/>
      <c r="I1204" s="37">
        <f>I1196*0.1</f>
        <v>21.819220000000001</v>
      </c>
      <c r="J1204" s="13"/>
      <c r="K1204" s="18" t="s">
        <v>1266</v>
      </c>
      <c r="L1204" s="19"/>
      <c r="M1204" s="19"/>
      <c r="N1204" s="20"/>
      <c r="O1204" s="22">
        <v>1</v>
      </c>
      <c r="P1204" s="23">
        <v>0.15</v>
      </c>
      <c r="Q1204" s="37">
        <v>91.25</v>
      </c>
      <c r="R1204" s="37">
        <f t="shared" si="7"/>
        <v>13.6875</v>
      </c>
    </row>
    <row r="1205" spans="1:18" x14ac:dyDescent="0.2">
      <c r="A1205" s="13"/>
      <c r="B1205" s="18"/>
      <c r="C1205" s="19"/>
      <c r="D1205" s="19"/>
      <c r="E1205" s="20"/>
      <c r="F1205" s="22"/>
      <c r="G1205" s="36"/>
      <c r="H1205" s="37"/>
      <c r="I1205" s="37"/>
      <c r="J1205" s="13"/>
      <c r="K1205" s="18" t="s">
        <v>1211</v>
      </c>
      <c r="L1205" s="19"/>
      <c r="M1205" s="19"/>
      <c r="N1205" s="20"/>
      <c r="O1205" s="22">
        <v>1</v>
      </c>
      <c r="P1205" s="23">
        <v>0.01</v>
      </c>
      <c r="Q1205" s="37">
        <v>2450</v>
      </c>
      <c r="R1205" s="37">
        <f t="shared" si="7"/>
        <v>24.5</v>
      </c>
    </row>
    <row r="1206" spans="1:18" x14ac:dyDescent="0.2">
      <c r="A1206" s="13"/>
      <c r="B1206" s="18"/>
      <c r="C1206" s="19"/>
      <c r="D1206" s="19"/>
      <c r="E1206" s="20"/>
      <c r="F1206" s="22"/>
      <c r="G1206" s="36"/>
      <c r="H1206" s="38"/>
      <c r="I1206" s="38"/>
      <c r="J1206" s="13"/>
      <c r="K1206" s="18" t="s">
        <v>1284</v>
      </c>
      <c r="L1206" s="19"/>
      <c r="M1206" s="19"/>
      <c r="N1206" s="20"/>
      <c r="O1206" s="22">
        <v>1</v>
      </c>
      <c r="P1206" s="23">
        <v>0.2</v>
      </c>
      <c r="Q1206" s="37">
        <v>219.75</v>
      </c>
      <c r="R1206" s="37">
        <f t="shared" si="7"/>
        <v>43.95</v>
      </c>
    </row>
    <row r="1207" spans="1:18" x14ac:dyDescent="0.2">
      <c r="A1207" s="13"/>
      <c r="B1207" s="18"/>
      <c r="C1207" s="19"/>
      <c r="D1207" s="19"/>
      <c r="E1207" s="20"/>
      <c r="F1207" s="22"/>
      <c r="G1207" s="36"/>
      <c r="H1207" s="38"/>
      <c r="I1207" s="38"/>
      <c r="J1207" s="13"/>
      <c r="K1207" s="18" t="s">
        <v>563</v>
      </c>
      <c r="L1207" s="66"/>
      <c r="O1207" s="22">
        <v>1</v>
      </c>
      <c r="P1207" s="23">
        <v>0.2</v>
      </c>
      <c r="Q1207" s="37">
        <v>351.5</v>
      </c>
      <c r="R1207" s="37">
        <f t="shared" ref="R1207" si="8">O1207*P1207*Q1207</f>
        <v>70.3</v>
      </c>
    </row>
    <row r="1208" spans="1:18" x14ac:dyDescent="0.2">
      <c r="A1208" s="13"/>
      <c r="B1208" s="18"/>
      <c r="C1208" s="19"/>
      <c r="D1208" s="19"/>
      <c r="E1208" s="20"/>
      <c r="F1208" s="22"/>
      <c r="G1208" s="36"/>
      <c r="H1208" s="38"/>
      <c r="I1208" s="38"/>
      <c r="J1208" s="13"/>
      <c r="K1208" s="18" t="s">
        <v>564</v>
      </c>
      <c r="L1208" s="66"/>
      <c r="M1208" s="19"/>
      <c r="N1208" s="20"/>
      <c r="O1208" s="22">
        <v>1</v>
      </c>
      <c r="P1208" s="23">
        <v>0.13</v>
      </c>
      <c r="Q1208" s="37">
        <v>200</v>
      </c>
      <c r="R1208" s="37">
        <f>P1208*Q1208*O1208</f>
        <v>26</v>
      </c>
    </row>
    <row r="1209" spans="1:18" x14ac:dyDescent="0.2">
      <c r="A1209" s="13"/>
      <c r="B1209" s="18"/>
      <c r="C1209" s="19"/>
      <c r="D1209" s="19"/>
      <c r="E1209" s="20"/>
      <c r="F1209" s="22"/>
      <c r="G1209" s="36"/>
      <c r="H1209" s="38"/>
      <c r="I1209" s="38"/>
      <c r="J1209" s="13"/>
      <c r="K1209" s="18" t="s">
        <v>565</v>
      </c>
      <c r="L1209" s="19"/>
      <c r="M1209" s="19"/>
      <c r="N1209" s="20"/>
      <c r="O1209" s="22">
        <v>2</v>
      </c>
      <c r="P1209" s="23">
        <v>0.01</v>
      </c>
      <c r="Q1209" s="37">
        <v>150</v>
      </c>
      <c r="R1209" s="37">
        <f>P1209*Q1209*O1209</f>
        <v>3</v>
      </c>
    </row>
    <row r="1210" spans="1:18" x14ac:dyDescent="0.2">
      <c r="A1210" s="13"/>
      <c r="B1210" s="18"/>
      <c r="C1210" s="19"/>
      <c r="D1210" s="19"/>
      <c r="E1210" s="20"/>
      <c r="F1210" s="22"/>
      <c r="G1210" s="36"/>
      <c r="H1210" s="37"/>
      <c r="I1210" s="37"/>
      <c r="J1210" s="13"/>
      <c r="K1210" s="18" t="s">
        <v>1285</v>
      </c>
      <c r="L1210" s="19"/>
      <c r="M1210" s="19"/>
      <c r="N1210" s="20"/>
      <c r="O1210" s="22">
        <v>1</v>
      </c>
      <c r="P1210" s="23">
        <v>0.01</v>
      </c>
      <c r="Q1210" s="37">
        <v>965</v>
      </c>
      <c r="R1210" s="37">
        <f>P1210*Q1210*O1210</f>
        <v>9.65</v>
      </c>
    </row>
    <row r="1211" spans="1:18" x14ac:dyDescent="0.2">
      <c r="A1211" s="13"/>
      <c r="B1211" s="18"/>
      <c r="C1211" s="19"/>
      <c r="D1211" s="19"/>
      <c r="E1211" s="20"/>
      <c r="F1211" s="22"/>
      <c r="G1211" s="36"/>
      <c r="H1211" s="37"/>
      <c r="I1211" s="37"/>
      <c r="J1211" s="13"/>
      <c r="K1211" s="18" t="s">
        <v>566</v>
      </c>
      <c r="L1211" s="19"/>
      <c r="M1211" s="19"/>
      <c r="N1211" s="20"/>
      <c r="O1211" s="22">
        <v>1</v>
      </c>
      <c r="P1211" s="23">
        <v>0.01</v>
      </c>
      <c r="Q1211" s="37">
        <v>123</v>
      </c>
      <c r="R1211" s="37">
        <f>O1211*P1211*Q1211</f>
        <v>1.23</v>
      </c>
    </row>
    <row r="1212" spans="1:18" x14ac:dyDescent="0.2">
      <c r="A1212" s="13"/>
      <c r="B1212" s="18"/>
      <c r="C1212" s="19"/>
      <c r="D1212" s="19"/>
      <c r="E1212" s="20"/>
      <c r="F1212" s="22"/>
      <c r="G1212" s="36"/>
      <c r="H1212" s="37"/>
      <c r="I1212" s="37"/>
      <c r="J1212" s="13"/>
      <c r="K1212" s="18" t="s">
        <v>260</v>
      </c>
      <c r="L1212" s="19"/>
      <c r="M1212" s="19"/>
      <c r="N1212" s="20"/>
      <c r="O1212" s="22"/>
      <c r="P1212" s="36"/>
      <c r="R1212" s="37">
        <f>R1196*0.05</f>
        <v>30.215999999999998</v>
      </c>
    </row>
    <row r="1213" spans="1:18" x14ac:dyDescent="0.2">
      <c r="A1213" s="13"/>
      <c r="B1213" s="18"/>
      <c r="C1213" s="19"/>
      <c r="D1213" s="19"/>
      <c r="E1213" s="20"/>
      <c r="F1213" s="22"/>
      <c r="G1213" s="22"/>
      <c r="H1213" s="23"/>
      <c r="I1213" s="23"/>
      <c r="J1213" s="13"/>
      <c r="K1213" s="18"/>
      <c r="L1213" s="19"/>
      <c r="M1213" s="19"/>
      <c r="N1213" s="20"/>
      <c r="O1213" s="22"/>
      <c r="P1213" s="22"/>
      <c r="Q1213" s="23"/>
      <c r="R1213" s="23"/>
    </row>
    <row r="1214" spans="1:18" x14ac:dyDescent="0.2">
      <c r="A1214" s="13"/>
      <c r="B1214" s="248" t="s">
        <v>30</v>
      </c>
      <c r="C1214" s="249"/>
      <c r="D1214" s="249"/>
      <c r="E1214" s="250"/>
      <c r="F1214" s="22"/>
      <c r="G1214" s="22"/>
      <c r="H1214" s="23"/>
      <c r="I1214" s="23">
        <f>SUM(I1201:I1213)</f>
        <v>1281.43622</v>
      </c>
      <c r="J1214" s="13"/>
      <c r="K1214" s="248" t="s">
        <v>30</v>
      </c>
      <c r="L1214" s="249"/>
      <c r="M1214" s="249"/>
      <c r="N1214" s="250"/>
      <c r="O1214" s="22"/>
      <c r="P1214" s="22"/>
      <c r="Q1214" s="23"/>
      <c r="R1214" s="23">
        <f>SUM(R1201:R1213)</f>
        <v>867.21349999999995</v>
      </c>
    </row>
    <row r="1215" spans="1:18" x14ac:dyDescent="0.2">
      <c r="A1215" s="12" t="s">
        <v>31</v>
      </c>
      <c r="B1215" s="260" t="s">
        <v>32</v>
      </c>
      <c r="C1215" s="261"/>
      <c r="D1215" s="261"/>
      <c r="E1215" s="261"/>
      <c r="F1215" s="161"/>
      <c r="G1215" s="161"/>
      <c r="H1215" s="40"/>
      <c r="I1215" s="41">
        <f>SUM(I1214+I1196)</f>
        <v>1499.62842</v>
      </c>
      <c r="J1215" s="12" t="s">
        <v>31</v>
      </c>
      <c r="K1215" s="260" t="s">
        <v>32</v>
      </c>
      <c r="L1215" s="261"/>
      <c r="M1215" s="261"/>
      <c r="N1215" s="261"/>
      <c r="O1215" s="161"/>
      <c r="P1215" s="161"/>
      <c r="Q1215" s="40"/>
      <c r="R1215" s="41">
        <f>SUM(R1214+R1196)</f>
        <v>1471.5335</v>
      </c>
    </row>
    <row r="1216" spans="1:18" x14ac:dyDescent="0.2">
      <c r="A1216" s="13" t="s">
        <v>33</v>
      </c>
      <c r="B1216" s="321">
        <f>E1183</f>
        <v>1</v>
      </c>
      <c r="C1216" s="322"/>
      <c r="D1216" s="322"/>
      <c r="E1216" s="322"/>
      <c r="F1216" s="322"/>
      <c r="G1216" s="322"/>
      <c r="H1216" s="40"/>
      <c r="I1216" s="41"/>
      <c r="J1216" s="13" t="s">
        <v>33</v>
      </c>
      <c r="K1216" s="321">
        <f>N1183</f>
        <v>1.38</v>
      </c>
      <c r="L1216" s="322"/>
      <c r="M1216" s="322"/>
      <c r="N1216" s="322"/>
      <c r="O1216" s="322"/>
      <c r="P1216" s="322"/>
      <c r="Q1216" s="40"/>
      <c r="R1216" s="41"/>
    </row>
    <row r="1217" spans="1:18" x14ac:dyDescent="0.2">
      <c r="A1217" s="13" t="s">
        <v>34</v>
      </c>
      <c r="B1217" s="162" t="s">
        <v>35</v>
      </c>
      <c r="C1217" s="43"/>
      <c r="D1217" s="43"/>
      <c r="E1217" s="161"/>
      <c r="F1217" s="163"/>
      <c r="G1217" s="163"/>
      <c r="H1217" s="40"/>
      <c r="I1217" s="41">
        <f>I1215/E1183</f>
        <v>1499.62842</v>
      </c>
      <c r="J1217" s="13" t="s">
        <v>34</v>
      </c>
      <c r="K1217" s="162" t="s">
        <v>35</v>
      </c>
      <c r="L1217" s="43"/>
      <c r="M1217" s="43"/>
      <c r="N1217" s="161"/>
      <c r="O1217" s="163"/>
      <c r="P1217" s="163"/>
      <c r="Q1217" s="40"/>
      <c r="R1217" s="41">
        <f>R1215/N1183</f>
        <v>1066.3286231884058</v>
      </c>
    </row>
    <row r="1218" spans="1:18" x14ac:dyDescent="0.2">
      <c r="A1218" s="12"/>
      <c r="B1218" s="251" t="s">
        <v>36</v>
      </c>
      <c r="C1218" s="252"/>
      <c r="D1218" s="252"/>
      <c r="E1218" s="253"/>
      <c r="F1218" s="244" t="s">
        <v>37</v>
      </c>
      <c r="G1218" s="244" t="s">
        <v>38</v>
      </c>
      <c r="H1218" s="244" t="s">
        <v>39</v>
      </c>
      <c r="I1218" s="246" t="s">
        <v>15</v>
      </c>
      <c r="J1218" s="12"/>
      <c r="K1218" s="251" t="s">
        <v>36</v>
      </c>
      <c r="L1218" s="252"/>
      <c r="M1218" s="252"/>
      <c r="N1218" s="253"/>
      <c r="O1218" s="244" t="s">
        <v>37</v>
      </c>
      <c r="P1218" s="244" t="s">
        <v>38</v>
      </c>
      <c r="Q1218" s="244" t="s">
        <v>39</v>
      </c>
      <c r="R1218" s="246" t="s">
        <v>15</v>
      </c>
    </row>
    <row r="1219" spans="1:18" x14ac:dyDescent="0.2">
      <c r="A1219" s="13"/>
      <c r="B1219" s="254"/>
      <c r="C1219" s="255"/>
      <c r="D1219" s="255"/>
      <c r="E1219" s="256"/>
      <c r="F1219" s="245"/>
      <c r="G1219" s="245"/>
      <c r="H1219" s="245"/>
      <c r="I1219" s="247"/>
      <c r="J1219" s="13"/>
      <c r="K1219" s="254"/>
      <c r="L1219" s="255"/>
      <c r="M1219" s="255"/>
      <c r="N1219" s="256"/>
      <c r="O1219" s="245"/>
      <c r="P1219" s="245"/>
      <c r="Q1219" s="245"/>
      <c r="R1219" s="247"/>
    </row>
    <row r="1220" spans="1:18" x14ac:dyDescent="0.2">
      <c r="A1220" s="13" t="s">
        <v>40</v>
      </c>
      <c r="B1220" s="18" t="s">
        <v>41</v>
      </c>
      <c r="C1220" s="19"/>
      <c r="D1220" s="19"/>
      <c r="E1220" s="20"/>
      <c r="F1220" s="22"/>
      <c r="G1220" s="22"/>
      <c r="H1220" s="23"/>
      <c r="I1220" s="23"/>
      <c r="J1220" s="13" t="s">
        <v>40</v>
      </c>
      <c r="K1220" s="18" t="s">
        <v>41</v>
      </c>
      <c r="L1220" s="19"/>
      <c r="M1220" s="19"/>
      <c r="N1220" s="20"/>
      <c r="O1220" s="22"/>
      <c r="P1220" s="22"/>
      <c r="Q1220" s="23"/>
      <c r="R1220" s="23"/>
    </row>
    <row r="1221" spans="1:18" x14ac:dyDescent="0.2">
      <c r="A1221" s="13"/>
      <c r="B1221" s="18"/>
      <c r="C1221" s="19"/>
      <c r="D1221" s="19"/>
      <c r="E1221" s="20"/>
      <c r="F1221" s="22"/>
      <c r="G1221" s="22"/>
      <c r="H1221" s="23"/>
      <c r="I1221" s="23"/>
      <c r="J1221" s="13"/>
      <c r="K1221" s="18" t="s">
        <v>1286</v>
      </c>
      <c r="L1221" s="19"/>
      <c r="M1221" s="19"/>
      <c r="N1221" s="20"/>
      <c r="O1221" s="22" t="s">
        <v>77</v>
      </c>
      <c r="P1221" s="62">
        <v>0.71</v>
      </c>
      <c r="Q1221" s="107">
        <v>40</v>
      </c>
      <c r="R1221" s="23">
        <f>P1221*Q1221</f>
        <v>28.4</v>
      </c>
    </row>
    <row r="1222" spans="1:18" x14ac:dyDescent="0.2">
      <c r="A1222" s="13"/>
      <c r="B1222" s="18"/>
      <c r="C1222" s="19"/>
      <c r="D1222" s="19"/>
      <c r="E1222" s="20"/>
      <c r="F1222" s="22"/>
      <c r="G1222" s="62"/>
      <c r="H1222" s="23"/>
      <c r="I1222" s="23"/>
      <c r="J1222" s="13"/>
      <c r="K1222" s="18" t="s">
        <v>702</v>
      </c>
      <c r="L1222" s="19"/>
      <c r="M1222" s="19"/>
      <c r="N1222" s="20"/>
      <c r="O1222" s="22" t="s">
        <v>227</v>
      </c>
      <c r="P1222" s="62">
        <v>41.64</v>
      </c>
      <c r="Q1222" s="107">
        <v>220</v>
      </c>
      <c r="R1222" s="23">
        <f t="shared" ref="R1222:R1225" si="9">P1222*Q1222</f>
        <v>9160.7999999999993</v>
      </c>
    </row>
    <row r="1223" spans="1:18" x14ac:dyDescent="0.2">
      <c r="A1223" s="13"/>
      <c r="B1223" s="18"/>
      <c r="C1223" s="19"/>
      <c r="D1223" s="19"/>
      <c r="E1223" s="20"/>
      <c r="F1223" s="22"/>
      <c r="G1223" s="22"/>
      <c r="H1223" s="23"/>
      <c r="I1223" s="23"/>
      <c r="J1223" s="13"/>
      <c r="K1223" s="18" t="s">
        <v>1287</v>
      </c>
      <c r="L1223" s="19"/>
      <c r="M1223" s="19"/>
      <c r="N1223" s="20"/>
      <c r="O1223" s="22" t="s">
        <v>9</v>
      </c>
      <c r="P1223" s="62">
        <v>1.66</v>
      </c>
      <c r="Q1223" s="107">
        <v>850</v>
      </c>
      <c r="R1223" s="23">
        <f t="shared" si="9"/>
        <v>1411</v>
      </c>
    </row>
    <row r="1224" spans="1:18" x14ac:dyDescent="0.2">
      <c r="A1224" s="13"/>
      <c r="B1224" s="18"/>
      <c r="C1224" s="19"/>
      <c r="D1224" s="19"/>
      <c r="E1224" s="20"/>
      <c r="F1224" s="22"/>
      <c r="G1224" s="22"/>
      <c r="H1224" s="38"/>
      <c r="I1224" s="38"/>
      <c r="J1224" s="13"/>
      <c r="K1224" s="18" t="s">
        <v>374</v>
      </c>
      <c r="L1224" s="19"/>
      <c r="M1224" s="19"/>
      <c r="N1224" s="20"/>
      <c r="O1224" s="22" t="s">
        <v>9</v>
      </c>
      <c r="P1224" s="62">
        <v>0.09</v>
      </c>
      <c r="Q1224" s="107">
        <v>650</v>
      </c>
      <c r="R1224" s="23">
        <f t="shared" si="9"/>
        <v>58.5</v>
      </c>
    </row>
    <row r="1225" spans="1:18" x14ac:dyDescent="0.2">
      <c r="A1225" s="13"/>
      <c r="B1225" s="18"/>
      <c r="C1225" s="19"/>
      <c r="D1225" s="19"/>
      <c r="E1225" s="20"/>
      <c r="F1225" s="22"/>
      <c r="G1225" s="22"/>
      <c r="H1225" s="38"/>
      <c r="I1225" s="38"/>
      <c r="J1225" s="13"/>
      <c r="K1225" s="18" t="s">
        <v>375</v>
      </c>
      <c r="L1225" s="19"/>
      <c r="M1225" s="19"/>
      <c r="N1225" s="20"/>
      <c r="O1225" s="22" t="s">
        <v>80</v>
      </c>
      <c r="P1225" s="62">
        <v>0.18</v>
      </c>
      <c r="Q1225" s="107">
        <v>700</v>
      </c>
      <c r="R1225" s="23">
        <f t="shared" si="9"/>
        <v>126</v>
      </c>
    </row>
    <row r="1226" spans="1:18" x14ac:dyDescent="0.2">
      <c r="A1226" s="13"/>
      <c r="B1226" s="18"/>
      <c r="C1226" s="19"/>
      <c r="D1226" s="19"/>
      <c r="E1226" s="20"/>
      <c r="F1226" s="22"/>
      <c r="G1226" s="22"/>
      <c r="H1226" s="45"/>
      <c r="I1226" s="45"/>
      <c r="J1226" s="13"/>
      <c r="K1226" s="18" t="s">
        <v>1288</v>
      </c>
      <c r="L1226" s="19"/>
      <c r="M1226" s="19"/>
      <c r="N1226" s="20"/>
      <c r="O1226" s="22" t="s">
        <v>80</v>
      </c>
      <c r="P1226" s="62">
        <v>0.24</v>
      </c>
      <c r="Q1226" s="107">
        <v>700</v>
      </c>
      <c r="R1226" s="23">
        <f>P1226*Q1226/4</f>
        <v>42</v>
      </c>
    </row>
    <row r="1227" spans="1:18" x14ac:dyDescent="0.2">
      <c r="A1227" s="13"/>
      <c r="B1227" s="18"/>
      <c r="C1227" s="19"/>
      <c r="D1227" s="19"/>
      <c r="E1227" s="20"/>
      <c r="F1227" s="22"/>
      <c r="G1227" s="22"/>
      <c r="H1227" s="45"/>
      <c r="I1227" s="45"/>
      <c r="J1227" s="13"/>
      <c r="K1227" s="18" t="s">
        <v>1289</v>
      </c>
      <c r="L1227" s="19"/>
      <c r="M1227" s="19"/>
      <c r="N1227" s="20"/>
      <c r="O1227" s="22" t="s">
        <v>413</v>
      </c>
      <c r="P1227" s="62">
        <v>18.59</v>
      </c>
      <c r="Q1227" s="107">
        <v>40</v>
      </c>
      <c r="R1227" s="23">
        <f>P1227*Q1227/4</f>
        <v>185.9</v>
      </c>
    </row>
    <row r="1228" spans="1:18" x14ac:dyDescent="0.2">
      <c r="A1228" s="13"/>
      <c r="B1228" s="18"/>
      <c r="C1228" s="19"/>
      <c r="D1228" s="19"/>
      <c r="E1228" s="20"/>
      <c r="F1228" s="22"/>
      <c r="G1228" s="22"/>
      <c r="H1228" s="23"/>
      <c r="I1228" s="23"/>
      <c r="J1228" s="13"/>
      <c r="K1228" s="18" t="s">
        <v>271</v>
      </c>
      <c r="L1228" s="19"/>
      <c r="M1228" s="19"/>
      <c r="N1228" s="20"/>
      <c r="O1228" s="23" t="s">
        <v>77</v>
      </c>
      <c r="P1228" s="62">
        <v>0.83</v>
      </c>
      <c r="Q1228" s="107">
        <v>47</v>
      </c>
      <c r="R1228" s="23">
        <f t="shared" ref="R1228:R1229" si="10">P1228*Q1228</f>
        <v>39.01</v>
      </c>
    </row>
    <row r="1229" spans="1:18" x14ac:dyDescent="0.2">
      <c r="A1229" s="13"/>
      <c r="B1229" s="18"/>
      <c r="C1229" s="19"/>
      <c r="D1229" s="19"/>
      <c r="E1229" s="20"/>
      <c r="F1229" s="22"/>
      <c r="G1229" s="22"/>
      <c r="H1229" s="23"/>
      <c r="I1229" s="23"/>
      <c r="J1229" s="13"/>
      <c r="K1229" s="18" t="s">
        <v>1290</v>
      </c>
      <c r="L1229" s="19"/>
      <c r="M1229" s="19"/>
      <c r="N1229" s="20"/>
      <c r="O1229" s="22" t="s">
        <v>77</v>
      </c>
      <c r="P1229" s="62">
        <v>0.06</v>
      </c>
      <c r="Q1229" s="107">
        <v>68</v>
      </c>
      <c r="R1229" s="23">
        <f t="shared" si="10"/>
        <v>4.08</v>
      </c>
    </row>
    <row r="1230" spans="1:18" x14ac:dyDescent="0.2">
      <c r="A1230" s="13"/>
      <c r="B1230" s="18"/>
      <c r="C1230" s="19"/>
      <c r="D1230" s="19"/>
      <c r="E1230" s="20"/>
      <c r="F1230" s="22"/>
      <c r="G1230" s="22"/>
      <c r="H1230" s="23"/>
      <c r="I1230" s="23"/>
      <c r="J1230" s="13"/>
      <c r="K1230" s="18" t="s">
        <v>569</v>
      </c>
      <c r="L1230" s="19"/>
      <c r="M1230" s="19"/>
      <c r="N1230" s="20"/>
      <c r="O1230" s="22" t="s">
        <v>77</v>
      </c>
      <c r="P1230" s="62">
        <v>0.19</v>
      </c>
      <c r="Q1230" s="107">
        <v>68</v>
      </c>
      <c r="R1230" s="23">
        <f t="shared" ref="R1230" si="11">P1230*Q1230</f>
        <v>12.92</v>
      </c>
    </row>
    <row r="1231" spans="1:18" x14ac:dyDescent="0.2">
      <c r="A1231" s="13"/>
      <c r="B1231" s="18"/>
      <c r="C1231" s="19"/>
      <c r="D1231" s="19"/>
      <c r="E1231" s="20"/>
      <c r="F1231" s="22"/>
      <c r="G1231" s="22"/>
      <c r="H1231" s="23"/>
      <c r="I1231" s="23"/>
      <c r="J1231" s="13"/>
      <c r="K1231" s="178" t="s">
        <v>570</v>
      </c>
      <c r="L1231" s="19"/>
      <c r="M1231" s="19"/>
      <c r="N1231" s="20"/>
      <c r="O1231" s="179"/>
      <c r="P1231" s="179"/>
      <c r="Q1231" s="166"/>
      <c r="R1231" s="180"/>
    </row>
    <row r="1232" spans="1:18" x14ac:dyDescent="0.2">
      <c r="A1232" s="13"/>
      <c r="B1232" s="18"/>
      <c r="C1232" s="19"/>
      <c r="D1232" s="19"/>
      <c r="E1232" s="20"/>
      <c r="F1232" s="22"/>
      <c r="G1232" s="22"/>
      <c r="H1232" s="23"/>
      <c r="I1232" s="23"/>
      <c r="J1232" s="13"/>
      <c r="K1232" s="178" t="s">
        <v>571</v>
      </c>
      <c r="L1232" s="19"/>
      <c r="M1232" s="19"/>
      <c r="N1232" s="20"/>
      <c r="O1232" s="179" t="s">
        <v>224</v>
      </c>
      <c r="P1232" s="235">
        <f>ROUND(0.36/12,3)</f>
        <v>0.03</v>
      </c>
      <c r="Q1232" s="166">
        <v>2840</v>
      </c>
      <c r="R1232" s="180">
        <f>P1232*Q1232</f>
        <v>85.2</v>
      </c>
    </row>
    <row r="1233" spans="1:18" x14ac:dyDescent="0.2">
      <c r="A1233" s="13"/>
      <c r="B1233" s="18"/>
      <c r="C1233" s="19"/>
      <c r="D1233" s="19"/>
      <c r="E1233" s="20"/>
      <c r="F1233" s="22"/>
      <c r="G1233" s="22"/>
      <c r="H1233" s="23"/>
      <c r="I1233" s="23"/>
      <c r="J1233" s="13"/>
      <c r="K1233" s="178" t="s">
        <v>572</v>
      </c>
      <c r="L1233" s="19"/>
      <c r="M1233" s="19"/>
      <c r="N1233" s="20"/>
      <c r="O1233" s="179" t="s">
        <v>413</v>
      </c>
      <c r="P1233" s="235">
        <f>ROUND(18/12,3)</f>
        <v>1.5</v>
      </c>
      <c r="Q1233" s="166">
        <v>20</v>
      </c>
      <c r="R1233" s="180">
        <f>(P1233*Q1233)/4</f>
        <v>7.5</v>
      </c>
    </row>
    <row r="1234" spans="1:18" x14ac:dyDescent="0.2">
      <c r="A1234" s="13"/>
      <c r="B1234" s="18"/>
      <c r="C1234" s="19"/>
      <c r="D1234" s="19"/>
      <c r="E1234" s="20"/>
      <c r="F1234" s="22"/>
      <c r="G1234" s="36"/>
      <c r="H1234" s="37"/>
      <c r="I1234" s="37"/>
      <c r="J1234" s="13"/>
      <c r="K1234" s="178" t="s">
        <v>573</v>
      </c>
      <c r="L1234" s="19"/>
      <c r="M1234" s="19"/>
      <c r="N1234" s="20"/>
      <c r="O1234" s="179" t="s">
        <v>224</v>
      </c>
      <c r="P1234" s="235">
        <f>ROUND(0.36/12,3)</f>
        <v>0.03</v>
      </c>
      <c r="Q1234" s="167">
        <v>530</v>
      </c>
      <c r="R1234" s="180">
        <f>P1234*Q1234</f>
        <v>15.899999999999999</v>
      </c>
    </row>
    <row r="1235" spans="1:18" x14ac:dyDescent="0.2">
      <c r="A1235" s="13"/>
      <c r="B1235" s="248" t="s">
        <v>42</v>
      </c>
      <c r="C1235" s="249"/>
      <c r="D1235" s="249"/>
      <c r="E1235" s="250"/>
      <c r="F1235" s="46"/>
      <c r="G1235" s="46"/>
      <c r="H1235" s="47"/>
      <c r="I1235" s="47">
        <f>SUM(I1222:I1234)</f>
        <v>0</v>
      </c>
      <c r="J1235" s="13"/>
      <c r="K1235" s="248" t="s">
        <v>42</v>
      </c>
      <c r="L1235" s="249"/>
      <c r="M1235" s="249"/>
      <c r="N1235" s="250"/>
      <c r="O1235" s="46"/>
      <c r="P1235" s="46"/>
      <c r="Q1235" s="47"/>
      <c r="R1235" s="47">
        <f>SUM(R1221:R1233)</f>
        <v>11161.31</v>
      </c>
    </row>
    <row r="1236" spans="1:18" x14ac:dyDescent="0.2">
      <c r="A1236" s="12" t="s">
        <v>43</v>
      </c>
      <c r="B1236" s="48" t="s">
        <v>44</v>
      </c>
      <c r="C1236" s="43"/>
      <c r="D1236" s="43"/>
      <c r="E1236" s="161"/>
      <c r="F1236" s="49"/>
      <c r="G1236" s="49"/>
      <c r="H1236" s="50"/>
      <c r="I1236" s="51">
        <f>SUM(I1217+I1235)</f>
        <v>1499.62842</v>
      </c>
      <c r="J1236" s="12" t="s">
        <v>43</v>
      </c>
      <c r="K1236" s="48" t="s">
        <v>44</v>
      </c>
      <c r="L1236" s="43"/>
      <c r="M1236" s="43"/>
      <c r="N1236" s="161"/>
      <c r="O1236" s="49"/>
      <c r="P1236" s="49"/>
      <c r="Q1236" s="50"/>
      <c r="R1236" s="51">
        <f>SUM(R1217+R1235)</f>
        <v>12227.638623188406</v>
      </c>
    </row>
    <row r="1237" spans="1:18" x14ac:dyDescent="0.2">
      <c r="A1237" s="13" t="s">
        <v>45</v>
      </c>
      <c r="B1237" s="48" t="s">
        <v>46</v>
      </c>
      <c r="C1237" s="43"/>
      <c r="D1237" s="43"/>
      <c r="E1237" s="161"/>
      <c r="F1237" s="49"/>
      <c r="G1237" s="52">
        <v>0.09</v>
      </c>
      <c r="H1237" s="53" t="s">
        <v>47</v>
      </c>
      <c r="I1237" s="51">
        <f>G1237*I1236</f>
        <v>134.9665578</v>
      </c>
      <c r="J1237" s="13" t="s">
        <v>45</v>
      </c>
      <c r="K1237" s="48" t="s">
        <v>46</v>
      </c>
      <c r="L1237" s="43"/>
      <c r="M1237" s="43"/>
      <c r="N1237" s="161"/>
      <c r="O1237" s="49"/>
      <c r="P1237" s="52">
        <v>0.09</v>
      </c>
      <c r="Q1237" s="53" t="s">
        <v>47</v>
      </c>
      <c r="R1237" s="51">
        <f>P1237*R1236</f>
        <v>1100.4874760869566</v>
      </c>
    </row>
    <row r="1238" spans="1:18" x14ac:dyDescent="0.2">
      <c r="A1238" s="13" t="s">
        <v>48</v>
      </c>
      <c r="B1238" s="48" t="s">
        <v>49</v>
      </c>
      <c r="C1238" s="43"/>
      <c r="D1238" s="43"/>
      <c r="E1238" s="161"/>
      <c r="F1238" s="49"/>
      <c r="G1238" s="52">
        <v>0.08</v>
      </c>
      <c r="H1238" s="53" t="s">
        <v>47</v>
      </c>
      <c r="I1238" s="51">
        <f>G1238*I1236</f>
        <v>119.9702736</v>
      </c>
      <c r="J1238" s="13" t="s">
        <v>48</v>
      </c>
      <c r="K1238" s="48" t="s">
        <v>49</v>
      </c>
      <c r="L1238" s="43"/>
      <c r="M1238" s="43"/>
      <c r="N1238" s="161"/>
      <c r="O1238" s="49"/>
      <c r="P1238" s="52">
        <v>0.08</v>
      </c>
      <c r="Q1238" s="53" t="s">
        <v>47</v>
      </c>
      <c r="R1238" s="51">
        <f>P1238*R1236</f>
        <v>978.21108985507249</v>
      </c>
    </row>
    <row r="1239" spans="1:18" x14ac:dyDescent="0.2">
      <c r="A1239" s="13" t="s">
        <v>50</v>
      </c>
      <c r="B1239" s="48" t="s">
        <v>51</v>
      </c>
      <c r="C1239" s="43"/>
      <c r="D1239" s="43"/>
      <c r="E1239" s="161"/>
      <c r="F1239" s="49"/>
      <c r="G1239" s="52">
        <v>0.05</v>
      </c>
      <c r="H1239" s="53" t="s">
        <v>52</v>
      </c>
      <c r="I1239" s="51">
        <f>G1239*(I1236+I1237+I1238)</f>
        <v>87.728262569999998</v>
      </c>
      <c r="J1239" s="13" t="s">
        <v>50</v>
      </c>
      <c r="K1239" s="48" t="s">
        <v>51</v>
      </c>
      <c r="L1239" s="43"/>
      <c r="M1239" s="43"/>
      <c r="N1239" s="161"/>
      <c r="O1239" s="49"/>
      <c r="P1239" s="52">
        <v>0.05</v>
      </c>
      <c r="Q1239" s="53" t="s">
        <v>52</v>
      </c>
      <c r="R1239" s="51">
        <f>P1239*(R1236+R1237+R1238)</f>
        <v>715.3168594565218</v>
      </c>
    </row>
    <row r="1240" spans="1:18" x14ac:dyDescent="0.2">
      <c r="A1240" s="54" t="s">
        <v>53</v>
      </c>
      <c r="B1240" s="48" t="s">
        <v>54</v>
      </c>
      <c r="C1240" s="43"/>
      <c r="D1240" s="43"/>
      <c r="E1240" s="161"/>
      <c r="F1240" s="49"/>
      <c r="G1240" s="49"/>
      <c r="H1240" s="55" t="s">
        <v>55</v>
      </c>
      <c r="I1240" s="51">
        <f>SUM(I1236+I1237+I1238+I1239)</f>
        <v>1842.2935139699998</v>
      </c>
      <c r="J1240" s="54" t="s">
        <v>53</v>
      </c>
      <c r="K1240" s="48" t="s">
        <v>54</v>
      </c>
      <c r="L1240" s="43"/>
      <c r="M1240" s="43"/>
      <c r="N1240" s="161"/>
      <c r="O1240" s="49"/>
      <c r="P1240" s="49"/>
      <c r="Q1240" s="55" t="s">
        <v>55</v>
      </c>
      <c r="R1240" s="51">
        <f>SUM(R1236+R1237+R1238+R1239)</f>
        <v>15021.654048586957</v>
      </c>
    </row>
    <row r="1241" spans="1:18" s="1" customFormat="1" x14ac:dyDescent="0.2">
      <c r="A1241" s="236" t="s">
        <v>0</v>
      </c>
      <c r="B1241" s="236"/>
      <c r="C1241" s="236"/>
      <c r="D1241" s="236"/>
      <c r="E1241" s="236"/>
      <c r="F1241" s="236"/>
      <c r="G1241" s="236"/>
      <c r="H1241" s="236"/>
      <c r="I1241" s="236"/>
      <c r="J1241" s="236" t="s">
        <v>0</v>
      </c>
      <c r="K1241" s="236"/>
      <c r="L1241" s="236"/>
      <c r="M1241" s="236"/>
      <c r="N1241" s="236"/>
      <c r="O1241" s="236"/>
      <c r="P1241" s="236"/>
      <c r="Q1241" s="236"/>
      <c r="R1241" s="236"/>
    </row>
    <row r="1243" spans="1:18" x14ac:dyDescent="0.2">
      <c r="A1243" s="158" t="s">
        <v>1</v>
      </c>
      <c r="C1243" s="4" t="s">
        <v>2</v>
      </c>
      <c r="D1243" s="5" t="s">
        <v>559</v>
      </c>
      <c r="E1243" s="158" t="s">
        <v>560</v>
      </c>
      <c r="F1243" s="158"/>
      <c r="G1243" s="158"/>
      <c r="H1243" s="158"/>
      <c r="J1243" s="158" t="s">
        <v>1</v>
      </c>
      <c r="L1243" s="4" t="s">
        <v>2</v>
      </c>
      <c r="M1243" s="5" t="s">
        <v>576</v>
      </c>
      <c r="N1243" s="237" t="s">
        <v>577</v>
      </c>
      <c r="O1243" s="237"/>
      <c r="P1243" s="237"/>
      <c r="Q1243" s="237"/>
    </row>
    <row r="1244" spans="1:18" x14ac:dyDescent="0.2">
      <c r="A1244" s="158" t="s">
        <v>7</v>
      </c>
      <c r="C1244" s="4" t="s">
        <v>2</v>
      </c>
      <c r="E1244" s="158" t="s">
        <v>1153</v>
      </c>
      <c r="F1244" s="8"/>
      <c r="G1244" s="8"/>
      <c r="H1244" s="8"/>
      <c r="J1244" s="158" t="s">
        <v>7</v>
      </c>
      <c r="L1244" s="4" t="s">
        <v>2</v>
      </c>
      <c r="N1244" s="158" t="s">
        <v>9</v>
      </c>
      <c r="O1244" s="8"/>
      <c r="P1244" s="8"/>
      <c r="Q1244" s="8"/>
    </row>
    <row r="1245" spans="1:18" x14ac:dyDescent="0.2">
      <c r="A1245" s="158" t="s">
        <v>10</v>
      </c>
      <c r="C1245" s="4" t="s">
        <v>2</v>
      </c>
      <c r="E1245" s="9">
        <v>1</v>
      </c>
      <c r="F1245" s="8"/>
      <c r="G1245" s="8"/>
      <c r="H1245" s="8"/>
      <c r="J1245" s="158" t="s">
        <v>10</v>
      </c>
      <c r="L1245" s="4" t="s">
        <v>2</v>
      </c>
      <c r="N1245" s="9">
        <v>1.25</v>
      </c>
      <c r="O1245" s="8"/>
      <c r="P1245" s="8"/>
      <c r="Q1245" s="8"/>
    </row>
    <row r="1246" spans="1:18" x14ac:dyDescent="0.2">
      <c r="B1246" s="8"/>
      <c r="F1246" s="11"/>
      <c r="G1246" s="8"/>
      <c r="H1246" s="8"/>
      <c r="I1246" s="8"/>
      <c r="K1246" s="8"/>
      <c r="O1246" s="11"/>
      <c r="P1246" s="8"/>
      <c r="Q1246" s="8"/>
      <c r="R1246" s="8"/>
    </row>
    <row r="1247" spans="1:18" x14ac:dyDescent="0.2">
      <c r="A1247" s="12"/>
      <c r="B1247" s="238" t="s">
        <v>11</v>
      </c>
      <c r="C1247" s="239"/>
      <c r="D1247" s="239"/>
      <c r="E1247" s="240"/>
      <c r="F1247" s="244" t="s">
        <v>12</v>
      </c>
      <c r="G1247" s="244" t="s">
        <v>13</v>
      </c>
      <c r="H1247" s="244" t="s">
        <v>14</v>
      </c>
      <c r="I1247" s="246" t="s">
        <v>15</v>
      </c>
      <c r="J1247" s="12"/>
      <c r="K1247" s="238" t="s">
        <v>11</v>
      </c>
      <c r="L1247" s="239"/>
      <c r="M1247" s="239"/>
      <c r="N1247" s="240"/>
      <c r="O1247" s="244" t="s">
        <v>12</v>
      </c>
      <c r="P1247" s="244" t="s">
        <v>13</v>
      </c>
      <c r="Q1247" s="244" t="s">
        <v>14</v>
      </c>
      <c r="R1247" s="246" t="s">
        <v>15</v>
      </c>
    </row>
    <row r="1248" spans="1:18" x14ac:dyDescent="0.2">
      <c r="A1248" s="13"/>
      <c r="B1248" s="241"/>
      <c r="C1248" s="242"/>
      <c r="D1248" s="242"/>
      <c r="E1248" s="243"/>
      <c r="F1248" s="245"/>
      <c r="G1248" s="245"/>
      <c r="H1248" s="245"/>
      <c r="I1248" s="247"/>
      <c r="J1248" s="13"/>
      <c r="K1248" s="241"/>
      <c r="L1248" s="242"/>
      <c r="M1248" s="242"/>
      <c r="N1248" s="243"/>
      <c r="O1248" s="245"/>
      <c r="P1248" s="245"/>
      <c r="Q1248" s="245"/>
      <c r="R1248" s="247"/>
    </row>
    <row r="1249" spans="1:18" x14ac:dyDescent="0.2">
      <c r="A1249" s="13" t="s">
        <v>16</v>
      </c>
      <c r="B1249" s="14" t="s">
        <v>17</v>
      </c>
      <c r="C1249" s="15"/>
      <c r="D1249" s="15"/>
      <c r="E1249" s="16"/>
      <c r="F1249" s="17"/>
      <c r="G1249" s="17"/>
      <c r="H1249" s="17"/>
      <c r="I1249" s="17"/>
      <c r="J1249" s="13" t="s">
        <v>16</v>
      </c>
      <c r="K1249" s="14" t="s">
        <v>17</v>
      </c>
      <c r="L1249" s="15"/>
      <c r="M1249" s="15"/>
      <c r="N1249" s="16"/>
      <c r="O1249" s="17"/>
      <c r="P1249" s="17"/>
      <c r="Q1249" s="17"/>
      <c r="R1249" s="17"/>
    </row>
    <row r="1250" spans="1:18" x14ac:dyDescent="0.2">
      <c r="A1250" s="13"/>
      <c r="B1250" s="18"/>
      <c r="C1250" s="19"/>
      <c r="D1250" s="19"/>
      <c r="E1250" s="20"/>
      <c r="F1250" s="21"/>
      <c r="G1250" s="22"/>
      <c r="H1250" s="21"/>
      <c r="I1250" s="21"/>
      <c r="J1250" s="13"/>
      <c r="K1250" s="18"/>
      <c r="L1250" s="19"/>
      <c r="M1250" s="19"/>
      <c r="N1250" s="20"/>
      <c r="O1250" s="21"/>
      <c r="P1250" s="22"/>
      <c r="Q1250" s="21"/>
      <c r="R1250" s="21"/>
    </row>
    <row r="1251" spans="1:18" x14ac:dyDescent="0.2">
      <c r="A1251" s="13"/>
      <c r="B1251" s="24" t="s">
        <v>18</v>
      </c>
      <c r="C1251" s="25"/>
      <c r="D1251" s="25"/>
      <c r="E1251" s="26"/>
      <c r="F1251" s="22">
        <v>1</v>
      </c>
      <c r="G1251" s="23">
        <v>0.67</v>
      </c>
      <c r="H1251" s="23">
        <v>69.42</v>
      </c>
      <c r="I1251" s="23">
        <f>G1251*H1251*F1251</f>
        <v>46.511400000000002</v>
      </c>
      <c r="J1251" s="13"/>
      <c r="K1251" s="24" t="s">
        <v>18</v>
      </c>
      <c r="L1251" s="25"/>
      <c r="M1251" s="25"/>
      <c r="N1251" s="26"/>
      <c r="O1251" s="22">
        <v>1</v>
      </c>
      <c r="P1251" s="23">
        <v>1</v>
      </c>
      <c r="Q1251" s="23">
        <v>69.42</v>
      </c>
      <c r="R1251" s="23">
        <f>P1251*Q1251*O1251</f>
        <v>69.42</v>
      </c>
    </row>
    <row r="1252" spans="1:18" x14ac:dyDescent="0.2">
      <c r="A1252" s="13"/>
      <c r="B1252" s="257" t="s">
        <v>1178</v>
      </c>
      <c r="C1252" s="258"/>
      <c r="D1252" s="25"/>
      <c r="E1252" s="26"/>
      <c r="F1252" s="22">
        <v>2</v>
      </c>
      <c r="G1252" s="23">
        <v>0.67</v>
      </c>
      <c r="H1252" s="23">
        <v>50.18</v>
      </c>
      <c r="I1252" s="23">
        <f>G1252*H1252*F1252</f>
        <v>67.241200000000006</v>
      </c>
      <c r="J1252" s="13"/>
      <c r="K1252" s="257" t="s">
        <v>1179</v>
      </c>
      <c r="L1252" s="258"/>
      <c r="M1252" s="19"/>
      <c r="N1252" s="20"/>
      <c r="O1252" s="22">
        <v>4</v>
      </c>
      <c r="P1252" s="23">
        <v>1</v>
      </c>
      <c r="Q1252" s="23">
        <v>38.97</v>
      </c>
      <c r="R1252" s="23">
        <f>P1252*Q1252*O1252</f>
        <v>155.88</v>
      </c>
    </row>
    <row r="1253" spans="1:18" x14ac:dyDescent="0.2">
      <c r="A1253" s="13"/>
      <c r="B1253" s="257" t="s">
        <v>1177</v>
      </c>
      <c r="C1253" s="258"/>
      <c r="D1253" s="19"/>
      <c r="E1253" s="20"/>
      <c r="F1253" s="22">
        <v>4</v>
      </c>
      <c r="G1253" s="23">
        <v>0.67</v>
      </c>
      <c r="H1253" s="23">
        <v>38.97</v>
      </c>
      <c r="I1253" s="23">
        <f>G1253*H1253*F1253</f>
        <v>104.4396</v>
      </c>
      <c r="J1253" s="13"/>
      <c r="K1253" s="257"/>
      <c r="L1253" s="258"/>
      <c r="M1253" s="19"/>
      <c r="N1253" s="20"/>
      <c r="O1253" s="22"/>
      <c r="P1253" s="22"/>
      <c r="Q1253" s="23"/>
      <c r="R1253" s="23"/>
    </row>
    <row r="1254" spans="1:18" x14ac:dyDescent="0.2">
      <c r="A1254" s="13"/>
      <c r="B1254" s="159"/>
      <c r="C1254" s="19"/>
      <c r="D1254" s="19"/>
      <c r="E1254" s="20"/>
      <c r="F1254" s="22"/>
      <c r="G1254" s="22"/>
      <c r="H1254" s="29"/>
      <c r="I1254" s="30"/>
      <c r="J1254" s="13"/>
      <c r="K1254" s="159"/>
      <c r="L1254" s="19"/>
      <c r="M1254" s="19"/>
      <c r="N1254" s="20"/>
      <c r="O1254" s="22"/>
      <c r="P1254" s="22"/>
      <c r="Q1254" s="29"/>
      <c r="R1254" s="30"/>
    </row>
    <row r="1255" spans="1:18" x14ac:dyDescent="0.2">
      <c r="A1255" s="13"/>
      <c r="B1255" s="159"/>
      <c r="C1255" s="19"/>
      <c r="D1255" s="19"/>
      <c r="E1255" s="20"/>
      <c r="F1255" s="22"/>
      <c r="G1255" s="22"/>
      <c r="H1255" s="29"/>
      <c r="I1255" s="30"/>
      <c r="J1255" s="13"/>
      <c r="K1255" s="159"/>
      <c r="L1255" s="19"/>
      <c r="M1255" s="19"/>
      <c r="N1255" s="20"/>
      <c r="O1255" s="22"/>
      <c r="P1255" s="22"/>
      <c r="Q1255" s="29"/>
      <c r="R1255" s="30"/>
    </row>
    <row r="1256" spans="1:18" x14ac:dyDescent="0.2">
      <c r="A1256" s="13"/>
      <c r="B1256" s="18"/>
      <c r="C1256" s="19"/>
      <c r="D1256" s="19"/>
      <c r="E1256" s="20"/>
      <c r="F1256" s="22"/>
      <c r="G1256" s="22"/>
      <c r="H1256" s="28"/>
      <c r="I1256" s="23"/>
      <c r="J1256" s="13"/>
      <c r="K1256" s="18"/>
      <c r="L1256" s="19"/>
      <c r="M1256" s="19"/>
      <c r="N1256" s="20"/>
      <c r="O1256" s="22"/>
      <c r="P1256" s="22"/>
      <c r="Q1256" s="28"/>
      <c r="R1256" s="23"/>
    </row>
    <row r="1257" spans="1:18" x14ac:dyDescent="0.2">
      <c r="A1257" s="13"/>
      <c r="B1257" s="18"/>
      <c r="C1257" s="19"/>
      <c r="D1257" s="19"/>
      <c r="E1257" s="20"/>
      <c r="F1257" s="22"/>
      <c r="G1257" s="22"/>
      <c r="H1257" s="23"/>
      <c r="I1257" s="23"/>
      <c r="J1257" s="13"/>
      <c r="K1257" s="18"/>
      <c r="L1257" s="19"/>
      <c r="M1257" s="19"/>
      <c r="N1257" s="20"/>
      <c r="O1257" s="22"/>
      <c r="P1257" s="22"/>
      <c r="Q1257" s="23"/>
      <c r="R1257" s="23"/>
    </row>
    <row r="1258" spans="1:18" x14ac:dyDescent="0.2">
      <c r="A1258" s="13"/>
      <c r="B1258" s="248" t="s">
        <v>20</v>
      </c>
      <c r="C1258" s="249"/>
      <c r="D1258" s="249"/>
      <c r="E1258" s="250"/>
      <c r="F1258" s="31"/>
      <c r="G1258" s="31"/>
      <c r="H1258" s="32"/>
      <c r="I1258" s="32">
        <f>SUM(I1251:I1257)</f>
        <v>218.19220000000001</v>
      </c>
      <c r="J1258" s="13"/>
      <c r="K1258" s="248" t="s">
        <v>20</v>
      </c>
      <c r="L1258" s="249"/>
      <c r="M1258" s="249"/>
      <c r="N1258" s="250"/>
      <c r="O1258" s="31"/>
      <c r="P1258" s="31"/>
      <c r="Q1258" s="32"/>
      <c r="R1258" s="32">
        <f>SUM(R1251:R1257)</f>
        <v>225.3</v>
      </c>
    </row>
    <row r="1259" spans="1:18" x14ac:dyDescent="0.2">
      <c r="A1259" s="12"/>
      <c r="B1259" s="251" t="s">
        <v>21</v>
      </c>
      <c r="C1259" s="252"/>
      <c r="D1259" s="252"/>
      <c r="E1259" s="253"/>
      <c r="F1259" s="244" t="s">
        <v>22</v>
      </c>
      <c r="G1259" s="244" t="s">
        <v>13</v>
      </c>
      <c r="H1259" s="244" t="s">
        <v>14</v>
      </c>
      <c r="I1259" s="246" t="s">
        <v>15</v>
      </c>
      <c r="J1259" s="12"/>
      <c r="K1259" s="251" t="s">
        <v>21</v>
      </c>
      <c r="L1259" s="252"/>
      <c r="M1259" s="252"/>
      <c r="N1259" s="253"/>
      <c r="O1259" s="244" t="s">
        <v>22</v>
      </c>
      <c r="P1259" s="244" t="s">
        <v>13</v>
      </c>
      <c r="Q1259" s="244" t="s">
        <v>14</v>
      </c>
      <c r="R1259" s="246" t="s">
        <v>15</v>
      </c>
    </row>
    <row r="1260" spans="1:18" x14ac:dyDescent="0.2">
      <c r="A1260" s="13"/>
      <c r="B1260" s="254"/>
      <c r="C1260" s="255"/>
      <c r="D1260" s="255"/>
      <c r="E1260" s="256"/>
      <c r="F1260" s="245"/>
      <c r="G1260" s="245"/>
      <c r="H1260" s="245"/>
      <c r="I1260" s="247"/>
      <c r="J1260" s="13"/>
      <c r="K1260" s="254"/>
      <c r="L1260" s="255"/>
      <c r="M1260" s="255"/>
      <c r="N1260" s="256"/>
      <c r="O1260" s="245"/>
      <c r="P1260" s="245"/>
      <c r="Q1260" s="245"/>
      <c r="R1260" s="247"/>
    </row>
    <row r="1261" spans="1:18" x14ac:dyDescent="0.2">
      <c r="A1261" s="13" t="s">
        <v>23</v>
      </c>
      <c r="B1261" s="33" t="s">
        <v>24</v>
      </c>
      <c r="C1261" s="15"/>
      <c r="D1261" s="15"/>
      <c r="E1261" s="16"/>
      <c r="F1261" s="34"/>
      <c r="G1261" s="34"/>
      <c r="H1261" s="35"/>
      <c r="I1261" s="35"/>
      <c r="J1261" s="13" t="s">
        <v>23</v>
      </c>
      <c r="K1261" s="33" t="s">
        <v>24</v>
      </c>
      <c r="L1261" s="15"/>
      <c r="M1261" s="15"/>
      <c r="N1261" s="16"/>
      <c r="O1261" s="34"/>
      <c r="P1261" s="34"/>
      <c r="Q1261" s="35"/>
      <c r="R1261" s="35"/>
    </row>
    <row r="1262" spans="1:18" x14ac:dyDescent="0.2">
      <c r="A1262" s="13"/>
      <c r="B1262" s="18"/>
      <c r="C1262" s="19"/>
      <c r="D1262" s="19"/>
      <c r="E1262" s="20"/>
      <c r="F1262" s="22"/>
      <c r="G1262" s="22"/>
      <c r="H1262" s="23"/>
      <c r="I1262" s="23"/>
      <c r="J1262" s="13"/>
      <c r="K1262" s="18"/>
      <c r="L1262" s="19"/>
      <c r="M1262" s="19"/>
      <c r="N1262" s="20"/>
      <c r="O1262" s="22"/>
      <c r="P1262" s="22"/>
      <c r="Q1262" s="23"/>
      <c r="R1262" s="23"/>
    </row>
    <row r="1263" spans="1:18" x14ac:dyDescent="0.2">
      <c r="A1263" s="13"/>
      <c r="B1263" s="18" t="s">
        <v>62</v>
      </c>
      <c r="C1263" s="66"/>
      <c r="D1263" s="19"/>
      <c r="E1263" s="20"/>
      <c r="F1263" s="22">
        <v>1</v>
      </c>
      <c r="G1263" s="23">
        <v>0.4</v>
      </c>
      <c r="H1263" s="37">
        <v>1537</v>
      </c>
      <c r="I1263" s="37">
        <f>G1263*H1263*F1263</f>
        <v>614.80000000000007</v>
      </c>
      <c r="J1263" s="13"/>
      <c r="K1263" s="18" t="s">
        <v>578</v>
      </c>
      <c r="L1263" s="19"/>
      <c r="M1263" s="19"/>
      <c r="N1263" s="20"/>
      <c r="O1263" s="22">
        <v>1</v>
      </c>
      <c r="P1263" s="23">
        <v>1</v>
      </c>
      <c r="Q1263" s="37">
        <v>123</v>
      </c>
      <c r="R1263" s="37">
        <f>P1263*Q1263*O1263</f>
        <v>123</v>
      </c>
    </row>
    <row r="1264" spans="1:18" x14ac:dyDescent="0.2">
      <c r="A1264" s="13"/>
      <c r="B1264" s="18" t="s">
        <v>424</v>
      </c>
      <c r="C1264" s="19"/>
      <c r="D1264" s="19"/>
      <c r="E1264" s="20"/>
      <c r="F1264" s="22">
        <v>1</v>
      </c>
      <c r="G1264" s="23">
        <v>0.33</v>
      </c>
      <c r="H1264" s="37">
        <v>123</v>
      </c>
      <c r="I1264" s="37">
        <f>G1264*H1264*F1264</f>
        <v>40.590000000000003</v>
      </c>
      <c r="J1264" s="13"/>
      <c r="K1264" s="18" t="s">
        <v>92</v>
      </c>
      <c r="L1264" s="19"/>
      <c r="M1264" s="19"/>
      <c r="N1264" s="20"/>
      <c r="O1264" s="22"/>
      <c r="P1264" s="36"/>
      <c r="R1264" s="37">
        <f>R1258*0.1</f>
        <v>22.53</v>
      </c>
    </row>
    <row r="1265" spans="1:18" x14ac:dyDescent="0.2">
      <c r="A1265" s="13"/>
      <c r="B1265" s="18" t="s">
        <v>1174</v>
      </c>
      <c r="C1265" s="19"/>
      <c r="D1265" s="19"/>
      <c r="E1265" s="20"/>
      <c r="F1265" s="22">
        <v>1</v>
      </c>
      <c r="G1265" s="23">
        <v>0.1</v>
      </c>
      <c r="H1265" s="37">
        <v>2450</v>
      </c>
      <c r="I1265" s="37">
        <f>F1265*G1265*H1265</f>
        <v>245</v>
      </c>
      <c r="J1265" s="13"/>
      <c r="K1265" s="18"/>
      <c r="L1265" s="19"/>
      <c r="M1265" s="19"/>
      <c r="N1265" s="20"/>
      <c r="O1265" s="22"/>
      <c r="P1265" s="36"/>
      <c r="Q1265" s="37"/>
      <c r="R1265" s="37"/>
    </row>
    <row r="1266" spans="1:18" x14ac:dyDescent="0.2">
      <c r="A1266" s="13"/>
      <c r="B1266" s="18" t="s">
        <v>125</v>
      </c>
      <c r="C1266" s="66"/>
      <c r="D1266" s="19"/>
      <c r="E1266" s="20"/>
      <c r="F1266" s="22"/>
      <c r="G1266" s="71"/>
      <c r="I1266" s="37">
        <f>I1258*0.1</f>
        <v>21.819220000000001</v>
      </c>
      <c r="J1266" s="13"/>
      <c r="O1266" s="21"/>
      <c r="P1266" s="21"/>
      <c r="Q1266" s="21"/>
      <c r="R1266" s="37"/>
    </row>
    <row r="1267" spans="1:18" x14ac:dyDescent="0.2">
      <c r="A1267" s="13"/>
      <c r="B1267" s="18"/>
      <c r="C1267" s="66"/>
      <c r="D1267" s="19"/>
      <c r="E1267" s="20"/>
      <c r="F1267" s="22"/>
      <c r="G1267" s="71"/>
      <c r="H1267" s="37"/>
      <c r="I1267" s="37"/>
      <c r="J1267" s="13"/>
      <c r="K1267" s="18"/>
      <c r="L1267" s="19"/>
      <c r="M1267" s="19"/>
      <c r="N1267" s="20"/>
      <c r="O1267" s="22"/>
      <c r="P1267" s="36"/>
      <c r="Q1267" s="37"/>
      <c r="R1267" s="37"/>
    </row>
    <row r="1268" spans="1:18" x14ac:dyDescent="0.2">
      <c r="A1268" s="13"/>
      <c r="B1268" s="18"/>
      <c r="C1268" s="66"/>
      <c r="D1268" s="19"/>
      <c r="E1268" s="20"/>
      <c r="F1268" s="22"/>
      <c r="G1268" s="71"/>
      <c r="H1268" s="37"/>
      <c r="I1268" s="37"/>
      <c r="J1268" s="13"/>
      <c r="K1268" s="18"/>
      <c r="L1268" s="19"/>
      <c r="M1268" s="19"/>
      <c r="N1268" s="20"/>
      <c r="O1268" s="22"/>
      <c r="P1268" s="36"/>
      <c r="Q1268" s="38"/>
      <c r="R1268" s="38"/>
    </row>
    <row r="1269" spans="1:18" x14ac:dyDescent="0.2">
      <c r="A1269" s="13"/>
      <c r="B1269" s="18"/>
      <c r="C1269" s="19"/>
      <c r="D1269" s="19"/>
      <c r="E1269" s="20"/>
      <c r="F1269" s="22"/>
      <c r="G1269" s="36"/>
      <c r="H1269" s="38"/>
      <c r="I1269" s="38"/>
      <c r="J1269" s="13"/>
      <c r="K1269" s="18"/>
      <c r="L1269" s="19"/>
      <c r="M1269" s="19"/>
      <c r="N1269" s="20"/>
      <c r="O1269" s="22"/>
      <c r="P1269" s="36"/>
      <c r="Q1269" s="38"/>
      <c r="R1269" s="38"/>
    </row>
    <row r="1270" spans="1:18" x14ac:dyDescent="0.2">
      <c r="A1270" s="13"/>
      <c r="B1270" s="18"/>
      <c r="C1270" s="19"/>
      <c r="D1270" s="19"/>
      <c r="E1270" s="20"/>
      <c r="F1270" s="22"/>
      <c r="G1270" s="36"/>
      <c r="H1270" s="38"/>
      <c r="I1270" s="38"/>
      <c r="J1270" s="13"/>
      <c r="K1270" s="18"/>
      <c r="L1270" s="19"/>
      <c r="M1270" s="19"/>
      <c r="N1270" s="20"/>
      <c r="O1270" s="22"/>
      <c r="P1270" s="36"/>
      <c r="Q1270" s="38"/>
      <c r="R1270" s="38"/>
    </row>
    <row r="1271" spans="1:18" x14ac:dyDescent="0.2">
      <c r="A1271" s="13"/>
      <c r="B1271" s="18"/>
      <c r="C1271" s="19"/>
      <c r="D1271" s="19"/>
      <c r="E1271" s="20"/>
      <c r="F1271" s="22"/>
      <c r="G1271" s="36"/>
      <c r="H1271" s="38"/>
      <c r="I1271" s="38"/>
      <c r="J1271" s="13"/>
      <c r="K1271" s="18"/>
      <c r="L1271" s="19"/>
      <c r="M1271" s="19"/>
      <c r="N1271" s="20"/>
      <c r="O1271" s="22"/>
      <c r="P1271" s="36"/>
      <c r="Q1271" s="38"/>
      <c r="R1271" s="38"/>
    </row>
    <row r="1272" spans="1:18" x14ac:dyDescent="0.2">
      <c r="A1272" s="13"/>
      <c r="B1272" s="18"/>
      <c r="C1272" s="19"/>
      <c r="D1272" s="19"/>
      <c r="E1272" s="20"/>
      <c r="F1272" s="22"/>
      <c r="G1272" s="36"/>
      <c r="H1272" s="37"/>
      <c r="I1272" s="37"/>
      <c r="J1272" s="13"/>
      <c r="K1272" s="18"/>
      <c r="L1272" s="19"/>
      <c r="M1272" s="19"/>
      <c r="N1272" s="20"/>
      <c r="O1272" s="22"/>
      <c r="P1272" s="36"/>
      <c r="Q1272" s="37"/>
      <c r="R1272" s="37"/>
    </row>
    <row r="1273" spans="1:18" x14ac:dyDescent="0.2">
      <c r="A1273" s="13"/>
      <c r="B1273" s="18"/>
      <c r="C1273" s="19"/>
      <c r="D1273" s="19"/>
      <c r="E1273" s="20"/>
      <c r="F1273" s="22"/>
      <c r="G1273" s="36"/>
      <c r="H1273" s="37"/>
      <c r="I1273" s="37"/>
      <c r="J1273" s="13"/>
      <c r="K1273" s="18"/>
      <c r="L1273" s="19"/>
      <c r="M1273" s="19"/>
      <c r="N1273" s="20"/>
      <c r="O1273" s="22"/>
      <c r="P1273" s="36"/>
      <c r="Q1273" s="37"/>
      <c r="R1273" s="37"/>
    </row>
    <row r="1274" spans="1:18" x14ac:dyDescent="0.2">
      <c r="A1274" s="13"/>
      <c r="B1274" s="18"/>
      <c r="C1274" s="19"/>
      <c r="D1274" s="19"/>
      <c r="E1274" s="20"/>
      <c r="F1274" s="22"/>
      <c r="G1274" s="36"/>
      <c r="H1274" s="37"/>
      <c r="I1274" s="37"/>
      <c r="J1274" s="13"/>
      <c r="K1274" s="18"/>
      <c r="L1274" s="19"/>
      <c r="M1274" s="19"/>
      <c r="N1274" s="20"/>
      <c r="O1274" s="22"/>
      <c r="P1274" s="36"/>
      <c r="Q1274" s="37"/>
      <c r="R1274" s="37"/>
    </row>
    <row r="1275" spans="1:18" x14ac:dyDescent="0.2">
      <c r="A1275" s="13"/>
      <c r="B1275" s="18"/>
      <c r="C1275" s="19"/>
      <c r="D1275" s="19"/>
      <c r="E1275" s="20"/>
      <c r="F1275" s="22"/>
      <c r="G1275" s="22"/>
      <c r="H1275" s="23"/>
      <c r="I1275" s="23"/>
      <c r="J1275" s="13"/>
      <c r="K1275" s="18"/>
      <c r="L1275" s="19"/>
      <c r="M1275" s="19"/>
      <c r="N1275" s="20"/>
      <c r="O1275" s="22"/>
      <c r="P1275" s="22"/>
      <c r="Q1275" s="23"/>
      <c r="R1275" s="23"/>
    </row>
    <row r="1276" spans="1:18" x14ac:dyDescent="0.2">
      <c r="A1276" s="13"/>
      <c r="B1276" s="248" t="s">
        <v>30</v>
      </c>
      <c r="C1276" s="249"/>
      <c r="D1276" s="249"/>
      <c r="E1276" s="250"/>
      <c r="F1276" s="22"/>
      <c r="G1276" s="22"/>
      <c r="H1276" s="23"/>
      <c r="I1276" s="23">
        <f>SUM(I1263:I1275)</f>
        <v>922.20922000000007</v>
      </c>
      <c r="J1276" s="13"/>
      <c r="K1276" s="248" t="s">
        <v>30</v>
      </c>
      <c r="L1276" s="249"/>
      <c r="M1276" s="249"/>
      <c r="N1276" s="250"/>
      <c r="O1276" s="22"/>
      <c r="P1276" s="22"/>
      <c r="Q1276" s="23"/>
      <c r="R1276" s="23">
        <f>SUM(R1263:R1275)</f>
        <v>145.53</v>
      </c>
    </row>
    <row r="1277" spans="1:18" x14ac:dyDescent="0.2">
      <c r="A1277" s="12" t="s">
        <v>31</v>
      </c>
      <c r="B1277" s="260" t="s">
        <v>32</v>
      </c>
      <c r="C1277" s="261"/>
      <c r="D1277" s="261"/>
      <c r="E1277" s="261"/>
      <c r="F1277" s="161"/>
      <c r="G1277" s="161"/>
      <c r="H1277" s="40"/>
      <c r="I1277" s="41">
        <f>SUM(I1276+I1258)</f>
        <v>1140.4014200000001</v>
      </c>
      <c r="J1277" s="12" t="s">
        <v>31</v>
      </c>
      <c r="K1277" s="260" t="s">
        <v>32</v>
      </c>
      <c r="L1277" s="261"/>
      <c r="M1277" s="261"/>
      <c r="N1277" s="261"/>
      <c r="O1277" s="161"/>
      <c r="P1277" s="161"/>
      <c r="Q1277" s="40"/>
      <c r="R1277" s="41">
        <f>SUM(R1276+R1258)</f>
        <v>370.83000000000004</v>
      </c>
    </row>
    <row r="1278" spans="1:18" x14ac:dyDescent="0.2">
      <c r="A1278" s="13" t="s">
        <v>33</v>
      </c>
      <c r="B1278" s="321">
        <f>E1245</f>
        <v>1</v>
      </c>
      <c r="C1278" s="322"/>
      <c r="D1278" s="322"/>
      <c r="E1278" s="322"/>
      <c r="F1278" s="322"/>
      <c r="G1278" s="322"/>
      <c r="H1278" s="40"/>
      <c r="I1278" s="41"/>
      <c r="J1278" s="13" t="s">
        <v>33</v>
      </c>
      <c r="K1278" s="264">
        <f>N1245</f>
        <v>1.25</v>
      </c>
      <c r="L1278" s="265"/>
      <c r="M1278" s="265"/>
      <c r="N1278" s="265"/>
      <c r="O1278" s="265"/>
      <c r="P1278" s="265"/>
      <c r="Q1278" s="40"/>
      <c r="R1278" s="41"/>
    </row>
    <row r="1279" spans="1:18" x14ac:dyDescent="0.2">
      <c r="A1279" s="13" t="s">
        <v>34</v>
      </c>
      <c r="B1279" s="162" t="s">
        <v>35</v>
      </c>
      <c r="C1279" s="43"/>
      <c r="D1279" s="43"/>
      <c r="E1279" s="161"/>
      <c r="F1279" s="163"/>
      <c r="G1279" s="163"/>
      <c r="H1279" s="40"/>
      <c r="I1279" s="41">
        <f>I1277/E1245</f>
        <v>1140.4014200000001</v>
      </c>
      <c r="J1279" s="13" t="s">
        <v>34</v>
      </c>
      <c r="K1279" s="162" t="s">
        <v>35</v>
      </c>
      <c r="L1279" s="43"/>
      <c r="M1279" s="43"/>
      <c r="N1279" s="161"/>
      <c r="O1279" s="163"/>
      <c r="P1279" s="163"/>
      <c r="Q1279" s="40"/>
      <c r="R1279" s="41">
        <f>R1277/N1245</f>
        <v>296.66400000000004</v>
      </c>
    </row>
    <row r="1280" spans="1:18" x14ac:dyDescent="0.2">
      <c r="A1280" s="12"/>
      <c r="B1280" s="251" t="s">
        <v>36</v>
      </c>
      <c r="C1280" s="252"/>
      <c r="D1280" s="252"/>
      <c r="E1280" s="253"/>
      <c r="F1280" s="244" t="s">
        <v>37</v>
      </c>
      <c r="G1280" s="244" t="s">
        <v>38</v>
      </c>
      <c r="H1280" s="244" t="s">
        <v>39</v>
      </c>
      <c r="I1280" s="246" t="s">
        <v>15</v>
      </c>
      <c r="J1280" s="12"/>
      <c r="K1280" s="251" t="s">
        <v>36</v>
      </c>
      <c r="L1280" s="252"/>
      <c r="M1280" s="252"/>
      <c r="N1280" s="253"/>
      <c r="O1280" s="244" t="s">
        <v>37</v>
      </c>
      <c r="P1280" s="244" t="s">
        <v>38</v>
      </c>
      <c r="Q1280" s="244" t="s">
        <v>39</v>
      </c>
      <c r="R1280" s="246" t="s">
        <v>15</v>
      </c>
    </row>
    <row r="1281" spans="1:18" x14ac:dyDescent="0.2">
      <c r="A1281" s="13"/>
      <c r="B1281" s="254"/>
      <c r="C1281" s="255"/>
      <c r="D1281" s="255"/>
      <c r="E1281" s="256"/>
      <c r="F1281" s="245"/>
      <c r="G1281" s="245"/>
      <c r="H1281" s="245"/>
      <c r="I1281" s="247"/>
      <c r="J1281" s="13"/>
      <c r="K1281" s="254"/>
      <c r="L1281" s="255"/>
      <c r="M1281" s="255"/>
      <c r="N1281" s="256"/>
      <c r="O1281" s="245"/>
      <c r="P1281" s="245"/>
      <c r="Q1281" s="245"/>
      <c r="R1281" s="247"/>
    </row>
    <row r="1282" spans="1:18" x14ac:dyDescent="0.2">
      <c r="A1282" s="13" t="s">
        <v>40</v>
      </c>
      <c r="B1282" s="18" t="s">
        <v>41</v>
      </c>
      <c r="C1282" s="19"/>
      <c r="D1282" s="19"/>
      <c r="E1282" s="20"/>
      <c r="F1282" s="22"/>
      <c r="G1282" s="22"/>
      <c r="H1282" s="23"/>
      <c r="I1282" s="23"/>
      <c r="J1282" s="13" t="s">
        <v>40</v>
      </c>
      <c r="K1282" s="18" t="s">
        <v>41</v>
      </c>
      <c r="L1282" s="19"/>
      <c r="M1282" s="19"/>
      <c r="N1282" s="20"/>
      <c r="O1282" s="22"/>
      <c r="P1282" s="22"/>
      <c r="Q1282" s="23"/>
      <c r="R1282" s="23"/>
    </row>
    <row r="1283" spans="1:18" x14ac:dyDescent="0.2">
      <c r="A1283" s="13"/>
      <c r="B1283" s="18"/>
      <c r="C1283" s="19"/>
      <c r="D1283" s="19"/>
      <c r="E1283" s="20"/>
      <c r="F1283" s="22"/>
      <c r="G1283" s="22"/>
      <c r="H1283" s="23"/>
      <c r="I1283" s="23"/>
      <c r="J1283" s="13"/>
      <c r="K1283" s="18"/>
      <c r="L1283" s="19"/>
      <c r="M1283" s="19"/>
      <c r="N1283" s="20"/>
      <c r="O1283" s="22"/>
      <c r="P1283" s="22"/>
      <c r="Q1283" s="23"/>
      <c r="R1283" s="23"/>
    </row>
    <row r="1284" spans="1:18" x14ac:dyDescent="0.2">
      <c r="A1284" s="13"/>
      <c r="B1284" s="18"/>
      <c r="C1284" s="19"/>
      <c r="D1284" s="19"/>
      <c r="E1284" s="20"/>
      <c r="F1284" s="22"/>
      <c r="G1284" s="62"/>
      <c r="H1284" s="23"/>
      <c r="I1284" s="23"/>
      <c r="J1284" s="13"/>
      <c r="K1284" s="18" t="s">
        <v>225</v>
      </c>
      <c r="L1284" s="19"/>
      <c r="M1284" s="19"/>
      <c r="N1284" s="20"/>
      <c r="O1284" s="22" t="s">
        <v>9</v>
      </c>
      <c r="P1284" s="62">
        <v>1.1499999999999999</v>
      </c>
      <c r="Q1284" s="107">
        <v>580</v>
      </c>
      <c r="R1284" s="23">
        <f>P1284*Q1284</f>
        <v>667</v>
      </c>
    </row>
    <row r="1285" spans="1:18" x14ac:dyDescent="0.2">
      <c r="A1285" s="13"/>
      <c r="B1285" s="18" t="s">
        <v>425</v>
      </c>
      <c r="C1285" s="66"/>
      <c r="D1285" s="19"/>
      <c r="E1285" s="20"/>
      <c r="F1285" s="22" t="s">
        <v>227</v>
      </c>
      <c r="G1285" s="70">
        <v>0.77400000000000002</v>
      </c>
      <c r="H1285" s="107">
        <v>220</v>
      </c>
      <c r="I1285" s="23">
        <f>H1285*G1285</f>
        <v>170.28</v>
      </c>
      <c r="J1285" s="13"/>
      <c r="K1285" s="18" t="s">
        <v>579</v>
      </c>
      <c r="L1285" s="19"/>
      <c r="M1285" s="19"/>
      <c r="N1285" s="20"/>
      <c r="O1285" s="22"/>
      <c r="P1285" s="22"/>
      <c r="Q1285" s="23"/>
      <c r="R1285" s="23"/>
    </row>
    <row r="1286" spans="1:18" x14ac:dyDescent="0.2">
      <c r="A1286" s="13"/>
      <c r="B1286" s="18" t="s">
        <v>567</v>
      </c>
      <c r="C1286" s="66"/>
      <c r="D1286" s="19"/>
      <c r="E1286" s="20"/>
      <c r="F1286" s="22" t="s">
        <v>9</v>
      </c>
      <c r="G1286" s="70">
        <v>4.3999999999999997E-2</v>
      </c>
      <c r="H1286" s="107">
        <v>850</v>
      </c>
      <c r="I1286" s="23">
        <f>H1286*G1286</f>
        <v>37.4</v>
      </c>
      <c r="J1286" s="13"/>
      <c r="K1286" s="18"/>
      <c r="L1286" s="19"/>
      <c r="M1286" s="19"/>
      <c r="N1286" s="20"/>
      <c r="O1286" s="22"/>
      <c r="P1286" s="22"/>
      <c r="Q1286" s="38"/>
      <c r="R1286" s="38"/>
    </row>
    <row r="1287" spans="1:18" x14ac:dyDescent="0.2">
      <c r="A1287" s="13"/>
      <c r="B1287" s="18" t="s">
        <v>568</v>
      </c>
      <c r="C1287" s="19"/>
      <c r="D1287" s="19"/>
      <c r="E1287" s="20"/>
      <c r="F1287" s="22" t="s">
        <v>9</v>
      </c>
      <c r="G1287" s="22">
        <v>8.7999999999999995E-2</v>
      </c>
      <c r="H1287" s="107">
        <v>850</v>
      </c>
      <c r="I1287" s="23">
        <f>H1287*G1287</f>
        <v>74.8</v>
      </c>
      <c r="J1287" s="13"/>
      <c r="K1287" s="18"/>
      <c r="L1287" s="19"/>
      <c r="M1287" s="19"/>
      <c r="N1287" s="20"/>
      <c r="O1287" s="22"/>
      <c r="P1287" s="22"/>
      <c r="Q1287" s="38"/>
      <c r="R1287" s="38"/>
    </row>
    <row r="1288" spans="1:18" x14ac:dyDescent="0.2">
      <c r="A1288" s="13"/>
      <c r="B1288" s="18"/>
      <c r="C1288" s="19"/>
      <c r="D1288" s="19"/>
      <c r="E1288" s="20"/>
      <c r="F1288" s="22"/>
      <c r="G1288" s="22"/>
      <c r="H1288" s="45"/>
      <c r="I1288" s="45"/>
      <c r="J1288" s="13"/>
      <c r="K1288" s="18"/>
      <c r="L1288" s="19"/>
      <c r="M1288" s="19"/>
      <c r="N1288" s="20"/>
      <c r="O1288" s="22"/>
      <c r="P1288" s="22"/>
      <c r="Q1288" s="45"/>
      <c r="R1288" s="45"/>
    </row>
    <row r="1289" spans="1:18" x14ac:dyDescent="0.2">
      <c r="A1289" s="13"/>
      <c r="B1289" s="18"/>
      <c r="C1289" s="19"/>
      <c r="D1289" s="19"/>
      <c r="E1289" s="20"/>
      <c r="F1289" s="22"/>
      <c r="G1289" s="22"/>
      <c r="H1289" s="45"/>
      <c r="I1289" s="45"/>
      <c r="J1289" s="13"/>
      <c r="K1289" s="18"/>
      <c r="L1289" s="19"/>
      <c r="M1289" s="19"/>
      <c r="N1289" s="20"/>
      <c r="O1289" s="22"/>
      <c r="P1289" s="22"/>
      <c r="Q1289" s="45"/>
      <c r="R1289" s="45"/>
    </row>
    <row r="1290" spans="1:18" x14ac:dyDescent="0.2">
      <c r="A1290" s="13"/>
      <c r="B1290" s="18"/>
      <c r="C1290" s="19"/>
      <c r="D1290" s="19"/>
      <c r="E1290" s="20"/>
      <c r="F1290" s="22"/>
      <c r="G1290" s="22"/>
      <c r="H1290" s="23"/>
      <c r="I1290" s="23"/>
      <c r="J1290" s="13"/>
      <c r="K1290" s="18"/>
      <c r="L1290" s="19"/>
      <c r="M1290" s="19"/>
      <c r="N1290" s="20"/>
      <c r="O1290" s="22"/>
      <c r="P1290" s="22"/>
      <c r="Q1290" s="23"/>
      <c r="R1290" s="23"/>
    </row>
    <row r="1291" spans="1:18" x14ac:dyDescent="0.2">
      <c r="A1291" s="13"/>
      <c r="B1291" s="18"/>
      <c r="C1291" s="19"/>
      <c r="D1291" s="19"/>
      <c r="E1291" s="20"/>
      <c r="F1291" s="22"/>
      <c r="G1291" s="22"/>
      <c r="H1291" s="23"/>
      <c r="I1291" s="23"/>
      <c r="J1291" s="13"/>
      <c r="K1291" s="18"/>
      <c r="L1291" s="19"/>
      <c r="M1291" s="19"/>
      <c r="N1291" s="20"/>
      <c r="O1291" s="22"/>
      <c r="P1291" s="22"/>
      <c r="Q1291" s="23"/>
      <c r="R1291" s="23"/>
    </row>
    <row r="1292" spans="1:18" x14ac:dyDescent="0.2">
      <c r="A1292" s="13"/>
      <c r="B1292" s="18"/>
      <c r="C1292" s="19"/>
      <c r="D1292" s="19"/>
      <c r="E1292" s="20"/>
      <c r="F1292" s="22"/>
      <c r="G1292" s="22"/>
      <c r="H1292" s="23"/>
      <c r="I1292" s="23"/>
      <c r="J1292" s="13"/>
      <c r="K1292" s="18"/>
      <c r="L1292" s="19"/>
      <c r="M1292" s="19"/>
      <c r="N1292" s="20"/>
      <c r="O1292" s="22"/>
      <c r="P1292" s="22"/>
      <c r="Q1292" s="23"/>
      <c r="R1292" s="23"/>
    </row>
    <row r="1293" spans="1:18" x14ac:dyDescent="0.2">
      <c r="A1293" s="13"/>
      <c r="B1293" s="18"/>
      <c r="C1293" s="19"/>
      <c r="D1293" s="19"/>
      <c r="E1293" s="20"/>
      <c r="F1293" s="22"/>
      <c r="G1293" s="22"/>
      <c r="H1293" s="23"/>
      <c r="I1293" s="23"/>
      <c r="J1293" s="13"/>
      <c r="K1293" s="18"/>
      <c r="L1293" s="19"/>
      <c r="M1293" s="19"/>
      <c r="N1293" s="20"/>
      <c r="O1293" s="22"/>
      <c r="P1293" s="22"/>
      <c r="Q1293" s="23"/>
      <c r="R1293" s="23"/>
    </row>
    <row r="1294" spans="1:18" x14ac:dyDescent="0.2">
      <c r="A1294" s="13"/>
      <c r="B1294" s="18"/>
      <c r="C1294" s="19"/>
      <c r="D1294" s="19"/>
      <c r="E1294" s="20"/>
      <c r="F1294" s="22"/>
      <c r="G1294" s="22"/>
      <c r="H1294" s="23"/>
      <c r="I1294" s="23"/>
      <c r="J1294" s="13"/>
      <c r="K1294" s="18"/>
      <c r="L1294" s="19"/>
      <c r="M1294" s="19"/>
      <c r="N1294" s="20"/>
      <c r="O1294" s="22"/>
      <c r="P1294" s="22"/>
      <c r="Q1294" s="23"/>
      <c r="R1294" s="23"/>
    </row>
    <row r="1295" spans="1:18" x14ac:dyDescent="0.2">
      <c r="A1295" s="13"/>
      <c r="B1295" s="18"/>
      <c r="C1295" s="19"/>
      <c r="D1295" s="19"/>
      <c r="E1295" s="20"/>
      <c r="F1295" s="22"/>
      <c r="G1295" s="22"/>
      <c r="H1295" s="23"/>
      <c r="I1295" s="23"/>
      <c r="J1295" s="13"/>
      <c r="K1295" s="18"/>
      <c r="L1295" s="19"/>
      <c r="M1295" s="19"/>
      <c r="N1295" s="20"/>
      <c r="O1295" s="22"/>
      <c r="P1295" s="36"/>
      <c r="Q1295" s="37"/>
      <c r="R1295" s="37"/>
    </row>
    <row r="1296" spans="1:18" x14ac:dyDescent="0.2">
      <c r="A1296" s="13"/>
      <c r="B1296" s="18"/>
      <c r="C1296" s="19"/>
      <c r="D1296" s="19"/>
      <c r="E1296" s="20"/>
      <c r="F1296" s="22"/>
      <c r="G1296" s="36"/>
      <c r="H1296" s="37"/>
      <c r="I1296" s="37"/>
      <c r="J1296" s="13"/>
      <c r="K1296" s="18"/>
      <c r="L1296" s="19"/>
      <c r="M1296" s="19"/>
      <c r="N1296" s="20"/>
      <c r="O1296" s="22"/>
      <c r="P1296" s="36"/>
      <c r="Q1296" s="37"/>
      <c r="R1296" s="37"/>
    </row>
    <row r="1297" spans="1:18" x14ac:dyDescent="0.2">
      <c r="A1297" s="13"/>
      <c r="B1297" s="248" t="s">
        <v>42</v>
      </c>
      <c r="C1297" s="249"/>
      <c r="D1297" s="249"/>
      <c r="E1297" s="250"/>
      <c r="F1297" s="46"/>
      <c r="G1297" s="46"/>
      <c r="H1297" s="47"/>
      <c r="I1297" s="47">
        <f>SUM(I1284:I1296)</f>
        <v>282.48</v>
      </c>
      <c r="J1297" s="13"/>
      <c r="K1297" s="248" t="s">
        <v>42</v>
      </c>
      <c r="L1297" s="249"/>
      <c r="M1297" s="249"/>
      <c r="N1297" s="250"/>
      <c r="O1297" s="46"/>
      <c r="P1297" s="46"/>
      <c r="Q1297" s="47"/>
      <c r="R1297" s="47">
        <f>SUM(R1284:R1295)</f>
        <v>667</v>
      </c>
    </row>
    <row r="1298" spans="1:18" x14ac:dyDescent="0.2">
      <c r="A1298" s="12" t="s">
        <v>43</v>
      </c>
      <c r="B1298" s="48" t="s">
        <v>44</v>
      </c>
      <c r="C1298" s="43"/>
      <c r="D1298" s="43"/>
      <c r="E1298" s="161"/>
      <c r="F1298" s="49"/>
      <c r="G1298" s="49"/>
      <c r="H1298" s="50"/>
      <c r="I1298" s="51">
        <f>SUM(I1279+I1297)</f>
        <v>1422.8814200000002</v>
      </c>
      <c r="J1298" s="12" t="s">
        <v>43</v>
      </c>
      <c r="K1298" s="48" t="s">
        <v>44</v>
      </c>
      <c r="L1298" s="43"/>
      <c r="M1298" s="43"/>
      <c r="N1298" s="161"/>
      <c r="O1298" s="49"/>
      <c r="P1298" s="49"/>
      <c r="Q1298" s="50"/>
      <c r="R1298" s="51">
        <f>SUM(R1279+R1297)</f>
        <v>963.66399999999999</v>
      </c>
    </row>
    <row r="1299" spans="1:18" x14ac:dyDescent="0.2">
      <c r="A1299" s="13" t="s">
        <v>45</v>
      </c>
      <c r="B1299" s="48" t="s">
        <v>46</v>
      </c>
      <c r="C1299" s="43"/>
      <c r="D1299" s="43"/>
      <c r="E1299" s="161"/>
      <c r="F1299" s="49"/>
      <c r="G1299" s="52">
        <v>0.09</v>
      </c>
      <c r="H1299" s="53" t="s">
        <v>47</v>
      </c>
      <c r="I1299" s="51">
        <f>G1299*I1298</f>
        <v>128.05932780000001</v>
      </c>
      <c r="J1299" s="13" t="s">
        <v>45</v>
      </c>
      <c r="K1299" s="48" t="s">
        <v>46</v>
      </c>
      <c r="L1299" s="43"/>
      <c r="M1299" s="43"/>
      <c r="N1299" s="161"/>
      <c r="O1299" s="49"/>
      <c r="P1299" s="52">
        <v>0.09</v>
      </c>
      <c r="Q1299" s="53" t="s">
        <v>47</v>
      </c>
      <c r="R1299" s="51">
        <f>P1299*R1298</f>
        <v>86.729759999999999</v>
      </c>
    </row>
    <row r="1300" spans="1:18" x14ac:dyDescent="0.2">
      <c r="A1300" s="13" t="s">
        <v>48</v>
      </c>
      <c r="B1300" s="48" t="s">
        <v>49</v>
      </c>
      <c r="C1300" s="43"/>
      <c r="D1300" s="43"/>
      <c r="E1300" s="161"/>
      <c r="F1300" s="49"/>
      <c r="G1300" s="52">
        <v>0.08</v>
      </c>
      <c r="H1300" s="53" t="s">
        <v>47</v>
      </c>
      <c r="I1300" s="51">
        <f>G1300*I1298</f>
        <v>113.83051360000002</v>
      </c>
      <c r="J1300" s="13" t="s">
        <v>48</v>
      </c>
      <c r="K1300" s="48" t="s">
        <v>49</v>
      </c>
      <c r="L1300" s="43"/>
      <c r="M1300" s="43"/>
      <c r="N1300" s="161"/>
      <c r="O1300" s="49"/>
      <c r="P1300" s="52">
        <v>0.08</v>
      </c>
      <c r="Q1300" s="53" t="s">
        <v>47</v>
      </c>
      <c r="R1300" s="51">
        <f>P1300*R1298</f>
        <v>77.093119999999999</v>
      </c>
    </row>
    <row r="1301" spans="1:18" x14ac:dyDescent="0.2">
      <c r="A1301" s="13" t="s">
        <v>50</v>
      </c>
      <c r="B1301" s="48" t="s">
        <v>51</v>
      </c>
      <c r="C1301" s="43"/>
      <c r="D1301" s="43"/>
      <c r="E1301" s="161"/>
      <c r="F1301" s="49"/>
      <c r="G1301" s="52">
        <v>0.05</v>
      </c>
      <c r="H1301" s="53" t="s">
        <v>52</v>
      </c>
      <c r="I1301" s="51">
        <f>G1301*(I1298+I1299+I1300)</f>
        <v>83.238563070000012</v>
      </c>
      <c r="J1301" s="13" t="s">
        <v>50</v>
      </c>
      <c r="K1301" s="48" t="s">
        <v>51</v>
      </c>
      <c r="L1301" s="43"/>
      <c r="M1301" s="43"/>
      <c r="N1301" s="161"/>
      <c r="O1301" s="49"/>
      <c r="P1301" s="52">
        <v>0.05</v>
      </c>
      <c r="Q1301" s="53" t="s">
        <v>52</v>
      </c>
      <c r="R1301" s="51">
        <f>P1301*(R1298+R1299+R1300)</f>
        <v>56.374344000000001</v>
      </c>
    </row>
    <row r="1302" spans="1:18" x14ac:dyDescent="0.2">
      <c r="A1302" s="54" t="s">
        <v>53</v>
      </c>
      <c r="B1302" s="48" t="s">
        <v>54</v>
      </c>
      <c r="C1302" s="43"/>
      <c r="D1302" s="43"/>
      <c r="E1302" s="161"/>
      <c r="F1302" s="49"/>
      <c r="G1302" s="49"/>
      <c r="H1302" s="55" t="s">
        <v>55</v>
      </c>
      <c r="I1302" s="51">
        <f>SUM(I1298+I1299+I1300+I1301)</f>
        <v>1748.0098244700002</v>
      </c>
      <c r="J1302" s="54" t="s">
        <v>53</v>
      </c>
      <c r="K1302" s="48" t="s">
        <v>54</v>
      </c>
      <c r="L1302" s="43"/>
      <c r="M1302" s="43"/>
      <c r="N1302" s="161"/>
      <c r="O1302" s="49"/>
      <c r="P1302" s="49"/>
      <c r="Q1302" s="55" t="s">
        <v>55</v>
      </c>
      <c r="R1302" s="51">
        <f>SUM(R1298+R1299+R1300+R1301)</f>
        <v>1183.861224</v>
      </c>
    </row>
    <row r="1303" spans="1:18" s="1" customFormat="1" x14ac:dyDescent="0.2">
      <c r="A1303" s="236" t="s">
        <v>0</v>
      </c>
      <c r="B1303" s="236"/>
      <c r="C1303" s="236"/>
      <c r="D1303" s="236"/>
      <c r="E1303" s="236"/>
      <c r="F1303" s="236"/>
      <c r="G1303" s="236"/>
      <c r="H1303" s="236"/>
      <c r="I1303" s="236"/>
      <c r="J1303" s="236" t="s">
        <v>0</v>
      </c>
      <c r="K1303" s="236"/>
      <c r="L1303" s="236"/>
      <c r="M1303" s="236"/>
      <c r="N1303" s="236"/>
      <c r="O1303" s="236"/>
      <c r="P1303" s="236"/>
      <c r="Q1303" s="236"/>
      <c r="R1303" s="236"/>
    </row>
    <row r="1305" spans="1:18" x14ac:dyDescent="0.2">
      <c r="A1305" s="158" t="s">
        <v>1</v>
      </c>
      <c r="C1305" s="4" t="s">
        <v>2</v>
      </c>
      <c r="D1305" s="5" t="s">
        <v>574</v>
      </c>
      <c r="E1305" s="158" t="s">
        <v>575</v>
      </c>
      <c r="F1305" s="158"/>
      <c r="G1305" s="158"/>
      <c r="H1305" s="158"/>
      <c r="J1305" s="158" t="s">
        <v>1</v>
      </c>
      <c r="L1305" s="4" t="s">
        <v>2</v>
      </c>
      <c r="M1305" s="5" t="s">
        <v>582</v>
      </c>
      <c r="N1305" s="237" t="s">
        <v>583</v>
      </c>
      <c r="O1305" s="237"/>
      <c r="P1305" s="237"/>
      <c r="Q1305" s="237"/>
    </row>
    <row r="1306" spans="1:18" x14ac:dyDescent="0.2">
      <c r="A1306" s="158" t="s">
        <v>7</v>
      </c>
      <c r="C1306" s="4" t="s">
        <v>2</v>
      </c>
      <c r="E1306" s="158" t="s">
        <v>1153</v>
      </c>
      <c r="F1306" s="8"/>
      <c r="G1306" s="8"/>
      <c r="H1306" s="8"/>
      <c r="J1306" s="158" t="s">
        <v>7</v>
      </c>
      <c r="L1306" s="4" t="s">
        <v>2</v>
      </c>
      <c r="N1306" s="158" t="s">
        <v>9</v>
      </c>
      <c r="O1306" s="8"/>
      <c r="P1306" s="8"/>
      <c r="Q1306" s="8"/>
    </row>
    <row r="1307" spans="1:18" x14ac:dyDescent="0.2">
      <c r="A1307" s="158" t="s">
        <v>10</v>
      </c>
      <c r="C1307" s="4" t="s">
        <v>2</v>
      </c>
      <c r="E1307" s="9">
        <v>1</v>
      </c>
      <c r="F1307" s="8"/>
      <c r="G1307" s="8"/>
      <c r="H1307" s="8"/>
      <c r="J1307" s="158" t="s">
        <v>10</v>
      </c>
      <c r="L1307" s="4" t="s">
        <v>2</v>
      </c>
      <c r="N1307" s="9">
        <v>1</v>
      </c>
      <c r="O1307" s="8"/>
      <c r="P1307" s="8"/>
      <c r="Q1307" s="8"/>
    </row>
    <row r="1308" spans="1:18" x14ac:dyDescent="0.2">
      <c r="B1308" s="8"/>
      <c r="F1308" s="11"/>
      <c r="G1308" s="8"/>
      <c r="H1308" s="8"/>
      <c r="I1308" s="8"/>
      <c r="K1308" s="8"/>
      <c r="O1308" s="11"/>
      <c r="P1308" s="8"/>
      <c r="Q1308" s="8"/>
      <c r="R1308" s="8"/>
    </row>
    <row r="1309" spans="1:18" x14ac:dyDescent="0.2">
      <c r="A1309" s="12"/>
      <c r="B1309" s="238" t="s">
        <v>11</v>
      </c>
      <c r="C1309" s="239"/>
      <c r="D1309" s="239"/>
      <c r="E1309" s="240"/>
      <c r="F1309" s="244" t="s">
        <v>12</v>
      </c>
      <c r="G1309" s="244" t="s">
        <v>13</v>
      </c>
      <c r="H1309" s="244" t="s">
        <v>14</v>
      </c>
      <c r="I1309" s="246" t="s">
        <v>15</v>
      </c>
      <c r="J1309" s="12"/>
      <c r="K1309" s="238" t="s">
        <v>11</v>
      </c>
      <c r="L1309" s="239"/>
      <c r="M1309" s="239"/>
      <c r="N1309" s="240"/>
      <c r="O1309" s="244" t="s">
        <v>12</v>
      </c>
      <c r="P1309" s="244" t="s">
        <v>13</v>
      </c>
      <c r="Q1309" s="244" t="s">
        <v>14</v>
      </c>
      <c r="R1309" s="246" t="s">
        <v>15</v>
      </c>
    </row>
    <row r="1310" spans="1:18" x14ac:dyDescent="0.2">
      <c r="A1310" s="13"/>
      <c r="B1310" s="241"/>
      <c r="C1310" s="242"/>
      <c r="D1310" s="242"/>
      <c r="E1310" s="243"/>
      <c r="F1310" s="245"/>
      <c r="G1310" s="245"/>
      <c r="H1310" s="245"/>
      <c r="I1310" s="247"/>
      <c r="J1310" s="13"/>
      <c r="K1310" s="241"/>
      <c r="L1310" s="242"/>
      <c r="M1310" s="242"/>
      <c r="N1310" s="243"/>
      <c r="O1310" s="245"/>
      <c r="P1310" s="245"/>
      <c r="Q1310" s="245"/>
      <c r="R1310" s="247"/>
    </row>
    <row r="1311" spans="1:18" x14ac:dyDescent="0.2">
      <c r="A1311" s="13" t="s">
        <v>16</v>
      </c>
      <c r="B1311" s="14" t="s">
        <v>17</v>
      </c>
      <c r="C1311" s="15"/>
      <c r="D1311" s="15"/>
      <c r="E1311" s="16"/>
      <c r="F1311" s="17"/>
      <c r="G1311" s="17"/>
      <c r="H1311" s="17"/>
      <c r="I1311" s="17"/>
      <c r="J1311" s="13" t="s">
        <v>16</v>
      </c>
      <c r="K1311" s="14" t="s">
        <v>17</v>
      </c>
      <c r="L1311" s="15"/>
      <c r="M1311" s="15"/>
      <c r="N1311" s="16"/>
      <c r="O1311" s="17"/>
      <c r="P1311" s="17"/>
      <c r="Q1311" s="17"/>
      <c r="R1311" s="17"/>
    </row>
    <row r="1312" spans="1:18" x14ac:dyDescent="0.2">
      <c r="A1312" s="13"/>
      <c r="B1312" s="18"/>
      <c r="C1312" s="19"/>
      <c r="D1312" s="19"/>
      <c r="E1312" s="20"/>
      <c r="F1312" s="21"/>
      <c r="G1312" s="22"/>
      <c r="H1312" s="21"/>
      <c r="I1312" s="21"/>
      <c r="J1312" s="13"/>
      <c r="K1312" s="18"/>
      <c r="L1312" s="19"/>
      <c r="M1312" s="19"/>
      <c r="N1312" s="20"/>
      <c r="O1312" s="21"/>
      <c r="P1312" s="22"/>
      <c r="Q1312" s="21"/>
      <c r="R1312" s="21"/>
    </row>
    <row r="1313" spans="1:18" x14ac:dyDescent="0.2">
      <c r="A1313" s="13"/>
      <c r="B1313" s="24" t="s">
        <v>18</v>
      </c>
      <c r="C1313" s="25"/>
      <c r="D1313" s="25"/>
      <c r="E1313" s="26"/>
      <c r="F1313" s="22">
        <v>1</v>
      </c>
      <c r="G1313" s="23">
        <v>0.8</v>
      </c>
      <c r="H1313" s="23">
        <v>69.42</v>
      </c>
      <c r="I1313" s="23">
        <f>G1313*H1313*F1313</f>
        <v>55.536000000000001</v>
      </c>
      <c r="J1313" s="13"/>
      <c r="K1313" s="24" t="s">
        <v>18</v>
      </c>
      <c r="L1313" s="25"/>
      <c r="M1313" s="25"/>
      <c r="N1313" s="26"/>
      <c r="O1313" s="22">
        <v>1</v>
      </c>
      <c r="P1313" s="23">
        <v>1</v>
      </c>
      <c r="Q1313" s="23">
        <v>69.42</v>
      </c>
      <c r="R1313" s="23">
        <f>P1313*Q1313*O1313</f>
        <v>69.42</v>
      </c>
    </row>
    <row r="1314" spans="1:18" x14ac:dyDescent="0.2">
      <c r="A1314" s="13"/>
      <c r="B1314" s="257" t="s">
        <v>1178</v>
      </c>
      <c r="C1314" s="258"/>
      <c r="D1314" s="25"/>
      <c r="E1314" s="26"/>
      <c r="F1314" s="22">
        <v>2</v>
      </c>
      <c r="G1314" s="23">
        <v>0.8</v>
      </c>
      <c r="H1314" s="23">
        <v>50.18</v>
      </c>
      <c r="I1314" s="23">
        <f>G1314*H1314*F1314</f>
        <v>80.288000000000011</v>
      </c>
      <c r="J1314" s="13"/>
      <c r="K1314" s="257" t="s">
        <v>1178</v>
      </c>
      <c r="L1314" s="258"/>
      <c r="M1314" s="25"/>
      <c r="N1314" s="26"/>
      <c r="O1314" s="22">
        <v>4</v>
      </c>
      <c r="P1314" s="23">
        <v>1</v>
      </c>
      <c r="Q1314" s="23">
        <v>50.18</v>
      </c>
      <c r="R1314" s="23">
        <f>P1314*Q1314*O1314</f>
        <v>200.72</v>
      </c>
    </row>
    <row r="1315" spans="1:18" x14ac:dyDescent="0.2">
      <c r="A1315" s="13"/>
      <c r="B1315" s="257" t="s">
        <v>1177</v>
      </c>
      <c r="C1315" s="258"/>
      <c r="D1315" s="19"/>
      <c r="E1315" s="20"/>
      <c r="F1315" s="22">
        <v>4</v>
      </c>
      <c r="G1315" s="23">
        <v>0.8</v>
      </c>
      <c r="H1315" s="23">
        <v>38.97</v>
      </c>
      <c r="I1315" s="23">
        <f>G1315*H1315*F1315</f>
        <v>124.70400000000001</v>
      </c>
      <c r="J1315" s="13"/>
      <c r="K1315" s="257" t="s">
        <v>1177</v>
      </c>
      <c r="L1315" s="258"/>
      <c r="M1315" s="19"/>
      <c r="N1315" s="20"/>
      <c r="O1315" s="22">
        <v>8</v>
      </c>
      <c r="P1315" s="23">
        <v>1</v>
      </c>
      <c r="Q1315" s="23">
        <v>38.97</v>
      </c>
      <c r="R1315" s="23">
        <f>P1315*Q1315*O1315</f>
        <v>311.76</v>
      </c>
    </row>
    <row r="1316" spans="1:18" x14ac:dyDescent="0.2">
      <c r="A1316" s="13"/>
      <c r="B1316" s="159"/>
      <c r="C1316" s="19"/>
      <c r="D1316" s="19"/>
      <c r="E1316" s="20"/>
      <c r="F1316" s="22"/>
      <c r="G1316" s="22"/>
      <c r="H1316" s="29"/>
      <c r="I1316" s="30"/>
      <c r="J1316" s="13"/>
      <c r="K1316" s="159" t="s">
        <v>584</v>
      </c>
      <c r="L1316" s="19"/>
      <c r="M1316" s="19"/>
      <c r="N1316" s="20"/>
      <c r="O1316" s="22"/>
      <c r="P1316" s="22"/>
      <c r="Q1316" s="29"/>
      <c r="R1316" s="30"/>
    </row>
    <row r="1317" spans="1:18" x14ac:dyDescent="0.2">
      <c r="A1317" s="13"/>
      <c r="B1317" s="159"/>
      <c r="C1317" s="19"/>
      <c r="D1317" s="19"/>
      <c r="E1317" s="20"/>
      <c r="F1317" s="22"/>
      <c r="G1317" s="22"/>
      <c r="H1317" s="29"/>
      <c r="I1317" s="30"/>
      <c r="J1317" s="13"/>
      <c r="K1317" s="257" t="s">
        <v>1178</v>
      </c>
      <c r="L1317" s="258"/>
      <c r="M1317" s="25"/>
      <c r="N1317" s="26"/>
      <c r="O1317" s="22">
        <v>2</v>
      </c>
      <c r="P1317" s="23">
        <v>1</v>
      </c>
      <c r="Q1317" s="23">
        <v>50.18</v>
      </c>
      <c r="R1317" s="23">
        <f>P1317*Q1317*O1317</f>
        <v>100.36</v>
      </c>
    </row>
    <row r="1318" spans="1:18" x14ac:dyDescent="0.2">
      <c r="A1318" s="13"/>
      <c r="B1318" s="18"/>
      <c r="C1318" s="19"/>
      <c r="D1318" s="19"/>
      <c r="E1318" s="20"/>
      <c r="F1318" s="22"/>
      <c r="G1318" s="22"/>
      <c r="H1318" s="28"/>
      <c r="I1318" s="23"/>
      <c r="J1318" s="13"/>
      <c r="K1318" s="257" t="s">
        <v>1177</v>
      </c>
      <c r="L1318" s="258"/>
      <c r="M1318" s="19"/>
      <c r="N1318" s="20"/>
      <c r="O1318" s="22">
        <v>4</v>
      </c>
      <c r="P1318" s="23">
        <v>1</v>
      </c>
      <c r="Q1318" s="23">
        <v>38.97</v>
      </c>
      <c r="R1318" s="23">
        <f>P1318*Q1318*O1318</f>
        <v>155.88</v>
      </c>
    </row>
    <row r="1319" spans="1:18" x14ac:dyDescent="0.2">
      <c r="A1319" s="13"/>
      <c r="B1319" s="18"/>
      <c r="C1319" s="19"/>
      <c r="D1319" s="19"/>
      <c r="E1319" s="20"/>
      <c r="F1319" s="22"/>
      <c r="G1319" s="22"/>
      <c r="H1319" s="23"/>
      <c r="I1319" s="23"/>
      <c r="J1319" s="13"/>
      <c r="K1319" s="18"/>
      <c r="L1319" s="19"/>
      <c r="M1319" s="19"/>
      <c r="N1319" s="20"/>
      <c r="O1319" s="22"/>
      <c r="P1319" s="22"/>
      <c r="Q1319" s="23"/>
      <c r="R1319" s="23"/>
    </row>
    <row r="1320" spans="1:18" x14ac:dyDescent="0.2">
      <c r="A1320" s="13"/>
      <c r="B1320" s="248" t="s">
        <v>20</v>
      </c>
      <c r="C1320" s="249"/>
      <c r="D1320" s="249"/>
      <c r="E1320" s="250"/>
      <c r="F1320" s="31"/>
      <c r="G1320" s="31"/>
      <c r="H1320" s="32"/>
      <c r="I1320" s="32">
        <f>SUM(I1313:I1319)</f>
        <v>260.52800000000002</v>
      </c>
      <c r="J1320" s="13"/>
      <c r="K1320" s="248" t="s">
        <v>20</v>
      </c>
      <c r="L1320" s="249"/>
      <c r="M1320" s="249"/>
      <c r="N1320" s="250"/>
      <c r="O1320" s="31"/>
      <c r="P1320" s="31"/>
      <c r="Q1320" s="32"/>
      <c r="R1320" s="32">
        <f>SUM(R1313:R1319)</f>
        <v>838.14</v>
      </c>
    </row>
    <row r="1321" spans="1:18" x14ac:dyDescent="0.2">
      <c r="A1321" s="12"/>
      <c r="B1321" s="251" t="s">
        <v>21</v>
      </c>
      <c r="C1321" s="252"/>
      <c r="D1321" s="252"/>
      <c r="E1321" s="253"/>
      <c r="F1321" s="244" t="s">
        <v>22</v>
      </c>
      <c r="G1321" s="244" t="s">
        <v>13</v>
      </c>
      <c r="H1321" s="244" t="s">
        <v>14</v>
      </c>
      <c r="I1321" s="246" t="s">
        <v>15</v>
      </c>
      <c r="J1321" s="12"/>
      <c r="K1321" s="251" t="s">
        <v>21</v>
      </c>
      <c r="L1321" s="252"/>
      <c r="M1321" s="252"/>
      <c r="N1321" s="253"/>
      <c r="O1321" s="244" t="s">
        <v>22</v>
      </c>
      <c r="P1321" s="244" t="s">
        <v>13</v>
      </c>
      <c r="Q1321" s="244" t="s">
        <v>14</v>
      </c>
      <c r="R1321" s="246" t="s">
        <v>15</v>
      </c>
    </row>
    <row r="1322" spans="1:18" x14ac:dyDescent="0.2">
      <c r="A1322" s="13"/>
      <c r="B1322" s="254"/>
      <c r="C1322" s="255"/>
      <c r="D1322" s="255"/>
      <c r="E1322" s="256"/>
      <c r="F1322" s="245"/>
      <c r="G1322" s="245"/>
      <c r="H1322" s="245"/>
      <c r="I1322" s="247"/>
      <c r="J1322" s="13"/>
      <c r="K1322" s="254"/>
      <c r="L1322" s="255"/>
      <c r="M1322" s="255"/>
      <c r="N1322" s="256"/>
      <c r="O1322" s="245"/>
      <c r="P1322" s="245"/>
      <c r="Q1322" s="245"/>
      <c r="R1322" s="247"/>
    </row>
    <row r="1323" spans="1:18" x14ac:dyDescent="0.2">
      <c r="A1323" s="13" t="s">
        <v>23</v>
      </c>
      <c r="B1323" s="33" t="s">
        <v>24</v>
      </c>
      <c r="C1323" s="15"/>
      <c r="D1323" s="15"/>
      <c r="E1323" s="16"/>
      <c r="F1323" s="34"/>
      <c r="G1323" s="34"/>
      <c r="H1323" s="35"/>
      <c r="I1323" s="35"/>
      <c r="J1323" s="13" t="s">
        <v>23</v>
      </c>
      <c r="K1323" s="33" t="s">
        <v>24</v>
      </c>
      <c r="L1323" s="15"/>
      <c r="M1323" s="15"/>
      <c r="N1323" s="16"/>
      <c r="O1323" s="34"/>
      <c r="P1323" s="34"/>
      <c r="Q1323" s="35"/>
      <c r="R1323" s="35"/>
    </row>
    <row r="1324" spans="1:18" x14ac:dyDescent="0.2">
      <c r="A1324" s="13"/>
      <c r="B1324" s="18"/>
      <c r="C1324" s="19"/>
      <c r="D1324" s="19"/>
      <c r="E1324" s="20"/>
      <c r="F1324" s="22"/>
      <c r="G1324" s="22"/>
      <c r="H1324" s="23"/>
      <c r="I1324" s="23"/>
      <c r="J1324" s="13"/>
      <c r="K1324" s="18"/>
      <c r="L1324" s="19"/>
      <c r="M1324" s="19"/>
      <c r="N1324" s="20"/>
      <c r="O1324" s="22"/>
      <c r="P1324" s="22"/>
      <c r="Q1324" s="23"/>
      <c r="R1324" s="23"/>
    </row>
    <row r="1325" spans="1:18" x14ac:dyDescent="0.2">
      <c r="A1325" s="13"/>
      <c r="B1325" s="18" t="s">
        <v>62</v>
      </c>
      <c r="C1325" s="66"/>
      <c r="D1325" s="19"/>
      <c r="E1325" s="20"/>
      <c r="F1325" s="22">
        <v>1</v>
      </c>
      <c r="G1325" s="23">
        <v>0.48</v>
      </c>
      <c r="H1325" s="37">
        <v>1537</v>
      </c>
      <c r="I1325" s="37">
        <f>G1325*H1325*F1325</f>
        <v>737.76</v>
      </c>
      <c r="J1325" s="13"/>
      <c r="K1325" s="18" t="s">
        <v>403</v>
      </c>
      <c r="L1325" s="19"/>
      <c r="M1325" s="19"/>
      <c r="N1325" s="20"/>
      <c r="O1325" s="22">
        <v>1</v>
      </c>
      <c r="P1325" s="23">
        <v>1</v>
      </c>
      <c r="Q1325" s="37">
        <f>172</f>
        <v>172</v>
      </c>
      <c r="R1325" s="37">
        <f t="shared" ref="R1325:R1330" si="12">P1325*Q1325*O1325</f>
        <v>172</v>
      </c>
    </row>
    <row r="1326" spans="1:18" x14ac:dyDescent="0.2">
      <c r="A1326" s="13"/>
      <c r="B1326" s="18" t="s">
        <v>424</v>
      </c>
      <c r="C1326" s="19"/>
      <c r="D1326" s="19"/>
      <c r="E1326" s="20"/>
      <c r="F1326" s="22">
        <v>1</v>
      </c>
      <c r="G1326" s="23">
        <v>0.4</v>
      </c>
      <c r="H1326" s="37">
        <v>123</v>
      </c>
      <c r="I1326" s="37">
        <f>G1326*H1326*F1326</f>
        <v>49.2</v>
      </c>
      <c r="J1326" s="13"/>
      <c r="K1326" s="18" t="s">
        <v>1174</v>
      </c>
      <c r="L1326" s="19"/>
      <c r="M1326" s="19"/>
      <c r="N1326" s="20"/>
      <c r="O1326" s="22">
        <v>1</v>
      </c>
      <c r="P1326" s="23">
        <v>0.05</v>
      </c>
      <c r="Q1326" s="37">
        <v>2450</v>
      </c>
      <c r="R1326" s="37">
        <f t="shared" si="12"/>
        <v>122.5</v>
      </c>
    </row>
    <row r="1327" spans="1:18" x14ac:dyDescent="0.2">
      <c r="A1327" s="13"/>
      <c r="B1327" s="18" t="s">
        <v>1174</v>
      </c>
      <c r="C1327" s="19"/>
      <c r="D1327" s="19"/>
      <c r="E1327" s="20"/>
      <c r="F1327" s="22">
        <v>1</v>
      </c>
      <c r="G1327" s="23">
        <v>0.12</v>
      </c>
      <c r="H1327" s="37">
        <v>2450</v>
      </c>
      <c r="I1327" s="37">
        <f>F1327*G1327*H1327</f>
        <v>294</v>
      </c>
      <c r="J1327" s="13"/>
      <c r="K1327" s="18" t="s">
        <v>461</v>
      </c>
      <c r="L1327" s="19"/>
      <c r="M1327" s="19"/>
      <c r="N1327" s="20"/>
      <c r="O1327" s="22">
        <v>1</v>
      </c>
      <c r="P1327" s="23">
        <v>0.1</v>
      </c>
      <c r="Q1327" s="37">
        <v>922</v>
      </c>
      <c r="R1327" s="37">
        <f t="shared" si="12"/>
        <v>92.2</v>
      </c>
    </row>
    <row r="1328" spans="1:18" x14ac:dyDescent="0.2">
      <c r="A1328" s="13"/>
      <c r="B1328" s="18" t="s">
        <v>125</v>
      </c>
      <c r="C1328" s="66"/>
      <c r="D1328" s="19"/>
      <c r="E1328" s="20"/>
      <c r="F1328" s="22"/>
      <c r="G1328" s="71"/>
      <c r="I1328" s="37">
        <f>I1320*0.1</f>
        <v>26.052800000000005</v>
      </c>
      <c r="J1328" s="13"/>
      <c r="K1328" s="18" t="s">
        <v>341</v>
      </c>
      <c r="L1328" s="19"/>
      <c r="M1328" s="19"/>
      <c r="N1328" s="20"/>
      <c r="O1328" s="22">
        <v>1</v>
      </c>
      <c r="P1328" s="23">
        <v>0.5</v>
      </c>
      <c r="Q1328" s="37">
        <v>91.25</v>
      </c>
      <c r="R1328" s="37">
        <f t="shared" si="12"/>
        <v>45.625</v>
      </c>
    </row>
    <row r="1329" spans="1:18" x14ac:dyDescent="0.2">
      <c r="A1329" s="13"/>
      <c r="B1329" s="18"/>
      <c r="C1329" s="66"/>
      <c r="D1329" s="19"/>
      <c r="E1329" s="20"/>
      <c r="F1329" s="22"/>
      <c r="G1329" s="71"/>
      <c r="H1329" s="37"/>
      <c r="I1329" s="37"/>
      <c r="J1329" s="13"/>
      <c r="K1329" s="18" t="s">
        <v>343</v>
      </c>
      <c r="L1329" s="19"/>
      <c r="M1329" s="19"/>
      <c r="N1329" s="20"/>
      <c r="O1329" s="22">
        <v>1</v>
      </c>
      <c r="P1329" s="23">
        <v>0.05</v>
      </c>
      <c r="Q1329" s="37">
        <v>219.75</v>
      </c>
      <c r="R1329" s="37">
        <f t="shared" si="12"/>
        <v>10.987500000000001</v>
      </c>
    </row>
    <row r="1330" spans="1:18" x14ac:dyDescent="0.2">
      <c r="A1330" s="13"/>
      <c r="B1330" s="18"/>
      <c r="C1330" s="66"/>
      <c r="D1330" s="19"/>
      <c r="E1330" s="20"/>
      <c r="F1330" s="22"/>
      <c r="G1330" s="71"/>
      <c r="H1330" s="37"/>
      <c r="I1330" s="37"/>
      <c r="J1330" s="13"/>
      <c r="K1330" s="18" t="s">
        <v>407</v>
      </c>
      <c r="L1330" s="19"/>
      <c r="M1330" s="19"/>
      <c r="N1330" s="20"/>
      <c r="O1330" s="22">
        <v>1</v>
      </c>
      <c r="P1330" s="23">
        <v>0.05</v>
      </c>
      <c r="Q1330" s="37">
        <v>351.5</v>
      </c>
      <c r="R1330" s="37">
        <f t="shared" si="12"/>
        <v>17.574999999999999</v>
      </c>
    </row>
    <row r="1331" spans="1:18" x14ac:dyDescent="0.2">
      <c r="A1331" s="13"/>
      <c r="B1331" s="18"/>
      <c r="C1331" s="19"/>
      <c r="D1331" s="19"/>
      <c r="E1331" s="20"/>
      <c r="F1331" s="22"/>
      <c r="G1331" s="36"/>
      <c r="H1331" s="38"/>
      <c r="I1331" s="38"/>
      <c r="J1331" s="13"/>
      <c r="K1331" s="18" t="s">
        <v>530</v>
      </c>
      <c r="O1331" s="22"/>
      <c r="P1331" s="36"/>
      <c r="R1331" s="37">
        <f>0.1*R1320</f>
        <v>83.814000000000007</v>
      </c>
    </row>
    <row r="1332" spans="1:18" x14ac:dyDescent="0.2">
      <c r="A1332" s="13"/>
      <c r="B1332" s="18"/>
      <c r="C1332" s="19"/>
      <c r="D1332" s="19"/>
      <c r="E1332" s="20"/>
      <c r="F1332" s="22"/>
      <c r="G1332" s="36"/>
      <c r="H1332" s="38"/>
      <c r="I1332" s="38"/>
      <c r="J1332" s="13"/>
      <c r="K1332" s="18"/>
      <c r="L1332" s="19"/>
      <c r="M1332" s="19"/>
      <c r="N1332" s="20"/>
      <c r="O1332" s="22"/>
      <c r="P1332" s="36"/>
      <c r="Q1332" s="38"/>
      <c r="R1332" s="38"/>
    </row>
    <row r="1333" spans="1:18" x14ac:dyDescent="0.2">
      <c r="A1333" s="13"/>
      <c r="B1333" s="18"/>
      <c r="C1333" s="19"/>
      <c r="D1333" s="19"/>
      <c r="E1333" s="20"/>
      <c r="F1333" s="22"/>
      <c r="G1333" s="36"/>
      <c r="H1333" s="38"/>
      <c r="I1333" s="38"/>
      <c r="J1333" s="13"/>
      <c r="K1333" s="18"/>
      <c r="L1333" s="19"/>
      <c r="M1333" s="19"/>
      <c r="N1333" s="20"/>
      <c r="O1333" s="22"/>
      <c r="P1333" s="36"/>
      <c r="Q1333" s="38"/>
      <c r="R1333" s="38"/>
    </row>
    <row r="1334" spans="1:18" x14ac:dyDescent="0.2">
      <c r="A1334" s="13"/>
      <c r="B1334" s="18"/>
      <c r="C1334" s="19"/>
      <c r="D1334" s="19"/>
      <c r="E1334" s="20"/>
      <c r="F1334" s="22"/>
      <c r="G1334" s="36"/>
      <c r="H1334" s="37"/>
      <c r="I1334" s="37"/>
      <c r="J1334" s="13"/>
      <c r="K1334" s="18"/>
      <c r="L1334" s="19"/>
      <c r="M1334" s="19"/>
      <c r="N1334" s="20"/>
      <c r="O1334" s="22"/>
      <c r="P1334" s="36"/>
      <c r="Q1334" s="37"/>
      <c r="R1334" s="37"/>
    </row>
    <row r="1335" spans="1:18" x14ac:dyDescent="0.2">
      <c r="A1335" s="13"/>
      <c r="B1335" s="18"/>
      <c r="C1335" s="19"/>
      <c r="D1335" s="19"/>
      <c r="E1335" s="20"/>
      <c r="F1335" s="22"/>
      <c r="G1335" s="36"/>
      <c r="H1335" s="37"/>
      <c r="I1335" s="37"/>
      <c r="J1335" s="13"/>
      <c r="K1335" s="18"/>
      <c r="L1335" s="19"/>
      <c r="M1335" s="19"/>
      <c r="N1335" s="20"/>
      <c r="O1335" s="22"/>
      <c r="P1335" s="36"/>
      <c r="Q1335" s="37"/>
      <c r="R1335" s="37"/>
    </row>
    <row r="1336" spans="1:18" x14ac:dyDescent="0.2">
      <c r="A1336" s="13"/>
      <c r="B1336" s="18"/>
      <c r="C1336" s="19"/>
      <c r="D1336" s="19"/>
      <c r="E1336" s="20"/>
      <c r="F1336" s="22"/>
      <c r="G1336" s="36"/>
      <c r="H1336" s="37"/>
      <c r="I1336" s="37"/>
      <c r="J1336" s="13"/>
      <c r="K1336" s="18"/>
      <c r="L1336" s="19"/>
      <c r="M1336" s="19"/>
      <c r="N1336" s="20"/>
      <c r="O1336" s="22"/>
      <c r="P1336" s="22"/>
      <c r="Q1336" s="23"/>
      <c r="R1336" s="23"/>
    </row>
    <row r="1337" spans="1:18" x14ac:dyDescent="0.2">
      <c r="A1337" s="13"/>
      <c r="B1337" s="18"/>
      <c r="C1337" s="19"/>
      <c r="D1337" s="19"/>
      <c r="E1337" s="20"/>
      <c r="F1337" s="22"/>
      <c r="G1337" s="22"/>
      <c r="H1337" s="23"/>
      <c r="I1337" s="23"/>
      <c r="J1337" s="13"/>
      <c r="K1337" s="248" t="s">
        <v>30</v>
      </c>
      <c r="L1337" s="249"/>
      <c r="M1337" s="249"/>
      <c r="N1337" s="250"/>
      <c r="O1337" s="22"/>
      <c r="P1337" s="22"/>
      <c r="Q1337" s="23"/>
      <c r="R1337" s="23">
        <f>SUM(R1325:R1336)</f>
        <v>544.70150000000001</v>
      </c>
    </row>
    <row r="1338" spans="1:18" x14ac:dyDescent="0.2">
      <c r="A1338" s="13"/>
      <c r="B1338" s="248" t="s">
        <v>30</v>
      </c>
      <c r="C1338" s="249"/>
      <c r="D1338" s="249"/>
      <c r="E1338" s="250"/>
      <c r="F1338" s="22"/>
      <c r="G1338" s="22"/>
      <c r="H1338" s="23"/>
      <c r="I1338" s="23">
        <f>SUM(I1325:I1337)</f>
        <v>1107.0128</v>
      </c>
      <c r="J1338" s="12" t="s">
        <v>31</v>
      </c>
      <c r="K1338" s="260" t="s">
        <v>32</v>
      </c>
      <c r="L1338" s="261"/>
      <c r="M1338" s="261"/>
      <c r="N1338" s="261"/>
      <c r="O1338" s="161"/>
      <c r="P1338" s="161"/>
      <c r="Q1338" s="40"/>
      <c r="R1338" s="41">
        <f>SUM(R1337+R1320)</f>
        <v>1382.8415</v>
      </c>
    </row>
    <row r="1339" spans="1:18" x14ac:dyDescent="0.2">
      <c r="A1339" s="12" t="s">
        <v>31</v>
      </c>
      <c r="B1339" s="260" t="s">
        <v>32</v>
      </c>
      <c r="C1339" s="261"/>
      <c r="D1339" s="261"/>
      <c r="E1339" s="261"/>
      <c r="F1339" s="161"/>
      <c r="G1339" s="161"/>
      <c r="H1339" s="40"/>
      <c r="I1339" s="41">
        <f>SUM(I1338+I1320)</f>
        <v>1367.5408</v>
      </c>
      <c r="J1339" s="13" t="s">
        <v>33</v>
      </c>
      <c r="K1339" s="264">
        <f>N1307</f>
        <v>1</v>
      </c>
      <c r="L1339" s="265"/>
      <c r="M1339" s="265"/>
      <c r="N1339" s="265"/>
      <c r="O1339" s="265"/>
      <c r="P1339" s="265"/>
      <c r="Q1339" s="40"/>
      <c r="R1339" s="41"/>
    </row>
    <row r="1340" spans="1:18" x14ac:dyDescent="0.2">
      <c r="A1340" s="13" t="s">
        <v>33</v>
      </c>
      <c r="B1340" s="321">
        <f>E1307</f>
        <v>1</v>
      </c>
      <c r="C1340" s="322"/>
      <c r="D1340" s="322"/>
      <c r="E1340" s="322"/>
      <c r="F1340" s="322"/>
      <c r="G1340" s="322"/>
      <c r="H1340" s="40"/>
      <c r="I1340" s="41"/>
      <c r="J1340" s="13" t="s">
        <v>34</v>
      </c>
      <c r="K1340" s="162" t="s">
        <v>35</v>
      </c>
      <c r="L1340" s="43"/>
      <c r="M1340" s="43"/>
      <c r="N1340" s="161"/>
      <c r="O1340" s="163"/>
      <c r="P1340" s="163"/>
      <c r="Q1340" s="40"/>
      <c r="R1340" s="41">
        <f>R1338/N1307</f>
        <v>1382.8415</v>
      </c>
    </row>
    <row r="1341" spans="1:18" x14ac:dyDescent="0.2">
      <c r="A1341" s="13" t="s">
        <v>34</v>
      </c>
      <c r="B1341" s="162" t="s">
        <v>35</v>
      </c>
      <c r="C1341" s="43"/>
      <c r="D1341" s="43"/>
      <c r="E1341" s="161"/>
      <c r="F1341" s="163"/>
      <c r="G1341" s="163"/>
      <c r="H1341" s="40"/>
      <c r="I1341" s="41">
        <f>I1339/E1307</f>
        <v>1367.5408</v>
      </c>
      <c r="J1341" s="12"/>
      <c r="K1341" s="251" t="s">
        <v>36</v>
      </c>
      <c r="L1341" s="252"/>
      <c r="M1341" s="252"/>
      <c r="N1341" s="253"/>
      <c r="O1341" s="244" t="s">
        <v>37</v>
      </c>
      <c r="P1341" s="244" t="s">
        <v>38</v>
      </c>
      <c r="Q1341" s="244" t="s">
        <v>39</v>
      </c>
      <c r="R1341" s="246" t="s">
        <v>15</v>
      </c>
    </row>
    <row r="1342" spans="1:18" x14ac:dyDescent="0.2">
      <c r="A1342" s="12"/>
      <c r="B1342" s="251" t="s">
        <v>36</v>
      </c>
      <c r="C1342" s="252"/>
      <c r="D1342" s="252"/>
      <c r="E1342" s="253"/>
      <c r="F1342" s="244" t="s">
        <v>37</v>
      </c>
      <c r="G1342" s="244" t="s">
        <v>38</v>
      </c>
      <c r="H1342" s="244" t="s">
        <v>39</v>
      </c>
      <c r="I1342" s="246" t="s">
        <v>15</v>
      </c>
      <c r="J1342" s="13"/>
      <c r="K1342" s="254"/>
      <c r="L1342" s="255"/>
      <c r="M1342" s="255"/>
      <c r="N1342" s="256"/>
      <c r="O1342" s="245"/>
      <c r="P1342" s="245"/>
      <c r="Q1342" s="245"/>
      <c r="R1342" s="247"/>
    </row>
    <row r="1343" spans="1:18" x14ac:dyDescent="0.2">
      <c r="A1343" s="13"/>
      <c r="B1343" s="254"/>
      <c r="C1343" s="255"/>
      <c r="D1343" s="255"/>
      <c r="E1343" s="256"/>
      <c r="F1343" s="245"/>
      <c r="G1343" s="245"/>
      <c r="H1343" s="245"/>
      <c r="I1343" s="247"/>
      <c r="J1343" s="13" t="s">
        <v>40</v>
      </c>
      <c r="K1343" s="18" t="s">
        <v>41</v>
      </c>
      <c r="L1343" s="19"/>
      <c r="M1343" s="19"/>
      <c r="N1343" s="20"/>
      <c r="O1343" s="22"/>
      <c r="P1343" s="22"/>
      <c r="Q1343" s="23"/>
      <c r="R1343" s="23"/>
    </row>
    <row r="1344" spans="1:18" x14ac:dyDescent="0.2">
      <c r="A1344" s="13" t="s">
        <v>40</v>
      </c>
      <c r="B1344" s="18" t="s">
        <v>41</v>
      </c>
      <c r="C1344" s="19"/>
      <c r="D1344" s="19"/>
      <c r="E1344" s="20"/>
      <c r="F1344" s="22"/>
      <c r="G1344" s="22"/>
      <c r="H1344" s="23"/>
      <c r="I1344" s="23"/>
      <c r="J1344" s="13"/>
      <c r="K1344" s="18"/>
      <c r="L1344" s="19"/>
      <c r="M1344" s="19"/>
      <c r="N1344" s="20"/>
      <c r="O1344" s="22"/>
      <c r="P1344" s="22"/>
      <c r="Q1344" s="23"/>
      <c r="R1344" s="23"/>
    </row>
    <row r="1345" spans="1:18" x14ac:dyDescent="0.2">
      <c r="A1345" s="13"/>
      <c r="B1345" s="18"/>
      <c r="C1345" s="19"/>
      <c r="D1345" s="19"/>
      <c r="E1345" s="20"/>
      <c r="F1345" s="22"/>
      <c r="G1345" s="22"/>
      <c r="H1345" s="23"/>
      <c r="I1345" s="23"/>
      <c r="J1345" s="13"/>
      <c r="K1345" s="18" t="s">
        <v>234</v>
      </c>
      <c r="L1345" s="19"/>
      <c r="M1345" s="19"/>
      <c r="N1345" s="20"/>
      <c r="O1345" s="22" t="s">
        <v>227</v>
      </c>
      <c r="P1345" s="62">
        <v>8.4</v>
      </c>
      <c r="Q1345" s="107">
        <v>220</v>
      </c>
      <c r="R1345" s="23">
        <f t="shared" ref="R1345:R1350" si="13">Q1345*P1345</f>
        <v>1848</v>
      </c>
    </row>
    <row r="1346" spans="1:18" x14ac:dyDescent="0.2">
      <c r="A1346" s="13"/>
      <c r="B1346" s="18"/>
      <c r="C1346" s="19"/>
      <c r="D1346" s="19"/>
      <c r="E1346" s="20"/>
      <c r="F1346" s="22"/>
      <c r="G1346" s="62"/>
      <c r="H1346" s="23"/>
      <c r="I1346" s="23"/>
      <c r="J1346" s="13"/>
      <c r="K1346" s="18" t="s">
        <v>426</v>
      </c>
      <c r="L1346" s="19"/>
      <c r="M1346" s="19"/>
      <c r="N1346" s="20"/>
      <c r="O1346" s="22" t="s">
        <v>9</v>
      </c>
      <c r="P1346" s="62">
        <v>0.5</v>
      </c>
      <c r="Q1346" s="107">
        <v>850</v>
      </c>
      <c r="R1346" s="23">
        <f t="shared" si="13"/>
        <v>425</v>
      </c>
    </row>
    <row r="1347" spans="1:18" x14ac:dyDescent="0.2">
      <c r="A1347" s="13"/>
      <c r="B1347" s="18" t="s">
        <v>425</v>
      </c>
      <c r="C1347" s="66"/>
      <c r="D1347" s="19"/>
      <c r="E1347" s="20"/>
      <c r="F1347" s="22" t="s">
        <v>227</v>
      </c>
      <c r="G1347" s="70">
        <v>0.91800000000000004</v>
      </c>
      <c r="H1347" s="107">
        <v>220</v>
      </c>
      <c r="I1347" s="23">
        <f>H1347*G1347</f>
        <v>201.96</v>
      </c>
      <c r="J1347" s="13"/>
      <c r="K1347" s="18" t="s">
        <v>585</v>
      </c>
      <c r="L1347" s="19"/>
      <c r="M1347" s="19"/>
      <c r="N1347" s="20"/>
      <c r="O1347" s="22" t="s">
        <v>1153</v>
      </c>
      <c r="P1347" s="62">
        <v>0.21</v>
      </c>
      <c r="Q1347" s="107">
        <f>ROUND(434/3,2)</f>
        <v>144.66999999999999</v>
      </c>
      <c r="R1347" s="23">
        <f t="shared" si="13"/>
        <v>30.380699999999997</v>
      </c>
    </row>
    <row r="1348" spans="1:18" x14ac:dyDescent="0.2">
      <c r="A1348" s="13"/>
      <c r="B1348" s="18" t="s">
        <v>567</v>
      </c>
      <c r="C1348" s="66"/>
      <c r="D1348" s="19"/>
      <c r="E1348" s="20"/>
      <c r="F1348" s="22" t="s">
        <v>9</v>
      </c>
      <c r="G1348" s="70">
        <v>5.1999999999999998E-2</v>
      </c>
      <c r="H1348" s="107">
        <v>850</v>
      </c>
      <c r="I1348" s="23">
        <f>H1348*G1348</f>
        <v>44.199999999999996</v>
      </c>
      <c r="J1348" s="13"/>
      <c r="K1348" s="18" t="s">
        <v>586</v>
      </c>
      <c r="L1348" s="19"/>
      <c r="M1348" s="19"/>
      <c r="N1348" s="20"/>
      <c r="O1348" s="22" t="s">
        <v>8</v>
      </c>
      <c r="P1348" s="70">
        <v>1.4999999999999999E-2</v>
      </c>
      <c r="Q1348" s="107">
        <v>275</v>
      </c>
      <c r="R1348" s="23">
        <f t="shared" si="13"/>
        <v>4.125</v>
      </c>
    </row>
    <row r="1349" spans="1:18" x14ac:dyDescent="0.2">
      <c r="A1349" s="13"/>
      <c r="B1349" s="18" t="s">
        <v>568</v>
      </c>
      <c r="C1349" s="19"/>
      <c r="D1349" s="19"/>
      <c r="E1349" s="20"/>
      <c r="F1349" s="22" t="s">
        <v>9</v>
      </c>
      <c r="G1349" s="22">
        <v>0.108</v>
      </c>
      <c r="H1349" s="107">
        <v>850</v>
      </c>
      <c r="I1349" s="23">
        <f>H1349*G1349</f>
        <v>91.8</v>
      </c>
      <c r="J1349" s="13"/>
      <c r="K1349" s="18" t="s">
        <v>375</v>
      </c>
      <c r="L1349" s="19"/>
      <c r="M1349" s="19"/>
      <c r="N1349" s="20"/>
      <c r="O1349" s="22" t="s">
        <v>9</v>
      </c>
      <c r="P1349" s="62">
        <v>1</v>
      </c>
      <c r="Q1349" s="107">
        <v>650</v>
      </c>
      <c r="R1349" s="23">
        <f t="shared" si="13"/>
        <v>650</v>
      </c>
    </row>
    <row r="1350" spans="1:18" x14ac:dyDescent="0.2">
      <c r="A1350" s="13"/>
      <c r="B1350" s="18"/>
      <c r="C1350" s="19"/>
      <c r="D1350" s="19"/>
      <c r="E1350" s="20"/>
      <c r="F1350" s="22"/>
      <c r="G1350" s="22"/>
      <c r="H1350" s="45"/>
      <c r="I1350" s="45"/>
      <c r="J1350" s="13"/>
      <c r="K1350" s="18" t="s">
        <v>587</v>
      </c>
      <c r="L1350" s="19"/>
      <c r="M1350" s="19"/>
      <c r="N1350" s="20"/>
      <c r="O1350" s="22" t="s">
        <v>9</v>
      </c>
      <c r="P1350" s="70">
        <v>1.6E-2</v>
      </c>
      <c r="Q1350" s="107">
        <v>650</v>
      </c>
      <c r="R1350" s="23">
        <f t="shared" si="13"/>
        <v>10.4</v>
      </c>
    </row>
    <row r="1351" spans="1:18" x14ac:dyDescent="0.2">
      <c r="A1351" s="13"/>
      <c r="B1351" s="18"/>
      <c r="C1351" s="19"/>
      <c r="D1351" s="19"/>
      <c r="E1351" s="20"/>
      <c r="F1351" s="22"/>
      <c r="G1351" s="22"/>
      <c r="H1351" s="45"/>
      <c r="I1351" s="45"/>
      <c r="J1351" s="13"/>
      <c r="K1351" s="18" t="s">
        <v>588</v>
      </c>
      <c r="L1351" s="19"/>
      <c r="M1351" s="19"/>
      <c r="N1351" s="20"/>
      <c r="O1351" s="22" t="s">
        <v>77</v>
      </c>
      <c r="P1351" s="181">
        <v>26.03</v>
      </c>
      <c r="Q1351" s="107">
        <v>40</v>
      </c>
      <c r="R1351" s="23">
        <f>Q1351*P1351</f>
        <v>1041.2</v>
      </c>
    </row>
    <row r="1352" spans="1:18" x14ac:dyDescent="0.2">
      <c r="A1352" s="13"/>
      <c r="B1352" s="18"/>
      <c r="C1352" s="19"/>
      <c r="D1352" s="19"/>
      <c r="E1352" s="20"/>
      <c r="F1352" s="22"/>
      <c r="G1352" s="22"/>
      <c r="H1352" s="23"/>
      <c r="I1352" s="23"/>
      <c r="J1352" s="13"/>
      <c r="K1352" s="18" t="s">
        <v>589</v>
      </c>
      <c r="L1352" s="19"/>
      <c r="M1352" s="19"/>
      <c r="N1352" s="20"/>
      <c r="O1352" s="22" t="s">
        <v>80</v>
      </c>
      <c r="P1352" s="62">
        <v>0.48</v>
      </c>
      <c r="Q1352" s="107">
        <v>700</v>
      </c>
      <c r="R1352" s="23">
        <f>Q1352*P1352/4</f>
        <v>84</v>
      </c>
    </row>
    <row r="1353" spans="1:18" x14ac:dyDescent="0.2">
      <c r="A1353" s="13"/>
      <c r="B1353" s="18"/>
      <c r="C1353" s="19"/>
      <c r="D1353" s="19"/>
      <c r="E1353" s="20"/>
      <c r="F1353" s="22"/>
      <c r="G1353" s="22"/>
      <c r="H1353" s="23"/>
      <c r="I1353" s="23"/>
      <c r="J1353" s="13"/>
      <c r="K1353" s="18" t="s">
        <v>590</v>
      </c>
      <c r="L1353" s="19"/>
      <c r="M1353" s="19"/>
      <c r="N1353" s="20"/>
      <c r="O1353" s="22" t="s">
        <v>413</v>
      </c>
      <c r="P1353" s="62">
        <v>18.760000000000002</v>
      </c>
      <c r="Q1353" s="107">
        <v>40</v>
      </c>
      <c r="R1353" s="23">
        <f>Q1353*P1353/4</f>
        <v>187.60000000000002</v>
      </c>
    </row>
    <row r="1354" spans="1:18" x14ac:dyDescent="0.2">
      <c r="A1354" s="13"/>
      <c r="B1354" s="18"/>
      <c r="C1354" s="19"/>
      <c r="D1354" s="19"/>
      <c r="E1354" s="20"/>
      <c r="F1354" s="22"/>
      <c r="G1354" s="22"/>
      <c r="H1354" s="23"/>
      <c r="I1354" s="23"/>
      <c r="J1354" s="13"/>
      <c r="K1354" s="18" t="s">
        <v>591</v>
      </c>
      <c r="L1354" s="19"/>
      <c r="M1354" s="19"/>
      <c r="N1354" s="20"/>
      <c r="O1354" s="22" t="s">
        <v>77</v>
      </c>
      <c r="P1354" s="70">
        <f>ROUND(P1351*0.02,3)</f>
        <v>0.52100000000000002</v>
      </c>
      <c r="Q1354" s="107">
        <v>47</v>
      </c>
      <c r="R1354" s="23">
        <f>Q1354*P1354</f>
        <v>24.487000000000002</v>
      </c>
    </row>
    <row r="1355" spans="1:18" x14ac:dyDescent="0.2">
      <c r="A1355" s="13"/>
      <c r="B1355" s="18"/>
      <c r="C1355" s="19"/>
      <c r="D1355" s="19"/>
      <c r="E1355" s="20"/>
      <c r="F1355" s="22"/>
      <c r="G1355" s="22"/>
      <c r="H1355" s="23"/>
      <c r="I1355" s="23"/>
      <c r="J1355" s="13"/>
      <c r="K1355" s="18" t="s">
        <v>592</v>
      </c>
      <c r="L1355" s="19"/>
      <c r="M1355" s="19"/>
      <c r="N1355" s="20"/>
      <c r="O1355" s="22" t="s">
        <v>77</v>
      </c>
      <c r="P1355" s="70">
        <f>ROUND(P1353/100,3)</f>
        <v>0.188</v>
      </c>
      <c r="Q1355" s="107">
        <v>68</v>
      </c>
      <c r="R1355" s="23">
        <f>Q1355*P1355</f>
        <v>12.784000000000001</v>
      </c>
    </row>
    <row r="1356" spans="1:18" x14ac:dyDescent="0.2">
      <c r="A1356" s="13"/>
      <c r="B1356" s="18"/>
      <c r="C1356" s="19"/>
      <c r="D1356" s="19"/>
      <c r="E1356" s="20"/>
      <c r="F1356" s="22"/>
      <c r="G1356" s="22"/>
      <c r="H1356" s="23"/>
      <c r="I1356" s="23"/>
      <c r="J1356" s="13"/>
      <c r="K1356" s="18"/>
      <c r="L1356" s="19"/>
      <c r="M1356" s="19"/>
      <c r="N1356" s="20"/>
      <c r="O1356" s="22"/>
      <c r="P1356" s="36"/>
      <c r="Q1356" s="37"/>
      <c r="R1356" s="37"/>
    </row>
    <row r="1357" spans="1:18" x14ac:dyDescent="0.2">
      <c r="A1357" s="13"/>
      <c r="B1357" s="18"/>
      <c r="C1357" s="19"/>
      <c r="D1357" s="19"/>
      <c r="E1357" s="20"/>
      <c r="F1357" s="22"/>
      <c r="G1357" s="22"/>
      <c r="H1357" s="23"/>
      <c r="I1357" s="23"/>
      <c r="J1357" s="13"/>
      <c r="O1357" s="21"/>
      <c r="P1357" s="21"/>
      <c r="Q1357" s="21"/>
      <c r="R1357" s="21"/>
    </row>
    <row r="1358" spans="1:18" x14ac:dyDescent="0.2">
      <c r="A1358" s="13"/>
      <c r="B1358" s="18"/>
      <c r="C1358" s="19"/>
      <c r="D1358" s="19"/>
      <c r="E1358" s="20"/>
      <c r="F1358" s="22"/>
      <c r="G1358" s="36"/>
      <c r="H1358" s="37"/>
      <c r="I1358" s="37"/>
      <c r="J1358" s="13"/>
      <c r="K1358" s="248" t="s">
        <v>42</v>
      </c>
      <c r="L1358" s="249"/>
      <c r="M1358" s="249"/>
      <c r="N1358" s="250"/>
      <c r="O1358" s="46"/>
      <c r="P1358" s="46"/>
      <c r="Q1358" s="47"/>
      <c r="R1358" s="47">
        <f>SUM(R1345:R1357)</f>
        <v>4317.9767000000002</v>
      </c>
    </row>
    <row r="1359" spans="1:18" x14ac:dyDescent="0.2">
      <c r="A1359" s="13"/>
      <c r="B1359" s="248" t="s">
        <v>42</v>
      </c>
      <c r="C1359" s="249"/>
      <c r="D1359" s="249"/>
      <c r="E1359" s="250"/>
      <c r="F1359" s="46"/>
      <c r="G1359" s="46"/>
      <c r="H1359" s="47"/>
      <c r="I1359" s="47">
        <f>SUM(I1346:I1358)</f>
        <v>337.96</v>
      </c>
      <c r="J1359" s="12" t="s">
        <v>43</v>
      </c>
      <c r="K1359" s="48" t="s">
        <v>44</v>
      </c>
      <c r="L1359" s="43"/>
      <c r="M1359" s="43"/>
      <c r="N1359" s="161"/>
      <c r="O1359" s="49"/>
      <c r="P1359" s="49"/>
      <c r="Q1359" s="50"/>
      <c r="R1359" s="51">
        <f>SUM(R1340+R1358)</f>
        <v>5700.8181999999997</v>
      </c>
    </row>
    <row r="1360" spans="1:18" x14ac:dyDescent="0.2">
      <c r="A1360" s="12" t="s">
        <v>43</v>
      </c>
      <c r="B1360" s="48" t="s">
        <v>44</v>
      </c>
      <c r="C1360" s="43"/>
      <c r="D1360" s="43"/>
      <c r="E1360" s="161"/>
      <c r="F1360" s="49"/>
      <c r="G1360" s="49"/>
      <c r="H1360" s="50"/>
      <c r="I1360" s="51">
        <f>SUM(I1341+I1359)</f>
        <v>1705.5008</v>
      </c>
      <c r="J1360" s="13" t="s">
        <v>45</v>
      </c>
      <c r="K1360" s="48" t="s">
        <v>46</v>
      </c>
      <c r="L1360" s="43"/>
      <c r="M1360" s="43"/>
      <c r="N1360" s="161"/>
      <c r="O1360" s="49"/>
      <c r="P1360" s="52">
        <v>0.09</v>
      </c>
      <c r="Q1360" s="53" t="s">
        <v>47</v>
      </c>
      <c r="R1360" s="51">
        <f>P1360*R1359</f>
        <v>513.07363799999996</v>
      </c>
    </row>
    <row r="1361" spans="1:18" x14ac:dyDescent="0.2">
      <c r="A1361" s="13" t="s">
        <v>45</v>
      </c>
      <c r="B1361" s="48" t="s">
        <v>46</v>
      </c>
      <c r="C1361" s="43"/>
      <c r="D1361" s="43"/>
      <c r="E1361" s="161"/>
      <c r="F1361" s="49"/>
      <c r="G1361" s="52">
        <v>0.09</v>
      </c>
      <c r="H1361" s="53" t="s">
        <v>47</v>
      </c>
      <c r="I1361" s="51">
        <f>G1361*I1360</f>
        <v>153.49507199999999</v>
      </c>
      <c r="J1361" s="13" t="s">
        <v>48</v>
      </c>
      <c r="K1361" s="48" t="s">
        <v>49</v>
      </c>
      <c r="L1361" s="43"/>
      <c r="M1361" s="43"/>
      <c r="N1361" s="161"/>
      <c r="O1361" s="49"/>
      <c r="P1361" s="52">
        <v>0.08</v>
      </c>
      <c r="Q1361" s="53" t="s">
        <v>47</v>
      </c>
      <c r="R1361" s="51">
        <f>P1361*R1359</f>
        <v>456.06545599999998</v>
      </c>
    </row>
    <row r="1362" spans="1:18" x14ac:dyDescent="0.2">
      <c r="A1362" s="13" t="s">
        <v>48</v>
      </c>
      <c r="B1362" s="48" t="s">
        <v>49</v>
      </c>
      <c r="C1362" s="43"/>
      <c r="D1362" s="43"/>
      <c r="E1362" s="161"/>
      <c r="F1362" s="49"/>
      <c r="G1362" s="52">
        <v>0.08</v>
      </c>
      <c r="H1362" s="53" t="s">
        <v>47</v>
      </c>
      <c r="I1362" s="51">
        <f>G1362*I1360</f>
        <v>136.44006400000001</v>
      </c>
      <c r="J1362" s="13" t="s">
        <v>50</v>
      </c>
      <c r="K1362" s="48" t="s">
        <v>51</v>
      </c>
      <c r="L1362" s="43"/>
      <c r="M1362" s="43"/>
      <c r="N1362" s="161"/>
      <c r="O1362" s="49"/>
      <c r="P1362" s="52">
        <v>0.05</v>
      </c>
      <c r="Q1362" s="53" t="s">
        <v>52</v>
      </c>
      <c r="R1362" s="51">
        <f>P1362*(R1359+R1360+R1361)</f>
        <v>333.49786470000004</v>
      </c>
    </row>
    <row r="1363" spans="1:18" x14ac:dyDescent="0.2">
      <c r="A1363" s="13" t="s">
        <v>50</v>
      </c>
      <c r="B1363" s="48" t="s">
        <v>51</v>
      </c>
      <c r="C1363" s="43"/>
      <c r="D1363" s="43"/>
      <c r="E1363" s="161"/>
      <c r="F1363" s="49"/>
      <c r="G1363" s="52">
        <v>0.05</v>
      </c>
      <c r="H1363" s="53" t="s">
        <v>52</v>
      </c>
      <c r="I1363" s="51">
        <f>G1363*(I1360+I1361+I1362)</f>
        <v>99.771796800000004</v>
      </c>
      <c r="J1363" s="54" t="s">
        <v>53</v>
      </c>
      <c r="K1363" s="48" t="s">
        <v>54</v>
      </c>
      <c r="L1363" s="43"/>
      <c r="M1363" s="43"/>
      <c r="N1363" s="161"/>
      <c r="O1363" s="49"/>
      <c r="P1363" s="49"/>
      <c r="Q1363" s="55" t="s">
        <v>55</v>
      </c>
      <c r="R1363" s="51">
        <f>SUM(R1359+R1360+R1361+R1362)</f>
        <v>7003.4551586999996</v>
      </c>
    </row>
    <row r="1364" spans="1:18" x14ac:dyDescent="0.2">
      <c r="A1364" s="54" t="s">
        <v>53</v>
      </c>
      <c r="B1364" s="48" t="s">
        <v>54</v>
      </c>
      <c r="C1364" s="43"/>
      <c r="D1364" s="43"/>
      <c r="E1364" s="161"/>
      <c r="F1364" s="49"/>
      <c r="G1364" s="49"/>
      <c r="H1364" s="55" t="s">
        <v>55</v>
      </c>
      <c r="I1364" s="51">
        <f>SUM(I1360+I1361+I1362+I1363)</f>
        <v>2095.2077328</v>
      </c>
      <c r="J1364" s="164" t="s">
        <v>157</v>
      </c>
      <c r="K1364" s="66" t="s">
        <v>593</v>
      </c>
      <c r="L1364" s="19"/>
      <c r="M1364" s="19"/>
      <c r="N1364" s="20"/>
      <c r="O1364" s="66"/>
      <c r="P1364" s="66"/>
      <c r="Q1364" s="182"/>
      <c r="R1364" s="183"/>
    </row>
    <row r="1365" spans="1:18" s="1" customFormat="1" x14ac:dyDescent="0.2">
      <c r="A1365" s="236" t="s">
        <v>0</v>
      </c>
      <c r="B1365" s="236"/>
      <c r="C1365" s="236"/>
      <c r="D1365" s="236"/>
      <c r="E1365" s="236"/>
      <c r="F1365" s="236"/>
      <c r="G1365" s="236"/>
      <c r="H1365" s="236"/>
      <c r="I1365" s="236"/>
      <c r="J1365" s="236" t="s">
        <v>0</v>
      </c>
      <c r="K1365" s="236"/>
      <c r="L1365" s="236"/>
      <c r="M1365" s="236"/>
      <c r="N1365" s="236"/>
      <c r="O1365" s="236"/>
      <c r="P1365" s="236"/>
      <c r="Q1365" s="236"/>
      <c r="R1365" s="236"/>
    </row>
    <row r="1367" spans="1:18" x14ac:dyDescent="0.2">
      <c r="A1367" s="158" t="s">
        <v>1</v>
      </c>
      <c r="C1367" s="4" t="s">
        <v>2</v>
      </c>
      <c r="D1367" s="5" t="s">
        <v>580</v>
      </c>
      <c r="E1367" s="158" t="s">
        <v>581</v>
      </c>
      <c r="F1367" s="158"/>
      <c r="G1367" s="158"/>
      <c r="H1367" s="158"/>
      <c r="J1367" s="2" t="s">
        <v>1</v>
      </c>
      <c r="L1367" s="4" t="s">
        <v>2</v>
      </c>
      <c r="M1367" s="5" t="s">
        <v>596</v>
      </c>
      <c r="N1367" s="237" t="s">
        <v>597</v>
      </c>
      <c r="O1367" s="237"/>
      <c r="P1367" s="237"/>
      <c r="Q1367" s="237"/>
    </row>
    <row r="1368" spans="1:18" x14ac:dyDescent="0.2">
      <c r="A1368" s="158" t="s">
        <v>7</v>
      </c>
      <c r="C1368" s="4" t="s">
        <v>2</v>
      </c>
      <c r="E1368" s="158" t="s">
        <v>1153</v>
      </c>
      <c r="F1368" s="8"/>
      <c r="G1368" s="8"/>
      <c r="H1368" s="8"/>
      <c r="J1368" s="2" t="s">
        <v>7</v>
      </c>
      <c r="L1368" s="4" t="s">
        <v>2</v>
      </c>
      <c r="N1368" s="2" t="s">
        <v>9</v>
      </c>
      <c r="O1368" s="8"/>
      <c r="P1368" s="8"/>
      <c r="Q1368" s="8"/>
    </row>
    <row r="1369" spans="1:18" x14ac:dyDescent="0.2">
      <c r="A1369" s="158" t="s">
        <v>10</v>
      </c>
      <c r="C1369" s="4" t="s">
        <v>2</v>
      </c>
      <c r="E1369" s="9">
        <f>4*0.25</f>
        <v>1</v>
      </c>
      <c r="F1369" s="8"/>
      <c r="G1369" s="8"/>
      <c r="H1369" s="8"/>
      <c r="J1369" s="2" t="s">
        <v>10</v>
      </c>
      <c r="L1369" s="4" t="s">
        <v>2</v>
      </c>
      <c r="N1369" s="9">
        <f>2*10/8</f>
        <v>2.5</v>
      </c>
      <c r="O1369" s="8"/>
      <c r="P1369" s="8"/>
      <c r="Q1369" s="8"/>
    </row>
    <row r="1370" spans="1:18" x14ac:dyDescent="0.2">
      <c r="B1370" s="8"/>
      <c r="F1370" s="11"/>
      <c r="G1370" s="8"/>
      <c r="H1370" s="8"/>
      <c r="I1370" s="8"/>
      <c r="K1370" s="8"/>
      <c r="O1370" s="11"/>
      <c r="P1370" s="8"/>
      <c r="Q1370" s="8"/>
      <c r="R1370" s="8"/>
    </row>
    <row r="1371" spans="1:18" x14ac:dyDescent="0.2">
      <c r="A1371" s="12"/>
      <c r="B1371" s="238" t="s">
        <v>11</v>
      </c>
      <c r="C1371" s="239"/>
      <c r="D1371" s="239"/>
      <c r="E1371" s="240"/>
      <c r="F1371" s="244" t="s">
        <v>12</v>
      </c>
      <c r="G1371" s="244" t="s">
        <v>13</v>
      </c>
      <c r="H1371" s="244" t="s">
        <v>14</v>
      </c>
      <c r="I1371" s="246" t="s">
        <v>15</v>
      </c>
      <c r="J1371" s="12"/>
      <c r="K1371" s="238" t="s">
        <v>11</v>
      </c>
      <c r="L1371" s="239"/>
      <c r="M1371" s="239"/>
      <c r="N1371" s="240"/>
      <c r="O1371" s="244" t="s">
        <v>12</v>
      </c>
      <c r="P1371" s="244" t="s">
        <v>13</v>
      </c>
      <c r="Q1371" s="244" t="s">
        <v>14</v>
      </c>
      <c r="R1371" s="246" t="s">
        <v>15</v>
      </c>
    </row>
    <row r="1372" spans="1:18" x14ac:dyDescent="0.2">
      <c r="A1372" s="13"/>
      <c r="B1372" s="241"/>
      <c r="C1372" s="242"/>
      <c r="D1372" s="242"/>
      <c r="E1372" s="243"/>
      <c r="F1372" s="245"/>
      <c r="G1372" s="245"/>
      <c r="H1372" s="245"/>
      <c r="I1372" s="247"/>
      <c r="J1372" s="13"/>
      <c r="K1372" s="241"/>
      <c r="L1372" s="242"/>
      <c r="M1372" s="242"/>
      <c r="N1372" s="243"/>
      <c r="O1372" s="245"/>
      <c r="P1372" s="245"/>
      <c r="Q1372" s="245"/>
      <c r="R1372" s="247"/>
    </row>
    <row r="1373" spans="1:18" x14ac:dyDescent="0.2">
      <c r="A1373" s="13" t="s">
        <v>16</v>
      </c>
      <c r="B1373" s="14" t="s">
        <v>17</v>
      </c>
      <c r="C1373" s="15"/>
      <c r="D1373" s="15"/>
      <c r="E1373" s="16"/>
      <c r="F1373" s="17"/>
      <c r="G1373" s="17"/>
      <c r="H1373" s="17"/>
      <c r="I1373" s="17"/>
      <c r="J1373" s="13" t="s">
        <v>16</v>
      </c>
      <c r="K1373" s="14" t="s">
        <v>17</v>
      </c>
      <c r="L1373" s="15"/>
      <c r="M1373" s="15"/>
      <c r="N1373" s="16"/>
      <c r="O1373" s="17"/>
      <c r="P1373" s="17"/>
      <c r="Q1373" s="17"/>
      <c r="R1373" s="17"/>
    </row>
    <row r="1374" spans="1:18" x14ac:dyDescent="0.2">
      <c r="A1374" s="13"/>
      <c r="B1374" s="18"/>
      <c r="C1374" s="19"/>
      <c r="D1374" s="19"/>
      <c r="E1374" s="20"/>
      <c r="F1374" s="21"/>
      <c r="G1374" s="22"/>
      <c r="H1374" s="21"/>
      <c r="I1374" s="21"/>
      <c r="J1374" s="13"/>
      <c r="K1374" s="18"/>
      <c r="L1374" s="19"/>
      <c r="M1374" s="19"/>
      <c r="N1374" s="20"/>
      <c r="O1374" s="21"/>
      <c r="P1374" s="22"/>
      <c r="Q1374" s="21"/>
      <c r="R1374" s="21"/>
    </row>
    <row r="1375" spans="1:18" x14ac:dyDescent="0.2">
      <c r="A1375" s="13"/>
      <c r="B1375" s="24" t="s">
        <v>18</v>
      </c>
      <c r="C1375" s="25"/>
      <c r="D1375" s="25"/>
      <c r="E1375" s="26"/>
      <c r="F1375" s="22">
        <v>1</v>
      </c>
      <c r="G1375" s="23">
        <v>1</v>
      </c>
      <c r="H1375" s="23">
        <v>69.42</v>
      </c>
      <c r="I1375" s="23">
        <f>G1375*H1375*F1375</f>
        <v>69.42</v>
      </c>
      <c r="J1375" s="13"/>
      <c r="K1375" s="24" t="s">
        <v>18</v>
      </c>
      <c r="L1375" s="25"/>
      <c r="M1375" s="25"/>
      <c r="N1375" s="26"/>
      <c r="O1375" s="22">
        <v>1</v>
      </c>
      <c r="P1375" s="23">
        <v>1</v>
      </c>
      <c r="Q1375" s="23">
        <v>69.42</v>
      </c>
      <c r="R1375" s="23">
        <f>P1375*Q1375*O1375</f>
        <v>69.42</v>
      </c>
    </row>
    <row r="1376" spans="1:18" x14ac:dyDescent="0.2">
      <c r="A1376" s="13"/>
      <c r="B1376" s="257" t="s">
        <v>1178</v>
      </c>
      <c r="C1376" s="258"/>
      <c r="D1376" s="25"/>
      <c r="E1376" s="26"/>
      <c r="F1376" s="22">
        <v>2</v>
      </c>
      <c r="G1376" s="23">
        <v>1</v>
      </c>
      <c r="H1376" s="23">
        <v>50.18</v>
      </c>
      <c r="I1376" s="23">
        <f>G1376*H1376*F1376</f>
        <v>100.36</v>
      </c>
      <c r="J1376" s="13"/>
      <c r="K1376" s="257" t="s">
        <v>1178</v>
      </c>
      <c r="L1376" s="258"/>
      <c r="M1376" s="25"/>
      <c r="N1376" s="26"/>
      <c r="O1376" s="22">
        <v>2</v>
      </c>
      <c r="P1376" s="23">
        <v>1</v>
      </c>
      <c r="Q1376" s="23">
        <v>50.18</v>
      </c>
      <c r="R1376" s="23">
        <f>P1376*Q1376*O1376</f>
        <v>100.36</v>
      </c>
    </row>
    <row r="1377" spans="1:18" x14ac:dyDescent="0.2">
      <c r="A1377" s="13"/>
      <c r="B1377" s="257" t="s">
        <v>1177</v>
      </c>
      <c r="C1377" s="258"/>
      <c r="D1377" s="19"/>
      <c r="E1377" s="20"/>
      <c r="F1377" s="22">
        <v>4</v>
      </c>
      <c r="G1377" s="23">
        <v>1</v>
      </c>
      <c r="H1377" s="23">
        <v>38.97</v>
      </c>
      <c r="I1377" s="23">
        <f>G1377*H1377*F1377</f>
        <v>155.88</v>
      </c>
      <c r="J1377" s="13"/>
      <c r="K1377" s="257" t="s">
        <v>1177</v>
      </c>
      <c r="L1377" s="258"/>
      <c r="M1377" s="19"/>
      <c r="N1377" s="20"/>
      <c r="O1377" s="22">
        <v>8</v>
      </c>
      <c r="P1377" s="23">
        <v>1</v>
      </c>
      <c r="Q1377" s="23">
        <v>38.97</v>
      </c>
      <c r="R1377" s="23">
        <f>P1377*Q1377*O1377</f>
        <v>311.76</v>
      </c>
    </row>
    <row r="1378" spans="1:18" x14ac:dyDescent="0.2">
      <c r="A1378" s="13"/>
      <c r="B1378" s="159"/>
      <c r="C1378" s="19"/>
      <c r="D1378" s="19"/>
      <c r="E1378" s="20"/>
      <c r="F1378" s="22"/>
      <c r="G1378" s="22"/>
      <c r="H1378" s="29"/>
      <c r="I1378" s="30"/>
      <c r="J1378" s="13"/>
      <c r="K1378" s="27"/>
      <c r="L1378" s="19"/>
      <c r="M1378" s="19"/>
      <c r="N1378" s="20"/>
      <c r="O1378" s="22"/>
      <c r="P1378" s="22"/>
      <c r="Q1378" s="29"/>
      <c r="R1378" s="30"/>
    </row>
    <row r="1379" spans="1:18" x14ac:dyDescent="0.2">
      <c r="A1379" s="13"/>
      <c r="B1379" s="159"/>
      <c r="C1379" s="19"/>
      <c r="D1379" s="19"/>
      <c r="E1379" s="20"/>
      <c r="F1379" s="22"/>
      <c r="G1379" s="22"/>
      <c r="H1379" s="29"/>
      <c r="I1379" s="30"/>
      <c r="J1379" s="13"/>
      <c r="K1379" s="27"/>
      <c r="L1379" s="19"/>
      <c r="M1379" s="19"/>
      <c r="N1379" s="20"/>
      <c r="O1379" s="22"/>
      <c r="P1379" s="22"/>
      <c r="Q1379" s="29"/>
      <c r="R1379" s="30"/>
    </row>
    <row r="1380" spans="1:18" x14ac:dyDescent="0.2">
      <c r="A1380" s="13"/>
      <c r="B1380" s="18"/>
      <c r="C1380" s="19"/>
      <c r="D1380" s="19"/>
      <c r="E1380" s="20"/>
      <c r="F1380" s="22"/>
      <c r="G1380" s="22"/>
      <c r="H1380" s="28"/>
      <c r="I1380" s="23"/>
      <c r="J1380" s="13"/>
      <c r="K1380" s="18"/>
      <c r="L1380" s="19"/>
      <c r="M1380" s="19"/>
      <c r="N1380" s="20"/>
      <c r="O1380" s="22"/>
      <c r="P1380" s="22"/>
      <c r="Q1380" s="28"/>
      <c r="R1380" s="23"/>
    </row>
    <row r="1381" spans="1:18" x14ac:dyDescent="0.2">
      <c r="A1381" s="13"/>
      <c r="B1381" s="18"/>
      <c r="C1381" s="19"/>
      <c r="D1381" s="19"/>
      <c r="E1381" s="20"/>
      <c r="F1381" s="22"/>
      <c r="G1381" s="22"/>
      <c r="H1381" s="23"/>
      <c r="I1381" s="23"/>
      <c r="J1381" s="13"/>
      <c r="K1381" s="18"/>
      <c r="L1381" s="19"/>
      <c r="M1381" s="19"/>
      <c r="N1381" s="20"/>
      <c r="O1381" s="22"/>
      <c r="P1381" s="22"/>
      <c r="Q1381" s="23"/>
      <c r="R1381" s="23"/>
    </row>
    <row r="1382" spans="1:18" x14ac:dyDescent="0.2">
      <c r="A1382" s="13"/>
      <c r="B1382" s="248" t="s">
        <v>20</v>
      </c>
      <c r="C1382" s="249"/>
      <c r="D1382" s="249"/>
      <c r="E1382" s="250"/>
      <c r="F1382" s="31"/>
      <c r="G1382" s="31"/>
      <c r="H1382" s="32"/>
      <c r="I1382" s="32">
        <f>SUM(I1375:I1381)</f>
        <v>325.65999999999997</v>
      </c>
      <c r="J1382" s="13"/>
      <c r="K1382" s="248" t="s">
        <v>20</v>
      </c>
      <c r="L1382" s="249"/>
      <c r="M1382" s="249"/>
      <c r="N1382" s="250"/>
      <c r="O1382" s="31"/>
      <c r="P1382" s="31"/>
      <c r="Q1382" s="32"/>
      <c r="R1382" s="32">
        <f>SUM(R1375:R1381)</f>
        <v>481.53999999999996</v>
      </c>
    </row>
    <row r="1383" spans="1:18" x14ac:dyDescent="0.2">
      <c r="A1383" s="12"/>
      <c r="B1383" s="251" t="s">
        <v>21</v>
      </c>
      <c r="C1383" s="252"/>
      <c r="D1383" s="252"/>
      <c r="E1383" s="253"/>
      <c r="F1383" s="244" t="s">
        <v>22</v>
      </c>
      <c r="G1383" s="244" t="s">
        <v>13</v>
      </c>
      <c r="H1383" s="244" t="s">
        <v>14</v>
      </c>
      <c r="I1383" s="246" t="s">
        <v>15</v>
      </c>
      <c r="J1383" s="12"/>
      <c r="K1383" s="251" t="s">
        <v>21</v>
      </c>
      <c r="L1383" s="252"/>
      <c r="M1383" s="252"/>
      <c r="N1383" s="253"/>
      <c r="O1383" s="244" t="s">
        <v>22</v>
      </c>
      <c r="P1383" s="244" t="s">
        <v>13</v>
      </c>
      <c r="Q1383" s="244" t="s">
        <v>14</v>
      </c>
      <c r="R1383" s="246" t="s">
        <v>15</v>
      </c>
    </row>
    <row r="1384" spans="1:18" x14ac:dyDescent="0.2">
      <c r="A1384" s="13"/>
      <c r="B1384" s="254"/>
      <c r="C1384" s="255"/>
      <c r="D1384" s="255"/>
      <c r="E1384" s="256"/>
      <c r="F1384" s="245"/>
      <c r="G1384" s="245"/>
      <c r="H1384" s="245"/>
      <c r="I1384" s="247"/>
      <c r="J1384" s="13"/>
      <c r="K1384" s="254"/>
      <c r="L1384" s="255"/>
      <c r="M1384" s="255"/>
      <c r="N1384" s="256"/>
      <c r="O1384" s="245"/>
      <c r="P1384" s="245"/>
      <c r="Q1384" s="245"/>
      <c r="R1384" s="247"/>
    </row>
    <row r="1385" spans="1:18" x14ac:dyDescent="0.2">
      <c r="A1385" s="13" t="s">
        <v>23</v>
      </c>
      <c r="B1385" s="33" t="s">
        <v>24</v>
      </c>
      <c r="C1385" s="15"/>
      <c r="D1385" s="15"/>
      <c r="E1385" s="16"/>
      <c r="F1385" s="34"/>
      <c r="G1385" s="34"/>
      <c r="H1385" s="35"/>
      <c r="I1385" s="35"/>
      <c r="J1385" s="13" t="s">
        <v>23</v>
      </c>
      <c r="K1385" s="33" t="s">
        <v>24</v>
      </c>
      <c r="L1385" s="15"/>
      <c r="M1385" s="15"/>
      <c r="N1385" s="16"/>
      <c r="O1385" s="34"/>
      <c r="P1385" s="34"/>
      <c r="Q1385" s="35"/>
      <c r="R1385" s="35"/>
    </row>
    <row r="1386" spans="1:18" x14ac:dyDescent="0.2">
      <c r="A1386" s="13"/>
      <c r="B1386" s="18"/>
      <c r="C1386" s="19"/>
      <c r="D1386" s="19"/>
      <c r="E1386" s="20"/>
      <c r="F1386" s="22"/>
      <c r="G1386" s="22"/>
      <c r="H1386" s="23"/>
      <c r="I1386" s="23"/>
      <c r="J1386" s="13"/>
      <c r="K1386" s="18"/>
      <c r="L1386" s="19"/>
      <c r="M1386" s="19"/>
      <c r="N1386" s="20"/>
      <c r="O1386" s="22"/>
      <c r="P1386" s="22"/>
      <c r="Q1386" s="23"/>
      <c r="R1386" s="23"/>
    </row>
    <row r="1387" spans="1:18" x14ac:dyDescent="0.2">
      <c r="A1387" s="13"/>
      <c r="B1387" s="18" t="s">
        <v>62</v>
      </c>
      <c r="C1387" s="66"/>
      <c r="D1387" s="19"/>
      <c r="E1387" s="20"/>
      <c r="F1387" s="22">
        <v>1</v>
      </c>
      <c r="G1387" s="23">
        <v>0.6</v>
      </c>
      <c r="H1387" s="37">
        <v>1537</v>
      </c>
      <c r="I1387" s="37">
        <f>G1387*H1387*F1387</f>
        <v>922.19999999999993</v>
      </c>
      <c r="J1387" s="13"/>
      <c r="K1387" s="18" t="s">
        <v>598</v>
      </c>
      <c r="L1387" s="19"/>
      <c r="M1387" s="19"/>
      <c r="N1387" s="20"/>
      <c r="O1387" s="22"/>
      <c r="P1387" s="36"/>
      <c r="Q1387" s="37"/>
      <c r="R1387" s="37"/>
    </row>
    <row r="1388" spans="1:18" x14ac:dyDescent="0.2">
      <c r="A1388" s="13"/>
      <c r="B1388" s="18" t="s">
        <v>424</v>
      </c>
      <c r="C1388" s="19"/>
      <c r="D1388" s="19"/>
      <c r="E1388" s="20"/>
      <c r="F1388" s="22">
        <v>1</v>
      </c>
      <c r="G1388" s="23">
        <v>0.5</v>
      </c>
      <c r="H1388" s="37">
        <v>123</v>
      </c>
      <c r="I1388" s="37">
        <f>G1388*H1388*F1388</f>
        <v>61.5</v>
      </c>
      <c r="J1388" s="13"/>
      <c r="K1388" s="340" t="s">
        <v>599</v>
      </c>
      <c r="L1388" s="341"/>
      <c r="M1388" s="341"/>
      <c r="N1388" s="342"/>
      <c r="O1388" s="22"/>
      <c r="P1388" s="36"/>
      <c r="Q1388" s="37"/>
      <c r="R1388" s="37"/>
    </row>
    <row r="1389" spans="1:18" x14ac:dyDescent="0.2">
      <c r="A1389" s="13"/>
      <c r="B1389" s="18" t="s">
        <v>1174</v>
      </c>
      <c r="C1389" s="19"/>
      <c r="D1389" s="19"/>
      <c r="E1389" s="20"/>
      <c r="F1389" s="22">
        <v>1</v>
      </c>
      <c r="G1389" s="23">
        <v>0.15</v>
      </c>
      <c r="H1389" s="37">
        <v>2450</v>
      </c>
      <c r="I1389" s="37">
        <f>F1389*G1389*H1389</f>
        <v>367.5</v>
      </c>
      <c r="J1389" s="13"/>
      <c r="K1389" s="340"/>
      <c r="L1389" s="341"/>
      <c r="M1389" s="341"/>
      <c r="N1389" s="342"/>
      <c r="O1389" s="22"/>
      <c r="P1389" s="23"/>
      <c r="Q1389" s="37"/>
      <c r="R1389" s="37"/>
    </row>
    <row r="1390" spans="1:18" x14ac:dyDescent="0.2">
      <c r="A1390" s="13"/>
      <c r="B1390" s="18" t="s">
        <v>125</v>
      </c>
      <c r="C1390" s="66"/>
      <c r="D1390" s="19"/>
      <c r="E1390" s="20"/>
      <c r="F1390" s="22"/>
      <c r="G1390" s="71"/>
      <c r="I1390" s="37">
        <f>I1382*0.1</f>
        <v>32.565999999999995</v>
      </c>
      <c r="J1390" s="13"/>
      <c r="K1390" s="18"/>
      <c r="O1390" s="22"/>
      <c r="P1390" s="36"/>
      <c r="Q1390" s="37"/>
      <c r="R1390" s="37"/>
    </row>
    <row r="1391" spans="1:18" x14ac:dyDescent="0.2">
      <c r="A1391" s="13"/>
      <c r="B1391" s="18"/>
      <c r="C1391" s="66"/>
      <c r="D1391" s="19"/>
      <c r="E1391" s="20"/>
      <c r="F1391" s="22"/>
      <c r="G1391" s="71"/>
      <c r="H1391" s="37"/>
      <c r="I1391" s="37"/>
      <c r="J1391" s="13"/>
      <c r="K1391" s="18"/>
      <c r="L1391" s="19"/>
      <c r="M1391" s="19"/>
      <c r="N1391" s="20"/>
      <c r="O1391" s="22"/>
      <c r="P1391" s="36"/>
      <c r="Q1391" s="37"/>
      <c r="R1391" s="37"/>
    </row>
    <row r="1392" spans="1:18" x14ac:dyDescent="0.2">
      <c r="A1392" s="13"/>
      <c r="B1392" s="18"/>
      <c r="C1392" s="66"/>
      <c r="D1392" s="19"/>
      <c r="E1392" s="20"/>
      <c r="F1392" s="22"/>
      <c r="G1392" s="71"/>
      <c r="H1392" s="37"/>
      <c r="I1392" s="37"/>
      <c r="J1392" s="13"/>
      <c r="K1392" s="18"/>
      <c r="L1392" s="19"/>
      <c r="M1392" s="19"/>
      <c r="N1392" s="20"/>
      <c r="O1392" s="22"/>
      <c r="P1392" s="36"/>
      <c r="Q1392" s="38"/>
      <c r="R1392" s="38"/>
    </row>
    <row r="1393" spans="1:18" x14ac:dyDescent="0.2">
      <c r="A1393" s="13"/>
      <c r="B1393" s="18"/>
      <c r="C1393" s="19"/>
      <c r="D1393" s="19"/>
      <c r="E1393" s="20"/>
      <c r="F1393" s="22"/>
      <c r="G1393" s="36"/>
      <c r="H1393" s="38"/>
      <c r="I1393" s="38"/>
      <c r="J1393" s="13"/>
      <c r="K1393" s="18"/>
      <c r="L1393" s="19"/>
      <c r="M1393" s="19"/>
      <c r="N1393" s="20"/>
      <c r="O1393" s="22"/>
      <c r="P1393" s="36"/>
      <c r="Q1393" s="38"/>
      <c r="R1393" s="38"/>
    </row>
    <row r="1394" spans="1:18" x14ac:dyDescent="0.2">
      <c r="A1394" s="13"/>
      <c r="B1394" s="18"/>
      <c r="C1394" s="19"/>
      <c r="D1394" s="19"/>
      <c r="E1394" s="20"/>
      <c r="F1394" s="22"/>
      <c r="G1394" s="36"/>
      <c r="H1394" s="38"/>
      <c r="I1394" s="38"/>
      <c r="J1394" s="13"/>
      <c r="K1394" s="18"/>
      <c r="L1394" s="19"/>
      <c r="M1394" s="19"/>
      <c r="N1394" s="20"/>
      <c r="O1394" s="22"/>
      <c r="P1394" s="36"/>
      <c r="Q1394" s="38"/>
      <c r="R1394" s="38"/>
    </row>
    <row r="1395" spans="1:18" x14ac:dyDescent="0.2">
      <c r="A1395" s="13"/>
      <c r="B1395" s="18"/>
      <c r="C1395" s="19"/>
      <c r="D1395" s="19"/>
      <c r="E1395" s="20"/>
      <c r="F1395" s="22"/>
      <c r="G1395" s="36"/>
      <c r="H1395" s="38"/>
      <c r="I1395" s="38"/>
      <c r="J1395" s="13"/>
      <c r="K1395" s="18"/>
      <c r="L1395" s="19"/>
      <c r="M1395" s="19"/>
      <c r="N1395" s="20"/>
      <c r="O1395" s="22"/>
      <c r="P1395" s="36"/>
      <c r="Q1395" s="38"/>
      <c r="R1395" s="38"/>
    </row>
    <row r="1396" spans="1:18" x14ac:dyDescent="0.2">
      <c r="A1396" s="13"/>
      <c r="B1396" s="18"/>
      <c r="C1396" s="19"/>
      <c r="D1396" s="19"/>
      <c r="E1396" s="20"/>
      <c r="F1396" s="22"/>
      <c r="G1396" s="36"/>
      <c r="H1396" s="37"/>
      <c r="I1396" s="37"/>
      <c r="J1396" s="13"/>
      <c r="K1396" s="18"/>
      <c r="L1396" s="19"/>
      <c r="M1396" s="19"/>
      <c r="N1396" s="20"/>
      <c r="O1396" s="22"/>
      <c r="P1396" s="36"/>
      <c r="Q1396" s="37"/>
      <c r="R1396" s="37"/>
    </row>
    <row r="1397" spans="1:18" x14ac:dyDescent="0.2">
      <c r="A1397" s="13"/>
      <c r="B1397" s="18"/>
      <c r="C1397" s="19"/>
      <c r="D1397" s="19"/>
      <c r="E1397" s="20"/>
      <c r="F1397" s="22"/>
      <c r="G1397" s="36"/>
      <c r="H1397" s="37"/>
      <c r="I1397" s="37"/>
      <c r="J1397" s="13"/>
      <c r="K1397" s="18"/>
      <c r="L1397" s="19"/>
      <c r="M1397" s="19"/>
      <c r="N1397" s="20"/>
      <c r="O1397" s="22"/>
      <c r="P1397" s="36"/>
      <c r="Q1397" s="37"/>
      <c r="R1397" s="37"/>
    </row>
    <row r="1398" spans="1:18" x14ac:dyDescent="0.2">
      <c r="A1398" s="13"/>
      <c r="B1398" s="18"/>
      <c r="C1398" s="19"/>
      <c r="D1398" s="19"/>
      <c r="E1398" s="20"/>
      <c r="F1398" s="22"/>
      <c r="G1398" s="36"/>
      <c r="H1398" s="37"/>
      <c r="I1398" s="37"/>
      <c r="J1398" s="13"/>
      <c r="K1398" s="18"/>
      <c r="L1398" s="19"/>
      <c r="M1398" s="19"/>
      <c r="N1398" s="20"/>
      <c r="O1398" s="22"/>
      <c r="P1398" s="36"/>
      <c r="Q1398" s="37"/>
      <c r="R1398" s="37"/>
    </row>
    <row r="1399" spans="1:18" x14ac:dyDescent="0.2">
      <c r="A1399" s="13"/>
      <c r="B1399" s="18"/>
      <c r="C1399" s="19"/>
      <c r="D1399" s="19"/>
      <c r="E1399" s="20"/>
      <c r="F1399" s="22"/>
      <c r="G1399" s="22"/>
      <c r="H1399" s="23"/>
      <c r="I1399" s="23"/>
      <c r="J1399" s="13"/>
      <c r="K1399" s="18"/>
      <c r="L1399" s="19"/>
      <c r="M1399" s="19"/>
      <c r="N1399" s="20"/>
      <c r="O1399" s="22"/>
      <c r="P1399" s="22"/>
      <c r="Q1399" s="23"/>
      <c r="R1399" s="23"/>
    </row>
    <row r="1400" spans="1:18" x14ac:dyDescent="0.2">
      <c r="A1400" s="13"/>
      <c r="B1400" s="248" t="s">
        <v>30</v>
      </c>
      <c r="C1400" s="249"/>
      <c r="D1400" s="249"/>
      <c r="E1400" s="250"/>
      <c r="F1400" s="22"/>
      <c r="G1400" s="22"/>
      <c r="H1400" s="23"/>
      <c r="I1400" s="23">
        <f>SUM(I1387:I1399)</f>
        <v>1383.7659999999998</v>
      </c>
      <c r="J1400" s="13"/>
      <c r="K1400" s="248" t="s">
        <v>30</v>
      </c>
      <c r="L1400" s="249"/>
      <c r="M1400" s="249"/>
      <c r="N1400" s="250"/>
      <c r="O1400" s="22"/>
      <c r="P1400" s="22"/>
      <c r="Q1400" s="23"/>
      <c r="R1400" s="23">
        <f>SUM(R1387:R1399)</f>
        <v>0</v>
      </c>
    </row>
    <row r="1401" spans="1:18" x14ac:dyDescent="0.2">
      <c r="A1401" s="12" t="s">
        <v>31</v>
      </c>
      <c r="B1401" s="260" t="s">
        <v>32</v>
      </c>
      <c r="C1401" s="261"/>
      <c r="D1401" s="261"/>
      <c r="E1401" s="261"/>
      <c r="F1401" s="161"/>
      <c r="G1401" s="161"/>
      <c r="H1401" s="40"/>
      <c r="I1401" s="41">
        <f>SUM(I1400+I1382)</f>
        <v>1709.4259999999999</v>
      </c>
      <c r="J1401" s="12" t="s">
        <v>31</v>
      </c>
      <c r="K1401" s="260" t="s">
        <v>32</v>
      </c>
      <c r="L1401" s="261"/>
      <c r="M1401" s="261"/>
      <c r="N1401" s="261"/>
      <c r="O1401" s="39"/>
      <c r="P1401" s="39"/>
      <c r="Q1401" s="40"/>
      <c r="R1401" s="41">
        <f>SUM(R1400+R1382)</f>
        <v>481.53999999999996</v>
      </c>
    </row>
    <row r="1402" spans="1:18" x14ac:dyDescent="0.2">
      <c r="A1402" s="13" t="s">
        <v>33</v>
      </c>
      <c r="B1402" s="321">
        <f>E1369</f>
        <v>1</v>
      </c>
      <c r="C1402" s="322"/>
      <c r="D1402" s="322"/>
      <c r="E1402" s="322"/>
      <c r="F1402" s="322"/>
      <c r="G1402" s="322"/>
      <c r="H1402" s="40"/>
      <c r="I1402" s="41"/>
      <c r="J1402" s="13" t="s">
        <v>33</v>
      </c>
      <c r="K1402" s="279">
        <f>N1369</f>
        <v>2.5</v>
      </c>
      <c r="L1402" s="280"/>
      <c r="M1402" s="280"/>
      <c r="N1402" s="280"/>
      <c r="O1402" s="280"/>
      <c r="P1402" s="280"/>
      <c r="Q1402" s="40"/>
      <c r="R1402" s="41"/>
    </row>
    <row r="1403" spans="1:18" x14ac:dyDescent="0.2">
      <c r="A1403" s="13" t="s">
        <v>34</v>
      </c>
      <c r="B1403" s="162" t="s">
        <v>35</v>
      </c>
      <c r="C1403" s="43"/>
      <c r="D1403" s="43"/>
      <c r="E1403" s="161"/>
      <c r="F1403" s="163"/>
      <c r="G1403" s="163"/>
      <c r="H1403" s="40"/>
      <c r="I1403" s="41">
        <f>I1401/E1369</f>
        <v>1709.4259999999999</v>
      </c>
      <c r="J1403" s="13" t="s">
        <v>34</v>
      </c>
      <c r="K1403" s="42" t="s">
        <v>35</v>
      </c>
      <c r="L1403" s="43"/>
      <c r="M1403" s="43"/>
      <c r="N1403" s="39"/>
      <c r="O1403" s="44"/>
      <c r="P1403" s="44"/>
      <c r="Q1403" s="40"/>
      <c r="R1403" s="41">
        <f>R1401/N1369</f>
        <v>192.61599999999999</v>
      </c>
    </row>
    <row r="1404" spans="1:18" x14ac:dyDescent="0.2">
      <c r="A1404" s="12"/>
      <c r="B1404" s="251" t="s">
        <v>36</v>
      </c>
      <c r="C1404" s="252"/>
      <c r="D1404" s="252"/>
      <c r="E1404" s="253"/>
      <c r="F1404" s="244" t="s">
        <v>37</v>
      </c>
      <c r="G1404" s="244" t="s">
        <v>38</v>
      </c>
      <c r="H1404" s="244" t="s">
        <v>39</v>
      </c>
      <c r="I1404" s="246" t="s">
        <v>15</v>
      </c>
      <c r="J1404" s="12"/>
      <c r="K1404" s="251" t="s">
        <v>36</v>
      </c>
      <c r="L1404" s="252"/>
      <c r="M1404" s="252"/>
      <c r="N1404" s="253"/>
      <c r="O1404" s="244" t="s">
        <v>37</v>
      </c>
      <c r="P1404" s="244" t="s">
        <v>38</v>
      </c>
      <c r="Q1404" s="244" t="s">
        <v>39</v>
      </c>
      <c r="R1404" s="246" t="s">
        <v>15</v>
      </c>
    </row>
    <row r="1405" spans="1:18" x14ac:dyDescent="0.2">
      <c r="A1405" s="13"/>
      <c r="B1405" s="254"/>
      <c r="C1405" s="255"/>
      <c r="D1405" s="255"/>
      <c r="E1405" s="256"/>
      <c r="F1405" s="245"/>
      <c r="G1405" s="245"/>
      <c r="H1405" s="245"/>
      <c r="I1405" s="247"/>
      <c r="J1405" s="13"/>
      <c r="K1405" s="254"/>
      <c r="L1405" s="255"/>
      <c r="M1405" s="255"/>
      <c r="N1405" s="256"/>
      <c r="O1405" s="245"/>
      <c r="P1405" s="245"/>
      <c r="Q1405" s="245"/>
      <c r="R1405" s="247"/>
    </row>
    <row r="1406" spans="1:18" x14ac:dyDescent="0.2">
      <c r="A1406" s="13" t="s">
        <v>40</v>
      </c>
      <c r="B1406" s="18" t="s">
        <v>41</v>
      </c>
      <c r="C1406" s="19"/>
      <c r="D1406" s="19"/>
      <c r="E1406" s="20"/>
      <c r="F1406" s="22"/>
      <c r="G1406" s="22"/>
      <c r="H1406" s="23"/>
      <c r="I1406" s="23"/>
      <c r="J1406" s="13" t="s">
        <v>40</v>
      </c>
      <c r="K1406" s="18" t="s">
        <v>41</v>
      </c>
      <c r="L1406" s="19"/>
      <c r="M1406" s="19"/>
      <c r="N1406" s="20"/>
      <c r="O1406" s="22"/>
      <c r="P1406" s="22"/>
      <c r="Q1406" s="23"/>
      <c r="R1406" s="23"/>
    </row>
    <row r="1407" spans="1:18" x14ac:dyDescent="0.2">
      <c r="A1407" s="13"/>
      <c r="B1407" s="18"/>
      <c r="C1407" s="19"/>
      <c r="D1407" s="19"/>
      <c r="E1407" s="20"/>
      <c r="F1407" s="22"/>
      <c r="G1407" s="22"/>
      <c r="H1407" s="23"/>
      <c r="I1407" s="23"/>
      <c r="J1407" s="13"/>
      <c r="K1407" s="18"/>
      <c r="L1407" s="19"/>
      <c r="M1407" s="19"/>
      <c r="N1407" s="20"/>
      <c r="O1407" s="22"/>
      <c r="P1407" s="22"/>
      <c r="Q1407" s="23"/>
      <c r="R1407" s="23"/>
    </row>
    <row r="1408" spans="1:18" x14ac:dyDescent="0.2">
      <c r="A1408" s="13"/>
      <c r="B1408" s="18"/>
      <c r="C1408" s="19"/>
      <c r="D1408" s="19"/>
      <c r="E1408" s="20"/>
      <c r="F1408" s="22"/>
      <c r="G1408" s="62"/>
      <c r="H1408" s="23"/>
      <c r="I1408" s="23"/>
      <c r="J1408" s="13"/>
      <c r="K1408" s="18" t="s">
        <v>600</v>
      </c>
      <c r="L1408" s="19"/>
      <c r="M1408" s="19"/>
      <c r="N1408" s="20"/>
      <c r="O1408" s="22" t="s">
        <v>80</v>
      </c>
      <c r="P1408" s="62">
        <v>0.5</v>
      </c>
      <c r="Q1408" s="107">
        <v>2900</v>
      </c>
      <c r="R1408" s="23">
        <f>Q1408*P1408</f>
        <v>1450</v>
      </c>
    </row>
    <row r="1409" spans="1:18" x14ac:dyDescent="0.2">
      <c r="A1409" s="13"/>
      <c r="B1409" s="18" t="s">
        <v>425</v>
      </c>
      <c r="C1409" s="66"/>
      <c r="D1409" s="19"/>
      <c r="E1409" s="20"/>
      <c r="F1409" s="22" t="s">
        <v>227</v>
      </c>
      <c r="G1409" s="70">
        <v>1.08</v>
      </c>
      <c r="H1409" s="107">
        <v>220</v>
      </c>
      <c r="I1409" s="23">
        <f>H1409*G1409</f>
        <v>237.60000000000002</v>
      </c>
      <c r="J1409" s="13"/>
      <c r="K1409" s="18" t="s">
        <v>601</v>
      </c>
      <c r="L1409" s="19"/>
      <c r="M1409" s="19"/>
      <c r="N1409" s="20"/>
      <c r="O1409" s="22"/>
      <c r="P1409" s="22"/>
      <c r="Q1409" s="107"/>
      <c r="R1409" s="23"/>
    </row>
    <row r="1410" spans="1:18" x14ac:dyDescent="0.2">
      <c r="A1410" s="13"/>
      <c r="B1410" s="18" t="s">
        <v>567</v>
      </c>
      <c r="C1410" s="66"/>
      <c r="D1410" s="19"/>
      <c r="E1410" s="20"/>
      <c r="F1410" s="22" t="s">
        <v>9</v>
      </c>
      <c r="G1410" s="70">
        <v>6.0999999999999999E-2</v>
      </c>
      <c r="H1410" s="107">
        <v>850</v>
      </c>
      <c r="I1410" s="23">
        <f>H1410*G1410</f>
        <v>51.85</v>
      </c>
      <c r="J1410" s="13"/>
      <c r="K1410" s="18" t="s">
        <v>602</v>
      </c>
      <c r="L1410" s="19"/>
      <c r="M1410" s="19"/>
      <c r="N1410" s="20"/>
      <c r="O1410" s="22" t="s">
        <v>9</v>
      </c>
      <c r="P1410" s="22">
        <v>1.05</v>
      </c>
      <c r="Q1410" s="107">
        <v>920</v>
      </c>
      <c r="R1410" s="23">
        <f>Q1410*P1410</f>
        <v>966</v>
      </c>
    </row>
    <row r="1411" spans="1:18" x14ac:dyDescent="0.2">
      <c r="A1411" s="13"/>
      <c r="B1411" s="18" t="s">
        <v>568</v>
      </c>
      <c r="C1411" s="19"/>
      <c r="D1411" s="19"/>
      <c r="E1411" s="20"/>
      <c r="F1411" s="22" t="s">
        <v>9</v>
      </c>
      <c r="G1411" s="22">
        <v>0.128</v>
      </c>
      <c r="H1411" s="107">
        <v>850</v>
      </c>
      <c r="I1411" s="23">
        <f>H1411*G1411</f>
        <v>108.8</v>
      </c>
      <c r="J1411" s="13"/>
      <c r="K1411" s="18"/>
      <c r="L1411" s="19"/>
      <c r="M1411" s="19"/>
      <c r="N1411" s="20"/>
      <c r="O1411" s="22"/>
      <c r="P1411" s="22"/>
      <c r="Q1411" s="38"/>
      <c r="R1411" s="38"/>
    </row>
    <row r="1412" spans="1:18" x14ac:dyDescent="0.2">
      <c r="A1412" s="13"/>
      <c r="B1412" s="18"/>
      <c r="C1412" s="19"/>
      <c r="D1412" s="19"/>
      <c r="E1412" s="20"/>
      <c r="F1412" s="22"/>
      <c r="G1412" s="22"/>
      <c r="H1412" s="45"/>
      <c r="I1412" s="45"/>
      <c r="J1412" s="13"/>
      <c r="K1412" s="18"/>
      <c r="L1412" s="19"/>
      <c r="M1412" s="19"/>
      <c r="N1412" s="20"/>
      <c r="O1412" s="22"/>
      <c r="P1412" s="22"/>
      <c r="Q1412" s="45"/>
      <c r="R1412" s="45"/>
    </row>
    <row r="1413" spans="1:18" x14ac:dyDescent="0.2">
      <c r="A1413" s="13"/>
      <c r="B1413" s="18"/>
      <c r="C1413" s="19"/>
      <c r="D1413" s="19"/>
      <c r="E1413" s="20"/>
      <c r="F1413" s="22"/>
      <c r="G1413" s="22"/>
      <c r="H1413" s="45"/>
      <c r="I1413" s="45"/>
      <c r="J1413" s="13"/>
      <c r="K1413" s="18"/>
      <c r="L1413" s="19"/>
      <c r="M1413" s="19"/>
      <c r="N1413" s="20"/>
      <c r="O1413" s="22"/>
      <c r="P1413" s="22"/>
      <c r="Q1413" s="45"/>
      <c r="R1413" s="45"/>
    </row>
    <row r="1414" spans="1:18" x14ac:dyDescent="0.2">
      <c r="A1414" s="13"/>
      <c r="B1414" s="18"/>
      <c r="C1414" s="19"/>
      <c r="D1414" s="19"/>
      <c r="E1414" s="20"/>
      <c r="F1414" s="22"/>
      <c r="G1414" s="22"/>
      <c r="H1414" s="23"/>
      <c r="I1414" s="23"/>
      <c r="J1414" s="13"/>
      <c r="K1414" s="18"/>
      <c r="L1414" s="19"/>
      <c r="M1414" s="19"/>
      <c r="N1414" s="20"/>
      <c r="O1414" s="22"/>
      <c r="P1414" s="22"/>
      <c r="Q1414" s="23"/>
      <c r="R1414" s="23"/>
    </row>
    <row r="1415" spans="1:18" x14ac:dyDescent="0.2">
      <c r="A1415" s="13"/>
      <c r="B1415" s="18"/>
      <c r="C1415" s="19"/>
      <c r="D1415" s="19"/>
      <c r="E1415" s="20"/>
      <c r="F1415" s="22"/>
      <c r="G1415" s="22"/>
      <c r="H1415" s="23"/>
      <c r="I1415" s="23"/>
      <c r="J1415" s="13"/>
      <c r="K1415" s="18"/>
      <c r="L1415" s="19"/>
      <c r="M1415" s="19"/>
      <c r="N1415" s="20"/>
      <c r="O1415" s="22"/>
      <c r="P1415" s="22"/>
      <c r="Q1415" s="23"/>
      <c r="R1415" s="23"/>
    </row>
    <row r="1416" spans="1:18" x14ac:dyDescent="0.2">
      <c r="A1416" s="13"/>
      <c r="B1416" s="18"/>
      <c r="C1416" s="19"/>
      <c r="D1416" s="19"/>
      <c r="E1416" s="20"/>
      <c r="F1416" s="22"/>
      <c r="G1416" s="22"/>
      <c r="H1416" s="23"/>
      <c r="I1416" s="23"/>
      <c r="J1416" s="13"/>
      <c r="K1416" s="18"/>
      <c r="L1416" s="19"/>
      <c r="M1416" s="19"/>
      <c r="N1416" s="20"/>
      <c r="O1416" s="22"/>
      <c r="P1416" s="22"/>
      <c r="Q1416" s="23"/>
      <c r="R1416" s="23"/>
    </row>
    <row r="1417" spans="1:18" x14ac:dyDescent="0.2">
      <c r="A1417" s="13"/>
      <c r="B1417" s="18"/>
      <c r="C1417" s="19"/>
      <c r="D1417" s="19"/>
      <c r="E1417" s="20"/>
      <c r="F1417" s="22"/>
      <c r="G1417" s="22"/>
      <c r="H1417" s="23"/>
      <c r="I1417" s="23"/>
      <c r="J1417" s="13"/>
      <c r="K1417" s="18"/>
      <c r="L1417" s="19"/>
      <c r="M1417" s="19"/>
      <c r="N1417" s="20"/>
      <c r="O1417" s="22"/>
      <c r="P1417" s="22"/>
      <c r="Q1417" s="23"/>
      <c r="R1417" s="23"/>
    </row>
    <row r="1418" spans="1:18" x14ac:dyDescent="0.2">
      <c r="A1418" s="13"/>
      <c r="B1418" s="18"/>
      <c r="C1418" s="19"/>
      <c r="D1418" s="19"/>
      <c r="E1418" s="20"/>
      <c r="F1418" s="22"/>
      <c r="G1418" s="22"/>
      <c r="H1418" s="23"/>
      <c r="I1418" s="23"/>
      <c r="J1418" s="13"/>
      <c r="K1418" s="18"/>
      <c r="L1418" s="19"/>
      <c r="M1418" s="19"/>
      <c r="N1418" s="20"/>
      <c r="O1418" s="22"/>
      <c r="P1418" s="22"/>
      <c r="Q1418" s="23"/>
      <c r="R1418" s="23"/>
    </row>
    <row r="1419" spans="1:18" x14ac:dyDescent="0.2">
      <c r="A1419" s="13"/>
      <c r="B1419" s="18"/>
      <c r="C1419" s="19"/>
      <c r="D1419" s="19"/>
      <c r="E1419" s="20"/>
      <c r="F1419" s="22"/>
      <c r="G1419" s="22"/>
      <c r="H1419" s="23"/>
      <c r="I1419" s="23"/>
      <c r="J1419" s="13"/>
      <c r="K1419" s="18"/>
      <c r="L1419" s="19"/>
      <c r="M1419" s="19"/>
      <c r="N1419" s="20"/>
      <c r="O1419" s="22"/>
      <c r="P1419" s="36"/>
      <c r="Q1419" s="37"/>
      <c r="R1419" s="37"/>
    </row>
    <row r="1420" spans="1:18" x14ac:dyDescent="0.2">
      <c r="A1420" s="13"/>
      <c r="B1420" s="18"/>
      <c r="C1420" s="19"/>
      <c r="D1420" s="19"/>
      <c r="E1420" s="20"/>
      <c r="F1420" s="22"/>
      <c r="G1420" s="36"/>
      <c r="H1420" s="37"/>
      <c r="I1420" s="37"/>
      <c r="J1420" s="13"/>
      <c r="K1420" s="18"/>
      <c r="L1420" s="19"/>
      <c r="M1420" s="19"/>
      <c r="N1420" s="20"/>
      <c r="O1420" s="22"/>
      <c r="P1420" s="36"/>
      <c r="Q1420" s="37"/>
      <c r="R1420" s="37"/>
    </row>
    <row r="1421" spans="1:18" x14ac:dyDescent="0.2">
      <c r="A1421" s="13"/>
      <c r="B1421" s="248" t="s">
        <v>42</v>
      </c>
      <c r="C1421" s="249"/>
      <c r="D1421" s="249"/>
      <c r="E1421" s="250"/>
      <c r="F1421" s="46"/>
      <c r="G1421" s="46"/>
      <c r="H1421" s="47"/>
      <c r="I1421" s="47">
        <f>SUM(I1408:I1420)</f>
        <v>398.25000000000006</v>
      </c>
      <c r="J1421" s="13"/>
      <c r="K1421" s="248" t="s">
        <v>42</v>
      </c>
      <c r="L1421" s="249"/>
      <c r="M1421" s="249"/>
      <c r="N1421" s="250"/>
      <c r="O1421" s="46"/>
      <c r="P1421" s="46"/>
      <c r="Q1421" s="47"/>
      <c r="R1421" s="47">
        <f>SUM(R1408:R1419)</f>
        <v>2416</v>
      </c>
    </row>
    <row r="1422" spans="1:18" x14ac:dyDescent="0.2">
      <c r="A1422" s="12" t="s">
        <v>43</v>
      </c>
      <c r="B1422" s="48" t="s">
        <v>44</v>
      </c>
      <c r="C1422" s="43"/>
      <c r="D1422" s="43"/>
      <c r="E1422" s="161"/>
      <c r="F1422" s="49"/>
      <c r="G1422" s="49"/>
      <c r="H1422" s="50"/>
      <c r="I1422" s="51">
        <f>SUM(I1403+I1421)</f>
        <v>2107.6759999999999</v>
      </c>
      <c r="J1422" s="12" t="s">
        <v>43</v>
      </c>
      <c r="K1422" s="48" t="s">
        <v>44</v>
      </c>
      <c r="L1422" s="43"/>
      <c r="M1422" s="43"/>
      <c r="N1422" s="39"/>
      <c r="O1422" s="49"/>
      <c r="P1422" s="49"/>
      <c r="Q1422" s="50"/>
      <c r="R1422" s="51">
        <f>SUM(R1403+R1421)</f>
        <v>2608.616</v>
      </c>
    </row>
    <row r="1423" spans="1:18" x14ac:dyDescent="0.2">
      <c r="A1423" s="13" t="s">
        <v>45</v>
      </c>
      <c r="B1423" s="48" t="s">
        <v>46</v>
      </c>
      <c r="C1423" s="43"/>
      <c r="D1423" s="43"/>
      <c r="E1423" s="161"/>
      <c r="F1423" s="49"/>
      <c r="G1423" s="52">
        <v>0.09</v>
      </c>
      <c r="H1423" s="53" t="s">
        <v>47</v>
      </c>
      <c r="I1423" s="51">
        <f>G1423*I1422</f>
        <v>189.69083999999998</v>
      </c>
      <c r="J1423" s="13" t="s">
        <v>45</v>
      </c>
      <c r="K1423" s="48" t="s">
        <v>46</v>
      </c>
      <c r="L1423" s="43"/>
      <c r="M1423" s="43"/>
      <c r="N1423" s="39"/>
      <c r="O1423" s="49"/>
      <c r="P1423" s="52">
        <v>0.09</v>
      </c>
      <c r="Q1423" s="53" t="s">
        <v>47</v>
      </c>
      <c r="R1423" s="51">
        <f>P1423*R1422</f>
        <v>234.77544</v>
      </c>
    </row>
    <row r="1424" spans="1:18" x14ac:dyDescent="0.2">
      <c r="A1424" s="13" t="s">
        <v>48</v>
      </c>
      <c r="B1424" s="48" t="s">
        <v>49</v>
      </c>
      <c r="C1424" s="43"/>
      <c r="D1424" s="43"/>
      <c r="E1424" s="161"/>
      <c r="F1424" s="49"/>
      <c r="G1424" s="52">
        <v>0.08</v>
      </c>
      <c r="H1424" s="53" t="s">
        <v>47</v>
      </c>
      <c r="I1424" s="51">
        <f>G1424*I1422</f>
        <v>168.61408</v>
      </c>
      <c r="J1424" s="13" t="s">
        <v>48</v>
      </c>
      <c r="K1424" s="48" t="s">
        <v>49</v>
      </c>
      <c r="L1424" s="43"/>
      <c r="M1424" s="43"/>
      <c r="N1424" s="39"/>
      <c r="O1424" s="49"/>
      <c r="P1424" s="52">
        <v>0.08</v>
      </c>
      <c r="Q1424" s="53" t="s">
        <v>47</v>
      </c>
      <c r="R1424" s="51">
        <f>P1424*R1422</f>
        <v>208.68928</v>
      </c>
    </row>
    <row r="1425" spans="1:18" x14ac:dyDescent="0.2">
      <c r="A1425" s="13" t="s">
        <v>50</v>
      </c>
      <c r="B1425" s="48" t="s">
        <v>51</v>
      </c>
      <c r="C1425" s="43"/>
      <c r="D1425" s="43"/>
      <c r="E1425" s="161"/>
      <c r="F1425" s="49"/>
      <c r="G1425" s="52">
        <v>0.05</v>
      </c>
      <c r="H1425" s="53" t="s">
        <v>52</v>
      </c>
      <c r="I1425" s="51">
        <f>G1425*(I1422+I1423+I1424)</f>
        <v>123.29904599999998</v>
      </c>
      <c r="J1425" s="13" t="s">
        <v>50</v>
      </c>
      <c r="K1425" s="48" t="s">
        <v>51</v>
      </c>
      <c r="L1425" s="43"/>
      <c r="M1425" s="43"/>
      <c r="N1425" s="39"/>
      <c r="O1425" s="49"/>
      <c r="P1425" s="52">
        <f>5/100</f>
        <v>0.05</v>
      </c>
      <c r="Q1425" s="53" t="s">
        <v>52</v>
      </c>
      <c r="R1425" s="51">
        <f>P1425*(R1422+R1423+R1424)</f>
        <v>152.60403600000001</v>
      </c>
    </row>
    <row r="1426" spans="1:18" x14ac:dyDescent="0.2">
      <c r="A1426" s="54" t="s">
        <v>53</v>
      </c>
      <c r="B1426" s="48" t="s">
        <v>54</v>
      </c>
      <c r="C1426" s="43"/>
      <c r="D1426" s="43"/>
      <c r="E1426" s="161"/>
      <c r="F1426" s="49"/>
      <c r="G1426" s="49"/>
      <c r="H1426" s="55" t="s">
        <v>55</v>
      </c>
      <c r="I1426" s="51">
        <f>SUM(I1422+I1423+I1424+I1425)</f>
        <v>2589.2799659999996</v>
      </c>
      <c r="J1426" s="54" t="s">
        <v>53</v>
      </c>
      <c r="K1426" s="48" t="s">
        <v>54</v>
      </c>
      <c r="L1426" s="43"/>
      <c r="M1426" s="43"/>
      <c r="N1426" s="39"/>
      <c r="O1426" s="49"/>
      <c r="P1426" s="49"/>
      <c r="Q1426" s="55" t="s">
        <v>55</v>
      </c>
      <c r="R1426" s="51">
        <f>SUM(R1422+R1423+R1424+R1425)</f>
        <v>3204.6847560000001</v>
      </c>
    </row>
    <row r="1427" spans="1:18" s="1" customFormat="1" x14ac:dyDescent="0.2">
      <c r="A1427" s="236" t="s">
        <v>0</v>
      </c>
      <c r="B1427" s="236"/>
      <c r="C1427" s="236"/>
      <c r="D1427" s="236"/>
      <c r="E1427" s="236"/>
      <c r="F1427" s="236"/>
      <c r="G1427" s="236"/>
      <c r="H1427" s="236"/>
      <c r="I1427" s="236"/>
      <c r="J1427" s="236" t="s">
        <v>0</v>
      </c>
      <c r="K1427" s="236"/>
      <c r="L1427" s="236"/>
      <c r="M1427" s="236"/>
      <c r="N1427" s="236"/>
      <c r="O1427" s="236"/>
      <c r="P1427" s="236"/>
      <c r="Q1427" s="236"/>
      <c r="R1427" s="236"/>
    </row>
    <row r="1429" spans="1:18" x14ac:dyDescent="0.2">
      <c r="A1429" s="158" t="s">
        <v>1</v>
      </c>
      <c r="C1429" s="4" t="s">
        <v>2</v>
      </c>
      <c r="D1429" s="5" t="s">
        <v>594</v>
      </c>
      <c r="E1429" s="158" t="s">
        <v>595</v>
      </c>
      <c r="F1429" s="158"/>
      <c r="G1429" s="158"/>
      <c r="H1429" s="158"/>
      <c r="J1429" s="2" t="s">
        <v>1</v>
      </c>
      <c r="L1429" s="4" t="s">
        <v>2</v>
      </c>
      <c r="M1429" s="5" t="s">
        <v>605</v>
      </c>
      <c r="N1429" s="237" t="s">
        <v>606</v>
      </c>
      <c r="O1429" s="237"/>
      <c r="P1429" s="237"/>
      <c r="Q1429" s="237"/>
    </row>
    <row r="1430" spans="1:18" x14ac:dyDescent="0.2">
      <c r="A1430" s="158" t="s">
        <v>7</v>
      </c>
      <c r="C1430" s="4" t="s">
        <v>2</v>
      </c>
      <c r="E1430" s="158" t="s">
        <v>1153</v>
      </c>
      <c r="F1430" s="8"/>
      <c r="G1430" s="8"/>
      <c r="H1430" s="8"/>
      <c r="J1430" s="2" t="s">
        <v>7</v>
      </c>
      <c r="L1430" s="4" t="s">
        <v>2</v>
      </c>
      <c r="N1430" s="2" t="s">
        <v>9</v>
      </c>
      <c r="O1430" s="8"/>
      <c r="P1430" s="8"/>
      <c r="Q1430" s="8"/>
    </row>
    <row r="1431" spans="1:18" x14ac:dyDescent="0.2">
      <c r="A1431" s="158" t="s">
        <v>10</v>
      </c>
      <c r="C1431" s="4" t="s">
        <v>2</v>
      </c>
      <c r="E1431" s="9">
        <f>4*0.25</f>
        <v>1</v>
      </c>
      <c r="F1431" s="8"/>
      <c r="G1431" s="8"/>
      <c r="H1431" s="8"/>
      <c r="J1431" s="2" t="s">
        <v>10</v>
      </c>
      <c r="L1431" s="4" t="s">
        <v>2</v>
      </c>
      <c r="N1431" s="67">
        <f>2.5*10/8</f>
        <v>3.125</v>
      </c>
      <c r="O1431" s="8"/>
      <c r="P1431" s="8"/>
      <c r="Q1431" s="8"/>
    </row>
    <row r="1432" spans="1:18" x14ac:dyDescent="0.2">
      <c r="B1432" s="8"/>
      <c r="F1432" s="11"/>
      <c r="G1432" s="8"/>
      <c r="H1432" s="8"/>
      <c r="I1432" s="8"/>
      <c r="K1432" s="8"/>
      <c r="O1432" s="11"/>
      <c r="P1432" s="8"/>
      <c r="Q1432" s="8"/>
      <c r="R1432" s="8"/>
    </row>
    <row r="1433" spans="1:18" x14ac:dyDescent="0.2">
      <c r="A1433" s="12"/>
      <c r="B1433" s="238" t="s">
        <v>11</v>
      </c>
      <c r="C1433" s="239"/>
      <c r="D1433" s="239"/>
      <c r="E1433" s="240"/>
      <c r="F1433" s="244" t="s">
        <v>12</v>
      </c>
      <c r="G1433" s="244" t="s">
        <v>13</v>
      </c>
      <c r="H1433" s="244" t="s">
        <v>14</v>
      </c>
      <c r="I1433" s="246" t="s">
        <v>15</v>
      </c>
      <c r="J1433" s="12"/>
      <c r="K1433" s="238" t="s">
        <v>11</v>
      </c>
      <c r="L1433" s="239"/>
      <c r="M1433" s="239"/>
      <c r="N1433" s="240"/>
      <c r="O1433" s="244" t="s">
        <v>12</v>
      </c>
      <c r="P1433" s="244" t="s">
        <v>13</v>
      </c>
      <c r="Q1433" s="244" t="s">
        <v>14</v>
      </c>
      <c r="R1433" s="246" t="s">
        <v>15</v>
      </c>
    </row>
    <row r="1434" spans="1:18" x14ac:dyDescent="0.2">
      <c r="A1434" s="13"/>
      <c r="B1434" s="241"/>
      <c r="C1434" s="242"/>
      <c r="D1434" s="242"/>
      <c r="E1434" s="243"/>
      <c r="F1434" s="245"/>
      <c r="G1434" s="245"/>
      <c r="H1434" s="245"/>
      <c r="I1434" s="247"/>
      <c r="J1434" s="13"/>
      <c r="K1434" s="241"/>
      <c r="L1434" s="242"/>
      <c r="M1434" s="242"/>
      <c r="N1434" s="243"/>
      <c r="O1434" s="245"/>
      <c r="P1434" s="245"/>
      <c r="Q1434" s="245"/>
      <c r="R1434" s="247"/>
    </row>
    <row r="1435" spans="1:18" x14ac:dyDescent="0.2">
      <c r="A1435" s="13" t="s">
        <v>16</v>
      </c>
      <c r="B1435" s="14" t="s">
        <v>17</v>
      </c>
      <c r="C1435" s="15"/>
      <c r="D1435" s="15"/>
      <c r="E1435" s="16"/>
      <c r="F1435" s="17"/>
      <c r="G1435" s="17"/>
      <c r="H1435" s="17"/>
      <c r="I1435" s="17"/>
      <c r="J1435" s="13" t="s">
        <v>16</v>
      </c>
      <c r="K1435" s="14" t="s">
        <v>17</v>
      </c>
      <c r="L1435" s="15"/>
      <c r="M1435" s="15"/>
      <c r="N1435" s="16"/>
      <c r="O1435" s="17"/>
      <c r="P1435" s="17"/>
      <c r="Q1435" s="17"/>
      <c r="R1435" s="17"/>
    </row>
    <row r="1436" spans="1:18" x14ac:dyDescent="0.2">
      <c r="A1436" s="13"/>
      <c r="B1436" s="18"/>
      <c r="C1436" s="19"/>
      <c r="D1436" s="19"/>
      <c r="E1436" s="20"/>
      <c r="F1436" s="21"/>
      <c r="G1436" s="22"/>
      <c r="H1436" s="21"/>
      <c r="I1436" s="21"/>
      <c r="J1436" s="13"/>
      <c r="K1436" s="18"/>
      <c r="L1436" s="19"/>
      <c r="M1436" s="19"/>
      <c r="N1436" s="20"/>
      <c r="O1436" s="21"/>
      <c r="P1436" s="22"/>
      <c r="Q1436" s="21"/>
      <c r="R1436" s="21"/>
    </row>
    <row r="1437" spans="1:18" x14ac:dyDescent="0.2">
      <c r="A1437" s="13"/>
      <c r="B1437" s="24" t="s">
        <v>18</v>
      </c>
      <c r="C1437" s="25"/>
      <c r="D1437" s="25"/>
      <c r="E1437" s="26"/>
      <c r="F1437" s="22">
        <v>1</v>
      </c>
      <c r="G1437" s="23">
        <v>1</v>
      </c>
      <c r="H1437" s="23">
        <v>69.42</v>
      </c>
      <c r="I1437" s="23">
        <f>G1437*H1437*F1437</f>
        <v>69.42</v>
      </c>
      <c r="J1437" s="13"/>
      <c r="K1437" s="24" t="s">
        <v>18</v>
      </c>
      <c r="L1437" s="25"/>
      <c r="M1437" s="25"/>
      <c r="N1437" s="26"/>
      <c r="O1437" s="22">
        <v>1</v>
      </c>
      <c r="P1437" s="23">
        <v>1</v>
      </c>
      <c r="Q1437" s="23">
        <v>69.42</v>
      </c>
      <c r="R1437" s="23">
        <f>P1437*Q1437*O1437</f>
        <v>69.42</v>
      </c>
    </row>
    <row r="1438" spans="1:18" x14ac:dyDescent="0.2">
      <c r="A1438" s="13"/>
      <c r="B1438" s="257" t="s">
        <v>1178</v>
      </c>
      <c r="C1438" s="258"/>
      <c r="D1438" s="25"/>
      <c r="E1438" s="26"/>
      <c r="F1438" s="22">
        <v>2</v>
      </c>
      <c r="G1438" s="23">
        <v>1</v>
      </c>
      <c r="H1438" s="23">
        <v>50.18</v>
      </c>
      <c r="I1438" s="23">
        <f>G1438*H1438*F1438</f>
        <v>100.36</v>
      </c>
      <c r="J1438" s="13"/>
      <c r="K1438" s="257" t="s">
        <v>1178</v>
      </c>
      <c r="L1438" s="258"/>
      <c r="M1438" s="25"/>
      <c r="N1438" s="26"/>
      <c r="O1438" s="22">
        <v>2</v>
      </c>
      <c r="P1438" s="23">
        <v>1</v>
      </c>
      <c r="Q1438" s="23">
        <v>50.18</v>
      </c>
      <c r="R1438" s="23">
        <f>P1438*Q1438*O1438</f>
        <v>100.36</v>
      </c>
    </row>
    <row r="1439" spans="1:18" x14ac:dyDescent="0.2">
      <c r="A1439" s="13"/>
      <c r="B1439" s="257" t="s">
        <v>1177</v>
      </c>
      <c r="C1439" s="258"/>
      <c r="D1439" s="19"/>
      <c r="E1439" s="20"/>
      <c r="F1439" s="22">
        <v>4</v>
      </c>
      <c r="G1439" s="23">
        <v>1</v>
      </c>
      <c r="H1439" s="23">
        <v>38.97</v>
      </c>
      <c r="I1439" s="23">
        <f>G1439*H1439*F1439</f>
        <v>155.88</v>
      </c>
      <c r="J1439" s="13"/>
      <c r="K1439" s="257" t="s">
        <v>1177</v>
      </c>
      <c r="L1439" s="258"/>
      <c r="M1439" s="19"/>
      <c r="N1439" s="20"/>
      <c r="O1439" s="22">
        <v>8</v>
      </c>
      <c r="P1439" s="23">
        <v>1</v>
      </c>
      <c r="Q1439" s="23">
        <v>38.97</v>
      </c>
      <c r="R1439" s="23">
        <f>P1439*Q1439*O1439</f>
        <v>311.76</v>
      </c>
    </row>
    <row r="1440" spans="1:18" x14ac:dyDescent="0.2">
      <c r="A1440" s="13"/>
      <c r="B1440" s="159"/>
      <c r="C1440" s="19"/>
      <c r="D1440" s="19"/>
      <c r="E1440" s="20"/>
      <c r="F1440" s="22"/>
      <c r="G1440" s="22"/>
      <c r="H1440" s="29"/>
      <c r="I1440" s="30"/>
      <c r="J1440" s="13"/>
      <c r="K1440" s="27"/>
      <c r="L1440" s="19"/>
      <c r="M1440" s="19"/>
      <c r="N1440" s="20"/>
      <c r="O1440" s="22"/>
      <c r="P1440" s="22"/>
      <c r="Q1440" s="29"/>
      <c r="R1440" s="30"/>
    </row>
    <row r="1441" spans="1:18" x14ac:dyDescent="0.2">
      <c r="A1441" s="13"/>
      <c r="B1441" s="159"/>
      <c r="C1441" s="19"/>
      <c r="D1441" s="19"/>
      <c r="E1441" s="20"/>
      <c r="F1441" s="22"/>
      <c r="G1441" s="22"/>
      <c r="H1441" s="29"/>
      <c r="I1441" s="30"/>
      <c r="J1441" s="13"/>
      <c r="K1441" s="27"/>
      <c r="L1441" s="19"/>
      <c r="M1441" s="19"/>
      <c r="N1441" s="20"/>
      <c r="O1441" s="22"/>
      <c r="P1441" s="22"/>
      <c r="Q1441" s="29"/>
      <c r="R1441" s="30"/>
    </row>
    <row r="1442" spans="1:18" x14ac:dyDescent="0.2">
      <c r="A1442" s="13"/>
      <c r="B1442" s="18"/>
      <c r="C1442" s="19"/>
      <c r="D1442" s="19"/>
      <c r="E1442" s="20"/>
      <c r="F1442" s="22"/>
      <c r="G1442" s="22"/>
      <c r="H1442" s="28"/>
      <c r="I1442" s="23"/>
      <c r="J1442" s="13"/>
      <c r="K1442" s="18"/>
      <c r="L1442" s="19"/>
      <c r="M1442" s="19"/>
      <c r="N1442" s="20"/>
      <c r="O1442" s="22"/>
      <c r="P1442" s="22"/>
      <c r="Q1442" s="28"/>
      <c r="R1442" s="23"/>
    </row>
    <row r="1443" spans="1:18" x14ac:dyDescent="0.2">
      <c r="A1443" s="13"/>
      <c r="B1443" s="18"/>
      <c r="C1443" s="19"/>
      <c r="D1443" s="19"/>
      <c r="E1443" s="20"/>
      <c r="F1443" s="22"/>
      <c r="G1443" s="22"/>
      <c r="H1443" s="23"/>
      <c r="I1443" s="23"/>
      <c r="J1443" s="13"/>
      <c r="K1443" s="18"/>
      <c r="L1443" s="19"/>
      <c r="M1443" s="19"/>
      <c r="N1443" s="20"/>
      <c r="O1443" s="22"/>
      <c r="P1443" s="22"/>
      <c r="Q1443" s="23"/>
      <c r="R1443" s="23"/>
    </row>
    <row r="1444" spans="1:18" x14ac:dyDescent="0.2">
      <c r="A1444" s="13"/>
      <c r="B1444" s="248" t="s">
        <v>20</v>
      </c>
      <c r="C1444" s="249"/>
      <c r="D1444" s="249"/>
      <c r="E1444" s="250"/>
      <c r="F1444" s="31"/>
      <c r="G1444" s="31"/>
      <c r="H1444" s="32"/>
      <c r="I1444" s="32">
        <f>SUM(I1437:I1443)</f>
        <v>325.65999999999997</v>
      </c>
      <c r="J1444" s="13"/>
      <c r="K1444" s="248" t="s">
        <v>20</v>
      </c>
      <c r="L1444" s="249"/>
      <c r="M1444" s="249"/>
      <c r="N1444" s="250"/>
      <c r="O1444" s="31"/>
      <c r="P1444" s="31"/>
      <c r="Q1444" s="32"/>
      <c r="R1444" s="32">
        <f>SUM(R1437:R1443)</f>
        <v>481.53999999999996</v>
      </c>
    </row>
    <row r="1445" spans="1:18" x14ac:dyDescent="0.2">
      <c r="A1445" s="12"/>
      <c r="B1445" s="251" t="s">
        <v>21</v>
      </c>
      <c r="C1445" s="252"/>
      <c r="D1445" s="252"/>
      <c r="E1445" s="253"/>
      <c r="F1445" s="244" t="s">
        <v>22</v>
      </c>
      <c r="G1445" s="244" t="s">
        <v>13</v>
      </c>
      <c r="H1445" s="244" t="s">
        <v>14</v>
      </c>
      <c r="I1445" s="246" t="s">
        <v>15</v>
      </c>
      <c r="J1445" s="12"/>
      <c r="K1445" s="251" t="s">
        <v>21</v>
      </c>
      <c r="L1445" s="252"/>
      <c r="M1445" s="252"/>
      <c r="N1445" s="253"/>
      <c r="O1445" s="244" t="s">
        <v>22</v>
      </c>
      <c r="P1445" s="244" t="s">
        <v>13</v>
      </c>
      <c r="Q1445" s="244" t="s">
        <v>14</v>
      </c>
      <c r="R1445" s="246" t="s">
        <v>15</v>
      </c>
    </row>
    <row r="1446" spans="1:18" x14ac:dyDescent="0.2">
      <c r="A1446" s="13"/>
      <c r="B1446" s="254"/>
      <c r="C1446" s="255"/>
      <c r="D1446" s="255"/>
      <c r="E1446" s="256"/>
      <c r="F1446" s="245"/>
      <c r="G1446" s="245"/>
      <c r="H1446" s="245"/>
      <c r="I1446" s="247"/>
      <c r="J1446" s="13"/>
      <c r="K1446" s="254"/>
      <c r="L1446" s="255"/>
      <c r="M1446" s="255"/>
      <c r="N1446" s="256"/>
      <c r="O1446" s="245"/>
      <c r="P1446" s="245"/>
      <c r="Q1446" s="245"/>
      <c r="R1446" s="247"/>
    </row>
    <row r="1447" spans="1:18" x14ac:dyDescent="0.2">
      <c r="A1447" s="13" t="s">
        <v>23</v>
      </c>
      <c r="B1447" s="33" t="s">
        <v>24</v>
      </c>
      <c r="C1447" s="15"/>
      <c r="D1447" s="15"/>
      <c r="E1447" s="16"/>
      <c r="F1447" s="34"/>
      <c r="G1447" s="34"/>
      <c r="H1447" s="35"/>
      <c r="I1447" s="35"/>
      <c r="J1447" s="13" t="s">
        <v>23</v>
      </c>
      <c r="K1447" s="33" t="s">
        <v>24</v>
      </c>
      <c r="L1447" s="15"/>
      <c r="M1447" s="15"/>
      <c r="N1447" s="16"/>
      <c r="O1447" s="34"/>
      <c r="P1447" s="34"/>
      <c r="Q1447" s="35"/>
      <c r="R1447" s="35"/>
    </row>
    <row r="1448" spans="1:18" x14ac:dyDescent="0.2">
      <c r="A1448" s="13"/>
      <c r="B1448" s="18"/>
      <c r="C1448" s="19"/>
      <c r="D1448" s="19"/>
      <c r="E1448" s="20"/>
      <c r="F1448" s="22"/>
      <c r="G1448" s="22"/>
      <c r="H1448" s="23"/>
      <c r="I1448" s="23"/>
      <c r="J1448" s="13"/>
      <c r="K1448" s="18"/>
      <c r="L1448" s="19"/>
      <c r="M1448" s="19"/>
      <c r="N1448" s="20"/>
      <c r="O1448" s="22"/>
      <c r="P1448" s="22"/>
      <c r="Q1448" s="23"/>
      <c r="R1448" s="23"/>
    </row>
    <row r="1449" spans="1:18" x14ac:dyDescent="0.2">
      <c r="A1449" s="13"/>
      <c r="B1449" s="18" t="s">
        <v>62</v>
      </c>
      <c r="C1449" s="66"/>
      <c r="D1449" s="19"/>
      <c r="E1449" s="20"/>
      <c r="F1449" s="22">
        <v>1</v>
      </c>
      <c r="G1449" s="23">
        <v>0.6</v>
      </c>
      <c r="H1449" s="37">
        <v>1537</v>
      </c>
      <c r="I1449" s="37">
        <f>G1449*H1449*F1449</f>
        <v>922.19999999999993</v>
      </c>
      <c r="J1449" s="13"/>
      <c r="K1449" s="18" t="s">
        <v>598</v>
      </c>
      <c r="L1449" s="19"/>
      <c r="M1449" s="19"/>
      <c r="N1449" s="20"/>
      <c r="O1449" s="22"/>
      <c r="P1449" s="36"/>
      <c r="Q1449" s="37"/>
      <c r="R1449" s="37"/>
    </row>
    <row r="1450" spans="1:18" x14ac:dyDescent="0.2">
      <c r="A1450" s="13"/>
      <c r="B1450" s="18" t="s">
        <v>424</v>
      </c>
      <c r="C1450" s="19"/>
      <c r="D1450" s="19"/>
      <c r="E1450" s="20"/>
      <c r="F1450" s="22">
        <v>1</v>
      </c>
      <c r="G1450" s="23">
        <v>0.5</v>
      </c>
      <c r="H1450" s="37">
        <v>123</v>
      </c>
      <c r="I1450" s="37">
        <f>G1450*H1450*F1450</f>
        <v>61.5</v>
      </c>
      <c r="J1450" s="13"/>
      <c r="K1450" s="340" t="s">
        <v>599</v>
      </c>
      <c r="L1450" s="341"/>
      <c r="M1450" s="341"/>
      <c r="N1450" s="342"/>
      <c r="O1450" s="22"/>
      <c r="P1450" s="36"/>
      <c r="Q1450" s="37"/>
      <c r="R1450" s="37"/>
    </row>
    <row r="1451" spans="1:18" x14ac:dyDescent="0.2">
      <c r="A1451" s="13"/>
      <c r="B1451" s="18" t="s">
        <v>1174</v>
      </c>
      <c r="C1451" s="19"/>
      <c r="D1451" s="19"/>
      <c r="E1451" s="20"/>
      <c r="F1451" s="22">
        <v>1</v>
      </c>
      <c r="G1451" s="23">
        <v>0.15</v>
      </c>
      <c r="H1451" s="37">
        <v>2450</v>
      </c>
      <c r="I1451" s="37">
        <f>F1451*G1451*H1451</f>
        <v>367.5</v>
      </c>
      <c r="J1451" s="13"/>
      <c r="K1451" s="340"/>
      <c r="L1451" s="341"/>
      <c r="M1451" s="341"/>
      <c r="N1451" s="342"/>
      <c r="O1451" s="22"/>
      <c r="P1451" s="23"/>
      <c r="Q1451" s="37"/>
      <c r="R1451" s="37"/>
    </row>
    <row r="1452" spans="1:18" x14ac:dyDescent="0.2">
      <c r="A1452" s="13"/>
      <c r="B1452" s="18" t="s">
        <v>125</v>
      </c>
      <c r="C1452" s="66"/>
      <c r="D1452" s="19"/>
      <c r="E1452" s="20"/>
      <c r="F1452" s="22"/>
      <c r="G1452" s="71"/>
      <c r="I1452" s="37">
        <f>I1444*0.1</f>
        <v>32.565999999999995</v>
      </c>
      <c r="J1452" s="13"/>
      <c r="K1452" s="18"/>
      <c r="O1452" s="22"/>
      <c r="P1452" s="36"/>
      <c r="Q1452" s="37"/>
      <c r="R1452" s="37"/>
    </row>
    <row r="1453" spans="1:18" x14ac:dyDescent="0.2">
      <c r="A1453" s="13"/>
      <c r="B1453" s="18"/>
      <c r="C1453" s="66"/>
      <c r="D1453" s="19"/>
      <c r="E1453" s="20"/>
      <c r="F1453" s="22"/>
      <c r="G1453" s="71"/>
      <c r="H1453" s="37"/>
      <c r="I1453" s="37"/>
      <c r="J1453" s="13"/>
      <c r="K1453" s="18"/>
      <c r="L1453" s="19"/>
      <c r="M1453" s="19"/>
      <c r="N1453" s="20"/>
      <c r="O1453" s="22"/>
      <c r="P1453" s="36"/>
      <c r="Q1453" s="37"/>
      <c r="R1453" s="37"/>
    </row>
    <row r="1454" spans="1:18" x14ac:dyDescent="0.2">
      <c r="A1454" s="13"/>
      <c r="B1454" s="18"/>
      <c r="C1454" s="66"/>
      <c r="D1454" s="19"/>
      <c r="E1454" s="20"/>
      <c r="F1454" s="22"/>
      <c r="G1454" s="71"/>
      <c r="H1454" s="37"/>
      <c r="I1454" s="37"/>
      <c r="J1454" s="13"/>
      <c r="K1454" s="18"/>
      <c r="L1454" s="19"/>
      <c r="M1454" s="19"/>
      <c r="N1454" s="20"/>
      <c r="O1454" s="22"/>
      <c r="P1454" s="36"/>
      <c r="Q1454" s="38"/>
      <c r="R1454" s="38"/>
    </row>
    <row r="1455" spans="1:18" x14ac:dyDescent="0.2">
      <c r="A1455" s="13"/>
      <c r="B1455" s="18"/>
      <c r="C1455" s="19"/>
      <c r="D1455" s="19"/>
      <c r="E1455" s="20"/>
      <c r="F1455" s="22"/>
      <c r="G1455" s="36"/>
      <c r="H1455" s="38"/>
      <c r="I1455" s="38"/>
      <c r="J1455" s="13"/>
      <c r="K1455" s="18"/>
      <c r="L1455" s="19"/>
      <c r="M1455" s="19"/>
      <c r="N1455" s="20"/>
      <c r="O1455" s="22"/>
      <c r="P1455" s="36"/>
      <c r="Q1455" s="38"/>
      <c r="R1455" s="38"/>
    </row>
    <row r="1456" spans="1:18" x14ac:dyDescent="0.2">
      <c r="A1456" s="13"/>
      <c r="B1456" s="18"/>
      <c r="C1456" s="19"/>
      <c r="D1456" s="19"/>
      <c r="E1456" s="20"/>
      <c r="F1456" s="22"/>
      <c r="G1456" s="36"/>
      <c r="H1456" s="38"/>
      <c r="I1456" s="38"/>
      <c r="J1456" s="13"/>
      <c r="K1456" s="18"/>
      <c r="L1456" s="19"/>
      <c r="M1456" s="19"/>
      <c r="N1456" s="20"/>
      <c r="O1456" s="22"/>
      <c r="P1456" s="36"/>
      <c r="Q1456" s="38"/>
      <c r="R1456" s="38"/>
    </row>
    <row r="1457" spans="1:18" x14ac:dyDescent="0.2">
      <c r="A1457" s="13"/>
      <c r="B1457" s="18"/>
      <c r="C1457" s="19"/>
      <c r="D1457" s="19"/>
      <c r="E1457" s="20"/>
      <c r="F1457" s="22"/>
      <c r="G1457" s="36"/>
      <c r="H1457" s="38"/>
      <c r="I1457" s="38"/>
      <c r="J1457" s="13"/>
      <c r="K1457" s="18"/>
      <c r="L1457" s="19"/>
      <c r="M1457" s="19"/>
      <c r="N1457" s="20"/>
      <c r="O1457" s="22"/>
      <c r="P1457" s="36"/>
      <c r="Q1457" s="38"/>
      <c r="R1457" s="38"/>
    </row>
    <row r="1458" spans="1:18" x14ac:dyDescent="0.2">
      <c r="A1458" s="13"/>
      <c r="B1458" s="18"/>
      <c r="C1458" s="19"/>
      <c r="D1458" s="19"/>
      <c r="E1458" s="20"/>
      <c r="F1458" s="22"/>
      <c r="G1458" s="36"/>
      <c r="H1458" s="37"/>
      <c r="I1458" s="37"/>
      <c r="J1458" s="13"/>
      <c r="K1458" s="18"/>
      <c r="L1458" s="19"/>
      <c r="M1458" s="19"/>
      <c r="N1458" s="20"/>
      <c r="O1458" s="22"/>
      <c r="P1458" s="36"/>
      <c r="Q1458" s="37"/>
      <c r="R1458" s="37"/>
    </row>
    <row r="1459" spans="1:18" x14ac:dyDescent="0.2">
      <c r="A1459" s="13"/>
      <c r="B1459" s="18"/>
      <c r="C1459" s="19"/>
      <c r="D1459" s="19"/>
      <c r="E1459" s="20"/>
      <c r="F1459" s="22"/>
      <c r="G1459" s="36"/>
      <c r="H1459" s="37"/>
      <c r="I1459" s="37"/>
      <c r="J1459" s="13"/>
      <c r="K1459" s="18"/>
      <c r="L1459" s="19"/>
      <c r="M1459" s="19"/>
      <c r="N1459" s="20"/>
      <c r="O1459" s="22"/>
      <c r="P1459" s="36"/>
      <c r="Q1459" s="37"/>
      <c r="R1459" s="37"/>
    </row>
    <row r="1460" spans="1:18" x14ac:dyDescent="0.2">
      <c r="A1460" s="13"/>
      <c r="B1460" s="18"/>
      <c r="C1460" s="19"/>
      <c r="D1460" s="19"/>
      <c r="E1460" s="20"/>
      <c r="F1460" s="22"/>
      <c r="G1460" s="36"/>
      <c r="H1460" s="37"/>
      <c r="I1460" s="37"/>
      <c r="J1460" s="13"/>
      <c r="K1460" s="18"/>
      <c r="L1460" s="19"/>
      <c r="M1460" s="19"/>
      <c r="N1460" s="20"/>
      <c r="O1460" s="22"/>
      <c r="P1460" s="36"/>
      <c r="Q1460" s="37"/>
      <c r="R1460" s="37"/>
    </row>
    <row r="1461" spans="1:18" x14ac:dyDescent="0.2">
      <c r="A1461" s="13"/>
      <c r="B1461" s="18"/>
      <c r="C1461" s="19"/>
      <c r="D1461" s="19"/>
      <c r="E1461" s="20"/>
      <c r="F1461" s="22"/>
      <c r="G1461" s="22"/>
      <c r="H1461" s="23"/>
      <c r="I1461" s="23"/>
      <c r="J1461" s="13"/>
      <c r="K1461" s="18"/>
      <c r="L1461" s="19"/>
      <c r="M1461" s="19"/>
      <c r="N1461" s="20"/>
      <c r="O1461" s="22"/>
      <c r="P1461" s="22"/>
      <c r="Q1461" s="23"/>
      <c r="R1461" s="23"/>
    </row>
    <row r="1462" spans="1:18" x14ac:dyDescent="0.2">
      <c r="A1462" s="13"/>
      <c r="B1462" s="248" t="s">
        <v>30</v>
      </c>
      <c r="C1462" s="249"/>
      <c r="D1462" s="249"/>
      <c r="E1462" s="250"/>
      <c r="F1462" s="22"/>
      <c r="G1462" s="22"/>
      <c r="H1462" s="23"/>
      <c r="I1462" s="23">
        <f>SUM(I1449:I1461)</f>
        <v>1383.7659999999998</v>
      </c>
      <c r="J1462" s="13"/>
      <c r="K1462" s="248" t="s">
        <v>30</v>
      </c>
      <c r="L1462" s="249"/>
      <c r="M1462" s="249"/>
      <c r="N1462" s="250"/>
      <c r="O1462" s="22"/>
      <c r="P1462" s="22"/>
      <c r="Q1462" s="23"/>
      <c r="R1462" s="23">
        <f>SUM(R1449:R1461)</f>
        <v>0</v>
      </c>
    </row>
    <row r="1463" spans="1:18" x14ac:dyDescent="0.2">
      <c r="A1463" s="12" t="s">
        <v>31</v>
      </c>
      <c r="B1463" s="260" t="s">
        <v>32</v>
      </c>
      <c r="C1463" s="261"/>
      <c r="D1463" s="261"/>
      <c r="E1463" s="261"/>
      <c r="F1463" s="161"/>
      <c r="G1463" s="161"/>
      <c r="H1463" s="40"/>
      <c r="I1463" s="41">
        <f>SUM(I1462+I1444)</f>
        <v>1709.4259999999999</v>
      </c>
      <c r="J1463" s="12" t="s">
        <v>31</v>
      </c>
      <c r="K1463" s="260" t="s">
        <v>32</v>
      </c>
      <c r="L1463" s="261"/>
      <c r="M1463" s="261"/>
      <c r="N1463" s="261"/>
      <c r="O1463" s="39"/>
      <c r="P1463" s="39"/>
      <c r="Q1463" s="40"/>
      <c r="R1463" s="41">
        <f>SUM(R1462+R1444)</f>
        <v>481.53999999999996</v>
      </c>
    </row>
    <row r="1464" spans="1:18" x14ac:dyDescent="0.2">
      <c r="A1464" s="13" t="s">
        <v>33</v>
      </c>
      <c r="B1464" s="321">
        <f>E1431</f>
        <v>1</v>
      </c>
      <c r="C1464" s="322"/>
      <c r="D1464" s="322"/>
      <c r="E1464" s="322"/>
      <c r="F1464" s="322"/>
      <c r="G1464" s="322"/>
      <c r="H1464" s="40"/>
      <c r="I1464" s="41"/>
      <c r="J1464" s="13" t="s">
        <v>33</v>
      </c>
      <c r="K1464" s="279">
        <f>N1431</f>
        <v>3.125</v>
      </c>
      <c r="L1464" s="280"/>
      <c r="M1464" s="280"/>
      <c r="N1464" s="280"/>
      <c r="O1464" s="280"/>
      <c r="P1464" s="280"/>
      <c r="Q1464" s="40"/>
      <c r="R1464" s="41"/>
    </row>
    <row r="1465" spans="1:18" x14ac:dyDescent="0.2">
      <c r="A1465" s="13" t="s">
        <v>34</v>
      </c>
      <c r="B1465" s="162" t="s">
        <v>35</v>
      </c>
      <c r="C1465" s="43"/>
      <c r="D1465" s="43"/>
      <c r="E1465" s="161"/>
      <c r="F1465" s="163"/>
      <c r="G1465" s="163"/>
      <c r="H1465" s="40"/>
      <c r="I1465" s="41">
        <f>I1463/E1431</f>
        <v>1709.4259999999999</v>
      </c>
      <c r="J1465" s="13" t="s">
        <v>34</v>
      </c>
      <c r="K1465" s="42" t="s">
        <v>35</v>
      </c>
      <c r="L1465" s="43"/>
      <c r="M1465" s="43"/>
      <c r="N1465" s="39"/>
      <c r="O1465" s="44"/>
      <c r="P1465" s="44"/>
      <c r="Q1465" s="40"/>
      <c r="R1465" s="41">
        <f>R1463/N1431</f>
        <v>154.09279999999998</v>
      </c>
    </row>
    <row r="1466" spans="1:18" x14ac:dyDescent="0.2">
      <c r="A1466" s="12"/>
      <c r="B1466" s="251" t="s">
        <v>36</v>
      </c>
      <c r="C1466" s="252"/>
      <c r="D1466" s="252"/>
      <c r="E1466" s="253"/>
      <c r="F1466" s="244" t="s">
        <v>37</v>
      </c>
      <c r="G1466" s="244" t="s">
        <v>38</v>
      </c>
      <c r="H1466" s="244" t="s">
        <v>39</v>
      </c>
      <c r="I1466" s="246" t="s">
        <v>15</v>
      </c>
      <c r="J1466" s="12"/>
      <c r="K1466" s="251" t="s">
        <v>36</v>
      </c>
      <c r="L1466" s="252"/>
      <c r="M1466" s="252"/>
      <c r="N1466" s="253"/>
      <c r="O1466" s="244" t="s">
        <v>37</v>
      </c>
      <c r="P1466" s="244" t="s">
        <v>38</v>
      </c>
      <c r="Q1466" s="244" t="s">
        <v>39</v>
      </c>
      <c r="R1466" s="246" t="s">
        <v>15</v>
      </c>
    </row>
    <row r="1467" spans="1:18" x14ac:dyDescent="0.2">
      <c r="A1467" s="13"/>
      <c r="B1467" s="254"/>
      <c r="C1467" s="255"/>
      <c r="D1467" s="255"/>
      <c r="E1467" s="256"/>
      <c r="F1467" s="245"/>
      <c r="G1467" s="245"/>
      <c r="H1467" s="245"/>
      <c r="I1467" s="247"/>
      <c r="J1467" s="13"/>
      <c r="K1467" s="254"/>
      <c r="L1467" s="255"/>
      <c r="M1467" s="255"/>
      <c r="N1467" s="256"/>
      <c r="O1467" s="245"/>
      <c r="P1467" s="245"/>
      <c r="Q1467" s="245"/>
      <c r="R1467" s="247"/>
    </row>
    <row r="1468" spans="1:18" x14ac:dyDescent="0.2">
      <c r="A1468" s="13" t="s">
        <v>40</v>
      </c>
      <c r="B1468" s="18" t="s">
        <v>41</v>
      </c>
      <c r="C1468" s="19"/>
      <c r="D1468" s="19"/>
      <c r="E1468" s="20"/>
      <c r="F1468" s="22"/>
      <c r="G1468" s="22"/>
      <c r="H1468" s="23"/>
      <c r="I1468" s="23"/>
      <c r="J1468" s="13" t="s">
        <v>40</v>
      </c>
      <c r="K1468" s="18" t="s">
        <v>41</v>
      </c>
      <c r="L1468" s="19"/>
      <c r="M1468" s="19"/>
      <c r="N1468" s="20"/>
      <c r="O1468" s="22"/>
      <c r="P1468" s="22"/>
      <c r="Q1468" s="23"/>
      <c r="R1468" s="23"/>
    </row>
    <row r="1469" spans="1:18" x14ac:dyDescent="0.2">
      <c r="A1469" s="13"/>
      <c r="B1469" s="18"/>
      <c r="C1469" s="19"/>
      <c r="D1469" s="19"/>
      <c r="E1469" s="20"/>
      <c r="F1469" s="22"/>
      <c r="G1469" s="22"/>
      <c r="H1469" s="23"/>
      <c r="I1469" s="23"/>
      <c r="J1469" s="13"/>
      <c r="K1469" s="18"/>
      <c r="L1469" s="19"/>
      <c r="M1469" s="19"/>
      <c r="N1469" s="20"/>
      <c r="O1469" s="22"/>
      <c r="P1469" s="22"/>
      <c r="Q1469" s="23"/>
      <c r="R1469" s="23"/>
    </row>
    <row r="1470" spans="1:18" x14ac:dyDescent="0.2">
      <c r="A1470" s="13"/>
      <c r="B1470" s="18"/>
      <c r="C1470" s="19"/>
      <c r="D1470" s="19"/>
      <c r="E1470" s="20"/>
      <c r="F1470" s="22"/>
      <c r="G1470" s="62"/>
      <c r="H1470" s="23"/>
      <c r="I1470" s="23"/>
      <c r="J1470" s="13"/>
      <c r="K1470" s="18" t="s">
        <v>607</v>
      </c>
      <c r="L1470" s="19"/>
      <c r="M1470" s="19"/>
      <c r="N1470" s="20"/>
      <c r="O1470" s="22" t="s">
        <v>80</v>
      </c>
      <c r="P1470" s="62">
        <v>0.28000000000000003</v>
      </c>
      <c r="Q1470" s="107">
        <v>5000</v>
      </c>
      <c r="R1470" s="23">
        <f>Q1470*P1470</f>
        <v>1400.0000000000002</v>
      </c>
    </row>
    <row r="1471" spans="1:18" x14ac:dyDescent="0.2">
      <c r="A1471" s="13"/>
      <c r="B1471" s="18" t="s">
        <v>425</v>
      </c>
      <c r="C1471" s="66"/>
      <c r="D1471" s="19"/>
      <c r="E1471" s="20"/>
      <c r="F1471" s="22" t="s">
        <v>227</v>
      </c>
      <c r="G1471" s="70">
        <v>1.242</v>
      </c>
      <c r="H1471" s="107">
        <v>220</v>
      </c>
      <c r="I1471" s="23">
        <f>H1471*G1471</f>
        <v>273.24</v>
      </c>
      <c r="J1471" s="13"/>
      <c r="K1471" s="18" t="s">
        <v>601</v>
      </c>
      <c r="L1471" s="19"/>
      <c r="M1471" s="19"/>
      <c r="N1471" s="20"/>
      <c r="O1471" s="22"/>
      <c r="P1471" s="22"/>
      <c r="Q1471" s="107"/>
      <c r="R1471" s="23"/>
    </row>
    <row r="1472" spans="1:18" x14ac:dyDescent="0.2">
      <c r="A1472" s="13"/>
      <c r="B1472" s="18" t="s">
        <v>567</v>
      </c>
      <c r="C1472" s="66"/>
      <c r="D1472" s="19"/>
      <c r="E1472" s="20"/>
      <c r="F1472" s="22" t="s">
        <v>9</v>
      </c>
      <c r="G1472" s="70">
        <v>7.0000000000000007E-2</v>
      </c>
      <c r="H1472" s="107">
        <v>850</v>
      </c>
      <c r="I1472" s="23">
        <f>H1472*G1472</f>
        <v>59.500000000000007</v>
      </c>
      <c r="J1472" s="13"/>
      <c r="K1472" s="18" t="s">
        <v>602</v>
      </c>
      <c r="L1472" s="19"/>
      <c r="M1472" s="19"/>
      <c r="N1472" s="20"/>
      <c r="O1472" s="22" t="s">
        <v>9</v>
      </c>
      <c r="P1472" s="22">
        <v>1.05</v>
      </c>
      <c r="Q1472" s="107">
        <v>920</v>
      </c>
      <c r="R1472" s="23">
        <f>Q1472*P1472</f>
        <v>966</v>
      </c>
    </row>
    <row r="1473" spans="1:18" x14ac:dyDescent="0.2">
      <c r="A1473" s="13"/>
      <c r="B1473" s="18" t="s">
        <v>568</v>
      </c>
      <c r="C1473" s="19"/>
      <c r="D1473" s="19"/>
      <c r="E1473" s="20"/>
      <c r="F1473" s="22" t="s">
        <v>9</v>
      </c>
      <c r="G1473" s="22">
        <v>0.14899999999999999</v>
      </c>
      <c r="H1473" s="107">
        <v>850</v>
      </c>
      <c r="I1473" s="23">
        <f>H1473*G1473</f>
        <v>126.64999999999999</v>
      </c>
      <c r="J1473" s="13"/>
      <c r="K1473" s="18"/>
      <c r="L1473" s="19"/>
      <c r="M1473" s="19"/>
      <c r="N1473" s="20"/>
      <c r="O1473" s="22"/>
      <c r="P1473" s="22"/>
      <c r="Q1473" s="38"/>
      <c r="R1473" s="38"/>
    </row>
    <row r="1474" spans="1:18" x14ac:dyDescent="0.2">
      <c r="A1474" s="13"/>
      <c r="B1474" s="18"/>
      <c r="C1474" s="19"/>
      <c r="D1474" s="19"/>
      <c r="E1474" s="20"/>
      <c r="F1474" s="22"/>
      <c r="G1474" s="22"/>
      <c r="H1474" s="45"/>
      <c r="I1474" s="45"/>
      <c r="J1474" s="13"/>
      <c r="K1474" s="18"/>
      <c r="L1474" s="19"/>
      <c r="M1474" s="19"/>
      <c r="N1474" s="20"/>
      <c r="O1474" s="22"/>
      <c r="P1474" s="22"/>
      <c r="Q1474" s="45"/>
      <c r="R1474" s="45"/>
    </row>
    <row r="1475" spans="1:18" x14ac:dyDescent="0.2">
      <c r="A1475" s="13"/>
      <c r="B1475" s="18"/>
      <c r="C1475" s="19"/>
      <c r="D1475" s="19"/>
      <c r="E1475" s="20"/>
      <c r="F1475" s="22"/>
      <c r="G1475" s="22"/>
      <c r="H1475" s="45"/>
      <c r="I1475" s="45"/>
      <c r="J1475" s="13"/>
      <c r="K1475" s="18"/>
      <c r="L1475" s="19"/>
      <c r="M1475" s="19"/>
      <c r="N1475" s="20"/>
      <c r="O1475" s="22"/>
      <c r="P1475" s="22"/>
      <c r="Q1475" s="45"/>
      <c r="R1475" s="45"/>
    </row>
    <row r="1476" spans="1:18" x14ac:dyDescent="0.2">
      <c r="A1476" s="13"/>
      <c r="B1476" s="18"/>
      <c r="C1476" s="19"/>
      <c r="D1476" s="19"/>
      <c r="E1476" s="20"/>
      <c r="F1476" s="22"/>
      <c r="G1476" s="22"/>
      <c r="H1476" s="23"/>
      <c r="I1476" s="23"/>
      <c r="J1476" s="13"/>
      <c r="K1476" s="18"/>
      <c r="L1476" s="19"/>
      <c r="M1476" s="19"/>
      <c r="N1476" s="20"/>
      <c r="O1476" s="22"/>
      <c r="P1476" s="22"/>
      <c r="Q1476" s="23"/>
      <c r="R1476" s="23"/>
    </row>
    <row r="1477" spans="1:18" x14ac:dyDescent="0.2">
      <c r="A1477" s="13"/>
      <c r="B1477" s="18"/>
      <c r="C1477" s="19"/>
      <c r="D1477" s="19"/>
      <c r="E1477" s="20"/>
      <c r="F1477" s="22"/>
      <c r="G1477" s="22"/>
      <c r="H1477" s="23"/>
      <c r="I1477" s="23"/>
      <c r="J1477" s="13"/>
      <c r="K1477" s="18"/>
      <c r="L1477" s="19"/>
      <c r="M1477" s="19"/>
      <c r="N1477" s="20"/>
      <c r="O1477" s="22"/>
      <c r="P1477" s="22"/>
      <c r="Q1477" s="23"/>
      <c r="R1477" s="23"/>
    </row>
    <row r="1478" spans="1:18" x14ac:dyDescent="0.2">
      <c r="A1478" s="13"/>
      <c r="B1478" s="18"/>
      <c r="C1478" s="19"/>
      <c r="D1478" s="19"/>
      <c r="E1478" s="20"/>
      <c r="F1478" s="22"/>
      <c r="G1478" s="22"/>
      <c r="H1478" s="23"/>
      <c r="I1478" s="23"/>
      <c r="J1478" s="13"/>
      <c r="K1478" s="18"/>
      <c r="L1478" s="19"/>
      <c r="M1478" s="19"/>
      <c r="N1478" s="20"/>
      <c r="O1478" s="22"/>
      <c r="P1478" s="22"/>
      <c r="Q1478" s="23"/>
      <c r="R1478" s="23"/>
    </row>
    <row r="1479" spans="1:18" x14ac:dyDescent="0.2">
      <c r="A1479" s="13"/>
      <c r="B1479" s="18"/>
      <c r="C1479" s="19"/>
      <c r="D1479" s="19"/>
      <c r="E1479" s="20"/>
      <c r="F1479" s="22"/>
      <c r="G1479" s="22"/>
      <c r="H1479" s="23"/>
      <c r="I1479" s="23"/>
      <c r="J1479" s="13"/>
      <c r="K1479" s="18"/>
      <c r="L1479" s="19"/>
      <c r="M1479" s="19"/>
      <c r="N1479" s="20"/>
      <c r="O1479" s="22"/>
      <c r="P1479" s="22"/>
      <c r="Q1479" s="23"/>
      <c r="R1479" s="23"/>
    </row>
    <row r="1480" spans="1:18" x14ac:dyDescent="0.2">
      <c r="A1480" s="13"/>
      <c r="B1480" s="18"/>
      <c r="C1480" s="19"/>
      <c r="D1480" s="19"/>
      <c r="E1480" s="20"/>
      <c r="F1480" s="22"/>
      <c r="G1480" s="22"/>
      <c r="H1480" s="23"/>
      <c r="I1480" s="23"/>
      <c r="J1480" s="13"/>
      <c r="K1480" s="18"/>
      <c r="L1480" s="19"/>
      <c r="M1480" s="19"/>
      <c r="N1480" s="20"/>
      <c r="O1480" s="22"/>
      <c r="P1480" s="22"/>
      <c r="Q1480" s="23"/>
      <c r="R1480" s="23"/>
    </row>
    <row r="1481" spans="1:18" x14ac:dyDescent="0.2">
      <c r="A1481" s="13"/>
      <c r="B1481" s="18"/>
      <c r="C1481" s="19"/>
      <c r="D1481" s="19"/>
      <c r="E1481" s="20"/>
      <c r="F1481" s="22"/>
      <c r="G1481" s="22"/>
      <c r="H1481" s="23"/>
      <c r="I1481" s="23"/>
      <c r="J1481" s="13"/>
      <c r="K1481" s="18"/>
      <c r="L1481" s="19"/>
      <c r="M1481" s="19"/>
      <c r="N1481" s="20"/>
      <c r="O1481" s="22"/>
      <c r="P1481" s="36"/>
      <c r="Q1481" s="37"/>
      <c r="R1481" s="37"/>
    </row>
    <row r="1482" spans="1:18" x14ac:dyDescent="0.2">
      <c r="A1482" s="13"/>
      <c r="B1482" s="18"/>
      <c r="C1482" s="19"/>
      <c r="D1482" s="19"/>
      <c r="E1482" s="20"/>
      <c r="F1482" s="22"/>
      <c r="G1482" s="36"/>
      <c r="H1482" s="37"/>
      <c r="I1482" s="37"/>
      <c r="J1482" s="13"/>
      <c r="K1482" s="18"/>
      <c r="L1482" s="19"/>
      <c r="M1482" s="19"/>
      <c r="N1482" s="20"/>
      <c r="O1482" s="22"/>
      <c r="P1482" s="36"/>
      <c r="Q1482" s="37"/>
      <c r="R1482" s="37"/>
    </row>
    <row r="1483" spans="1:18" x14ac:dyDescent="0.2">
      <c r="A1483" s="13"/>
      <c r="B1483" s="248" t="s">
        <v>42</v>
      </c>
      <c r="C1483" s="249"/>
      <c r="D1483" s="249"/>
      <c r="E1483" s="250"/>
      <c r="F1483" s="46"/>
      <c r="G1483" s="46"/>
      <c r="H1483" s="47"/>
      <c r="I1483" s="47">
        <f>SUM(I1470:I1482)</f>
        <v>459.39</v>
      </c>
      <c r="J1483" s="13"/>
      <c r="K1483" s="248" t="s">
        <v>42</v>
      </c>
      <c r="L1483" s="249"/>
      <c r="M1483" s="249"/>
      <c r="N1483" s="250"/>
      <c r="O1483" s="46"/>
      <c r="P1483" s="46"/>
      <c r="Q1483" s="47"/>
      <c r="R1483" s="47">
        <f>SUM(R1470:R1481)</f>
        <v>2366</v>
      </c>
    </row>
    <row r="1484" spans="1:18" x14ac:dyDescent="0.2">
      <c r="A1484" s="12" t="s">
        <v>43</v>
      </c>
      <c r="B1484" s="48" t="s">
        <v>44</v>
      </c>
      <c r="C1484" s="43"/>
      <c r="D1484" s="43"/>
      <c r="E1484" s="161"/>
      <c r="F1484" s="49"/>
      <c r="G1484" s="49"/>
      <c r="H1484" s="50"/>
      <c r="I1484" s="51">
        <f>SUM(I1465+I1483)</f>
        <v>2168.8159999999998</v>
      </c>
      <c r="J1484" s="12" t="s">
        <v>43</v>
      </c>
      <c r="K1484" s="48" t="s">
        <v>44</v>
      </c>
      <c r="L1484" s="43"/>
      <c r="M1484" s="43"/>
      <c r="N1484" s="39"/>
      <c r="O1484" s="49"/>
      <c r="P1484" s="49"/>
      <c r="Q1484" s="50"/>
      <c r="R1484" s="51">
        <f>SUM(R1465+R1483)</f>
        <v>2520.0927999999999</v>
      </c>
    </row>
    <row r="1485" spans="1:18" x14ac:dyDescent="0.2">
      <c r="A1485" s="13" t="s">
        <v>45</v>
      </c>
      <c r="B1485" s="48" t="s">
        <v>46</v>
      </c>
      <c r="C1485" s="43"/>
      <c r="D1485" s="43"/>
      <c r="E1485" s="161"/>
      <c r="F1485" s="49"/>
      <c r="G1485" s="52">
        <v>0.09</v>
      </c>
      <c r="H1485" s="53" t="s">
        <v>47</v>
      </c>
      <c r="I1485" s="51">
        <f>G1485*I1484</f>
        <v>195.19343999999998</v>
      </c>
      <c r="J1485" s="13" t="s">
        <v>45</v>
      </c>
      <c r="K1485" s="48" t="s">
        <v>46</v>
      </c>
      <c r="L1485" s="43"/>
      <c r="M1485" s="43"/>
      <c r="N1485" s="39"/>
      <c r="O1485" s="49"/>
      <c r="P1485" s="52">
        <v>0.09</v>
      </c>
      <c r="Q1485" s="53" t="s">
        <v>47</v>
      </c>
      <c r="R1485" s="51">
        <f>P1485*R1484</f>
        <v>226.80835199999999</v>
      </c>
    </row>
    <row r="1486" spans="1:18" x14ac:dyDescent="0.2">
      <c r="A1486" s="13" t="s">
        <v>48</v>
      </c>
      <c r="B1486" s="48" t="s">
        <v>49</v>
      </c>
      <c r="C1486" s="43"/>
      <c r="D1486" s="43"/>
      <c r="E1486" s="161"/>
      <c r="F1486" s="49"/>
      <c r="G1486" s="52">
        <v>0.08</v>
      </c>
      <c r="H1486" s="53" t="s">
        <v>47</v>
      </c>
      <c r="I1486" s="51">
        <f>G1486*I1484</f>
        <v>173.50528</v>
      </c>
      <c r="J1486" s="13" t="s">
        <v>48</v>
      </c>
      <c r="K1486" s="48" t="s">
        <v>49</v>
      </c>
      <c r="L1486" s="43"/>
      <c r="M1486" s="43"/>
      <c r="N1486" s="39"/>
      <c r="O1486" s="49"/>
      <c r="P1486" s="52">
        <v>0.08</v>
      </c>
      <c r="Q1486" s="53" t="s">
        <v>47</v>
      </c>
      <c r="R1486" s="51">
        <f>P1486*R1484</f>
        <v>201.60742400000001</v>
      </c>
    </row>
    <row r="1487" spans="1:18" x14ac:dyDescent="0.2">
      <c r="A1487" s="13" t="s">
        <v>50</v>
      </c>
      <c r="B1487" s="48" t="s">
        <v>51</v>
      </c>
      <c r="C1487" s="43"/>
      <c r="D1487" s="43"/>
      <c r="E1487" s="161"/>
      <c r="F1487" s="49"/>
      <c r="G1487" s="52">
        <v>0.05</v>
      </c>
      <c r="H1487" s="53" t="s">
        <v>52</v>
      </c>
      <c r="I1487" s="51">
        <f>G1487*(I1484+I1485+I1486)</f>
        <v>126.87573599999999</v>
      </c>
      <c r="J1487" s="13" t="s">
        <v>50</v>
      </c>
      <c r="K1487" s="48" t="s">
        <v>51</v>
      </c>
      <c r="L1487" s="43"/>
      <c r="M1487" s="43"/>
      <c r="N1487" s="39"/>
      <c r="O1487" s="49"/>
      <c r="P1487" s="52">
        <v>0.05</v>
      </c>
      <c r="Q1487" s="53" t="s">
        <v>52</v>
      </c>
      <c r="R1487" s="51">
        <f>P1487*(R1484+R1485+R1486)</f>
        <v>147.42542879999999</v>
      </c>
    </row>
    <row r="1488" spans="1:18" x14ac:dyDescent="0.2">
      <c r="A1488" s="54" t="s">
        <v>53</v>
      </c>
      <c r="B1488" s="48" t="s">
        <v>54</v>
      </c>
      <c r="C1488" s="43"/>
      <c r="D1488" s="43"/>
      <c r="E1488" s="161"/>
      <c r="F1488" s="49"/>
      <c r="G1488" s="49"/>
      <c r="H1488" s="55" t="s">
        <v>55</v>
      </c>
      <c r="I1488" s="51">
        <f>SUM(I1484+I1485+I1486+I1487)</f>
        <v>2664.3904559999996</v>
      </c>
      <c r="J1488" s="54" t="s">
        <v>53</v>
      </c>
      <c r="K1488" s="48" t="s">
        <v>54</v>
      </c>
      <c r="L1488" s="43"/>
      <c r="M1488" s="43"/>
      <c r="N1488" s="39"/>
      <c r="O1488" s="49"/>
      <c r="P1488" s="49"/>
      <c r="Q1488" s="55" t="s">
        <v>55</v>
      </c>
      <c r="R1488" s="51">
        <f>SUM(R1484+R1485+R1486+R1487)</f>
        <v>3095.9340047999999</v>
      </c>
    </row>
    <row r="1489" spans="1:18" s="1" customFormat="1" x14ac:dyDescent="0.2">
      <c r="A1489" s="236" t="s">
        <v>0</v>
      </c>
      <c r="B1489" s="236"/>
      <c r="C1489" s="236"/>
      <c r="D1489" s="236"/>
      <c r="E1489" s="236"/>
      <c r="F1489" s="236"/>
      <c r="G1489" s="236"/>
      <c r="H1489" s="236"/>
      <c r="I1489" s="236"/>
      <c r="J1489" s="236" t="s">
        <v>0</v>
      </c>
      <c r="K1489" s="236"/>
      <c r="L1489" s="236"/>
      <c r="M1489" s="236"/>
      <c r="N1489" s="236"/>
      <c r="O1489" s="236"/>
      <c r="P1489" s="236"/>
      <c r="Q1489" s="236"/>
      <c r="R1489" s="236"/>
    </row>
    <row r="1491" spans="1:18" x14ac:dyDescent="0.2">
      <c r="A1491" s="158" t="s">
        <v>1</v>
      </c>
      <c r="C1491" s="4" t="s">
        <v>2</v>
      </c>
      <c r="D1491" s="5" t="s">
        <v>603</v>
      </c>
      <c r="E1491" s="158" t="s">
        <v>604</v>
      </c>
      <c r="F1491" s="158"/>
      <c r="G1491" s="158"/>
      <c r="H1491" s="158"/>
      <c r="J1491" s="2" t="s">
        <v>1</v>
      </c>
      <c r="L1491" s="4" t="s">
        <v>2</v>
      </c>
      <c r="M1491" s="5" t="s">
        <v>610</v>
      </c>
      <c r="N1491" s="2" t="s">
        <v>611</v>
      </c>
      <c r="O1491" s="2"/>
      <c r="P1491" s="2"/>
      <c r="Q1491" s="2"/>
    </row>
    <row r="1492" spans="1:18" x14ac:dyDescent="0.2">
      <c r="A1492" s="158" t="s">
        <v>7</v>
      </c>
      <c r="C1492" s="4" t="s">
        <v>2</v>
      </c>
      <c r="E1492" s="158" t="s">
        <v>1153</v>
      </c>
      <c r="F1492" s="8"/>
      <c r="G1492" s="8"/>
      <c r="H1492" s="8"/>
      <c r="J1492" s="2" t="s">
        <v>7</v>
      </c>
      <c r="L1492" s="4" t="s">
        <v>2</v>
      </c>
      <c r="N1492" s="2" t="s">
        <v>8</v>
      </c>
      <c r="O1492" s="8"/>
      <c r="P1492" s="8"/>
      <c r="Q1492" s="8"/>
    </row>
    <row r="1493" spans="1:18" x14ac:dyDescent="0.2">
      <c r="A1493" s="158" t="s">
        <v>10</v>
      </c>
      <c r="C1493" s="4" t="s">
        <v>2</v>
      </c>
      <c r="E1493" s="9">
        <v>1</v>
      </c>
      <c r="F1493" s="8"/>
      <c r="G1493" s="8"/>
      <c r="H1493" s="8"/>
      <c r="J1493" s="2" t="s">
        <v>10</v>
      </c>
      <c r="L1493" s="4" t="s">
        <v>2</v>
      </c>
      <c r="N1493" s="9">
        <v>100</v>
      </c>
      <c r="O1493" s="8"/>
      <c r="P1493" s="8"/>
      <c r="Q1493" s="8"/>
    </row>
    <row r="1494" spans="1:18" x14ac:dyDescent="0.2">
      <c r="B1494" s="8"/>
      <c r="F1494" s="11"/>
      <c r="G1494" s="8"/>
      <c r="H1494" s="8"/>
      <c r="I1494" s="8"/>
      <c r="K1494" s="8"/>
      <c r="O1494" s="11"/>
      <c r="P1494" s="8"/>
      <c r="Q1494" s="8"/>
      <c r="R1494" s="8"/>
    </row>
    <row r="1495" spans="1:18" x14ac:dyDescent="0.2">
      <c r="A1495" s="12"/>
      <c r="B1495" s="238" t="s">
        <v>11</v>
      </c>
      <c r="C1495" s="239"/>
      <c r="D1495" s="239"/>
      <c r="E1495" s="240"/>
      <c r="F1495" s="244" t="s">
        <v>12</v>
      </c>
      <c r="G1495" s="244" t="s">
        <v>13</v>
      </c>
      <c r="H1495" s="244" t="s">
        <v>14</v>
      </c>
      <c r="I1495" s="246" t="s">
        <v>15</v>
      </c>
      <c r="J1495" s="12"/>
      <c r="K1495" s="238" t="s">
        <v>11</v>
      </c>
      <c r="L1495" s="239"/>
      <c r="M1495" s="239"/>
      <c r="N1495" s="240"/>
      <c r="O1495" s="244" t="s">
        <v>12</v>
      </c>
      <c r="P1495" s="244" t="s">
        <v>13</v>
      </c>
      <c r="Q1495" s="244" t="s">
        <v>14</v>
      </c>
      <c r="R1495" s="246" t="s">
        <v>15</v>
      </c>
    </row>
    <row r="1496" spans="1:18" x14ac:dyDescent="0.2">
      <c r="A1496" s="13"/>
      <c r="B1496" s="241"/>
      <c r="C1496" s="242"/>
      <c r="D1496" s="242"/>
      <c r="E1496" s="243"/>
      <c r="F1496" s="245"/>
      <c r="G1496" s="245"/>
      <c r="H1496" s="245"/>
      <c r="I1496" s="247"/>
      <c r="J1496" s="13"/>
      <c r="K1496" s="241"/>
      <c r="L1496" s="242"/>
      <c r="M1496" s="242"/>
      <c r="N1496" s="243"/>
      <c r="O1496" s="245"/>
      <c r="P1496" s="245"/>
      <c r="Q1496" s="245"/>
      <c r="R1496" s="247"/>
    </row>
    <row r="1497" spans="1:18" x14ac:dyDescent="0.2">
      <c r="A1497" s="13" t="s">
        <v>16</v>
      </c>
      <c r="B1497" s="14" t="s">
        <v>17</v>
      </c>
      <c r="C1497" s="15"/>
      <c r="D1497" s="15"/>
      <c r="E1497" s="16"/>
      <c r="F1497" s="17"/>
      <c r="G1497" s="17"/>
      <c r="H1497" s="17"/>
      <c r="I1497" s="17"/>
      <c r="J1497" s="13" t="s">
        <v>16</v>
      </c>
      <c r="K1497" s="14" t="s">
        <v>17</v>
      </c>
      <c r="L1497" s="15"/>
      <c r="M1497" s="15"/>
      <c r="N1497" s="16"/>
      <c r="O1497" s="17"/>
      <c r="P1497" s="17"/>
      <c r="Q1497" s="17"/>
      <c r="R1497" s="17"/>
    </row>
    <row r="1498" spans="1:18" x14ac:dyDescent="0.2">
      <c r="A1498" s="13"/>
      <c r="B1498" s="18"/>
      <c r="C1498" s="19"/>
      <c r="D1498" s="19"/>
      <c r="E1498" s="20"/>
      <c r="F1498" s="21"/>
      <c r="G1498" s="22"/>
      <c r="H1498" s="21"/>
      <c r="I1498" s="21"/>
      <c r="J1498" s="13"/>
      <c r="K1498" s="18"/>
      <c r="L1498" s="19"/>
      <c r="M1498" s="19"/>
      <c r="N1498" s="20"/>
      <c r="O1498" s="21"/>
      <c r="P1498" s="22"/>
      <c r="Q1498" s="21"/>
      <c r="R1498" s="21"/>
    </row>
    <row r="1499" spans="1:18" x14ac:dyDescent="0.2">
      <c r="A1499" s="13"/>
      <c r="B1499" s="24" t="s">
        <v>18</v>
      </c>
      <c r="C1499" s="25"/>
      <c r="D1499" s="25"/>
      <c r="E1499" s="26"/>
      <c r="F1499" s="22">
        <v>1</v>
      </c>
      <c r="G1499" s="23">
        <v>1.33</v>
      </c>
      <c r="H1499" s="23">
        <v>69.42</v>
      </c>
      <c r="I1499" s="23">
        <f>G1499*H1499*F1499</f>
        <v>92.328600000000009</v>
      </c>
      <c r="J1499" s="13"/>
      <c r="K1499" s="24" t="s">
        <v>18</v>
      </c>
      <c r="L1499" s="25"/>
      <c r="M1499" s="25"/>
      <c r="N1499" s="26"/>
      <c r="O1499" s="22">
        <v>1</v>
      </c>
      <c r="P1499" s="23">
        <v>1</v>
      </c>
      <c r="Q1499" s="23">
        <v>69.42</v>
      </c>
      <c r="R1499" s="23">
        <f>P1499*Q1499*O1499</f>
        <v>69.42</v>
      </c>
    </row>
    <row r="1500" spans="1:18" x14ac:dyDescent="0.2">
      <c r="A1500" s="13"/>
      <c r="B1500" s="257" t="s">
        <v>1178</v>
      </c>
      <c r="C1500" s="258"/>
      <c r="D1500" s="25"/>
      <c r="E1500" s="26"/>
      <c r="F1500" s="22">
        <v>2</v>
      </c>
      <c r="G1500" s="23">
        <v>1.33</v>
      </c>
      <c r="H1500" s="23">
        <v>50.18</v>
      </c>
      <c r="I1500" s="23">
        <f>G1500*H1500*F1500</f>
        <v>133.47880000000001</v>
      </c>
      <c r="J1500" s="13"/>
      <c r="K1500" s="257" t="s">
        <v>1178</v>
      </c>
      <c r="L1500" s="258"/>
      <c r="M1500" s="25"/>
      <c r="N1500" s="26"/>
      <c r="O1500" s="22">
        <v>2</v>
      </c>
      <c r="P1500" s="23">
        <v>1</v>
      </c>
      <c r="Q1500" s="23">
        <v>50.18</v>
      </c>
      <c r="R1500" s="23">
        <f>P1500*Q1500*O1500</f>
        <v>100.36</v>
      </c>
    </row>
    <row r="1501" spans="1:18" x14ac:dyDescent="0.2">
      <c r="A1501" s="13"/>
      <c r="B1501" s="257" t="s">
        <v>1177</v>
      </c>
      <c r="C1501" s="258"/>
      <c r="D1501" s="19"/>
      <c r="E1501" s="20"/>
      <c r="F1501" s="22">
        <v>4</v>
      </c>
      <c r="G1501" s="23">
        <v>1.33</v>
      </c>
      <c r="H1501" s="23">
        <v>38.97</v>
      </c>
      <c r="I1501" s="23">
        <f>G1501*H1501*F1501</f>
        <v>207.32040000000001</v>
      </c>
      <c r="J1501" s="13"/>
      <c r="K1501" s="257" t="s">
        <v>1177</v>
      </c>
      <c r="L1501" s="258"/>
      <c r="M1501" s="19"/>
      <c r="N1501" s="20"/>
      <c r="O1501" s="22">
        <v>8</v>
      </c>
      <c r="P1501" s="23">
        <v>1</v>
      </c>
      <c r="Q1501" s="23">
        <v>38.97</v>
      </c>
      <c r="R1501" s="23">
        <f>P1501*Q1501*O1501</f>
        <v>311.76</v>
      </c>
    </row>
    <row r="1502" spans="1:18" x14ac:dyDescent="0.2">
      <c r="A1502" s="13"/>
      <c r="B1502" s="159"/>
      <c r="C1502" s="19"/>
      <c r="D1502" s="19"/>
      <c r="E1502" s="20"/>
      <c r="F1502" s="22"/>
      <c r="G1502" s="22"/>
      <c r="H1502" s="29"/>
      <c r="I1502" s="30"/>
      <c r="J1502" s="13"/>
      <c r="K1502" s="27"/>
      <c r="L1502" s="19"/>
      <c r="M1502" s="19"/>
      <c r="N1502" s="20"/>
      <c r="O1502" s="22"/>
      <c r="P1502" s="22"/>
      <c r="Q1502" s="29"/>
      <c r="R1502" s="30"/>
    </row>
    <row r="1503" spans="1:18" x14ac:dyDescent="0.2">
      <c r="A1503" s="13"/>
      <c r="B1503" s="159"/>
      <c r="C1503" s="19"/>
      <c r="D1503" s="19"/>
      <c r="E1503" s="20"/>
      <c r="F1503" s="22"/>
      <c r="G1503" s="22"/>
      <c r="H1503" s="29"/>
      <c r="I1503" s="30"/>
      <c r="J1503" s="13"/>
      <c r="K1503" s="27"/>
      <c r="L1503" s="19"/>
      <c r="M1503" s="19"/>
      <c r="N1503" s="20"/>
      <c r="O1503" s="22"/>
      <c r="P1503" s="22"/>
      <c r="Q1503" s="29"/>
      <c r="R1503" s="30"/>
    </row>
    <row r="1504" spans="1:18" x14ac:dyDescent="0.2">
      <c r="A1504" s="13"/>
      <c r="B1504" s="18"/>
      <c r="C1504" s="19"/>
      <c r="D1504" s="19"/>
      <c r="E1504" s="20"/>
      <c r="F1504" s="22"/>
      <c r="G1504" s="22"/>
      <c r="H1504" s="28"/>
      <c r="I1504" s="23"/>
      <c r="J1504" s="13"/>
      <c r="K1504" s="18"/>
      <c r="L1504" s="19"/>
      <c r="M1504" s="19"/>
      <c r="N1504" s="20"/>
      <c r="O1504" s="22"/>
      <c r="P1504" s="22"/>
      <c r="Q1504" s="28"/>
      <c r="R1504" s="23"/>
    </row>
    <row r="1505" spans="1:18" x14ac:dyDescent="0.2">
      <c r="A1505" s="13"/>
      <c r="B1505" s="18"/>
      <c r="C1505" s="19"/>
      <c r="D1505" s="19"/>
      <c r="E1505" s="20"/>
      <c r="F1505" s="22"/>
      <c r="G1505" s="22"/>
      <c r="H1505" s="23"/>
      <c r="I1505" s="23"/>
      <c r="J1505" s="13"/>
      <c r="K1505" s="18"/>
      <c r="L1505" s="19"/>
      <c r="M1505" s="19"/>
      <c r="N1505" s="20"/>
      <c r="O1505" s="22"/>
      <c r="P1505" s="22"/>
      <c r="Q1505" s="23"/>
      <c r="R1505" s="23"/>
    </row>
    <row r="1506" spans="1:18" x14ac:dyDescent="0.2">
      <c r="A1506" s="13"/>
      <c r="B1506" s="248" t="s">
        <v>20</v>
      </c>
      <c r="C1506" s="249"/>
      <c r="D1506" s="249"/>
      <c r="E1506" s="250"/>
      <c r="F1506" s="31"/>
      <c r="G1506" s="31"/>
      <c r="H1506" s="32"/>
      <c r="I1506" s="32">
        <f>SUM(I1499:I1505)</f>
        <v>433.12780000000004</v>
      </c>
      <c r="J1506" s="13"/>
      <c r="K1506" s="248" t="s">
        <v>20</v>
      </c>
      <c r="L1506" s="249"/>
      <c r="M1506" s="249"/>
      <c r="N1506" s="250"/>
      <c r="O1506" s="31"/>
      <c r="P1506" s="31"/>
      <c r="Q1506" s="32"/>
      <c r="R1506" s="32">
        <f>SUM(R1499:R1505)</f>
        <v>481.53999999999996</v>
      </c>
    </row>
    <row r="1507" spans="1:18" x14ac:dyDescent="0.2">
      <c r="A1507" s="12"/>
      <c r="B1507" s="251" t="s">
        <v>21</v>
      </c>
      <c r="C1507" s="252"/>
      <c r="D1507" s="252"/>
      <c r="E1507" s="253"/>
      <c r="F1507" s="244" t="s">
        <v>22</v>
      </c>
      <c r="G1507" s="244" t="s">
        <v>13</v>
      </c>
      <c r="H1507" s="244" t="s">
        <v>14</v>
      </c>
      <c r="I1507" s="246" t="s">
        <v>15</v>
      </c>
      <c r="J1507" s="12"/>
      <c r="K1507" s="251" t="s">
        <v>21</v>
      </c>
      <c r="L1507" s="252"/>
      <c r="M1507" s="252"/>
      <c r="N1507" s="253"/>
      <c r="O1507" s="244" t="s">
        <v>22</v>
      </c>
      <c r="P1507" s="244" t="s">
        <v>13</v>
      </c>
      <c r="Q1507" s="244" t="s">
        <v>14</v>
      </c>
      <c r="R1507" s="246" t="s">
        <v>15</v>
      </c>
    </row>
    <row r="1508" spans="1:18" x14ac:dyDescent="0.2">
      <c r="A1508" s="13"/>
      <c r="B1508" s="254"/>
      <c r="C1508" s="255"/>
      <c r="D1508" s="255"/>
      <c r="E1508" s="256"/>
      <c r="F1508" s="245"/>
      <c r="G1508" s="245"/>
      <c r="H1508" s="245"/>
      <c r="I1508" s="247"/>
      <c r="J1508" s="13"/>
      <c r="K1508" s="254"/>
      <c r="L1508" s="255"/>
      <c r="M1508" s="255"/>
      <c r="N1508" s="256"/>
      <c r="O1508" s="245"/>
      <c r="P1508" s="245"/>
      <c r="Q1508" s="245"/>
      <c r="R1508" s="247"/>
    </row>
    <row r="1509" spans="1:18" x14ac:dyDescent="0.2">
      <c r="A1509" s="13" t="s">
        <v>23</v>
      </c>
      <c r="B1509" s="33" t="s">
        <v>24</v>
      </c>
      <c r="C1509" s="15"/>
      <c r="D1509" s="15"/>
      <c r="E1509" s="16"/>
      <c r="F1509" s="34"/>
      <c r="G1509" s="34"/>
      <c r="H1509" s="35"/>
      <c r="I1509" s="35"/>
      <c r="J1509" s="13" t="s">
        <v>23</v>
      </c>
      <c r="K1509" s="33" t="s">
        <v>24</v>
      </c>
      <c r="L1509" s="15"/>
      <c r="M1509" s="15"/>
      <c r="N1509" s="16"/>
      <c r="O1509" s="34"/>
      <c r="P1509" s="34"/>
      <c r="Q1509" s="35"/>
      <c r="R1509" s="35"/>
    </row>
    <row r="1510" spans="1:18" x14ac:dyDescent="0.2">
      <c r="A1510" s="13"/>
      <c r="B1510" s="18"/>
      <c r="C1510" s="19"/>
      <c r="D1510" s="19"/>
      <c r="E1510" s="20"/>
      <c r="F1510" s="22"/>
      <c r="G1510" s="22"/>
      <c r="H1510" s="23"/>
      <c r="I1510" s="23"/>
      <c r="J1510" s="13"/>
      <c r="K1510" s="18"/>
      <c r="L1510" s="19"/>
      <c r="M1510" s="19"/>
      <c r="N1510" s="20"/>
      <c r="O1510" s="22"/>
      <c r="P1510" s="22"/>
      <c r="Q1510" s="23"/>
      <c r="R1510" s="23"/>
    </row>
    <row r="1511" spans="1:18" x14ac:dyDescent="0.2">
      <c r="A1511" s="13"/>
      <c r="B1511" s="18" t="s">
        <v>62</v>
      </c>
      <c r="C1511" s="66"/>
      <c r="D1511" s="19"/>
      <c r="E1511" s="20"/>
      <c r="F1511" s="22">
        <v>1</v>
      </c>
      <c r="G1511" s="23">
        <v>0.8</v>
      </c>
      <c r="H1511" s="37">
        <v>1537</v>
      </c>
      <c r="I1511" s="37">
        <f>G1511*H1511*F1511</f>
        <v>1229.6000000000001</v>
      </c>
      <c r="J1511" s="13"/>
      <c r="K1511" s="18" t="s">
        <v>1234</v>
      </c>
      <c r="L1511" s="66"/>
      <c r="M1511" s="19"/>
      <c r="N1511" s="20"/>
      <c r="O1511" s="22">
        <v>1</v>
      </c>
      <c r="P1511" s="23">
        <v>0.25</v>
      </c>
      <c r="Q1511" s="37">
        <v>1212</v>
      </c>
      <c r="R1511" s="37">
        <f>P1511*Q1511*O1511</f>
        <v>303</v>
      </c>
    </row>
    <row r="1512" spans="1:18" x14ac:dyDescent="0.2">
      <c r="A1512" s="13"/>
      <c r="B1512" s="18" t="s">
        <v>424</v>
      </c>
      <c r="C1512" s="19"/>
      <c r="D1512" s="19"/>
      <c r="E1512" s="20"/>
      <c r="F1512" s="22">
        <v>1</v>
      </c>
      <c r="G1512" s="23">
        <v>0.67</v>
      </c>
      <c r="H1512" s="37">
        <v>123</v>
      </c>
      <c r="I1512" s="37">
        <f>G1512*H1512*F1512</f>
        <v>82.410000000000011</v>
      </c>
      <c r="J1512" s="13"/>
      <c r="K1512" s="18"/>
      <c r="L1512" s="19"/>
      <c r="M1512" s="19"/>
      <c r="N1512" s="20"/>
      <c r="O1512" s="22"/>
      <c r="P1512" s="36"/>
      <c r="Q1512" s="37"/>
      <c r="R1512" s="37"/>
    </row>
    <row r="1513" spans="1:18" x14ac:dyDescent="0.2">
      <c r="A1513" s="13"/>
      <c r="B1513" s="18" t="s">
        <v>1174</v>
      </c>
      <c r="C1513" s="19"/>
      <c r="D1513" s="19"/>
      <c r="E1513" s="20"/>
      <c r="F1513" s="22">
        <v>1</v>
      </c>
      <c r="G1513" s="23">
        <v>0.2</v>
      </c>
      <c r="H1513" s="37">
        <v>2450</v>
      </c>
      <c r="I1513" s="37">
        <f>F1513*G1513*H1513</f>
        <v>490</v>
      </c>
      <c r="J1513" s="13"/>
      <c r="K1513" s="18"/>
      <c r="L1513" s="19"/>
      <c r="M1513" s="19"/>
      <c r="N1513" s="20"/>
      <c r="O1513" s="22"/>
      <c r="P1513" s="36"/>
      <c r="Q1513" s="37"/>
      <c r="R1513" s="37"/>
    </row>
    <row r="1514" spans="1:18" x14ac:dyDescent="0.2">
      <c r="A1514" s="13"/>
      <c r="B1514" s="18" t="s">
        <v>125</v>
      </c>
      <c r="C1514" s="66"/>
      <c r="D1514" s="19"/>
      <c r="E1514" s="20"/>
      <c r="F1514" s="22"/>
      <c r="G1514" s="71"/>
      <c r="I1514" s="37">
        <f>I1506*0.1</f>
        <v>43.312780000000004</v>
      </c>
      <c r="J1514" s="13"/>
      <c r="O1514" s="21"/>
      <c r="P1514" s="21"/>
      <c r="Q1514" s="21"/>
      <c r="R1514" s="37"/>
    </row>
    <row r="1515" spans="1:18" x14ac:dyDescent="0.2">
      <c r="A1515" s="13"/>
      <c r="B1515" s="18"/>
      <c r="C1515" s="66"/>
      <c r="D1515" s="19"/>
      <c r="E1515" s="20"/>
      <c r="F1515" s="22"/>
      <c r="G1515" s="71"/>
      <c r="H1515" s="37"/>
      <c r="I1515" s="37"/>
      <c r="J1515" s="13"/>
      <c r="K1515" s="18"/>
      <c r="L1515" s="19"/>
      <c r="M1515" s="19"/>
      <c r="N1515" s="20"/>
      <c r="O1515" s="22"/>
      <c r="P1515" s="36"/>
      <c r="Q1515" s="37"/>
      <c r="R1515" s="37"/>
    </row>
    <row r="1516" spans="1:18" x14ac:dyDescent="0.2">
      <c r="A1516" s="13"/>
      <c r="B1516" s="18"/>
      <c r="C1516" s="66"/>
      <c r="D1516" s="19"/>
      <c r="E1516" s="20"/>
      <c r="F1516" s="22"/>
      <c r="G1516" s="71"/>
      <c r="H1516" s="37"/>
      <c r="I1516" s="37"/>
      <c r="J1516" s="13"/>
      <c r="K1516" s="18"/>
      <c r="L1516" s="19"/>
      <c r="M1516" s="19"/>
      <c r="N1516" s="20"/>
      <c r="O1516" s="22"/>
      <c r="P1516" s="36"/>
      <c r="Q1516" s="38"/>
      <c r="R1516" s="38"/>
    </row>
    <row r="1517" spans="1:18" x14ac:dyDescent="0.2">
      <c r="A1517" s="13"/>
      <c r="B1517" s="18"/>
      <c r="C1517" s="19"/>
      <c r="D1517" s="19"/>
      <c r="E1517" s="20"/>
      <c r="F1517" s="22"/>
      <c r="G1517" s="36"/>
      <c r="H1517" s="38"/>
      <c r="I1517" s="38"/>
      <c r="J1517" s="13"/>
      <c r="K1517" s="18"/>
      <c r="L1517" s="19"/>
      <c r="M1517" s="19"/>
      <c r="N1517" s="20"/>
      <c r="O1517" s="22"/>
      <c r="P1517" s="36"/>
      <c r="Q1517" s="38"/>
      <c r="R1517" s="38"/>
    </row>
    <row r="1518" spans="1:18" x14ac:dyDescent="0.2">
      <c r="A1518" s="13"/>
      <c r="B1518" s="18"/>
      <c r="C1518" s="19"/>
      <c r="D1518" s="19"/>
      <c r="E1518" s="20"/>
      <c r="F1518" s="22"/>
      <c r="G1518" s="36"/>
      <c r="H1518" s="38"/>
      <c r="I1518" s="38"/>
      <c r="J1518" s="13"/>
      <c r="K1518" s="18"/>
      <c r="L1518" s="19"/>
      <c r="M1518" s="19"/>
      <c r="N1518" s="20"/>
      <c r="O1518" s="22"/>
      <c r="P1518" s="36"/>
      <c r="Q1518" s="38"/>
      <c r="R1518" s="38"/>
    </row>
    <row r="1519" spans="1:18" x14ac:dyDescent="0.2">
      <c r="A1519" s="13"/>
      <c r="B1519" s="18"/>
      <c r="C1519" s="19"/>
      <c r="D1519" s="19"/>
      <c r="E1519" s="20"/>
      <c r="F1519" s="22"/>
      <c r="G1519" s="36"/>
      <c r="H1519" s="38"/>
      <c r="I1519" s="38"/>
      <c r="J1519" s="13"/>
      <c r="K1519" s="18"/>
      <c r="L1519" s="19"/>
      <c r="M1519" s="19"/>
      <c r="N1519" s="20"/>
      <c r="O1519" s="22"/>
      <c r="P1519" s="36"/>
      <c r="Q1519" s="38"/>
      <c r="R1519" s="38"/>
    </row>
    <row r="1520" spans="1:18" x14ac:dyDescent="0.2">
      <c r="A1520" s="13"/>
      <c r="B1520" s="18"/>
      <c r="C1520" s="19"/>
      <c r="D1520" s="19"/>
      <c r="E1520" s="20"/>
      <c r="F1520" s="22"/>
      <c r="G1520" s="36"/>
      <c r="H1520" s="37"/>
      <c r="I1520" s="37"/>
      <c r="J1520" s="13"/>
      <c r="K1520" s="18"/>
      <c r="L1520" s="19"/>
      <c r="M1520" s="19"/>
      <c r="N1520" s="20"/>
      <c r="O1520" s="22"/>
      <c r="P1520" s="36"/>
      <c r="Q1520" s="37"/>
      <c r="R1520" s="37"/>
    </row>
    <row r="1521" spans="1:18" x14ac:dyDescent="0.2">
      <c r="A1521" s="13"/>
      <c r="B1521" s="18"/>
      <c r="C1521" s="19"/>
      <c r="D1521" s="19"/>
      <c r="E1521" s="20"/>
      <c r="F1521" s="22"/>
      <c r="G1521" s="36"/>
      <c r="H1521" s="37"/>
      <c r="I1521" s="37"/>
      <c r="J1521" s="13"/>
      <c r="K1521" s="18"/>
      <c r="L1521" s="19"/>
      <c r="M1521" s="19"/>
      <c r="N1521" s="20"/>
      <c r="O1521" s="22"/>
      <c r="P1521" s="36"/>
      <c r="Q1521" s="37"/>
      <c r="R1521" s="37"/>
    </row>
    <row r="1522" spans="1:18" x14ac:dyDescent="0.2">
      <c r="A1522" s="13"/>
      <c r="B1522" s="18"/>
      <c r="C1522" s="19"/>
      <c r="D1522" s="19"/>
      <c r="E1522" s="20"/>
      <c r="F1522" s="22"/>
      <c r="G1522" s="36"/>
      <c r="H1522" s="37"/>
      <c r="I1522" s="37"/>
      <c r="J1522" s="13"/>
      <c r="K1522" s="18"/>
      <c r="L1522" s="19"/>
      <c r="M1522" s="19"/>
      <c r="N1522" s="20"/>
      <c r="O1522" s="22"/>
      <c r="P1522" s="36"/>
      <c r="Q1522" s="37"/>
      <c r="R1522" s="37"/>
    </row>
    <row r="1523" spans="1:18" x14ac:dyDescent="0.2">
      <c r="A1523" s="13"/>
      <c r="B1523" s="18"/>
      <c r="C1523" s="19"/>
      <c r="D1523" s="19"/>
      <c r="E1523" s="20"/>
      <c r="F1523" s="22"/>
      <c r="G1523" s="22"/>
      <c r="H1523" s="23"/>
      <c r="I1523" s="23"/>
      <c r="J1523" s="13"/>
      <c r="K1523" s="18"/>
      <c r="L1523" s="19"/>
      <c r="M1523" s="19"/>
      <c r="N1523" s="20"/>
      <c r="O1523" s="22"/>
      <c r="P1523" s="22"/>
      <c r="Q1523" s="23"/>
      <c r="R1523" s="23"/>
    </row>
    <row r="1524" spans="1:18" x14ac:dyDescent="0.2">
      <c r="A1524" s="13"/>
      <c r="B1524" s="248" t="s">
        <v>30</v>
      </c>
      <c r="C1524" s="249"/>
      <c r="D1524" s="249"/>
      <c r="E1524" s="250"/>
      <c r="F1524" s="22"/>
      <c r="G1524" s="22"/>
      <c r="H1524" s="23"/>
      <c r="I1524" s="23">
        <f>SUM(I1511:I1523)</f>
        <v>1845.3227800000002</v>
      </c>
      <c r="J1524" s="13"/>
      <c r="K1524" s="248" t="s">
        <v>30</v>
      </c>
      <c r="L1524" s="249"/>
      <c r="M1524" s="249"/>
      <c r="N1524" s="250"/>
      <c r="O1524" s="22"/>
      <c r="P1524" s="22"/>
      <c r="Q1524" s="23"/>
      <c r="R1524" s="23">
        <f>SUM(R1511:R1523)</f>
        <v>303</v>
      </c>
    </row>
    <row r="1525" spans="1:18" x14ac:dyDescent="0.2">
      <c r="A1525" s="12" t="s">
        <v>31</v>
      </c>
      <c r="B1525" s="260" t="s">
        <v>32</v>
      </c>
      <c r="C1525" s="261"/>
      <c r="D1525" s="261"/>
      <c r="E1525" s="261"/>
      <c r="F1525" s="161"/>
      <c r="G1525" s="161"/>
      <c r="H1525" s="40"/>
      <c r="I1525" s="41">
        <f>SUM(I1524+I1506)</f>
        <v>2278.4505800000002</v>
      </c>
      <c r="J1525" s="12" t="s">
        <v>31</v>
      </c>
      <c r="K1525" s="260" t="s">
        <v>32</v>
      </c>
      <c r="L1525" s="261"/>
      <c r="M1525" s="261"/>
      <c r="N1525" s="261"/>
      <c r="O1525" s="39"/>
      <c r="P1525" s="39"/>
      <c r="Q1525" s="40"/>
      <c r="R1525" s="41">
        <f>SUM(R1524+R1506)</f>
        <v>784.54</v>
      </c>
    </row>
    <row r="1526" spans="1:18" x14ac:dyDescent="0.2">
      <c r="A1526" s="13" t="s">
        <v>33</v>
      </c>
      <c r="B1526" s="321">
        <f>E1493</f>
        <v>1</v>
      </c>
      <c r="C1526" s="322"/>
      <c r="D1526" s="322"/>
      <c r="E1526" s="322"/>
      <c r="F1526" s="322"/>
      <c r="G1526" s="322"/>
      <c r="H1526" s="40"/>
      <c r="I1526" s="41"/>
      <c r="J1526" s="13" t="s">
        <v>33</v>
      </c>
      <c r="K1526" s="305">
        <f>N1493</f>
        <v>100</v>
      </c>
      <c r="L1526" s="306"/>
      <c r="M1526" s="306"/>
      <c r="N1526" s="306"/>
      <c r="O1526" s="306"/>
      <c r="P1526" s="306"/>
      <c r="Q1526" s="40"/>
      <c r="R1526" s="41"/>
    </row>
    <row r="1527" spans="1:18" x14ac:dyDescent="0.2">
      <c r="A1527" s="13" t="s">
        <v>34</v>
      </c>
      <c r="B1527" s="162" t="s">
        <v>35</v>
      </c>
      <c r="C1527" s="43"/>
      <c r="D1527" s="43"/>
      <c r="E1527" s="161"/>
      <c r="F1527" s="163"/>
      <c r="G1527" s="163"/>
      <c r="H1527" s="40"/>
      <c r="I1527" s="41">
        <f>I1525/E1493</f>
        <v>2278.4505800000002</v>
      </c>
      <c r="J1527" s="13" t="s">
        <v>34</v>
      </c>
      <c r="K1527" s="42" t="s">
        <v>35</v>
      </c>
      <c r="L1527" s="43"/>
      <c r="M1527" s="43"/>
      <c r="N1527" s="39"/>
      <c r="O1527" s="44"/>
      <c r="P1527" s="44"/>
      <c r="Q1527" s="40"/>
      <c r="R1527" s="41">
        <f>R1525/N1493</f>
        <v>7.8453999999999997</v>
      </c>
    </row>
    <row r="1528" spans="1:18" x14ac:dyDescent="0.2">
      <c r="A1528" s="12"/>
      <c r="B1528" s="251" t="s">
        <v>36</v>
      </c>
      <c r="C1528" s="252"/>
      <c r="D1528" s="252"/>
      <c r="E1528" s="253"/>
      <c r="F1528" s="244" t="s">
        <v>37</v>
      </c>
      <c r="G1528" s="244" t="s">
        <v>38</v>
      </c>
      <c r="H1528" s="244" t="s">
        <v>39</v>
      </c>
      <c r="I1528" s="246" t="s">
        <v>15</v>
      </c>
      <c r="J1528" s="12"/>
      <c r="K1528" s="251" t="s">
        <v>36</v>
      </c>
      <c r="L1528" s="252"/>
      <c r="M1528" s="252"/>
      <c r="N1528" s="253"/>
      <c r="O1528" s="244" t="s">
        <v>37</v>
      </c>
      <c r="P1528" s="244" t="s">
        <v>38</v>
      </c>
      <c r="Q1528" s="244" t="s">
        <v>39</v>
      </c>
      <c r="R1528" s="246" t="s">
        <v>15</v>
      </c>
    </row>
    <row r="1529" spans="1:18" x14ac:dyDescent="0.2">
      <c r="A1529" s="13"/>
      <c r="B1529" s="254"/>
      <c r="C1529" s="255"/>
      <c r="D1529" s="255"/>
      <c r="E1529" s="256"/>
      <c r="F1529" s="245"/>
      <c r="G1529" s="245"/>
      <c r="H1529" s="245"/>
      <c r="I1529" s="247"/>
      <c r="J1529" s="13"/>
      <c r="K1529" s="254"/>
      <c r="L1529" s="255"/>
      <c r="M1529" s="255"/>
      <c r="N1529" s="256"/>
      <c r="O1529" s="245"/>
      <c r="P1529" s="245"/>
      <c r="Q1529" s="245"/>
      <c r="R1529" s="247"/>
    </row>
    <row r="1530" spans="1:18" x14ac:dyDescent="0.2">
      <c r="A1530" s="13" t="s">
        <v>40</v>
      </c>
      <c r="B1530" s="18" t="s">
        <v>41</v>
      </c>
      <c r="C1530" s="19"/>
      <c r="D1530" s="19"/>
      <c r="E1530" s="20"/>
      <c r="F1530" s="22"/>
      <c r="G1530" s="22"/>
      <c r="H1530" s="23"/>
      <c r="I1530" s="23"/>
      <c r="J1530" s="13" t="s">
        <v>40</v>
      </c>
      <c r="K1530" s="18" t="s">
        <v>41</v>
      </c>
      <c r="L1530" s="19"/>
      <c r="M1530" s="19"/>
      <c r="N1530" s="20"/>
      <c r="O1530" s="22"/>
      <c r="P1530" s="22"/>
      <c r="Q1530" s="23"/>
      <c r="R1530" s="23"/>
    </row>
    <row r="1531" spans="1:18" x14ac:dyDescent="0.2">
      <c r="A1531" s="13"/>
      <c r="B1531" s="18"/>
      <c r="C1531" s="19"/>
      <c r="D1531" s="19"/>
      <c r="E1531" s="20"/>
      <c r="F1531" s="22"/>
      <c r="G1531" s="22"/>
      <c r="H1531" s="23"/>
      <c r="I1531" s="23"/>
      <c r="J1531" s="13"/>
      <c r="K1531" s="18"/>
      <c r="L1531" s="19"/>
      <c r="M1531" s="19"/>
      <c r="N1531" s="20"/>
      <c r="O1531" s="22"/>
      <c r="P1531" s="22"/>
      <c r="Q1531" s="23"/>
      <c r="R1531" s="23"/>
    </row>
    <row r="1532" spans="1:18" x14ac:dyDescent="0.2">
      <c r="A1532" s="13"/>
      <c r="B1532" s="18"/>
      <c r="C1532" s="19"/>
      <c r="D1532" s="19"/>
      <c r="E1532" s="20"/>
      <c r="F1532" s="22"/>
      <c r="G1532" s="62"/>
      <c r="H1532" s="23"/>
      <c r="I1532" s="23"/>
      <c r="J1532" s="13"/>
      <c r="K1532" s="18" t="s">
        <v>613</v>
      </c>
      <c r="L1532" s="19"/>
      <c r="M1532" s="19"/>
      <c r="N1532" s="20"/>
      <c r="O1532" s="22" t="s">
        <v>8</v>
      </c>
      <c r="P1532" s="62">
        <v>1.05</v>
      </c>
      <c r="Q1532" s="107">
        <v>275</v>
      </c>
      <c r="R1532" s="23">
        <f>P1532*Q1532</f>
        <v>288.75</v>
      </c>
    </row>
    <row r="1533" spans="1:18" x14ac:dyDescent="0.2">
      <c r="A1533" s="13"/>
      <c r="B1533" s="18" t="s">
        <v>425</v>
      </c>
      <c r="C1533" s="66"/>
      <c r="D1533" s="19"/>
      <c r="E1533" s="20"/>
      <c r="F1533" s="22" t="s">
        <v>227</v>
      </c>
      <c r="G1533" s="70">
        <v>1.4039999999999999</v>
      </c>
      <c r="H1533" s="107">
        <v>220</v>
      </c>
      <c r="I1533" s="23">
        <f>H1533*G1533</f>
        <v>308.88</v>
      </c>
      <c r="J1533" s="13"/>
      <c r="K1533" s="18" t="s">
        <v>1235</v>
      </c>
      <c r="L1533" s="19"/>
      <c r="M1533" s="19"/>
      <c r="N1533" s="20"/>
      <c r="O1533" s="22"/>
      <c r="P1533" s="22"/>
      <c r="R1533" s="23">
        <f>R1532*0.05</f>
        <v>14.4375</v>
      </c>
    </row>
    <row r="1534" spans="1:18" x14ac:dyDescent="0.2">
      <c r="A1534" s="13"/>
      <c r="B1534" s="18" t="s">
        <v>567</v>
      </c>
      <c r="C1534" s="66"/>
      <c r="D1534" s="19"/>
      <c r="E1534" s="20"/>
      <c r="F1534" s="22" t="s">
        <v>9</v>
      </c>
      <c r="G1534" s="70">
        <v>0.08</v>
      </c>
      <c r="H1534" s="107">
        <v>850</v>
      </c>
      <c r="I1534" s="23">
        <f>H1534*G1534</f>
        <v>68</v>
      </c>
      <c r="J1534" s="13"/>
      <c r="K1534" s="18"/>
      <c r="L1534" s="19"/>
      <c r="M1534" s="19"/>
      <c r="N1534" s="20"/>
      <c r="O1534" s="22"/>
      <c r="P1534" s="22"/>
      <c r="Q1534" s="38"/>
      <c r="R1534" s="38"/>
    </row>
    <row r="1535" spans="1:18" x14ac:dyDescent="0.2">
      <c r="A1535" s="13"/>
      <c r="B1535" s="18" t="s">
        <v>568</v>
      </c>
      <c r="C1535" s="19"/>
      <c r="D1535" s="19"/>
      <c r="E1535" s="20"/>
      <c r="F1535" s="22" t="s">
        <v>9</v>
      </c>
      <c r="G1535" s="70">
        <v>0.17</v>
      </c>
      <c r="H1535" s="107">
        <v>850</v>
      </c>
      <c r="I1535" s="23">
        <f>H1535*G1535</f>
        <v>144.5</v>
      </c>
      <c r="J1535" s="13"/>
      <c r="K1535" s="18"/>
      <c r="L1535" s="19"/>
      <c r="M1535" s="19"/>
      <c r="N1535" s="20"/>
      <c r="O1535" s="22"/>
      <c r="P1535" s="22"/>
      <c r="Q1535" s="38"/>
      <c r="R1535" s="38"/>
    </row>
    <row r="1536" spans="1:18" x14ac:dyDescent="0.2">
      <c r="A1536" s="13"/>
      <c r="B1536" s="18"/>
      <c r="C1536" s="19"/>
      <c r="D1536" s="19"/>
      <c r="E1536" s="20"/>
      <c r="F1536" s="22"/>
      <c r="G1536" s="22"/>
      <c r="H1536" s="45"/>
      <c r="I1536" s="45"/>
      <c r="J1536" s="13"/>
      <c r="K1536" s="18"/>
      <c r="L1536" s="19"/>
      <c r="M1536" s="19"/>
      <c r="N1536" s="20"/>
      <c r="O1536" s="22"/>
      <c r="P1536" s="22"/>
      <c r="Q1536" s="45"/>
      <c r="R1536" s="45"/>
    </row>
    <row r="1537" spans="1:18" x14ac:dyDescent="0.2">
      <c r="A1537" s="13"/>
      <c r="B1537" s="18"/>
      <c r="C1537" s="19"/>
      <c r="D1537" s="19"/>
      <c r="E1537" s="20"/>
      <c r="F1537" s="22"/>
      <c r="G1537" s="22"/>
      <c r="H1537" s="45"/>
      <c r="I1537" s="45"/>
      <c r="J1537" s="13"/>
      <c r="K1537" s="18"/>
      <c r="L1537" s="19"/>
      <c r="M1537" s="19"/>
      <c r="N1537" s="20"/>
      <c r="O1537" s="22"/>
      <c r="P1537" s="22"/>
      <c r="Q1537" s="45"/>
      <c r="R1537" s="45"/>
    </row>
    <row r="1538" spans="1:18" x14ac:dyDescent="0.2">
      <c r="A1538" s="13"/>
      <c r="B1538" s="18"/>
      <c r="C1538" s="19"/>
      <c r="D1538" s="19"/>
      <c r="E1538" s="20"/>
      <c r="F1538" s="22"/>
      <c r="G1538" s="22"/>
      <c r="H1538" s="23"/>
      <c r="I1538" s="23"/>
      <c r="J1538" s="13"/>
      <c r="K1538" s="18"/>
      <c r="L1538" s="19"/>
      <c r="M1538" s="19"/>
      <c r="N1538" s="20"/>
      <c r="O1538" s="22"/>
      <c r="P1538" s="22"/>
      <c r="Q1538" s="23"/>
      <c r="R1538" s="23"/>
    </row>
    <row r="1539" spans="1:18" x14ac:dyDescent="0.2">
      <c r="A1539" s="13"/>
      <c r="B1539" s="18"/>
      <c r="C1539" s="19"/>
      <c r="D1539" s="19"/>
      <c r="E1539" s="20"/>
      <c r="F1539" s="22"/>
      <c r="G1539" s="22"/>
      <c r="H1539" s="23"/>
      <c r="I1539" s="23"/>
      <c r="J1539" s="13"/>
      <c r="K1539" s="18"/>
      <c r="L1539" s="19"/>
      <c r="M1539" s="19"/>
      <c r="N1539" s="20"/>
      <c r="O1539" s="22"/>
      <c r="P1539" s="22"/>
      <c r="Q1539" s="23"/>
      <c r="R1539" s="23"/>
    </row>
    <row r="1540" spans="1:18" x14ac:dyDescent="0.2">
      <c r="A1540" s="13"/>
      <c r="B1540" s="18"/>
      <c r="C1540" s="19"/>
      <c r="D1540" s="19"/>
      <c r="E1540" s="20"/>
      <c r="F1540" s="22"/>
      <c r="G1540" s="22"/>
      <c r="H1540" s="23"/>
      <c r="I1540" s="23"/>
      <c r="J1540" s="13"/>
      <c r="K1540" s="18"/>
      <c r="L1540" s="19"/>
      <c r="M1540" s="19"/>
      <c r="N1540" s="20"/>
      <c r="O1540" s="22"/>
      <c r="P1540" s="22"/>
      <c r="Q1540" s="23"/>
      <c r="R1540" s="23"/>
    </row>
    <row r="1541" spans="1:18" x14ac:dyDescent="0.2">
      <c r="A1541" s="13"/>
      <c r="B1541" s="18"/>
      <c r="C1541" s="19"/>
      <c r="D1541" s="19"/>
      <c r="E1541" s="20"/>
      <c r="F1541" s="22"/>
      <c r="G1541" s="22"/>
      <c r="H1541" s="23"/>
      <c r="I1541" s="23"/>
      <c r="J1541" s="13"/>
      <c r="K1541" s="18"/>
      <c r="L1541" s="19"/>
      <c r="M1541" s="19"/>
      <c r="N1541" s="20"/>
      <c r="O1541" s="22"/>
      <c r="P1541" s="22"/>
      <c r="Q1541" s="23"/>
      <c r="R1541" s="23"/>
    </row>
    <row r="1542" spans="1:18" x14ac:dyDescent="0.2">
      <c r="A1542" s="13"/>
      <c r="B1542" s="18"/>
      <c r="C1542" s="19"/>
      <c r="D1542" s="19"/>
      <c r="E1542" s="20"/>
      <c r="F1542" s="22"/>
      <c r="G1542" s="22"/>
      <c r="H1542" s="23"/>
      <c r="I1542" s="23"/>
      <c r="J1542" s="13"/>
      <c r="K1542" s="18"/>
      <c r="L1542" s="19"/>
      <c r="M1542" s="19"/>
      <c r="N1542" s="20"/>
      <c r="O1542" s="22"/>
      <c r="P1542" s="22"/>
      <c r="Q1542" s="23"/>
      <c r="R1542" s="23"/>
    </row>
    <row r="1543" spans="1:18" x14ac:dyDescent="0.2">
      <c r="A1543" s="13"/>
      <c r="B1543" s="18"/>
      <c r="C1543" s="19"/>
      <c r="D1543" s="19"/>
      <c r="E1543" s="20"/>
      <c r="F1543" s="22"/>
      <c r="G1543" s="22"/>
      <c r="H1543" s="23"/>
      <c r="I1543" s="23"/>
      <c r="J1543" s="13"/>
      <c r="K1543" s="18"/>
      <c r="L1543" s="19"/>
      <c r="M1543" s="19"/>
      <c r="N1543" s="20"/>
      <c r="O1543" s="22"/>
      <c r="P1543" s="36"/>
      <c r="Q1543" s="37"/>
      <c r="R1543" s="37"/>
    </row>
    <row r="1544" spans="1:18" x14ac:dyDescent="0.2">
      <c r="A1544" s="13"/>
      <c r="B1544" s="18"/>
      <c r="C1544" s="19"/>
      <c r="D1544" s="19"/>
      <c r="E1544" s="20"/>
      <c r="F1544" s="22"/>
      <c r="G1544" s="36"/>
      <c r="H1544" s="37"/>
      <c r="I1544" s="37"/>
      <c r="J1544" s="13"/>
      <c r="K1544" s="18"/>
      <c r="L1544" s="19"/>
      <c r="M1544" s="19"/>
      <c r="N1544" s="20"/>
      <c r="O1544" s="22"/>
      <c r="P1544" s="36"/>
      <c r="Q1544" s="37"/>
      <c r="R1544" s="37"/>
    </row>
    <row r="1545" spans="1:18" x14ac:dyDescent="0.2">
      <c r="A1545" s="13"/>
      <c r="B1545" s="248" t="s">
        <v>42</v>
      </c>
      <c r="C1545" s="249"/>
      <c r="D1545" s="249"/>
      <c r="E1545" s="250"/>
      <c r="F1545" s="46"/>
      <c r="G1545" s="46"/>
      <c r="H1545" s="47"/>
      <c r="I1545" s="47">
        <f>SUM(I1532:I1544)</f>
        <v>521.38</v>
      </c>
      <c r="J1545" s="13"/>
      <c r="K1545" s="248" t="s">
        <v>42</v>
      </c>
      <c r="L1545" s="249"/>
      <c r="M1545" s="249"/>
      <c r="N1545" s="250"/>
      <c r="O1545" s="46"/>
      <c r="P1545" s="46"/>
      <c r="Q1545" s="47"/>
      <c r="R1545" s="47">
        <f>SUM(R1532:R1543)</f>
        <v>303.1875</v>
      </c>
    </row>
    <row r="1546" spans="1:18" x14ac:dyDescent="0.2">
      <c r="A1546" s="12" t="s">
        <v>43</v>
      </c>
      <c r="B1546" s="48" t="s">
        <v>44</v>
      </c>
      <c r="C1546" s="43"/>
      <c r="D1546" s="43"/>
      <c r="E1546" s="161"/>
      <c r="F1546" s="49"/>
      <c r="G1546" s="49"/>
      <c r="H1546" s="50"/>
      <c r="I1546" s="51">
        <f>SUM(I1527+I1545)</f>
        <v>2799.8305800000003</v>
      </c>
      <c r="J1546" s="12" t="s">
        <v>43</v>
      </c>
      <c r="K1546" s="48" t="s">
        <v>44</v>
      </c>
      <c r="L1546" s="43"/>
      <c r="M1546" s="43"/>
      <c r="N1546" s="39"/>
      <c r="O1546" s="49"/>
      <c r="P1546" s="49"/>
      <c r="Q1546" s="50"/>
      <c r="R1546" s="51">
        <f>SUM(R1527+R1545)</f>
        <v>311.03289999999998</v>
      </c>
    </row>
    <row r="1547" spans="1:18" x14ac:dyDescent="0.2">
      <c r="A1547" s="13" t="s">
        <v>45</v>
      </c>
      <c r="B1547" s="48" t="s">
        <v>46</v>
      </c>
      <c r="C1547" s="43"/>
      <c r="D1547" s="43"/>
      <c r="E1547" s="161"/>
      <c r="F1547" s="49"/>
      <c r="G1547" s="52">
        <v>0.09</v>
      </c>
      <c r="H1547" s="53" t="s">
        <v>47</v>
      </c>
      <c r="I1547" s="51">
        <f>G1547*I1546</f>
        <v>251.9847522</v>
      </c>
      <c r="J1547" s="13" t="s">
        <v>45</v>
      </c>
      <c r="K1547" s="48" t="s">
        <v>46</v>
      </c>
      <c r="L1547" s="43"/>
      <c r="M1547" s="43"/>
      <c r="N1547" s="39"/>
      <c r="O1547" s="49"/>
      <c r="P1547" s="52">
        <v>0.09</v>
      </c>
      <c r="Q1547" s="53" t="s">
        <v>47</v>
      </c>
      <c r="R1547" s="51">
        <f>P1547*R1546</f>
        <v>27.992960999999998</v>
      </c>
    </row>
    <row r="1548" spans="1:18" x14ac:dyDescent="0.2">
      <c r="A1548" s="13" t="s">
        <v>48</v>
      </c>
      <c r="B1548" s="48" t="s">
        <v>49</v>
      </c>
      <c r="C1548" s="43"/>
      <c r="D1548" s="43"/>
      <c r="E1548" s="161"/>
      <c r="F1548" s="49"/>
      <c r="G1548" s="52">
        <v>0.08</v>
      </c>
      <c r="H1548" s="53" t="s">
        <v>47</v>
      </c>
      <c r="I1548" s="51">
        <f>G1548*I1546</f>
        <v>223.98644640000003</v>
      </c>
      <c r="J1548" s="13" t="s">
        <v>48</v>
      </c>
      <c r="K1548" s="48" t="s">
        <v>49</v>
      </c>
      <c r="L1548" s="43"/>
      <c r="M1548" s="43"/>
      <c r="N1548" s="39"/>
      <c r="O1548" s="49"/>
      <c r="P1548" s="52">
        <v>0.08</v>
      </c>
      <c r="Q1548" s="53" t="s">
        <v>47</v>
      </c>
      <c r="R1548" s="51">
        <f>P1548*R1546</f>
        <v>24.882632000000001</v>
      </c>
    </row>
    <row r="1549" spans="1:18" x14ac:dyDescent="0.2">
      <c r="A1549" s="13" t="s">
        <v>50</v>
      </c>
      <c r="B1549" s="48" t="s">
        <v>51</v>
      </c>
      <c r="C1549" s="43"/>
      <c r="D1549" s="43"/>
      <c r="E1549" s="161"/>
      <c r="F1549" s="49"/>
      <c r="G1549" s="52">
        <v>0.05</v>
      </c>
      <c r="H1549" s="53" t="s">
        <v>52</v>
      </c>
      <c r="I1549" s="51">
        <f>G1549*(I1546+I1547+I1548)</f>
        <v>163.79008893000002</v>
      </c>
      <c r="J1549" s="13" t="s">
        <v>50</v>
      </c>
      <c r="K1549" s="48" t="s">
        <v>51</v>
      </c>
      <c r="L1549" s="43"/>
      <c r="M1549" s="43"/>
      <c r="N1549" s="39"/>
      <c r="O1549" s="49"/>
      <c r="P1549" s="52">
        <v>0.05</v>
      </c>
      <c r="Q1549" s="53" t="s">
        <v>52</v>
      </c>
      <c r="R1549" s="51">
        <f>P1549*(R1546+R1547+R1548)</f>
        <v>18.19542465</v>
      </c>
    </row>
    <row r="1550" spans="1:18" x14ac:dyDescent="0.2">
      <c r="A1550" s="54" t="s">
        <v>53</v>
      </c>
      <c r="B1550" s="48" t="s">
        <v>54</v>
      </c>
      <c r="C1550" s="43"/>
      <c r="D1550" s="43"/>
      <c r="E1550" s="161"/>
      <c r="F1550" s="49"/>
      <c r="G1550" s="49"/>
      <c r="H1550" s="55" t="s">
        <v>55</v>
      </c>
      <c r="I1550" s="51">
        <f>SUM(I1546+I1547+I1548+I1549)</f>
        <v>3439.5918675300004</v>
      </c>
      <c r="J1550" s="54" t="s">
        <v>53</v>
      </c>
      <c r="K1550" s="48" t="s">
        <v>54</v>
      </c>
      <c r="L1550" s="43"/>
      <c r="M1550" s="43"/>
      <c r="N1550" s="39"/>
      <c r="O1550" s="49"/>
      <c r="P1550" s="49"/>
      <c r="Q1550" s="55" t="s">
        <v>55</v>
      </c>
      <c r="R1550" s="51">
        <f>SUM(R1546+R1547+R1548+R1549)</f>
        <v>382.10391764999997</v>
      </c>
    </row>
    <row r="1551" spans="1:18" s="1" customFormat="1" x14ac:dyDescent="0.2">
      <c r="A1551" s="236" t="s">
        <v>0</v>
      </c>
      <c r="B1551" s="236"/>
      <c r="C1551" s="236"/>
      <c r="D1551" s="236"/>
      <c r="E1551" s="236"/>
      <c r="F1551" s="236"/>
      <c r="G1551" s="236"/>
      <c r="H1551" s="236"/>
      <c r="I1551" s="236"/>
      <c r="J1551" s="73"/>
      <c r="K1551" s="74"/>
      <c r="L1551" s="75"/>
      <c r="M1551" s="75"/>
      <c r="N1551" s="76"/>
      <c r="O1551" s="74"/>
      <c r="P1551" s="74"/>
      <c r="Q1551" s="74"/>
      <c r="R1551" s="74"/>
    </row>
    <row r="1553" spans="1:9" x14ac:dyDescent="0.2">
      <c r="A1553" s="158" t="s">
        <v>1</v>
      </c>
      <c r="C1553" s="4" t="s">
        <v>2</v>
      </c>
      <c r="D1553" s="5" t="s">
        <v>608</v>
      </c>
      <c r="E1553" s="158" t="s">
        <v>609</v>
      </c>
      <c r="F1553" s="158"/>
      <c r="G1553" s="158"/>
      <c r="H1553" s="158"/>
    </row>
    <row r="1554" spans="1:9" x14ac:dyDescent="0.2">
      <c r="A1554" s="158" t="s">
        <v>7</v>
      </c>
      <c r="C1554" s="4" t="s">
        <v>2</v>
      </c>
      <c r="E1554" s="158" t="s">
        <v>1153</v>
      </c>
      <c r="F1554" s="8"/>
      <c r="G1554" s="8"/>
      <c r="H1554" s="8"/>
    </row>
    <row r="1555" spans="1:9" x14ac:dyDescent="0.2">
      <c r="A1555" s="158" t="s">
        <v>10</v>
      </c>
      <c r="C1555" s="4" t="s">
        <v>2</v>
      </c>
      <c r="E1555" s="9">
        <v>8</v>
      </c>
      <c r="F1555" s="8"/>
      <c r="G1555" s="8"/>
      <c r="H1555" s="8"/>
    </row>
    <row r="1556" spans="1:9" x14ac:dyDescent="0.2">
      <c r="B1556" s="8"/>
      <c r="F1556" s="11"/>
      <c r="G1556" s="8"/>
      <c r="H1556" s="8"/>
      <c r="I1556" s="8"/>
    </row>
    <row r="1557" spans="1:9" x14ac:dyDescent="0.2">
      <c r="A1557" s="12"/>
      <c r="B1557" s="238" t="s">
        <v>11</v>
      </c>
      <c r="C1557" s="239"/>
      <c r="D1557" s="239"/>
      <c r="E1557" s="240"/>
      <c r="F1557" s="244" t="s">
        <v>12</v>
      </c>
      <c r="G1557" s="244" t="s">
        <v>13</v>
      </c>
      <c r="H1557" s="244" t="s">
        <v>14</v>
      </c>
      <c r="I1557" s="246" t="s">
        <v>15</v>
      </c>
    </row>
    <row r="1558" spans="1:9" x14ac:dyDescent="0.2">
      <c r="A1558" s="13"/>
      <c r="B1558" s="241"/>
      <c r="C1558" s="242"/>
      <c r="D1558" s="242"/>
      <c r="E1558" s="243"/>
      <c r="F1558" s="245"/>
      <c r="G1558" s="245"/>
      <c r="H1558" s="245"/>
      <c r="I1558" s="247"/>
    </row>
    <row r="1559" spans="1:9" x14ac:dyDescent="0.2">
      <c r="A1559" s="13" t="s">
        <v>16</v>
      </c>
      <c r="B1559" s="14" t="s">
        <v>17</v>
      </c>
      <c r="C1559" s="15"/>
      <c r="D1559" s="15"/>
      <c r="E1559" s="16"/>
      <c r="F1559" s="17"/>
      <c r="G1559" s="17"/>
      <c r="H1559" s="17"/>
      <c r="I1559" s="17"/>
    </row>
    <row r="1560" spans="1:9" x14ac:dyDescent="0.2">
      <c r="A1560" s="13"/>
      <c r="B1560" s="18"/>
      <c r="C1560" s="19"/>
      <c r="D1560" s="19"/>
      <c r="E1560" s="20"/>
      <c r="F1560" s="21"/>
      <c r="G1560" s="22"/>
      <c r="H1560" s="21"/>
      <c r="I1560" s="21"/>
    </row>
    <row r="1561" spans="1:9" x14ac:dyDescent="0.2">
      <c r="A1561" s="13"/>
      <c r="B1561" s="24" t="s">
        <v>18</v>
      </c>
      <c r="C1561" s="25"/>
      <c r="D1561" s="25"/>
      <c r="E1561" s="26"/>
      <c r="F1561" s="22">
        <v>1</v>
      </c>
      <c r="G1561" s="23">
        <v>1</v>
      </c>
      <c r="H1561" s="23">
        <v>69.42</v>
      </c>
      <c r="I1561" s="23">
        <f>G1561*H1561*F1561</f>
        <v>69.42</v>
      </c>
    </row>
    <row r="1562" spans="1:9" x14ac:dyDescent="0.2">
      <c r="A1562" s="13"/>
      <c r="B1562" s="257" t="s">
        <v>1178</v>
      </c>
      <c r="C1562" s="258"/>
      <c r="D1562" s="25"/>
      <c r="E1562" s="26"/>
      <c r="F1562" s="22">
        <v>2</v>
      </c>
      <c r="G1562" s="23">
        <v>1</v>
      </c>
      <c r="H1562" s="23">
        <v>50.18</v>
      </c>
      <c r="I1562" s="23">
        <f>G1562*H1562*F1562</f>
        <v>100.36</v>
      </c>
    </row>
    <row r="1563" spans="1:9" x14ac:dyDescent="0.2">
      <c r="A1563" s="13"/>
      <c r="B1563" s="257" t="s">
        <v>1177</v>
      </c>
      <c r="C1563" s="258"/>
      <c r="D1563" s="19"/>
      <c r="E1563" s="20"/>
      <c r="F1563" s="22">
        <v>4</v>
      </c>
      <c r="G1563" s="23">
        <v>1</v>
      </c>
      <c r="H1563" s="23">
        <v>38.97</v>
      </c>
      <c r="I1563" s="23">
        <f>G1563*H1563*F1563</f>
        <v>155.88</v>
      </c>
    </row>
    <row r="1564" spans="1:9" x14ac:dyDescent="0.2">
      <c r="A1564" s="13"/>
      <c r="B1564" s="159"/>
      <c r="C1564" s="19"/>
      <c r="D1564" s="19"/>
      <c r="E1564" s="20"/>
      <c r="F1564" s="22"/>
      <c r="G1564" s="22"/>
      <c r="H1564" s="29"/>
      <c r="I1564" s="30"/>
    </row>
    <row r="1565" spans="1:9" x14ac:dyDescent="0.2">
      <c r="A1565" s="13"/>
      <c r="B1565" s="159"/>
      <c r="C1565" s="19"/>
      <c r="D1565" s="19"/>
      <c r="E1565" s="20"/>
      <c r="F1565" s="22"/>
      <c r="G1565" s="22"/>
      <c r="H1565" s="29"/>
      <c r="I1565" s="30"/>
    </row>
    <row r="1566" spans="1:9" x14ac:dyDescent="0.2">
      <c r="A1566" s="13"/>
      <c r="B1566" s="18"/>
      <c r="C1566" s="19"/>
      <c r="D1566" s="19"/>
      <c r="E1566" s="20"/>
      <c r="F1566" s="22"/>
      <c r="G1566" s="22"/>
      <c r="H1566" s="28"/>
      <c r="I1566" s="23"/>
    </row>
    <row r="1567" spans="1:9" x14ac:dyDescent="0.2">
      <c r="A1567" s="13"/>
      <c r="B1567" s="18"/>
      <c r="C1567" s="19"/>
      <c r="D1567" s="19"/>
      <c r="E1567" s="20"/>
      <c r="F1567" s="22"/>
      <c r="G1567" s="22"/>
      <c r="H1567" s="23"/>
      <c r="I1567" s="23"/>
    </row>
    <row r="1568" spans="1:9" x14ac:dyDescent="0.2">
      <c r="A1568" s="13"/>
      <c r="B1568" s="248" t="s">
        <v>20</v>
      </c>
      <c r="C1568" s="249"/>
      <c r="D1568" s="249"/>
      <c r="E1568" s="250"/>
      <c r="F1568" s="31"/>
      <c r="G1568" s="31"/>
      <c r="H1568" s="32"/>
      <c r="I1568" s="32">
        <f>SUM(I1561:I1567)</f>
        <v>325.65999999999997</v>
      </c>
    </row>
    <row r="1569" spans="1:9" x14ac:dyDescent="0.2">
      <c r="A1569" s="12"/>
      <c r="B1569" s="251" t="s">
        <v>21</v>
      </c>
      <c r="C1569" s="252"/>
      <c r="D1569" s="252"/>
      <c r="E1569" s="253"/>
      <c r="F1569" s="244" t="s">
        <v>22</v>
      </c>
      <c r="G1569" s="244" t="s">
        <v>13</v>
      </c>
      <c r="H1569" s="244" t="s">
        <v>14</v>
      </c>
      <c r="I1569" s="246" t="s">
        <v>15</v>
      </c>
    </row>
    <row r="1570" spans="1:9" x14ac:dyDescent="0.2">
      <c r="A1570" s="13"/>
      <c r="B1570" s="254"/>
      <c r="C1570" s="255"/>
      <c r="D1570" s="255"/>
      <c r="E1570" s="256"/>
      <c r="F1570" s="245"/>
      <c r="G1570" s="245"/>
      <c r="H1570" s="245"/>
      <c r="I1570" s="247"/>
    </row>
    <row r="1571" spans="1:9" x14ac:dyDescent="0.2">
      <c r="A1571" s="13" t="s">
        <v>23</v>
      </c>
      <c r="B1571" s="33" t="s">
        <v>24</v>
      </c>
      <c r="C1571" s="15"/>
      <c r="D1571" s="15"/>
      <c r="E1571" s="16"/>
      <c r="F1571" s="34"/>
      <c r="G1571" s="34"/>
      <c r="H1571" s="35"/>
      <c r="I1571" s="35"/>
    </row>
    <row r="1572" spans="1:9" x14ac:dyDescent="0.2">
      <c r="A1572" s="13"/>
      <c r="B1572" s="18"/>
      <c r="C1572" s="19"/>
      <c r="D1572" s="19"/>
      <c r="E1572" s="20"/>
      <c r="F1572" s="22"/>
      <c r="G1572" s="22"/>
      <c r="H1572" s="23"/>
      <c r="I1572" s="23"/>
    </row>
    <row r="1573" spans="1:9" x14ac:dyDescent="0.2">
      <c r="A1573" s="13"/>
      <c r="B1573" s="18" t="s">
        <v>1277</v>
      </c>
      <c r="C1573" s="19"/>
      <c r="D1573" s="19"/>
      <c r="E1573" s="20"/>
      <c r="F1573" s="22">
        <v>1</v>
      </c>
      <c r="G1573" s="23">
        <v>1</v>
      </c>
      <c r="H1573" s="37">
        <v>783</v>
      </c>
      <c r="I1573" s="37">
        <f>F1573*G1573*H1573</f>
        <v>783</v>
      </c>
    </row>
    <row r="1574" spans="1:9" x14ac:dyDescent="0.2">
      <c r="A1574" s="13"/>
      <c r="B1574" s="18" t="s">
        <v>1278</v>
      </c>
      <c r="C1574" s="19"/>
      <c r="D1574" s="19"/>
      <c r="E1574" s="20"/>
      <c r="F1574" s="22">
        <v>1</v>
      </c>
      <c r="G1574" s="23">
        <v>1</v>
      </c>
      <c r="H1574" s="37">
        <v>300</v>
      </c>
      <c r="I1574" s="37">
        <f>H1574</f>
        <v>300</v>
      </c>
    </row>
    <row r="1575" spans="1:9" x14ac:dyDescent="0.2">
      <c r="A1575" s="13"/>
      <c r="B1575" s="18" t="s">
        <v>612</v>
      </c>
      <c r="C1575" s="19"/>
      <c r="D1575" s="19"/>
      <c r="E1575" s="20"/>
      <c r="F1575" s="22">
        <v>1</v>
      </c>
      <c r="G1575" s="23">
        <v>1</v>
      </c>
      <c r="H1575" s="37">
        <v>200</v>
      </c>
      <c r="I1575" s="37">
        <f>H1575</f>
        <v>200</v>
      </c>
    </row>
    <row r="1576" spans="1:9" x14ac:dyDescent="0.2">
      <c r="A1576" s="13"/>
      <c r="B1576" s="18" t="s">
        <v>92</v>
      </c>
      <c r="C1576" s="19"/>
      <c r="D1576" s="19"/>
      <c r="E1576" s="20"/>
      <c r="F1576" s="22"/>
      <c r="G1576" s="23"/>
      <c r="I1576" s="37">
        <f>I1568*0.1</f>
        <v>32.565999999999995</v>
      </c>
    </row>
    <row r="1577" spans="1:9" x14ac:dyDescent="0.2">
      <c r="A1577" s="13"/>
      <c r="B1577" s="18"/>
      <c r="C1577" s="66"/>
      <c r="D1577" s="19"/>
      <c r="E1577" s="20"/>
      <c r="F1577" s="22"/>
      <c r="G1577" s="71"/>
      <c r="H1577" s="37"/>
      <c r="I1577" s="37"/>
    </row>
    <row r="1578" spans="1:9" x14ac:dyDescent="0.2">
      <c r="A1578" s="13"/>
      <c r="B1578" s="18"/>
      <c r="C1578" s="66"/>
      <c r="D1578" s="19"/>
      <c r="E1578" s="20"/>
      <c r="F1578" s="22"/>
      <c r="G1578" s="71"/>
      <c r="H1578" s="37"/>
      <c r="I1578" s="37"/>
    </row>
    <row r="1579" spans="1:9" x14ac:dyDescent="0.2">
      <c r="A1579" s="13"/>
      <c r="B1579" s="18"/>
      <c r="C1579" s="19"/>
      <c r="D1579" s="19"/>
      <c r="E1579" s="20"/>
      <c r="F1579" s="22"/>
      <c r="G1579" s="36"/>
      <c r="H1579" s="38"/>
      <c r="I1579" s="38"/>
    </row>
    <row r="1580" spans="1:9" x14ac:dyDescent="0.2">
      <c r="A1580" s="13"/>
      <c r="B1580" s="18"/>
      <c r="C1580" s="19"/>
      <c r="D1580" s="19"/>
      <c r="E1580" s="20"/>
      <c r="F1580" s="22"/>
      <c r="G1580" s="36"/>
      <c r="H1580" s="38"/>
      <c r="I1580" s="38"/>
    </row>
    <row r="1581" spans="1:9" x14ac:dyDescent="0.2">
      <c r="A1581" s="13"/>
      <c r="B1581" s="18"/>
      <c r="C1581" s="19"/>
      <c r="D1581" s="19"/>
      <c r="E1581" s="20"/>
      <c r="F1581" s="22"/>
      <c r="G1581" s="36"/>
      <c r="H1581" s="38"/>
      <c r="I1581" s="38"/>
    </row>
    <row r="1582" spans="1:9" x14ac:dyDescent="0.2">
      <c r="A1582" s="13"/>
      <c r="B1582" s="18"/>
      <c r="C1582" s="19"/>
      <c r="D1582" s="19"/>
      <c r="E1582" s="20"/>
      <c r="F1582" s="22"/>
      <c r="G1582" s="36"/>
      <c r="H1582" s="37"/>
      <c r="I1582" s="37"/>
    </row>
    <row r="1583" spans="1:9" x14ac:dyDescent="0.2">
      <c r="A1583" s="13"/>
      <c r="B1583" s="18"/>
      <c r="C1583" s="19"/>
      <c r="D1583" s="19"/>
      <c r="E1583" s="20"/>
      <c r="F1583" s="22"/>
      <c r="G1583" s="36"/>
      <c r="H1583" s="37"/>
      <c r="I1583" s="37"/>
    </row>
    <row r="1584" spans="1:9" x14ac:dyDescent="0.2">
      <c r="A1584" s="13"/>
      <c r="B1584" s="18"/>
      <c r="C1584" s="19"/>
      <c r="D1584" s="19"/>
      <c r="E1584" s="20"/>
      <c r="F1584" s="22"/>
      <c r="G1584" s="36"/>
      <c r="H1584" s="37"/>
      <c r="I1584" s="37"/>
    </row>
    <row r="1585" spans="1:9" x14ac:dyDescent="0.2">
      <c r="A1585" s="13"/>
      <c r="B1585" s="18"/>
      <c r="C1585" s="19"/>
      <c r="D1585" s="19"/>
      <c r="E1585" s="20"/>
      <c r="F1585" s="22"/>
      <c r="G1585" s="22"/>
      <c r="H1585" s="23"/>
      <c r="I1585" s="23"/>
    </row>
    <row r="1586" spans="1:9" x14ac:dyDescent="0.2">
      <c r="A1586" s="13"/>
      <c r="B1586" s="248" t="s">
        <v>30</v>
      </c>
      <c r="C1586" s="249"/>
      <c r="D1586" s="249"/>
      <c r="E1586" s="250"/>
      <c r="F1586" s="22"/>
      <c r="G1586" s="22"/>
      <c r="H1586" s="23"/>
      <c r="I1586" s="23">
        <f>SUM(I1573:I1585)</f>
        <v>1315.566</v>
      </c>
    </row>
    <row r="1587" spans="1:9" x14ac:dyDescent="0.2">
      <c r="A1587" s="12" t="s">
        <v>31</v>
      </c>
      <c r="B1587" s="260" t="s">
        <v>32</v>
      </c>
      <c r="C1587" s="261"/>
      <c r="D1587" s="261"/>
      <c r="E1587" s="261"/>
      <c r="F1587" s="161"/>
      <c r="G1587" s="161"/>
      <c r="H1587" s="40"/>
      <c r="I1587" s="41">
        <f>SUM(I1586+I1568)</f>
        <v>1641.2260000000001</v>
      </c>
    </row>
    <row r="1588" spans="1:9" x14ac:dyDescent="0.2">
      <c r="A1588" s="13" t="s">
        <v>33</v>
      </c>
      <c r="B1588" s="321">
        <f>E1555</f>
        <v>8</v>
      </c>
      <c r="C1588" s="322"/>
      <c r="D1588" s="322"/>
      <c r="E1588" s="322"/>
      <c r="F1588" s="322"/>
      <c r="G1588" s="322"/>
      <c r="H1588" s="40"/>
      <c r="I1588" s="41"/>
    </row>
    <row r="1589" spans="1:9" x14ac:dyDescent="0.2">
      <c r="A1589" s="13" t="s">
        <v>34</v>
      </c>
      <c r="B1589" s="162" t="s">
        <v>35</v>
      </c>
      <c r="C1589" s="43"/>
      <c r="D1589" s="43"/>
      <c r="E1589" s="161"/>
      <c r="F1589" s="163"/>
      <c r="G1589" s="163"/>
      <c r="H1589" s="40"/>
      <c r="I1589" s="41">
        <f>I1587/E1555</f>
        <v>205.15325000000001</v>
      </c>
    </row>
    <row r="1590" spans="1:9" x14ac:dyDescent="0.2">
      <c r="A1590" s="12"/>
      <c r="B1590" s="251" t="s">
        <v>36</v>
      </c>
      <c r="C1590" s="252"/>
      <c r="D1590" s="252"/>
      <c r="E1590" s="253"/>
      <c r="F1590" s="244" t="s">
        <v>37</v>
      </c>
      <c r="G1590" s="244" t="s">
        <v>38</v>
      </c>
      <c r="H1590" s="244" t="s">
        <v>39</v>
      </c>
      <c r="I1590" s="246" t="s">
        <v>15</v>
      </c>
    </row>
    <row r="1591" spans="1:9" x14ac:dyDescent="0.2">
      <c r="A1591" s="13"/>
      <c r="B1591" s="254"/>
      <c r="C1591" s="255"/>
      <c r="D1591" s="255"/>
      <c r="E1591" s="256"/>
      <c r="F1591" s="245"/>
      <c r="G1591" s="245"/>
      <c r="H1591" s="245"/>
      <c r="I1591" s="247"/>
    </row>
    <row r="1592" spans="1:9" x14ac:dyDescent="0.2">
      <c r="A1592" s="13" t="s">
        <v>40</v>
      </c>
      <c r="B1592" s="18" t="s">
        <v>41</v>
      </c>
      <c r="C1592" s="19"/>
      <c r="D1592" s="19"/>
      <c r="E1592" s="20"/>
      <c r="F1592" s="22"/>
      <c r="G1592" s="22"/>
      <c r="H1592" s="23"/>
      <c r="I1592" s="23"/>
    </row>
    <row r="1593" spans="1:9" x14ac:dyDescent="0.2">
      <c r="A1593" s="13"/>
      <c r="B1593" s="18"/>
      <c r="C1593" s="19"/>
      <c r="D1593" s="19"/>
      <c r="E1593" s="20"/>
      <c r="F1593" s="22"/>
      <c r="G1593" s="22"/>
      <c r="H1593" s="23"/>
      <c r="I1593" s="23"/>
    </row>
    <row r="1594" spans="1:9" x14ac:dyDescent="0.2">
      <c r="A1594" s="13"/>
      <c r="B1594" s="18"/>
      <c r="C1594" s="20"/>
      <c r="D1594" s="66"/>
      <c r="E1594" s="160"/>
      <c r="F1594" s="22"/>
      <c r="G1594" s="62"/>
      <c r="H1594" s="23"/>
      <c r="I1594" s="23"/>
    </row>
    <row r="1595" spans="1:9" x14ac:dyDescent="0.2">
      <c r="A1595" s="13"/>
      <c r="B1595" s="18"/>
      <c r="C1595" s="20"/>
      <c r="D1595" s="19"/>
      <c r="E1595" s="20"/>
      <c r="F1595" s="22"/>
      <c r="G1595" s="70"/>
      <c r="H1595" s="23"/>
      <c r="I1595" s="23"/>
    </row>
    <row r="1596" spans="1:9" x14ac:dyDescent="0.2">
      <c r="A1596" s="13"/>
      <c r="B1596" s="18"/>
      <c r="C1596" s="20"/>
      <c r="D1596" s="19"/>
      <c r="E1596" s="20"/>
      <c r="F1596" s="22"/>
      <c r="G1596" s="70"/>
      <c r="H1596" s="23"/>
      <c r="I1596" s="23"/>
    </row>
    <row r="1597" spans="1:9" x14ac:dyDescent="0.2">
      <c r="A1597" s="13"/>
      <c r="B1597" s="18"/>
      <c r="C1597" s="19"/>
      <c r="D1597" s="19"/>
      <c r="E1597" s="20"/>
      <c r="F1597" s="22"/>
      <c r="G1597" s="22"/>
      <c r="H1597" s="38"/>
      <c r="I1597" s="38"/>
    </row>
    <row r="1598" spans="1:9" x14ac:dyDescent="0.2">
      <c r="A1598" s="13"/>
      <c r="B1598" s="18"/>
      <c r="C1598" s="19"/>
      <c r="D1598" s="19"/>
      <c r="E1598" s="20"/>
      <c r="F1598" s="22"/>
      <c r="G1598" s="22"/>
      <c r="H1598" s="45"/>
      <c r="I1598" s="45"/>
    </row>
    <row r="1599" spans="1:9" x14ac:dyDescent="0.2">
      <c r="A1599" s="13"/>
      <c r="B1599" s="18"/>
      <c r="C1599" s="19"/>
      <c r="D1599" s="19"/>
      <c r="E1599" s="20"/>
      <c r="F1599" s="22"/>
      <c r="G1599" s="22"/>
      <c r="H1599" s="45"/>
      <c r="I1599" s="45"/>
    </row>
    <row r="1600" spans="1:9" x14ac:dyDescent="0.2">
      <c r="A1600" s="13"/>
      <c r="B1600" s="18"/>
      <c r="C1600" s="19"/>
      <c r="D1600" s="19"/>
      <c r="E1600" s="20"/>
      <c r="F1600" s="22"/>
      <c r="G1600" s="22"/>
      <c r="H1600" s="23"/>
      <c r="I1600" s="23"/>
    </row>
    <row r="1601" spans="1:18" x14ac:dyDescent="0.2">
      <c r="A1601" s="13"/>
      <c r="B1601" s="18"/>
      <c r="C1601" s="19"/>
      <c r="D1601" s="19"/>
      <c r="E1601" s="20"/>
      <c r="F1601" s="22"/>
      <c r="G1601" s="22"/>
      <c r="H1601" s="23"/>
      <c r="I1601" s="23"/>
    </row>
    <row r="1602" spans="1:18" x14ac:dyDescent="0.2">
      <c r="A1602" s="13"/>
      <c r="B1602" s="18"/>
      <c r="C1602" s="19"/>
      <c r="D1602" s="19"/>
      <c r="E1602" s="20"/>
      <c r="F1602" s="22"/>
      <c r="G1602" s="22"/>
      <c r="H1602" s="23"/>
      <c r="I1602" s="23"/>
    </row>
    <row r="1603" spans="1:18" x14ac:dyDescent="0.2">
      <c r="A1603" s="13"/>
      <c r="B1603" s="18"/>
      <c r="C1603" s="19"/>
      <c r="D1603" s="19"/>
      <c r="E1603" s="20"/>
      <c r="F1603" s="22"/>
      <c r="G1603" s="22"/>
      <c r="H1603" s="23"/>
      <c r="I1603" s="23"/>
    </row>
    <row r="1604" spans="1:18" x14ac:dyDescent="0.2">
      <c r="A1604" s="13"/>
      <c r="B1604" s="18"/>
      <c r="C1604" s="19"/>
      <c r="D1604" s="19"/>
      <c r="E1604" s="20"/>
      <c r="F1604" s="22"/>
      <c r="G1604" s="22"/>
      <c r="H1604" s="23"/>
      <c r="I1604" s="23"/>
    </row>
    <row r="1605" spans="1:18" x14ac:dyDescent="0.2">
      <c r="A1605" s="13"/>
      <c r="B1605" s="18"/>
      <c r="C1605" s="19"/>
      <c r="D1605" s="19"/>
      <c r="E1605" s="20"/>
      <c r="F1605" s="22"/>
      <c r="G1605" s="22"/>
      <c r="H1605" s="23"/>
      <c r="I1605" s="23"/>
    </row>
    <row r="1606" spans="1:18" x14ac:dyDescent="0.2">
      <c r="A1606" s="13"/>
      <c r="B1606" s="18"/>
      <c r="C1606" s="19"/>
      <c r="D1606" s="19"/>
      <c r="E1606" s="20"/>
      <c r="F1606" s="22"/>
      <c r="G1606" s="36"/>
      <c r="H1606" s="37"/>
      <c r="I1606" s="37"/>
    </row>
    <row r="1607" spans="1:18" x14ac:dyDescent="0.2">
      <c r="A1607" s="13"/>
      <c r="B1607" s="248" t="s">
        <v>42</v>
      </c>
      <c r="C1607" s="249"/>
      <c r="D1607" s="249"/>
      <c r="E1607" s="250"/>
      <c r="F1607" s="46"/>
      <c r="G1607" s="46"/>
      <c r="H1607" s="47"/>
      <c r="I1607" s="47">
        <f>SUM(I1594:I1606)</f>
        <v>0</v>
      </c>
    </row>
    <row r="1608" spans="1:18" x14ac:dyDescent="0.2">
      <c r="A1608" s="12" t="s">
        <v>43</v>
      </c>
      <c r="B1608" s="48" t="s">
        <v>44</v>
      </c>
      <c r="C1608" s="43"/>
      <c r="D1608" s="43"/>
      <c r="E1608" s="161"/>
      <c r="F1608" s="49"/>
      <c r="G1608" s="49"/>
      <c r="H1608" s="50"/>
      <c r="I1608" s="51">
        <f>SUM(I1589+I1607)</f>
        <v>205.15325000000001</v>
      </c>
    </row>
    <row r="1609" spans="1:18" x14ac:dyDescent="0.2">
      <c r="A1609" s="13" t="s">
        <v>45</v>
      </c>
      <c r="B1609" s="48" t="s">
        <v>46</v>
      </c>
      <c r="C1609" s="43"/>
      <c r="D1609" s="43"/>
      <c r="E1609" s="161"/>
      <c r="F1609" s="49"/>
      <c r="G1609" s="52">
        <v>0.09</v>
      </c>
      <c r="H1609" s="53" t="s">
        <v>47</v>
      </c>
      <c r="I1609" s="51">
        <f>G1609*I1608</f>
        <v>18.4637925</v>
      </c>
    </row>
    <row r="1610" spans="1:18" x14ac:dyDescent="0.2">
      <c r="A1610" s="13" t="s">
        <v>48</v>
      </c>
      <c r="B1610" s="48" t="s">
        <v>49</v>
      </c>
      <c r="C1610" s="43"/>
      <c r="D1610" s="43"/>
      <c r="E1610" s="161"/>
      <c r="F1610" s="49"/>
      <c r="G1610" s="52">
        <v>0.08</v>
      </c>
      <c r="H1610" s="53" t="s">
        <v>47</v>
      </c>
      <c r="I1610" s="51">
        <f>G1610*I1608</f>
        <v>16.41226</v>
      </c>
    </row>
    <row r="1611" spans="1:18" x14ac:dyDescent="0.2">
      <c r="A1611" s="13" t="s">
        <v>50</v>
      </c>
      <c r="B1611" s="48" t="s">
        <v>51</v>
      </c>
      <c r="C1611" s="43"/>
      <c r="D1611" s="43"/>
      <c r="E1611" s="161"/>
      <c r="F1611" s="49"/>
      <c r="G1611" s="52">
        <v>0.05</v>
      </c>
      <c r="H1611" s="53" t="s">
        <v>52</v>
      </c>
      <c r="I1611" s="51">
        <f>G1611*(I1608+I1609+I1610)</f>
        <v>12.001465125000003</v>
      </c>
    </row>
    <row r="1612" spans="1:18" x14ac:dyDescent="0.2">
      <c r="A1612" s="54" t="s">
        <v>53</v>
      </c>
      <c r="B1612" s="48" t="s">
        <v>54</v>
      </c>
      <c r="C1612" s="43"/>
      <c r="D1612" s="43"/>
      <c r="E1612" s="161"/>
      <c r="F1612" s="49"/>
      <c r="G1612" s="49"/>
      <c r="H1612" s="55" t="s">
        <v>55</v>
      </c>
      <c r="I1612" s="51">
        <f>SUM(I1608+I1609+I1610+I1611)</f>
        <v>252.03076762500004</v>
      </c>
    </row>
    <row r="1613" spans="1:18" s="1" customFormat="1" x14ac:dyDescent="0.2">
      <c r="A1613" s="236" t="s">
        <v>0</v>
      </c>
      <c r="B1613" s="236"/>
      <c r="C1613" s="236"/>
      <c r="D1613" s="236"/>
      <c r="E1613" s="236"/>
      <c r="F1613" s="236"/>
      <c r="G1613" s="236"/>
      <c r="H1613" s="236"/>
      <c r="I1613" s="236"/>
      <c r="J1613" s="10"/>
      <c r="K1613" s="3"/>
      <c r="L1613" s="4"/>
      <c r="M1613" s="4"/>
      <c r="N1613" s="5"/>
      <c r="O1613" s="3"/>
      <c r="P1613" s="3"/>
      <c r="Q1613" s="3"/>
      <c r="R1613" s="3"/>
    </row>
    <row r="1615" spans="1:18" x14ac:dyDescent="0.2">
      <c r="A1615" s="158" t="s">
        <v>1</v>
      </c>
      <c r="C1615" s="4" t="s">
        <v>2</v>
      </c>
      <c r="D1615" s="5" t="s">
        <v>615</v>
      </c>
      <c r="E1615" s="158" t="s">
        <v>616</v>
      </c>
      <c r="F1615" s="158"/>
      <c r="G1615" s="158"/>
      <c r="H1615" s="158"/>
    </row>
    <row r="1616" spans="1:18" x14ac:dyDescent="0.2">
      <c r="A1616" s="158" t="s">
        <v>7</v>
      </c>
      <c r="C1616" s="4" t="s">
        <v>2</v>
      </c>
      <c r="E1616" s="158" t="s">
        <v>1153</v>
      </c>
      <c r="F1616" s="8"/>
      <c r="G1616" s="8"/>
      <c r="H1616" s="8"/>
    </row>
    <row r="1617" spans="1:9" x14ac:dyDescent="0.2">
      <c r="A1617" s="158" t="s">
        <v>10</v>
      </c>
      <c r="C1617" s="4" t="s">
        <v>2</v>
      </c>
      <c r="E1617" s="9">
        <v>5.25</v>
      </c>
      <c r="F1617" s="8"/>
      <c r="G1617" s="8"/>
      <c r="H1617" s="8"/>
    </row>
    <row r="1618" spans="1:9" x14ac:dyDescent="0.2">
      <c r="B1618" s="8"/>
      <c r="F1618" s="11"/>
      <c r="G1618" s="8"/>
      <c r="H1618" s="8"/>
      <c r="I1618" s="8"/>
    </row>
    <row r="1619" spans="1:9" x14ac:dyDescent="0.2">
      <c r="A1619" s="12"/>
      <c r="B1619" s="238" t="s">
        <v>11</v>
      </c>
      <c r="C1619" s="239"/>
      <c r="D1619" s="239"/>
      <c r="E1619" s="240"/>
      <c r="F1619" s="244" t="s">
        <v>12</v>
      </c>
      <c r="G1619" s="244" t="s">
        <v>13</v>
      </c>
      <c r="H1619" s="244" t="s">
        <v>14</v>
      </c>
      <c r="I1619" s="246" t="s">
        <v>15</v>
      </c>
    </row>
    <row r="1620" spans="1:9" x14ac:dyDescent="0.2">
      <c r="A1620" s="13"/>
      <c r="B1620" s="241"/>
      <c r="C1620" s="242"/>
      <c r="D1620" s="242"/>
      <c r="E1620" s="243"/>
      <c r="F1620" s="245"/>
      <c r="G1620" s="245"/>
      <c r="H1620" s="245"/>
      <c r="I1620" s="247"/>
    </row>
    <row r="1621" spans="1:9" x14ac:dyDescent="0.2">
      <c r="A1621" s="13" t="s">
        <v>16</v>
      </c>
      <c r="B1621" s="14" t="s">
        <v>17</v>
      </c>
      <c r="C1621" s="15"/>
      <c r="D1621" s="15"/>
      <c r="E1621" s="16"/>
      <c r="F1621" s="17"/>
      <c r="G1621" s="17"/>
      <c r="H1621" s="17"/>
      <c r="I1621" s="17"/>
    </row>
    <row r="1622" spans="1:9" x14ac:dyDescent="0.2">
      <c r="A1622" s="13"/>
      <c r="B1622" s="18"/>
      <c r="C1622" s="19"/>
      <c r="D1622" s="19"/>
      <c r="E1622" s="20"/>
      <c r="F1622" s="21"/>
      <c r="G1622" s="22"/>
      <c r="H1622" s="21"/>
      <c r="I1622" s="21"/>
    </row>
    <row r="1623" spans="1:9" x14ac:dyDescent="0.2">
      <c r="A1623" s="13"/>
      <c r="B1623" s="24" t="s">
        <v>18</v>
      </c>
      <c r="C1623" s="25"/>
      <c r="D1623" s="25"/>
      <c r="E1623" s="26"/>
      <c r="F1623" s="22">
        <v>1</v>
      </c>
      <c r="G1623" s="23">
        <v>1</v>
      </c>
      <c r="H1623" s="23">
        <v>69.42</v>
      </c>
      <c r="I1623" s="23">
        <f>G1623*H1623*F1623</f>
        <v>69.42</v>
      </c>
    </row>
    <row r="1624" spans="1:9" x14ac:dyDescent="0.2">
      <c r="A1624" s="13"/>
      <c r="B1624" s="257" t="s">
        <v>1178</v>
      </c>
      <c r="C1624" s="258"/>
      <c r="D1624" s="25"/>
      <c r="E1624" s="26"/>
      <c r="F1624" s="22">
        <v>2</v>
      </c>
      <c r="G1624" s="23">
        <v>1</v>
      </c>
      <c r="H1624" s="23">
        <v>50.18</v>
      </c>
      <c r="I1624" s="23">
        <f>G1624*H1624*F1624</f>
        <v>100.36</v>
      </c>
    </row>
    <row r="1625" spans="1:9" x14ac:dyDescent="0.2">
      <c r="A1625" s="13"/>
      <c r="B1625" s="257" t="s">
        <v>1177</v>
      </c>
      <c r="C1625" s="258"/>
      <c r="D1625" s="19"/>
      <c r="E1625" s="20"/>
      <c r="F1625" s="22">
        <v>4</v>
      </c>
      <c r="G1625" s="23">
        <v>1</v>
      </c>
      <c r="H1625" s="23">
        <v>38.97</v>
      </c>
      <c r="I1625" s="23">
        <f>G1625*H1625*F1625</f>
        <v>155.88</v>
      </c>
    </row>
    <row r="1626" spans="1:9" x14ac:dyDescent="0.2">
      <c r="A1626" s="13"/>
      <c r="B1626" s="159"/>
      <c r="C1626" s="19"/>
      <c r="D1626" s="19"/>
      <c r="E1626" s="20"/>
      <c r="F1626" s="22"/>
      <c r="G1626" s="22"/>
      <c r="H1626" s="29"/>
      <c r="I1626" s="30"/>
    </row>
    <row r="1627" spans="1:9" x14ac:dyDescent="0.2">
      <c r="A1627" s="13"/>
      <c r="B1627" s="159"/>
      <c r="C1627" s="19"/>
      <c r="D1627" s="19"/>
      <c r="E1627" s="20"/>
      <c r="F1627" s="22"/>
      <c r="G1627" s="22"/>
      <c r="H1627" s="29"/>
      <c r="I1627" s="30"/>
    </row>
    <row r="1628" spans="1:9" x14ac:dyDescent="0.2">
      <c r="A1628" s="13"/>
      <c r="B1628" s="18"/>
      <c r="C1628" s="19"/>
      <c r="D1628" s="19"/>
      <c r="E1628" s="20"/>
      <c r="F1628" s="22"/>
      <c r="G1628" s="22"/>
      <c r="H1628" s="28"/>
      <c r="I1628" s="23"/>
    </row>
    <row r="1629" spans="1:9" x14ac:dyDescent="0.2">
      <c r="A1629" s="13"/>
      <c r="B1629" s="18"/>
      <c r="C1629" s="19"/>
      <c r="D1629" s="19"/>
      <c r="E1629" s="20"/>
      <c r="F1629" s="22"/>
      <c r="G1629" s="22"/>
      <c r="H1629" s="23"/>
      <c r="I1629" s="23"/>
    </row>
    <row r="1630" spans="1:9" x14ac:dyDescent="0.2">
      <c r="A1630" s="13"/>
      <c r="B1630" s="248" t="s">
        <v>20</v>
      </c>
      <c r="C1630" s="249"/>
      <c r="D1630" s="249"/>
      <c r="E1630" s="250"/>
      <c r="F1630" s="31"/>
      <c r="G1630" s="31"/>
      <c r="H1630" s="32"/>
      <c r="I1630" s="32">
        <f>SUM(I1623:I1629)</f>
        <v>325.65999999999997</v>
      </c>
    </row>
    <row r="1631" spans="1:9" x14ac:dyDescent="0.2">
      <c r="A1631" s="12"/>
      <c r="B1631" s="251" t="s">
        <v>21</v>
      </c>
      <c r="C1631" s="252"/>
      <c r="D1631" s="252"/>
      <c r="E1631" s="253"/>
      <c r="F1631" s="244" t="s">
        <v>22</v>
      </c>
      <c r="G1631" s="244" t="s">
        <v>13</v>
      </c>
      <c r="H1631" s="244" t="s">
        <v>14</v>
      </c>
      <c r="I1631" s="246" t="s">
        <v>15</v>
      </c>
    </row>
    <row r="1632" spans="1:9" x14ac:dyDescent="0.2">
      <c r="A1632" s="13"/>
      <c r="B1632" s="254"/>
      <c r="C1632" s="255"/>
      <c r="D1632" s="255"/>
      <c r="E1632" s="256"/>
      <c r="F1632" s="245"/>
      <c r="G1632" s="245"/>
      <c r="H1632" s="245"/>
      <c r="I1632" s="247"/>
    </row>
    <row r="1633" spans="1:9" x14ac:dyDescent="0.2">
      <c r="A1633" s="13" t="s">
        <v>23</v>
      </c>
      <c r="B1633" s="33" t="s">
        <v>24</v>
      </c>
      <c r="C1633" s="15"/>
      <c r="D1633" s="15"/>
      <c r="E1633" s="16"/>
      <c r="F1633" s="34"/>
      <c r="G1633" s="34"/>
      <c r="H1633" s="35"/>
      <c r="I1633" s="35"/>
    </row>
    <row r="1634" spans="1:9" x14ac:dyDescent="0.2">
      <c r="A1634" s="13"/>
      <c r="B1634" s="18"/>
      <c r="C1634" s="19"/>
      <c r="D1634" s="19"/>
      <c r="E1634" s="20"/>
      <c r="F1634" s="22"/>
      <c r="G1634" s="22"/>
      <c r="H1634" s="23"/>
      <c r="I1634" s="23"/>
    </row>
    <row r="1635" spans="1:9" x14ac:dyDescent="0.2">
      <c r="A1635" s="13"/>
      <c r="B1635" s="18" t="s">
        <v>1228</v>
      </c>
      <c r="C1635" s="66"/>
      <c r="D1635" s="19"/>
      <c r="E1635" s="20"/>
      <c r="F1635" s="22">
        <v>1</v>
      </c>
      <c r="G1635" s="23">
        <v>1</v>
      </c>
      <c r="H1635" s="37">
        <v>1212</v>
      </c>
      <c r="I1635" s="37">
        <f>F1635*G1635*H1635</f>
        <v>1212</v>
      </c>
    </row>
    <row r="1636" spans="1:9" x14ac:dyDescent="0.2">
      <c r="A1636" s="13"/>
      <c r="B1636" s="18" t="s">
        <v>1278</v>
      </c>
      <c r="C1636" s="19"/>
      <c r="D1636" s="19"/>
      <c r="E1636" s="20"/>
      <c r="F1636" s="22">
        <v>1</v>
      </c>
      <c r="G1636" s="23">
        <v>1</v>
      </c>
      <c r="H1636" s="37">
        <v>300</v>
      </c>
      <c r="I1636" s="37">
        <f>H1636</f>
        <v>300</v>
      </c>
    </row>
    <row r="1637" spans="1:9" x14ac:dyDescent="0.2">
      <c r="A1637" s="13"/>
      <c r="B1637" s="18" t="s">
        <v>612</v>
      </c>
      <c r="C1637" s="19"/>
      <c r="D1637" s="19"/>
      <c r="E1637" s="20"/>
      <c r="F1637" s="22">
        <v>1</v>
      </c>
      <c r="G1637" s="23">
        <v>1</v>
      </c>
      <c r="H1637" s="37">
        <v>200</v>
      </c>
      <c r="I1637" s="37">
        <f>H1637</f>
        <v>200</v>
      </c>
    </row>
    <row r="1638" spans="1:9" x14ac:dyDescent="0.2">
      <c r="A1638" s="13"/>
      <c r="B1638" s="18" t="s">
        <v>92</v>
      </c>
      <c r="C1638" s="19"/>
      <c r="D1638" s="19"/>
      <c r="E1638" s="20"/>
      <c r="F1638" s="22"/>
      <c r="G1638" s="23"/>
      <c r="I1638" s="37">
        <f>I1630*0.1</f>
        <v>32.565999999999995</v>
      </c>
    </row>
    <row r="1639" spans="1:9" x14ac:dyDescent="0.2">
      <c r="A1639" s="13"/>
      <c r="B1639" s="18"/>
      <c r="C1639" s="66"/>
      <c r="D1639" s="19"/>
      <c r="E1639" s="20"/>
      <c r="F1639" s="22"/>
      <c r="G1639" s="71"/>
      <c r="H1639" s="37"/>
      <c r="I1639" s="37"/>
    </row>
    <row r="1640" spans="1:9" x14ac:dyDescent="0.2">
      <c r="A1640" s="13"/>
      <c r="B1640" s="18"/>
      <c r="C1640" s="66"/>
      <c r="D1640" s="19"/>
      <c r="E1640" s="20"/>
      <c r="F1640" s="22"/>
      <c r="G1640" s="71"/>
      <c r="H1640" s="37"/>
      <c r="I1640" s="37"/>
    </row>
    <row r="1641" spans="1:9" x14ac:dyDescent="0.2">
      <c r="A1641" s="13"/>
      <c r="B1641" s="18"/>
      <c r="C1641" s="19"/>
      <c r="D1641" s="19"/>
      <c r="E1641" s="20"/>
      <c r="F1641" s="22"/>
      <c r="G1641" s="36"/>
      <c r="H1641" s="38"/>
      <c r="I1641" s="38"/>
    </row>
    <row r="1642" spans="1:9" x14ac:dyDescent="0.2">
      <c r="A1642" s="13"/>
      <c r="B1642" s="18"/>
      <c r="C1642" s="19"/>
      <c r="D1642" s="19"/>
      <c r="E1642" s="20"/>
      <c r="F1642" s="22"/>
      <c r="G1642" s="36"/>
      <c r="H1642" s="38"/>
      <c r="I1642" s="38"/>
    </row>
    <row r="1643" spans="1:9" x14ac:dyDescent="0.2">
      <c r="A1643" s="13"/>
      <c r="B1643" s="18"/>
      <c r="C1643" s="19"/>
      <c r="D1643" s="19"/>
      <c r="E1643" s="20"/>
      <c r="F1643" s="22"/>
      <c r="G1643" s="36"/>
      <c r="H1643" s="38"/>
      <c r="I1643" s="38"/>
    </row>
    <row r="1644" spans="1:9" x14ac:dyDescent="0.2">
      <c r="A1644" s="13"/>
      <c r="B1644" s="18"/>
      <c r="C1644" s="19"/>
      <c r="D1644" s="19"/>
      <c r="E1644" s="20"/>
      <c r="F1644" s="22"/>
      <c r="G1644" s="36"/>
      <c r="H1644" s="37"/>
      <c r="I1644" s="37"/>
    </row>
    <row r="1645" spans="1:9" x14ac:dyDescent="0.2">
      <c r="A1645" s="13"/>
      <c r="B1645" s="18"/>
      <c r="C1645" s="19"/>
      <c r="D1645" s="19"/>
      <c r="E1645" s="20"/>
      <c r="F1645" s="22"/>
      <c r="G1645" s="36"/>
      <c r="H1645" s="37"/>
      <c r="I1645" s="37"/>
    </row>
    <row r="1646" spans="1:9" x14ac:dyDescent="0.2">
      <c r="A1646" s="13"/>
      <c r="B1646" s="18"/>
      <c r="C1646" s="19"/>
      <c r="D1646" s="19"/>
      <c r="E1646" s="20"/>
      <c r="F1646" s="22"/>
      <c r="G1646" s="36"/>
      <c r="H1646" s="37"/>
      <c r="I1646" s="37"/>
    </row>
    <row r="1647" spans="1:9" x14ac:dyDescent="0.2">
      <c r="A1647" s="13"/>
      <c r="B1647" s="18"/>
      <c r="C1647" s="19"/>
      <c r="D1647" s="19"/>
      <c r="E1647" s="20"/>
      <c r="F1647" s="22"/>
      <c r="G1647" s="22"/>
      <c r="H1647" s="23"/>
      <c r="I1647" s="23"/>
    </row>
    <row r="1648" spans="1:9" x14ac:dyDescent="0.2">
      <c r="A1648" s="13"/>
      <c r="B1648" s="248" t="s">
        <v>30</v>
      </c>
      <c r="C1648" s="249"/>
      <c r="D1648" s="249"/>
      <c r="E1648" s="250"/>
      <c r="F1648" s="22"/>
      <c r="G1648" s="22"/>
      <c r="H1648" s="23"/>
      <c r="I1648" s="23">
        <f>SUM(I1635:I1647)</f>
        <v>1744.566</v>
      </c>
    </row>
    <row r="1649" spans="1:9" x14ac:dyDescent="0.2">
      <c r="A1649" s="12" t="s">
        <v>31</v>
      </c>
      <c r="B1649" s="260" t="s">
        <v>32</v>
      </c>
      <c r="C1649" s="261"/>
      <c r="D1649" s="261"/>
      <c r="E1649" s="261"/>
      <c r="F1649" s="161"/>
      <c r="G1649" s="161"/>
      <c r="H1649" s="40"/>
      <c r="I1649" s="41">
        <f>SUM(I1648+I1630)</f>
        <v>2070.2260000000001</v>
      </c>
    </row>
    <row r="1650" spans="1:9" x14ac:dyDescent="0.2">
      <c r="A1650" s="13" t="s">
        <v>33</v>
      </c>
      <c r="B1650" s="321">
        <f>E1617</f>
        <v>5.25</v>
      </c>
      <c r="C1650" s="322"/>
      <c r="D1650" s="322"/>
      <c r="E1650" s="322"/>
      <c r="F1650" s="322"/>
      <c r="G1650" s="322"/>
      <c r="H1650" s="40"/>
      <c r="I1650" s="41"/>
    </row>
    <row r="1651" spans="1:9" x14ac:dyDescent="0.2">
      <c r="A1651" s="13" t="s">
        <v>34</v>
      </c>
      <c r="B1651" s="162" t="s">
        <v>35</v>
      </c>
      <c r="C1651" s="43"/>
      <c r="D1651" s="43"/>
      <c r="E1651" s="161"/>
      <c r="F1651" s="163"/>
      <c r="G1651" s="163"/>
      <c r="H1651" s="40"/>
      <c r="I1651" s="41">
        <f>I1649/E1617</f>
        <v>394.3287619047619</v>
      </c>
    </row>
    <row r="1652" spans="1:9" x14ac:dyDescent="0.2">
      <c r="A1652" s="12"/>
      <c r="B1652" s="251" t="s">
        <v>36</v>
      </c>
      <c r="C1652" s="252"/>
      <c r="D1652" s="252"/>
      <c r="E1652" s="253"/>
      <c r="F1652" s="244" t="s">
        <v>37</v>
      </c>
      <c r="G1652" s="244" t="s">
        <v>38</v>
      </c>
      <c r="H1652" s="244" t="s">
        <v>39</v>
      </c>
      <c r="I1652" s="246" t="s">
        <v>15</v>
      </c>
    </row>
    <row r="1653" spans="1:9" x14ac:dyDescent="0.2">
      <c r="A1653" s="13"/>
      <c r="B1653" s="254"/>
      <c r="C1653" s="255"/>
      <c r="D1653" s="255"/>
      <c r="E1653" s="256"/>
      <c r="F1653" s="245"/>
      <c r="G1653" s="245"/>
      <c r="H1653" s="245"/>
      <c r="I1653" s="247"/>
    </row>
    <row r="1654" spans="1:9" x14ac:dyDescent="0.2">
      <c r="A1654" s="13" t="s">
        <v>40</v>
      </c>
      <c r="B1654" s="18" t="s">
        <v>41</v>
      </c>
      <c r="C1654" s="19"/>
      <c r="D1654" s="19"/>
      <c r="E1654" s="20"/>
      <c r="F1654" s="22"/>
      <c r="G1654" s="22"/>
      <c r="H1654" s="23"/>
      <c r="I1654" s="23"/>
    </row>
    <row r="1655" spans="1:9" x14ac:dyDescent="0.2">
      <c r="A1655" s="13"/>
      <c r="B1655" s="18"/>
      <c r="C1655" s="19"/>
      <c r="D1655" s="19"/>
      <c r="E1655" s="20"/>
      <c r="F1655" s="22"/>
      <c r="G1655" s="22"/>
      <c r="H1655" s="23"/>
      <c r="I1655" s="23"/>
    </row>
    <row r="1656" spans="1:9" x14ac:dyDescent="0.2">
      <c r="A1656" s="13"/>
      <c r="B1656" s="18"/>
      <c r="C1656" s="20"/>
      <c r="D1656" s="66"/>
      <c r="E1656" s="160"/>
      <c r="F1656" s="22"/>
      <c r="G1656" s="62"/>
      <c r="H1656" s="23"/>
      <c r="I1656" s="23"/>
    </row>
    <row r="1657" spans="1:9" x14ac:dyDescent="0.2">
      <c r="A1657" s="13"/>
      <c r="B1657" s="18"/>
      <c r="C1657" s="20"/>
      <c r="D1657" s="19"/>
      <c r="E1657" s="20"/>
      <c r="F1657" s="22"/>
      <c r="G1657" s="70"/>
      <c r="H1657" s="23"/>
      <c r="I1657" s="23"/>
    </row>
    <row r="1658" spans="1:9" x14ac:dyDescent="0.2">
      <c r="A1658" s="13"/>
      <c r="B1658" s="18"/>
      <c r="C1658" s="20"/>
      <c r="D1658" s="19"/>
      <c r="E1658" s="20"/>
      <c r="F1658" s="22"/>
      <c r="G1658" s="70"/>
      <c r="H1658" s="23"/>
      <c r="I1658" s="23"/>
    </row>
    <row r="1659" spans="1:9" x14ac:dyDescent="0.2">
      <c r="A1659" s="13"/>
      <c r="B1659" s="18"/>
      <c r="C1659" s="19"/>
      <c r="D1659" s="19"/>
      <c r="E1659" s="20"/>
      <c r="F1659" s="22"/>
      <c r="G1659" s="22"/>
      <c r="H1659" s="38"/>
      <c r="I1659" s="38"/>
    </row>
    <row r="1660" spans="1:9" x14ac:dyDescent="0.2">
      <c r="A1660" s="13"/>
      <c r="B1660" s="18"/>
      <c r="C1660" s="19"/>
      <c r="D1660" s="19"/>
      <c r="E1660" s="20"/>
      <c r="F1660" s="22"/>
      <c r="G1660" s="22"/>
      <c r="H1660" s="45"/>
      <c r="I1660" s="45"/>
    </row>
    <row r="1661" spans="1:9" x14ac:dyDescent="0.2">
      <c r="A1661" s="13"/>
      <c r="B1661" s="18"/>
      <c r="C1661" s="19"/>
      <c r="D1661" s="19"/>
      <c r="E1661" s="20"/>
      <c r="F1661" s="22"/>
      <c r="G1661" s="22"/>
      <c r="H1661" s="45"/>
      <c r="I1661" s="45"/>
    </row>
    <row r="1662" spans="1:9" x14ac:dyDescent="0.2">
      <c r="A1662" s="13"/>
      <c r="B1662" s="18"/>
      <c r="C1662" s="19"/>
      <c r="D1662" s="19"/>
      <c r="E1662" s="20"/>
      <c r="F1662" s="22"/>
      <c r="G1662" s="22"/>
      <c r="H1662" s="23"/>
      <c r="I1662" s="23"/>
    </row>
    <row r="1663" spans="1:9" x14ac:dyDescent="0.2">
      <c r="A1663" s="13"/>
      <c r="B1663" s="18"/>
      <c r="C1663" s="19"/>
      <c r="D1663" s="19"/>
      <c r="E1663" s="20"/>
      <c r="F1663" s="22"/>
      <c r="G1663" s="22"/>
      <c r="H1663" s="23"/>
      <c r="I1663" s="23"/>
    </row>
    <row r="1664" spans="1:9" x14ac:dyDescent="0.2">
      <c r="A1664" s="13"/>
      <c r="B1664" s="18"/>
      <c r="C1664" s="19"/>
      <c r="D1664" s="19"/>
      <c r="E1664" s="20"/>
      <c r="F1664" s="22"/>
      <c r="G1664" s="22"/>
      <c r="H1664" s="23"/>
      <c r="I1664" s="23"/>
    </row>
    <row r="1665" spans="1:9" x14ac:dyDescent="0.2">
      <c r="A1665" s="13"/>
      <c r="B1665" s="18"/>
      <c r="C1665" s="19"/>
      <c r="D1665" s="19"/>
      <c r="E1665" s="20"/>
      <c r="F1665" s="22"/>
      <c r="G1665" s="22"/>
      <c r="H1665" s="23"/>
      <c r="I1665" s="23"/>
    </row>
    <row r="1666" spans="1:9" x14ac:dyDescent="0.2">
      <c r="A1666" s="13"/>
      <c r="B1666" s="18"/>
      <c r="C1666" s="19"/>
      <c r="D1666" s="19"/>
      <c r="E1666" s="20"/>
      <c r="F1666" s="22"/>
      <c r="G1666" s="22"/>
      <c r="H1666" s="23"/>
      <c r="I1666" s="23"/>
    </row>
    <row r="1667" spans="1:9" x14ac:dyDescent="0.2">
      <c r="A1667" s="13"/>
      <c r="B1667" s="18"/>
      <c r="C1667" s="19"/>
      <c r="D1667" s="19"/>
      <c r="E1667" s="20"/>
      <c r="F1667" s="22"/>
      <c r="G1667" s="22"/>
      <c r="H1667" s="23"/>
      <c r="I1667" s="23"/>
    </row>
    <row r="1668" spans="1:9" x14ac:dyDescent="0.2">
      <c r="A1668" s="13"/>
      <c r="B1668" s="18"/>
      <c r="C1668" s="19"/>
      <c r="D1668" s="19"/>
      <c r="E1668" s="20"/>
      <c r="F1668" s="22"/>
      <c r="G1668" s="36"/>
      <c r="H1668" s="37"/>
      <c r="I1668" s="37"/>
    </row>
    <row r="1669" spans="1:9" x14ac:dyDescent="0.2">
      <c r="A1669" s="13"/>
      <c r="B1669" s="248" t="s">
        <v>42</v>
      </c>
      <c r="C1669" s="249"/>
      <c r="D1669" s="249"/>
      <c r="E1669" s="250"/>
      <c r="F1669" s="46"/>
      <c r="G1669" s="46"/>
      <c r="H1669" s="47"/>
      <c r="I1669" s="47">
        <f>SUM(I1656:I1668)</f>
        <v>0</v>
      </c>
    </row>
    <row r="1670" spans="1:9" x14ac:dyDescent="0.2">
      <c r="A1670" s="12" t="s">
        <v>43</v>
      </c>
      <c r="B1670" s="48" t="s">
        <v>44</v>
      </c>
      <c r="C1670" s="43"/>
      <c r="D1670" s="43"/>
      <c r="E1670" s="161"/>
      <c r="F1670" s="49"/>
      <c r="G1670" s="49"/>
      <c r="H1670" s="50"/>
      <c r="I1670" s="51">
        <f>SUM(I1651+I1669)</f>
        <v>394.3287619047619</v>
      </c>
    </row>
    <row r="1671" spans="1:9" x14ac:dyDescent="0.2">
      <c r="A1671" s="13" t="s">
        <v>45</v>
      </c>
      <c r="B1671" s="48" t="s">
        <v>46</v>
      </c>
      <c r="C1671" s="43"/>
      <c r="D1671" s="43"/>
      <c r="E1671" s="161"/>
      <c r="F1671" s="49"/>
      <c r="G1671" s="52">
        <v>0.09</v>
      </c>
      <c r="H1671" s="53" t="s">
        <v>47</v>
      </c>
      <c r="I1671" s="51">
        <f>G1671*I1670</f>
        <v>35.48958857142857</v>
      </c>
    </row>
    <row r="1672" spans="1:9" x14ac:dyDescent="0.2">
      <c r="A1672" s="13" t="s">
        <v>48</v>
      </c>
      <c r="B1672" s="48" t="s">
        <v>49</v>
      </c>
      <c r="C1672" s="43"/>
      <c r="D1672" s="43"/>
      <c r="E1672" s="161"/>
      <c r="F1672" s="49"/>
      <c r="G1672" s="52">
        <v>0.08</v>
      </c>
      <c r="H1672" s="53" t="s">
        <v>47</v>
      </c>
      <c r="I1672" s="51">
        <f>G1672*I1670</f>
        <v>31.546300952380953</v>
      </c>
    </row>
    <row r="1673" spans="1:9" x14ac:dyDescent="0.2">
      <c r="A1673" s="13" t="s">
        <v>50</v>
      </c>
      <c r="B1673" s="48" t="s">
        <v>51</v>
      </c>
      <c r="C1673" s="43"/>
      <c r="D1673" s="43"/>
      <c r="E1673" s="161"/>
      <c r="F1673" s="49"/>
      <c r="G1673" s="52">
        <v>0.05</v>
      </c>
      <c r="H1673" s="53" t="s">
        <v>52</v>
      </c>
      <c r="I1673" s="51">
        <f>G1673*(I1670+I1671+I1672)</f>
        <v>23.06823257142857</v>
      </c>
    </row>
    <row r="1674" spans="1:9" x14ac:dyDescent="0.2">
      <c r="A1674" s="54" t="s">
        <v>53</v>
      </c>
      <c r="B1674" s="48" t="s">
        <v>54</v>
      </c>
      <c r="C1674" s="43"/>
      <c r="D1674" s="43"/>
      <c r="E1674" s="161"/>
      <c r="F1674" s="49"/>
      <c r="G1674" s="49"/>
      <c r="H1674" s="55" t="s">
        <v>55</v>
      </c>
      <c r="I1674" s="51">
        <f>SUM(I1670+I1671+I1672+I1673)</f>
        <v>484.43288399999994</v>
      </c>
    </row>
  </sheetData>
  <sheetProtection selectLockedCells="1" selectUnlockedCells="1"/>
  <mergeCells count="1226">
    <mergeCell ref="G1590:G1591"/>
    <mergeCell ref="H1590:H1591"/>
    <mergeCell ref="I1590:I1591"/>
    <mergeCell ref="K1528:N1529"/>
    <mergeCell ref="B1586:E1586"/>
    <mergeCell ref="B1669:E1669"/>
    <mergeCell ref="H1631:H1632"/>
    <mergeCell ref="I1631:I1632"/>
    <mergeCell ref="B1648:E1648"/>
    <mergeCell ref="B1649:E1649"/>
    <mergeCell ref="B1650:G1650"/>
    <mergeCell ref="B1652:E1653"/>
    <mergeCell ref="F1652:F1653"/>
    <mergeCell ref="G1652:G1653"/>
    <mergeCell ref="H1652:H1653"/>
    <mergeCell ref="I1652:I1653"/>
    <mergeCell ref="B1624:C1624"/>
    <mergeCell ref="B1625:C1625"/>
    <mergeCell ref="B1630:E1630"/>
    <mergeCell ref="B1631:E1632"/>
    <mergeCell ref="F1631:F1632"/>
    <mergeCell ref="G1631:G1632"/>
    <mergeCell ref="B1568:E1568"/>
    <mergeCell ref="F1557:F1558"/>
    <mergeCell ref="G1557:G1558"/>
    <mergeCell ref="H1557:H1558"/>
    <mergeCell ref="I1557:I1558"/>
    <mergeCell ref="B1569:E1570"/>
    <mergeCell ref="F1569:F1570"/>
    <mergeCell ref="G1569:G1570"/>
    <mergeCell ref="H1569:H1570"/>
    <mergeCell ref="I1569:I1570"/>
    <mergeCell ref="K1507:N1508"/>
    <mergeCell ref="Q1495:Q1496"/>
    <mergeCell ref="R1495:R1496"/>
    <mergeCell ref="B1562:C1562"/>
    <mergeCell ref="K1500:L1500"/>
    <mergeCell ref="B1563:C1563"/>
    <mergeCell ref="K1501:L1501"/>
    <mergeCell ref="A1613:I1613"/>
    <mergeCell ref="A1551:I1551"/>
    <mergeCell ref="B1619:E1620"/>
    <mergeCell ref="F1619:F1620"/>
    <mergeCell ref="G1619:G1620"/>
    <mergeCell ref="H1619:H1620"/>
    <mergeCell ref="I1619:I1620"/>
    <mergeCell ref="O1528:O1529"/>
    <mergeCell ref="P1528:P1529"/>
    <mergeCell ref="Q1528:Q1529"/>
    <mergeCell ref="R1528:R1529"/>
    <mergeCell ref="B1607:E1607"/>
    <mergeCell ref="K1545:N1545"/>
    <mergeCell ref="B1587:E1587"/>
    <mergeCell ref="K1525:N1525"/>
    <mergeCell ref="B1588:G1588"/>
    <mergeCell ref="K1526:P1526"/>
    <mergeCell ref="B1590:E1591"/>
    <mergeCell ref="B1557:E1558"/>
    <mergeCell ref="F1590:F1591"/>
    <mergeCell ref="R1466:R1467"/>
    <mergeCell ref="B1545:E1545"/>
    <mergeCell ref="K1483:N1483"/>
    <mergeCell ref="B1525:E1525"/>
    <mergeCell ref="B1526:G1526"/>
    <mergeCell ref="B1528:E1529"/>
    <mergeCell ref="F1528:F1529"/>
    <mergeCell ref="G1528:G1529"/>
    <mergeCell ref="H1528:H1529"/>
    <mergeCell ref="I1528:I1529"/>
    <mergeCell ref="K1466:N1467"/>
    <mergeCell ref="O1507:O1508"/>
    <mergeCell ref="P1507:P1508"/>
    <mergeCell ref="Q1507:Q1508"/>
    <mergeCell ref="R1507:R1508"/>
    <mergeCell ref="B1466:E1467"/>
    <mergeCell ref="F1466:F1467"/>
    <mergeCell ref="G1466:G1467"/>
    <mergeCell ref="H1466:H1467"/>
    <mergeCell ref="I1466:I1467"/>
    <mergeCell ref="K1524:N1524"/>
    <mergeCell ref="K1506:N1506"/>
    <mergeCell ref="P1445:P1446"/>
    <mergeCell ref="Q1445:Q1446"/>
    <mergeCell ref="R1445:R1446"/>
    <mergeCell ref="K1450:N1451"/>
    <mergeCell ref="B1524:E1524"/>
    <mergeCell ref="K1462:N1462"/>
    <mergeCell ref="B1506:E1506"/>
    <mergeCell ref="K1444:N1444"/>
    <mergeCell ref="B1507:E1508"/>
    <mergeCell ref="F1507:F1508"/>
    <mergeCell ref="G1507:G1508"/>
    <mergeCell ref="H1507:H1508"/>
    <mergeCell ref="I1507:I1508"/>
    <mergeCell ref="K1445:N1446"/>
    <mergeCell ref="P1433:P1434"/>
    <mergeCell ref="Q1433:Q1434"/>
    <mergeCell ref="R1433:R1434"/>
    <mergeCell ref="B1500:C1500"/>
    <mergeCell ref="K1438:L1438"/>
    <mergeCell ref="B1501:C1501"/>
    <mergeCell ref="K1439:L1439"/>
    <mergeCell ref="K1463:N1463"/>
    <mergeCell ref="K1464:P1464"/>
    <mergeCell ref="B1462:E1462"/>
    <mergeCell ref="J1489:R1489"/>
    <mergeCell ref="B1439:C1439"/>
    <mergeCell ref="K1495:N1496"/>
    <mergeCell ref="O1495:O1496"/>
    <mergeCell ref="P1495:P1496"/>
    <mergeCell ref="O1466:O1467"/>
    <mergeCell ref="P1466:P1467"/>
    <mergeCell ref="Q1466:Q1467"/>
    <mergeCell ref="B1444:E1444"/>
    <mergeCell ref="K1382:N1382"/>
    <mergeCell ref="B1445:E1446"/>
    <mergeCell ref="F1445:F1446"/>
    <mergeCell ref="G1445:G1446"/>
    <mergeCell ref="H1445:H1446"/>
    <mergeCell ref="I1445:I1446"/>
    <mergeCell ref="K1383:N1384"/>
    <mergeCell ref="A1489:I1489"/>
    <mergeCell ref="J1427:R1427"/>
    <mergeCell ref="N1429:Q1429"/>
    <mergeCell ref="B1495:E1496"/>
    <mergeCell ref="F1495:F1496"/>
    <mergeCell ref="G1495:G1496"/>
    <mergeCell ref="H1495:H1496"/>
    <mergeCell ref="I1495:I1496"/>
    <mergeCell ref="K1433:N1434"/>
    <mergeCell ref="O1433:O1434"/>
    <mergeCell ref="O1404:O1405"/>
    <mergeCell ref="P1404:P1405"/>
    <mergeCell ref="Q1404:Q1405"/>
    <mergeCell ref="R1404:R1405"/>
    <mergeCell ref="B1483:E1483"/>
    <mergeCell ref="K1421:N1421"/>
    <mergeCell ref="B1463:E1463"/>
    <mergeCell ref="K1401:N1401"/>
    <mergeCell ref="B1464:G1464"/>
    <mergeCell ref="K1402:P1402"/>
    <mergeCell ref="B1438:C1438"/>
    <mergeCell ref="K1404:N1405"/>
    <mergeCell ref="B1421:E1421"/>
    <mergeCell ref="O1445:O1446"/>
    <mergeCell ref="B1433:E1434"/>
    <mergeCell ref="F1433:F1434"/>
    <mergeCell ref="G1433:G1434"/>
    <mergeCell ref="H1433:H1434"/>
    <mergeCell ref="I1433:I1434"/>
    <mergeCell ref="O1383:O1384"/>
    <mergeCell ref="P1383:P1384"/>
    <mergeCell ref="Q1383:Q1384"/>
    <mergeCell ref="R1383:R1384"/>
    <mergeCell ref="K1388:N1389"/>
    <mergeCell ref="B1404:E1405"/>
    <mergeCell ref="F1404:F1405"/>
    <mergeCell ref="G1404:G1405"/>
    <mergeCell ref="H1404:H1405"/>
    <mergeCell ref="I1404:I1405"/>
    <mergeCell ref="B1401:E1401"/>
    <mergeCell ref="K1400:N1400"/>
    <mergeCell ref="B1402:G1402"/>
    <mergeCell ref="B1400:E1400"/>
    <mergeCell ref="K1338:N1338"/>
    <mergeCell ref="K1371:N1372"/>
    <mergeCell ref="O1371:O1372"/>
    <mergeCell ref="P1371:P1372"/>
    <mergeCell ref="Q1371:Q1372"/>
    <mergeCell ref="R1371:R1372"/>
    <mergeCell ref="B1382:E1382"/>
    <mergeCell ref="K1376:L1376"/>
    <mergeCell ref="K1358:N1358"/>
    <mergeCell ref="B1383:E1384"/>
    <mergeCell ref="F1383:F1384"/>
    <mergeCell ref="G1383:G1384"/>
    <mergeCell ref="H1383:H1384"/>
    <mergeCell ref="I1383:I1384"/>
    <mergeCell ref="K1321:N1322"/>
    <mergeCell ref="A1427:I1427"/>
    <mergeCell ref="J1365:R1365"/>
    <mergeCell ref="N1367:Q1367"/>
    <mergeCell ref="K1377:L1377"/>
    <mergeCell ref="B1376:C1376"/>
    <mergeCell ref="K1314:L1314"/>
    <mergeCell ref="B1377:C1377"/>
    <mergeCell ref="K1315:L1315"/>
    <mergeCell ref="Q1341:Q1342"/>
    <mergeCell ref="R1341:R1342"/>
    <mergeCell ref="A1365:I1365"/>
    <mergeCell ref="K1339:P1339"/>
    <mergeCell ref="B1371:E1372"/>
    <mergeCell ref="F1371:F1372"/>
    <mergeCell ref="G1371:G1372"/>
    <mergeCell ref="H1371:H1372"/>
    <mergeCell ref="I1371:I1372"/>
    <mergeCell ref="K1309:N1310"/>
    <mergeCell ref="O1309:O1310"/>
    <mergeCell ref="K1341:N1342"/>
    <mergeCell ref="O1341:O1342"/>
    <mergeCell ref="P1341:P1342"/>
    <mergeCell ref="O1321:O1322"/>
    <mergeCell ref="P1321:P1322"/>
    <mergeCell ref="Q1321:Q1322"/>
    <mergeCell ref="R1321:R1322"/>
    <mergeCell ref="K1337:N1337"/>
    <mergeCell ref="B1359:E1359"/>
    <mergeCell ref="K1297:N1297"/>
    <mergeCell ref="B1339:E1339"/>
    <mergeCell ref="B1340:G1340"/>
    <mergeCell ref="B1342:E1343"/>
    <mergeCell ref="F1342:F1343"/>
    <mergeCell ref="G1342:G1343"/>
    <mergeCell ref="H1342:H1343"/>
    <mergeCell ref="I1342:I1343"/>
    <mergeCell ref="K1280:N1281"/>
    <mergeCell ref="K1317:L1317"/>
    <mergeCell ref="K1318:L1318"/>
    <mergeCell ref="B1338:E1338"/>
    <mergeCell ref="K1320:N1320"/>
    <mergeCell ref="B1320:E1320"/>
    <mergeCell ref="P1309:P1310"/>
    <mergeCell ref="Q1309:Q1310"/>
    <mergeCell ref="B1321:E1322"/>
    <mergeCell ref="F1321:F1322"/>
    <mergeCell ref="G1321:G1322"/>
    <mergeCell ref="H1321:H1322"/>
    <mergeCell ref="I1321:I1322"/>
    <mergeCell ref="K1259:N1260"/>
    <mergeCell ref="P1247:P1248"/>
    <mergeCell ref="Q1247:Q1248"/>
    <mergeCell ref="R1247:R1248"/>
    <mergeCell ref="B1314:C1314"/>
    <mergeCell ref="K1252:L1252"/>
    <mergeCell ref="B1315:C1315"/>
    <mergeCell ref="K1253:L1253"/>
    <mergeCell ref="K1277:N1277"/>
    <mergeCell ref="K1278:P1278"/>
    <mergeCell ref="A1303:I1303"/>
    <mergeCell ref="J1303:R1303"/>
    <mergeCell ref="N1305:Q1305"/>
    <mergeCell ref="B1309:E1310"/>
    <mergeCell ref="F1309:F1310"/>
    <mergeCell ref="G1309:G1310"/>
    <mergeCell ref="H1309:H1310"/>
    <mergeCell ref="I1309:I1310"/>
    <mergeCell ref="K1247:N1248"/>
    <mergeCell ref="O1247:O1248"/>
    <mergeCell ref="O1280:O1281"/>
    <mergeCell ref="P1280:P1281"/>
    <mergeCell ref="Q1280:Q1281"/>
    <mergeCell ref="R1280:R1281"/>
    <mergeCell ref="R1309:R1310"/>
    <mergeCell ref="B1297:E1297"/>
    <mergeCell ref="K1235:N1235"/>
    <mergeCell ref="B1277:E1277"/>
    <mergeCell ref="B1278:G1278"/>
    <mergeCell ref="B1280:E1281"/>
    <mergeCell ref="F1280:F1281"/>
    <mergeCell ref="G1280:G1281"/>
    <mergeCell ref="H1280:H1281"/>
    <mergeCell ref="I1280:I1281"/>
    <mergeCell ref="K1218:N1219"/>
    <mergeCell ref="O1259:O1260"/>
    <mergeCell ref="P1259:P1260"/>
    <mergeCell ref="Q1259:Q1260"/>
    <mergeCell ref="R1259:R1260"/>
    <mergeCell ref="K1276:N1276"/>
    <mergeCell ref="B1276:E1276"/>
    <mergeCell ref="K1258:N1258"/>
    <mergeCell ref="B1258:E1258"/>
    <mergeCell ref="K1196:N1196"/>
    <mergeCell ref="B1259:E1260"/>
    <mergeCell ref="F1259:F1260"/>
    <mergeCell ref="G1259:G1260"/>
    <mergeCell ref="H1259:H1260"/>
    <mergeCell ref="I1259:I1260"/>
    <mergeCell ref="K1197:N1198"/>
    <mergeCell ref="Q1185:Q1186"/>
    <mergeCell ref="R1185:R1186"/>
    <mergeCell ref="B1252:C1252"/>
    <mergeCell ref="B1253:C1253"/>
    <mergeCell ref="K1215:N1215"/>
    <mergeCell ref="B1214:E1214"/>
    <mergeCell ref="B1196:E1196"/>
    <mergeCell ref="B1197:E1198"/>
    <mergeCell ref="F1197:F1198"/>
    <mergeCell ref="G1197:G1198"/>
    <mergeCell ref="H1197:H1198"/>
    <mergeCell ref="I1197:I1198"/>
    <mergeCell ref="B1190:C1190"/>
    <mergeCell ref="K1190:L1190"/>
    <mergeCell ref="B1191:C1191"/>
    <mergeCell ref="K1191:L1191"/>
    <mergeCell ref="A1241:I1241"/>
    <mergeCell ref="J1241:R1241"/>
    <mergeCell ref="N1243:Q1243"/>
    <mergeCell ref="O1218:O1219"/>
    <mergeCell ref="P1218:P1219"/>
    <mergeCell ref="Q1218:Q1219"/>
    <mergeCell ref="R1218:R1219"/>
    <mergeCell ref="J1179:R1179"/>
    <mergeCell ref="B1247:E1248"/>
    <mergeCell ref="F1247:F1248"/>
    <mergeCell ref="G1247:G1248"/>
    <mergeCell ref="H1247:H1248"/>
    <mergeCell ref="I1247:I1248"/>
    <mergeCell ref="K1185:N1186"/>
    <mergeCell ref="O1185:O1186"/>
    <mergeCell ref="P1185:P1186"/>
    <mergeCell ref="B1235:E1235"/>
    <mergeCell ref="B1215:E1215"/>
    <mergeCell ref="B1216:G1216"/>
    <mergeCell ref="K1216:P1216"/>
    <mergeCell ref="B1218:E1219"/>
    <mergeCell ref="F1218:F1219"/>
    <mergeCell ref="G1218:G1219"/>
    <mergeCell ref="H1218:H1219"/>
    <mergeCell ref="I1218:I1219"/>
    <mergeCell ref="O1197:O1198"/>
    <mergeCell ref="P1197:P1198"/>
    <mergeCell ref="A1179:I1179"/>
    <mergeCell ref="B1185:E1186"/>
    <mergeCell ref="F1185:F1186"/>
    <mergeCell ref="G1185:G1186"/>
    <mergeCell ref="H1185:H1186"/>
    <mergeCell ref="I1185:I1186"/>
    <mergeCell ref="Q1197:Q1198"/>
    <mergeCell ref="R1197:R1198"/>
    <mergeCell ref="K1214:N1214"/>
    <mergeCell ref="K1193:L1193"/>
    <mergeCell ref="K1194:L1194"/>
    <mergeCell ref="O1156:O1157"/>
    <mergeCell ref="P1156:P1157"/>
    <mergeCell ref="Q1156:Q1157"/>
    <mergeCell ref="R1156:R1157"/>
    <mergeCell ref="B1173:E1173"/>
    <mergeCell ref="K1173:N1173"/>
    <mergeCell ref="B1153:E1153"/>
    <mergeCell ref="K1153:N1153"/>
    <mergeCell ref="B1154:G1154"/>
    <mergeCell ref="K1154:P1154"/>
    <mergeCell ref="B1156:E1157"/>
    <mergeCell ref="F1156:F1157"/>
    <mergeCell ref="G1156:G1157"/>
    <mergeCell ref="H1156:H1157"/>
    <mergeCell ref="I1156:I1157"/>
    <mergeCell ref="K1156:N1157"/>
    <mergeCell ref="O1135:O1136"/>
    <mergeCell ref="P1135:P1136"/>
    <mergeCell ref="Q1135:Q1136"/>
    <mergeCell ref="R1135:R1136"/>
    <mergeCell ref="B1152:E1152"/>
    <mergeCell ref="K1152:N1152"/>
    <mergeCell ref="B1134:E1134"/>
    <mergeCell ref="K1134:N1134"/>
    <mergeCell ref="B1135:E1136"/>
    <mergeCell ref="F1135:F1136"/>
    <mergeCell ref="G1135:G1136"/>
    <mergeCell ref="H1135:H1136"/>
    <mergeCell ref="I1135:I1136"/>
    <mergeCell ref="K1135:N1136"/>
    <mergeCell ref="P1123:P1124"/>
    <mergeCell ref="Q1123:Q1124"/>
    <mergeCell ref="R1123:R1124"/>
    <mergeCell ref="B1128:C1128"/>
    <mergeCell ref="K1128:L1128"/>
    <mergeCell ref="B1129:C1129"/>
    <mergeCell ref="K1129:L1129"/>
    <mergeCell ref="A1117:I1117"/>
    <mergeCell ref="J1117:R1117"/>
    <mergeCell ref="N1119:Q1119"/>
    <mergeCell ref="B1123:E1124"/>
    <mergeCell ref="F1123:F1124"/>
    <mergeCell ref="G1123:G1124"/>
    <mergeCell ref="H1123:H1124"/>
    <mergeCell ref="I1123:I1124"/>
    <mergeCell ref="K1123:N1124"/>
    <mergeCell ref="O1123:O1124"/>
    <mergeCell ref="O1094:O1095"/>
    <mergeCell ref="P1094:P1095"/>
    <mergeCell ref="Q1094:Q1095"/>
    <mergeCell ref="R1094:R1095"/>
    <mergeCell ref="B1111:E1111"/>
    <mergeCell ref="K1111:N1111"/>
    <mergeCell ref="B1091:E1091"/>
    <mergeCell ref="K1091:N1091"/>
    <mergeCell ref="B1092:G1092"/>
    <mergeCell ref="K1092:P1092"/>
    <mergeCell ref="B1094:E1095"/>
    <mergeCell ref="F1094:F1095"/>
    <mergeCell ref="G1094:G1095"/>
    <mergeCell ref="H1094:H1095"/>
    <mergeCell ref="I1094:I1095"/>
    <mergeCell ref="K1094:N1095"/>
    <mergeCell ref="O1073:O1074"/>
    <mergeCell ref="P1073:P1074"/>
    <mergeCell ref="Q1073:Q1074"/>
    <mergeCell ref="R1073:R1074"/>
    <mergeCell ref="B1090:E1090"/>
    <mergeCell ref="K1090:N1090"/>
    <mergeCell ref="B1072:E1072"/>
    <mergeCell ref="K1072:N1072"/>
    <mergeCell ref="B1073:E1074"/>
    <mergeCell ref="F1073:F1074"/>
    <mergeCell ref="G1073:G1074"/>
    <mergeCell ref="H1073:H1074"/>
    <mergeCell ref="I1073:I1074"/>
    <mergeCell ref="K1073:N1074"/>
    <mergeCell ref="Q1061:Q1062"/>
    <mergeCell ref="R1061:R1062"/>
    <mergeCell ref="B1066:C1066"/>
    <mergeCell ref="K1066:L1066"/>
    <mergeCell ref="B1067:C1067"/>
    <mergeCell ref="K1067:L1067"/>
    <mergeCell ref="A1055:I1055"/>
    <mergeCell ref="J1055:R1055"/>
    <mergeCell ref="B1061:E1062"/>
    <mergeCell ref="F1061:F1062"/>
    <mergeCell ref="G1061:G1062"/>
    <mergeCell ref="H1061:H1062"/>
    <mergeCell ref="I1061:I1062"/>
    <mergeCell ref="K1061:N1062"/>
    <mergeCell ref="O1061:O1062"/>
    <mergeCell ref="P1061:P1062"/>
    <mergeCell ref="O1032:O1033"/>
    <mergeCell ref="P1032:P1033"/>
    <mergeCell ref="Q1032:Q1033"/>
    <mergeCell ref="R1032:R1033"/>
    <mergeCell ref="B1049:E1049"/>
    <mergeCell ref="K1049:N1049"/>
    <mergeCell ref="B1029:E1029"/>
    <mergeCell ref="K1029:N1029"/>
    <mergeCell ref="B1030:G1030"/>
    <mergeCell ref="K1030:P1030"/>
    <mergeCell ref="B1032:E1033"/>
    <mergeCell ref="F1032:F1033"/>
    <mergeCell ref="G1032:G1033"/>
    <mergeCell ref="H1032:H1033"/>
    <mergeCell ref="I1032:I1033"/>
    <mergeCell ref="K1032:N1033"/>
    <mergeCell ref="O1011:O1012"/>
    <mergeCell ref="P1011:P1012"/>
    <mergeCell ref="Q1011:Q1012"/>
    <mergeCell ref="R1011:R1012"/>
    <mergeCell ref="B1028:E1028"/>
    <mergeCell ref="K1028:N1028"/>
    <mergeCell ref="B1010:E1010"/>
    <mergeCell ref="K1010:N1010"/>
    <mergeCell ref="B1011:E1012"/>
    <mergeCell ref="F1011:F1012"/>
    <mergeCell ref="G1011:G1012"/>
    <mergeCell ref="H1011:H1012"/>
    <mergeCell ref="I1011:I1012"/>
    <mergeCell ref="K1011:N1012"/>
    <mergeCell ref="P999:P1000"/>
    <mergeCell ref="Q999:Q1000"/>
    <mergeCell ref="R999:R1000"/>
    <mergeCell ref="B1004:C1004"/>
    <mergeCell ref="K1004:L1004"/>
    <mergeCell ref="B1005:C1005"/>
    <mergeCell ref="K1005:L1005"/>
    <mergeCell ref="A993:I993"/>
    <mergeCell ref="J993:R993"/>
    <mergeCell ref="N995:Q995"/>
    <mergeCell ref="B999:E1000"/>
    <mergeCell ref="F999:F1000"/>
    <mergeCell ref="G999:G1000"/>
    <mergeCell ref="H999:H1000"/>
    <mergeCell ref="I999:I1000"/>
    <mergeCell ref="K999:N1000"/>
    <mergeCell ref="O999:O1000"/>
    <mergeCell ref="O970:O971"/>
    <mergeCell ref="P970:P971"/>
    <mergeCell ref="Q970:Q971"/>
    <mergeCell ref="R970:R971"/>
    <mergeCell ref="B987:E987"/>
    <mergeCell ref="K987:N987"/>
    <mergeCell ref="B967:E967"/>
    <mergeCell ref="K967:N967"/>
    <mergeCell ref="B968:G968"/>
    <mergeCell ref="K968:P968"/>
    <mergeCell ref="B970:E971"/>
    <mergeCell ref="F970:F971"/>
    <mergeCell ref="G970:G971"/>
    <mergeCell ref="H970:H971"/>
    <mergeCell ref="I970:I971"/>
    <mergeCell ref="K970:N971"/>
    <mergeCell ref="O949:O950"/>
    <mergeCell ref="P949:P950"/>
    <mergeCell ref="Q949:Q950"/>
    <mergeCell ref="R949:R950"/>
    <mergeCell ref="B966:E966"/>
    <mergeCell ref="K966:N966"/>
    <mergeCell ref="B948:E948"/>
    <mergeCell ref="K948:N948"/>
    <mergeCell ref="B949:E950"/>
    <mergeCell ref="F949:F950"/>
    <mergeCell ref="G949:G950"/>
    <mergeCell ref="H949:H950"/>
    <mergeCell ref="I949:I950"/>
    <mergeCell ref="K949:N950"/>
    <mergeCell ref="P937:P938"/>
    <mergeCell ref="Q937:Q938"/>
    <mergeCell ref="R937:R938"/>
    <mergeCell ref="B942:C942"/>
    <mergeCell ref="K942:L942"/>
    <mergeCell ref="B943:C943"/>
    <mergeCell ref="K943:L943"/>
    <mergeCell ref="A931:I931"/>
    <mergeCell ref="J931:R931"/>
    <mergeCell ref="N933:Q933"/>
    <mergeCell ref="B937:E938"/>
    <mergeCell ref="F937:F938"/>
    <mergeCell ref="G937:G938"/>
    <mergeCell ref="H937:H938"/>
    <mergeCell ref="I937:I938"/>
    <mergeCell ref="K937:N938"/>
    <mergeCell ref="O937:O938"/>
    <mergeCell ref="O908:O909"/>
    <mergeCell ref="P908:P909"/>
    <mergeCell ref="Q908:Q909"/>
    <mergeCell ref="R908:R909"/>
    <mergeCell ref="B925:E925"/>
    <mergeCell ref="K925:N925"/>
    <mergeCell ref="B905:E905"/>
    <mergeCell ref="K905:N905"/>
    <mergeCell ref="B906:G906"/>
    <mergeCell ref="K906:P906"/>
    <mergeCell ref="B908:E909"/>
    <mergeCell ref="F908:F909"/>
    <mergeCell ref="G908:G909"/>
    <mergeCell ref="H908:H909"/>
    <mergeCell ref="I908:I909"/>
    <mergeCell ref="K908:N909"/>
    <mergeCell ref="O887:O888"/>
    <mergeCell ref="P887:P888"/>
    <mergeCell ref="Q887:Q888"/>
    <mergeCell ref="R887:R888"/>
    <mergeCell ref="B904:E904"/>
    <mergeCell ref="K904:N904"/>
    <mergeCell ref="B886:E886"/>
    <mergeCell ref="K886:N886"/>
    <mergeCell ref="B887:E888"/>
    <mergeCell ref="F887:F888"/>
    <mergeCell ref="G887:G888"/>
    <mergeCell ref="H887:H888"/>
    <mergeCell ref="I887:I888"/>
    <mergeCell ref="K887:N888"/>
    <mergeCell ref="P875:P876"/>
    <mergeCell ref="Q875:Q876"/>
    <mergeCell ref="R875:R876"/>
    <mergeCell ref="B880:C880"/>
    <mergeCell ref="K880:L880"/>
    <mergeCell ref="B881:C881"/>
    <mergeCell ref="K881:L881"/>
    <mergeCell ref="A869:I869"/>
    <mergeCell ref="J869:R869"/>
    <mergeCell ref="N871:Q871"/>
    <mergeCell ref="B875:E876"/>
    <mergeCell ref="F875:F876"/>
    <mergeCell ref="G875:G876"/>
    <mergeCell ref="H875:H876"/>
    <mergeCell ref="I875:I876"/>
    <mergeCell ref="K875:N876"/>
    <mergeCell ref="O875:O876"/>
    <mergeCell ref="O846:O847"/>
    <mergeCell ref="P846:P847"/>
    <mergeCell ref="Q846:Q847"/>
    <mergeCell ref="R846:R847"/>
    <mergeCell ref="B863:E863"/>
    <mergeCell ref="K863:N863"/>
    <mergeCell ref="B843:E843"/>
    <mergeCell ref="K843:N843"/>
    <mergeCell ref="B844:G844"/>
    <mergeCell ref="K844:P844"/>
    <mergeCell ref="B846:E847"/>
    <mergeCell ref="F846:F847"/>
    <mergeCell ref="G846:G847"/>
    <mergeCell ref="H846:H847"/>
    <mergeCell ref="I846:I847"/>
    <mergeCell ref="K846:N847"/>
    <mergeCell ref="O825:O826"/>
    <mergeCell ref="P825:P826"/>
    <mergeCell ref="Q825:Q826"/>
    <mergeCell ref="R825:R826"/>
    <mergeCell ref="B842:E842"/>
    <mergeCell ref="K842:N842"/>
    <mergeCell ref="B824:E824"/>
    <mergeCell ref="K824:N824"/>
    <mergeCell ref="B825:E826"/>
    <mergeCell ref="F825:F826"/>
    <mergeCell ref="G825:G826"/>
    <mergeCell ref="H825:H826"/>
    <mergeCell ref="I825:I826"/>
    <mergeCell ref="K825:N826"/>
    <mergeCell ref="Q813:Q814"/>
    <mergeCell ref="R813:R814"/>
    <mergeCell ref="B818:C818"/>
    <mergeCell ref="K818:L818"/>
    <mergeCell ref="B819:C819"/>
    <mergeCell ref="K819:L819"/>
    <mergeCell ref="A807:I807"/>
    <mergeCell ref="J807:R807"/>
    <mergeCell ref="B813:E814"/>
    <mergeCell ref="F813:F814"/>
    <mergeCell ref="G813:G814"/>
    <mergeCell ref="H813:H814"/>
    <mergeCell ref="I813:I814"/>
    <mergeCell ref="K813:N814"/>
    <mergeCell ref="O813:O814"/>
    <mergeCell ref="P813:P814"/>
    <mergeCell ref="O784:O785"/>
    <mergeCell ref="P784:P785"/>
    <mergeCell ref="Q784:Q785"/>
    <mergeCell ref="R784:R785"/>
    <mergeCell ref="B801:E801"/>
    <mergeCell ref="K801:N801"/>
    <mergeCell ref="B781:E781"/>
    <mergeCell ref="K781:N781"/>
    <mergeCell ref="B782:G782"/>
    <mergeCell ref="K782:P782"/>
    <mergeCell ref="B784:E785"/>
    <mergeCell ref="F784:F785"/>
    <mergeCell ref="G784:G785"/>
    <mergeCell ref="H784:H785"/>
    <mergeCell ref="I784:I785"/>
    <mergeCell ref="K784:N785"/>
    <mergeCell ref="O763:O764"/>
    <mergeCell ref="P763:P764"/>
    <mergeCell ref="Q763:Q764"/>
    <mergeCell ref="R763:R764"/>
    <mergeCell ref="B780:E780"/>
    <mergeCell ref="K780:N780"/>
    <mergeCell ref="B762:E762"/>
    <mergeCell ref="K762:N762"/>
    <mergeCell ref="B763:E764"/>
    <mergeCell ref="F763:F764"/>
    <mergeCell ref="G763:G764"/>
    <mergeCell ref="H763:H764"/>
    <mergeCell ref="I763:I764"/>
    <mergeCell ref="K763:N764"/>
    <mergeCell ref="P751:P752"/>
    <mergeCell ref="Q751:Q752"/>
    <mergeCell ref="R751:R752"/>
    <mergeCell ref="B756:C756"/>
    <mergeCell ref="K756:L756"/>
    <mergeCell ref="B757:C757"/>
    <mergeCell ref="K757:L757"/>
    <mergeCell ref="A745:I745"/>
    <mergeCell ref="J745:R745"/>
    <mergeCell ref="N747:Q747"/>
    <mergeCell ref="B751:E752"/>
    <mergeCell ref="F751:F752"/>
    <mergeCell ref="G751:G752"/>
    <mergeCell ref="H751:H752"/>
    <mergeCell ref="I751:I752"/>
    <mergeCell ref="K751:N752"/>
    <mergeCell ref="O751:O752"/>
    <mergeCell ref="O722:O723"/>
    <mergeCell ref="P722:P723"/>
    <mergeCell ref="Q722:Q723"/>
    <mergeCell ref="R722:R723"/>
    <mergeCell ref="B739:E739"/>
    <mergeCell ref="K739:N739"/>
    <mergeCell ref="B719:E719"/>
    <mergeCell ref="K719:N719"/>
    <mergeCell ref="B720:G720"/>
    <mergeCell ref="K720:P720"/>
    <mergeCell ref="B722:E723"/>
    <mergeCell ref="F722:F723"/>
    <mergeCell ref="G722:G723"/>
    <mergeCell ref="H722:H723"/>
    <mergeCell ref="I722:I723"/>
    <mergeCell ref="K722:N723"/>
    <mergeCell ref="O701:O702"/>
    <mergeCell ref="P701:P702"/>
    <mergeCell ref="Q701:Q702"/>
    <mergeCell ref="R701:R702"/>
    <mergeCell ref="B718:E718"/>
    <mergeCell ref="K718:N718"/>
    <mergeCell ref="B700:E700"/>
    <mergeCell ref="K700:N700"/>
    <mergeCell ref="B701:E702"/>
    <mergeCell ref="F701:F702"/>
    <mergeCell ref="G701:G702"/>
    <mergeCell ref="H701:H702"/>
    <mergeCell ref="I701:I702"/>
    <mergeCell ref="K701:N702"/>
    <mergeCell ref="P689:P690"/>
    <mergeCell ref="Q689:Q690"/>
    <mergeCell ref="R689:R690"/>
    <mergeCell ref="B694:C694"/>
    <mergeCell ref="K694:L694"/>
    <mergeCell ref="B695:C695"/>
    <mergeCell ref="K695:L695"/>
    <mergeCell ref="A683:I683"/>
    <mergeCell ref="J683:R683"/>
    <mergeCell ref="N685:Q685"/>
    <mergeCell ref="B689:E690"/>
    <mergeCell ref="F689:F690"/>
    <mergeCell ref="G689:G690"/>
    <mergeCell ref="H689:H690"/>
    <mergeCell ref="I689:I690"/>
    <mergeCell ref="K689:N690"/>
    <mergeCell ref="O689:O690"/>
    <mergeCell ref="O660:O661"/>
    <mergeCell ref="P660:P661"/>
    <mergeCell ref="Q660:Q661"/>
    <mergeCell ref="R660:R661"/>
    <mergeCell ref="B677:E677"/>
    <mergeCell ref="K677:N677"/>
    <mergeCell ref="B657:E657"/>
    <mergeCell ref="K657:N657"/>
    <mergeCell ref="B658:G658"/>
    <mergeCell ref="K658:P658"/>
    <mergeCell ref="B660:E661"/>
    <mergeCell ref="F660:F661"/>
    <mergeCell ref="G660:G661"/>
    <mergeCell ref="H660:H661"/>
    <mergeCell ref="I660:I661"/>
    <mergeCell ref="K660:N661"/>
    <mergeCell ref="O639:O640"/>
    <mergeCell ref="P639:P640"/>
    <mergeCell ref="Q639:Q640"/>
    <mergeCell ref="R639:R640"/>
    <mergeCell ref="B656:E656"/>
    <mergeCell ref="K656:N656"/>
    <mergeCell ref="B638:E638"/>
    <mergeCell ref="K638:N638"/>
    <mergeCell ref="B639:E640"/>
    <mergeCell ref="F639:F640"/>
    <mergeCell ref="G639:G640"/>
    <mergeCell ref="H639:H640"/>
    <mergeCell ref="I639:I640"/>
    <mergeCell ref="K639:N640"/>
    <mergeCell ref="P627:P628"/>
    <mergeCell ref="Q627:Q628"/>
    <mergeCell ref="R627:R628"/>
    <mergeCell ref="B632:C632"/>
    <mergeCell ref="K632:L632"/>
    <mergeCell ref="B633:C633"/>
    <mergeCell ref="K633:L633"/>
    <mergeCell ref="A621:I621"/>
    <mergeCell ref="J621:R621"/>
    <mergeCell ref="N623:Q623"/>
    <mergeCell ref="B627:E628"/>
    <mergeCell ref="F627:F628"/>
    <mergeCell ref="G627:G628"/>
    <mergeCell ref="H627:H628"/>
    <mergeCell ref="I627:I628"/>
    <mergeCell ref="K627:N628"/>
    <mergeCell ref="O627:O628"/>
    <mergeCell ref="O598:O599"/>
    <mergeCell ref="P598:P599"/>
    <mergeCell ref="Q598:Q599"/>
    <mergeCell ref="R598:R599"/>
    <mergeCell ref="B615:E615"/>
    <mergeCell ref="K615:N615"/>
    <mergeCell ref="B595:E595"/>
    <mergeCell ref="K595:N595"/>
    <mergeCell ref="B596:G596"/>
    <mergeCell ref="K596:P596"/>
    <mergeCell ref="B598:E599"/>
    <mergeCell ref="F598:F599"/>
    <mergeCell ref="G598:G599"/>
    <mergeCell ref="H598:H599"/>
    <mergeCell ref="I598:I599"/>
    <mergeCell ref="K598:N599"/>
    <mergeCell ref="O577:O578"/>
    <mergeCell ref="P577:P578"/>
    <mergeCell ref="Q577:Q578"/>
    <mergeCell ref="R577:R578"/>
    <mergeCell ref="B594:E594"/>
    <mergeCell ref="K594:N594"/>
    <mergeCell ref="B576:E576"/>
    <mergeCell ref="K576:N576"/>
    <mergeCell ref="B577:E578"/>
    <mergeCell ref="F577:F578"/>
    <mergeCell ref="G577:G578"/>
    <mergeCell ref="H577:H578"/>
    <mergeCell ref="I577:I578"/>
    <mergeCell ref="K577:N578"/>
    <mergeCell ref="P565:P566"/>
    <mergeCell ref="Q565:Q566"/>
    <mergeCell ref="R565:R566"/>
    <mergeCell ref="B570:C570"/>
    <mergeCell ref="K570:L570"/>
    <mergeCell ref="B571:C571"/>
    <mergeCell ref="K571:L571"/>
    <mergeCell ref="A559:I559"/>
    <mergeCell ref="J559:R559"/>
    <mergeCell ref="N561:Q561"/>
    <mergeCell ref="B565:E566"/>
    <mergeCell ref="F565:F566"/>
    <mergeCell ref="G565:G566"/>
    <mergeCell ref="H565:H566"/>
    <mergeCell ref="I565:I566"/>
    <mergeCell ref="K565:N566"/>
    <mergeCell ref="O565:O566"/>
    <mergeCell ref="O536:O537"/>
    <mergeCell ref="P536:P537"/>
    <mergeCell ref="Q536:Q537"/>
    <mergeCell ref="R536:R537"/>
    <mergeCell ref="B553:E553"/>
    <mergeCell ref="K553:N553"/>
    <mergeCell ref="B533:E533"/>
    <mergeCell ref="K533:N533"/>
    <mergeCell ref="B534:G534"/>
    <mergeCell ref="K534:P534"/>
    <mergeCell ref="B536:E537"/>
    <mergeCell ref="F536:F537"/>
    <mergeCell ref="G536:G537"/>
    <mergeCell ref="H536:H537"/>
    <mergeCell ref="I536:I537"/>
    <mergeCell ref="K536:N537"/>
    <mergeCell ref="O515:O516"/>
    <mergeCell ref="P515:P516"/>
    <mergeCell ref="Q515:Q516"/>
    <mergeCell ref="R515:R516"/>
    <mergeCell ref="B532:E532"/>
    <mergeCell ref="K532:N532"/>
    <mergeCell ref="B514:E514"/>
    <mergeCell ref="K514:N514"/>
    <mergeCell ref="B515:E516"/>
    <mergeCell ref="F515:F516"/>
    <mergeCell ref="G515:G516"/>
    <mergeCell ref="H515:H516"/>
    <mergeCell ref="I515:I516"/>
    <mergeCell ref="K515:N516"/>
    <mergeCell ref="P503:P504"/>
    <mergeCell ref="Q503:Q504"/>
    <mergeCell ref="R503:R504"/>
    <mergeCell ref="B508:C508"/>
    <mergeCell ref="K508:L508"/>
    <mergeCell ref="B509:C509"/>
    <mergeCell ref="K509:L509"/>
    <mergeCell ref="A497:I497"/>
    <mergeCell ref="J497:R497"/>
    <mergeCell ref="N499:Q499"/>
    <mergeCell ref="B503:E504"/>
    <mergeCell ref="F503:F504"/>
    <mergeCell ref="G503:G504"/>
    <mergeCell ref="H503:H504"/>
    <mergeCell ref="I503:I504"/>
    <mergeCell ref="K503:N504"/>
    <mergeCell ref="O503:O504"/>
    <mergeCell ref="O474:O475"/>
    <mergeCell ref="P474:P475"/>
    <mergeCell ref="Q474:Q475"/>
    <mergeCell ref="R474:R475"/>
    <mergeCell ref="B491:E491"/>
    <mergeCell ref="K491:N491"/>
    <mergeCell ref="B471:E471"/>
    <mergeCell ref="K471:N471"/>
    <mergeCell ref="B472:G472"/>
    <mergeCell ref="K472:P472"/>
    <mergeCell ref="B474:E475"/>
    <mergeCell ref="F474:F475"/>
    <mergeCell ref="G474:G475"/>
    <mergeCell ref="H474:H475"/>
    <mergeCell ref="I474:I475"/>
    <mergeCell ref="K474:N475"/>
    <mergeCell ref="O453:O454"/>
    <mergeCell ref="P453:P454"/>
    <mergeCell ref="Q453:Q454"/>
    <mergeCell ref="R453:R454"/>
    <mergeCell ref="B470:E470"/>
    <mergeCell ref="K470:N470"/>
    <mergeCell ref="B447:C447"/>
    <mergeCell ref="K447:L447"/>
    <mergeCell ref="B452:E452"/>
    <mergeCell ref="K452:N452"/>
    <mergeCell ref="B453:E454"/>
    <mergeCell ref="F453:F454"/>
    <mergeCell ref="G453:G454"/>
    <mergeCell ref="H453:H454"/>
    <mergeCell ref="I453:I454"/>
    <mergeCell ref="K453:N454"/>
    <mergeCell ref="O441:O442"/>
    <mergeCell ref="P441:P442"/>
    <mergeCell ref="Q441:Q442"/>
    <mergeCell ref="R441:R442"/>
    <mergeCell ref="B446:C446"/>
    <mergeCell ref="K446:L446"/>
    <mergeCell ref="A435:I435"/>
    <mergeCell ref="J435:R435"/>
    <mergeCell ref="E437:H437"/>
    <mergeCell ref="N437:Q437"/>
    <mergeCell ref="B441:E442"/>
    <mergeCell ref="F441:F442"/>
    <mergeCell ref="G441:G442"/>
    <mergeCell ref="H441:H442"/>
    <mergeCell ref="I441:I442"/>
    <mergeCell ref="K441:N442"/>
    <mergeCell ref="O412:O413"/>
    <mergeCell ref="P412:P413"/>
    <mergeCell ref="Q412:Q413"/>
    <mergeCell ref="R412:R413"/>
    <mergeCell ref="B429:E429"/>
    <mergeCell ref="K429:N429"/>
    <mergeCell ref="B409:E409"/>
    <mergeCell ref="K409:N409"/>
    <mergeCell ref="B410:G410"/>
    <mergeCell ref="K410:P410"/>
    <mergeCell ref="B412:E413"/>
    <mergeCell ref="F412:F413"/>
    <mergeCell ref="G412:G413"/>
    <mergeCell ref="H412:H413"/>
    <mergeCell ref="I412:I413"/>
    <mergeCell ref="K412:N413"/>
    <mergeCell ref="O391:O392"/>
    <mergeCell ref="P391:P392"/>
    <mergeCell ref="Q391:Q392"/>
    <mergeCell ref="R391:R392"/>
    <mergeCell ref="B408:E408"/>
    <mergeCell ref="K408:N408"/>
    <mergeCell ref="B390:E390"/>
    <mergeCell ref="K390:N390"/>
    <mergeCell ref="B391:E392"/>
    <mergeCell ref="F391:F392"/>
    <mergeCell ref="G391:G392"/>
    <mergeCell ref="H391:H392"/>
    <mergeCell ref="I391:I392"/>
    <mergeCell ref="K391:N392"/>
    <mergeCell ref="P379:P380"/>
    <mergeCell ref="Q379:Q380"/>
    <mergeCell ref="R379:R380"/>
    <mergeCell ref="B384:C384"/>
    <mergeCell ref="K384:L384"/>
    <mergeCell ref="B385:C385"/>
    <mergeCell ref="K385:L385"/>
    <mergeCell ref="A373:I373"/>
    <mergeCell ref="J373:R373"/>
    <mergeCell ref="N375:Q375"/>
    <mergeCell ref="B379:E380"/>
    <mergeCell ref="F379:F380"/>
    <mergeCell ref="G379:G380"/>
    <mergeCell ref="H379:H380"/>
    <mergeCell ref="I379:I380"/>
    <mergeCell ref="K379:N380"/>
    <mergeCell ref="O379:O380"/>
    <mergeCell ref="O350:O351"/>
    <mergeCell ref="P350:P351"/>
    <mergeCell ref="Q350:Q351"/>
    <mergeCell ref="R350:R351"/>
    <mergeCell ref="B367:E367"/>
    <mergeCell ref="K367:N367"/>
    <mergeCell ref="B347:E347"/>
    <mergeCell ref="K347:N347"/>
    <mergeCell ref="B348:G348"/>
    <mergeCell ref="K348:P348"/>
    <mergeCell ref="B350:E351"/>
    <mergeCell ref="F350:F351"/>
    <mergeCell ref="G350:G351"/>
    <mergeCell ref="H350:H351"/>
    <mergeCell ref="I350:I351"/>
    <mergeCell ref="K350:N351"/>
    <mergeCell ref="O329:O330"/>
    <mergeCell ref="P329:P330"/>
    <mergeCell ref="Q329:Q330"/>
    <mergeCell ref="R329:R330"/>
    <mergeCell ref="B346:E346"/>
    <mergeCell ref="K346:N346"/>
    <mergeCell ref="B323:C323"/>
    <mergeCell ref="K323:L323"/>
    <mergeCell ref="B328:E328"/>
    <mergeCell ref="K328:N328"/>
    <mergeCell ref="B329:E330"/>
    <mergeCell ref="F329:F330"/>
    <mergeCell ref="G329:G330"/>
    <mergeCell ref="H329:H330"/>
    <mergeCell ref="I329:I330"/>
    <mergeCell ref="K329:N330"/>
    <mergeCell ref="O317:O318"/>
    <mergeCell ref="P317:P318"/>
    <mergeCell ref="Q317:Q318"/>
    <mergeCell ref="R317:R318"/>
    <mergeCell ref="B322:C322"/>
    <mergeCell ref="K322:L322"/>
    <mergeCell ref="A311:I311"/>
    <mergeCell ref="J311:R311"/>
    <mergeCell ref="E313:H313"/>
    <mergeCell ref="N313:Q313"/>
    <mergeCell ref="B317:E318"/>
    <mergeCell ref="F317:F318"/>
    <mergeCell ref="G317:G318"/>
    <mergeCell ref="H317:H318"/>
    <mergeCell ref="I317:I318"/>
    <mergeCell ref="K317:N318"/>
    <mergeCell ref="O288:O289"/>
    <mergeCell ref="P288:P289"/>
    <mergeCell ref="Q288:Q289"/>
    <mergeCell ref="R288:R289"/>
    <mergeCell ref="K292:N294"/>
    <mergeCell ref="B305:E305"/>
    <mergeCell ref="K305:N305"/>
    <mergeCell ref="B285:E285"/>
    <mergeCell ref="K285:N285"/>
    <mergeCell ref="B286:G286"/>
    <mergeCell ref="K286:P286"/>
    <mergeCell ref="B288:E289"/>
    <mergeCell ref="F288:F289"/>
    <mergeCell ref="G288:G289"/>
    <mergeCell ref="H288:H289"/>
    <mergeCell ref="I288:I289"/>
    <mergeCell ref="K288:N289"/>
    <mergeCell ref="O267:O268"/>
    <mergeCell ref="P267:P268"/>
    <mergeCell ref="Q267:Q268"/>
    <mergeCell ref="R267:R268"/>
    <mergeCell ref="B284:E284"/>
    <mergeCell ref="K284:N284"/>
    <mergeCell ref="B266:E266"/>
    <mergeCell ref="K266:N266"/>
    <mergeCell ref="B267:E268"/>
    <mergeCell ref="F267:F268"/>
    <mergeCell ref="G267:G268"/>
    <mergeCell ref="H267:H268"/>
    <mergeCell ref="I267:I268"/>
    <mergeCell ref="K267:N268"/>
    <mergeCell ref="P255:P256"/>
    <mergeCell ref="Q255:Q256"/>
    <mergeCell ref="R255:R256"/>
    <mergeCell ref="B260:C260"/>
    <mergeCell ref="K260:L260"/>
    <mergeCell ref="B261:C261"/>
    <mergeCell ref="K261:L261"/>
    <mergeCell ref="A249:I249"/>
    <mergeCell ref="J249:R249"/>
    <mergeCell ref="E251:H251"/>
    <mergeCell ref="B255:E256"/>
    <mergeCell ref="F255:F256"/>
    <mergeCell ref="G255:G256"/>
    <mergeCell ref="H255:H256"/>
    <mergeCell ref="I255:I256"/>
    <mergeCell ref="K255:N256"/>
    <mergeCell ref="O255:O256"/>
    <mergeCell ref="O226:O227"/>
    <mergeCell ref="P226:P227"/>
    <mergeCell ref="Q226:Q227"/>
    <mergeCell ref="R226:R227"/>
    <mergeCell ref="B243:E243"/>
    <mergeCell ref="K243:N243"/>
    <mergeCell ref="B223:E223"/>
    <mergeCell ref="K223:N223"/>
    <mergeCell ref="B224:G224"/>
    <mergeCell ref="K224:P224"/>
    <mergeCell ref="B226:E227"/>
    <mergeCell ref="F226:F227"/>
    <mergeCell ref="G226:G227"/>
    <mergeCell ref="H226:H227"/>
    <mergeCell ref="I226:I227"/>
    <mergeCell ref="K226:N227"/>
    <mergeCell ref="O205:O206"/>
    <mergeCell ref="P205:P206"/>
    <mergeCell ref="Q205:Q206"/>
    <mergeCell ref="R205:R206"/>
    <mergeCell ref="B222:E222"/>
    <mergeCell ref="K222:N222"/>
    <mergeCell ref="B204:E204"/>
    <mergeCell ref="K204:N204"/>
    <mergeCell ref="B205:E206"/>
    <mergeCell ref="F205:F206"/>
    <mergeCell ref="G205:G206"/>
    <mergeCell ref="H205:H206"/>
    <mergeCell ref="I205:I206"/>
    <mergeCell ref="K205:N206"/>
    <mergeCell ref="P193:P194"/>
    <mergeCell ref="Q193:Q194"/>
    <mergeCell ref="R193:R194"/>
    <mergeCell ref="B198:C198"/>
    <mergeCell ref="K198:L198"/>
    <mergeCell ref="B199:C199"/>
    <mergeCell ref="K199:L199"/>
    <mergeCell ref="A187:I187"/>
    <mergeCell ref="J187:R187"/>
    <mergeCell ref="E189:H189"/>
    <mergeCell ref="B193:E194"/>
    <mergeCell ref="F193:F194"/>
    <mergeCell ref="G193:G194"/>
    <mergeCell ref="H193:H194"/>
    <mergeCell ref="I193:I194"/>
    <mergeCell ref="K193:N194"/>
    <mergeCell ref="O193:O194"/>
    <mergeCell ref="O164:O165"/>
    <mergeCell ref="P164:P165"/>
    <mergeCell ref="Q164:Q165"/>
    <mergeCell ref="R164:R165"/>
    <mergeCell ref="B181:E181"/>
    <mergeCell ref="K181:N181"/>
    <mergeCell ref="B161:E161"/>
    <mergeCell ref="K161:N161"/>
    <mergeCell ref="B162:G162"/>
    <mergeCell ref="K162:P162"/>
    <mergeCell ref="B164:E165"/>
    <mergeCell ref="F164:F165"/>
    <mergeCell ref="G164:G165"/>
    <mergeCell ref="H164:H165"/>
    <mergeCell ref="I164:I165"/>
    <mergeCell ref="K164:N165"/>
    <mergeCell ref="O143:O144"/>
    <mergeCell ref="P143:P144"/>
    <mergeCell ref="Q143:Q144"/>
    <mergeCell ref="R143:R144"/>
    <mergeCell ref="B160:E160"/>
    <mergeCell ref="K160:N160"/>
    <mergeCell ref="B142:E142"/>
    <mergeCell ref="K142:N142"/>
    <mergeCell ref="B143:E144"/>
    <mergeCell ref="F143:F144"/>
    <mergeCell ref="G143:G144"/>
    <mergeCell ref="H143:H144"/>
    <mergeCell ref="I143:I144"/>
    <mergeCell ref="K143:N144"/>
    <mergeCell ref="P131:P132"/>
    <mergeCell ref="Q131:Q132"/>
    <mergeCell ref="R131:R132"/>
    <mergeCell ref="B136:C136"/>
    <mergeCell ref="K136:L136"/>
    <mergeCell ref="B137:C137"/>
    <mergeCell ref="K137:L137"/>
    <mergeCell ref="A125:I125"/>
    <mergeCell ref="J125:R125"/>
    <mergeCell ref="E127:H127"/>
    <mergeCell ref="B131:E132"/>
    <mergeCell ref="F131:F132"/>
    <mergeCell ref="G131:G132"/>
    <mergeCell ref="H131:H132"/>
    <mergeCell ref="I131:I132"/>
    <mergeCell ref="K131:N132"/>
    <mergeCell ref="O131:O132"/>
    <mergeCell ref="O102:O103"/>
    <mergeCell ref="P102:P103"/>
    <mergeCell ref="Q102:Q103"/>
    <mergeCell ref="R102:R103"/>
    <mergeCell ref="B119:E119"/>
    <mergeCell ref="K119:N119"/>
    <mergeCell ref="B99:E99"/>
    <mergeCell ref="K99:N99"/>
    <mergeCell ref="B100:G100"/>
    <mergeCell ref="K100:P100"/>
    <mergeCell ref="B102:E103"/>
    <mergeCell ref="F102:F103"/>
    <mergeCell ref="G102:G103"/>
    <mergeCell ref="H102:H103"/>
    <mergeCell ref="I102:I103"/>
    <mergeCell ref="K102:N103"/>
    <mergeCell ref="O81:O82"/>
    <mergeCell ref="P81:P82"/>
    <mergeCell ref="Q81:Q82"/>
    <mergeCell ref="R81:R82"/>
    <mergeCell ref="B98:E98"/>
    <mergeCell ref="K98:N98"/>
    <mergeCell ref="B80:E80"/>
    <mergeCell ref="K80:N80"/>
    <mergeCell ref="B81:E82"/>
    <mergeCell ref="F81:F82"/>
    <mergeCell ref="G81:G82"/>
    <mergeCell ref="H81:H82"/>
    <mergeCell ref="I81:I82"/>
    <mergeCell ref="K81:N82"/>
    <mergeCell ref="P69:P70"/>
    <mergeCell ref="Q69:Q70"/>
    <mergeCell ref="R69:R70"/>
    <mergeCell ref="B74:C74"/>
    <mergeCell ref="K74:L74"/>
    <mergeCell ref="B75:C75"/>
    <mergeCell ref="K75:L75"/>
    <mergeCell ref="A63:I63"/>
    <mergeCell ref="J63:R63"/>
    <mergeCell ref="E65:H65"/>
    <mergeCell ref="B69:E70"/>
    <mergeCell ref="F69:F70"/>
    <mergeCell ref="G69:G70"/>
    <mergeCell ref="H69:H70"/>
    <mergeCell ref="I69:I70"/>
    <mergeCell ref="K69:N70"/>
    <mergeCell ref="O69:O70"/>
    <mergeCell ref="O40:O41"/>
    <mergeCell ref="P40:P41"/>
    <mergeCell ref="Q40:Q41"/>
    <mergeCell ref="R40:R41"/>
    <mergeCell ref="B57:E57"/>
    <mergeCell ref="K57:N57"/>
    <mergeCell ref="B37:E37"/>
    <mergeCell ref="K37:N37"/>
    <mergeCell ref="B38:G38"/>
    <mergeCell ref="K38:P38"/>
    <mergeCell ref="B40:E41"/>
    <mergeCell ref="F40:F41"/>
    <mergeCell ref="G40:G41"/>
    <mergeCell ref="H40:H41"/>
    <mergeCell ref="I40:I41"/>
    <mergeCell ref="K40:N41"/>
    <mergeCell ref="A1:I1"/>
    <mergeCell ref="J1:R1"/>
    <mergeCell ref="E3:H3"/>
    <mergeCell ref="B7:E8"/>
    <mergeCell ref="F7:F8"/>
    <mergeCell ref="G7:G8"/>
    <mergeCell ref="H7:H8"/>
    <mergeCell ref="I7:I8"/>
    <mergeCell ref="K7:N8"/>
    <mergeCell ref="O7:O8"/>
    <mergeCell ref="O19:O20"/>
    <mergeCell ref="P19:P20"/>
    <mergeCell ref="Q19:Q20"/>
    <mergeCell ref="R19:R20"/>
    <mergeCell ref="B36:E36"/>
    <mergeCell ref="K36:N36"/>
    <mergeCell ref="B18:E18"/>
    <mergeCell ref="K18:N18"/>
    <mergeCell ref="B19:E20"/>
    <mergeCell ref="F19:F20"/>
    <mergeCell ref="G19:G20"/>
    <mergeCell ref="H19:H20"/>
    <mergeCell ref="I19:I20"/>
    <mergeCell ref="K19:N20"/>
    <mergeCell ref="P7:P8"/>
    <mergeCell ref="Q7:Q8"/>
    <mergeCell ref="R7:R8"/>
    <mergeCell ref="B12:C12"/>
    <mergeCell ref="K12:L12"/>
    <mergeCell ref="B13:C13"/>
    <mergeCell ref="K13:L13"/>
  </mergeCells>
  <printOptions horizontalCentered="1"/>
  <pageMargins left="0.5" right="0" top="1" bottom="0.75" header="0" footer="0"/>
  <pageSetup paperSize="9" scale="79" orientation="portrait" horizontalDpi="4294967294" verticalDpi="200" r:id="rId1"/>
  <rowBreaks count="25" manualBreakCount="25">
    <brk id="62" max="17" man="1"/>
    <brk id="124" max="17" man="1"/>
    <brk id="186" max="17" man="1"/>
    <brk id="248" max="17" man="1"/>
    <brk id="310" max="17" man="1"/>
    <brk id="372" max="17" man="1"/>
    <brk id="434" max="17" man="1"/>
    <brk id="496" max="17" man="1"/>
    <brk id="620" max="17" man="1"/>
    <brk id="682" max="17" man="1"/>
    <brk id="744" max="17" man="1"/>
    <brk id="806" max="17" man="1"/>
    <brk id="868" max="17" man="1"/>
    <brk id="930" max="17" man="1"/>
    <brk id="992" max="17" man="1"/>
    <brk id="1054" max="17" man="1"/>
    <brk id="1116" max="17" man="1"/>
    <brk id="1178" max="17" man="1"/>
    <brk id="1240" max="17" man="1"/>
    <brk id="1302" max="17" man="1"/>
    <brk id="1364" max="17" man="1"/>
    <brk id="1426" max="17" man="1"/>
    <brk id="1488" max="17" man="1"/>
    <brk id="1550" max="17" man="1"/>
    <brk id="1612" max="17" man="1"/>
  </rowBreaks>
  <colBreaks count="1" manualBreakCount="1">
    <brk id="9" min="310" max="3359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R1736"/>
  <sheetViews>
    <sheetView view="pageBreakPreview" topLeftCell="A1337" zoomScale="80" zoomScaleNormal="70" zoomScaleSheetLayoutView="80" workbookViewId="0">
      <selection activeCell="M1367" sqref="M1367"/>
    </sheetView>
  </sheetViews>
  <sheetFormatPr defaultColWidth="9.14453125" defaultRowHeight="15" x14ac:dyDescent="0.2"/>
  <cols>
    <col min="1" max="1" width="3.2265625" style="10" customWidth="1"/>
    <col min="2" max="2" width="17.75390625" style="3" customWidth="1"/>
    <col min="3" max="3" width="2.6875" style="4" customWidth="1"/>
    <col min="4" max="4" width="11.56640625" style="4" customWidth="1"/>
    <col min="5" max="5" width="13.44921875" style="5" customWidth="1"/>
    <col min="6" max="8" width="17.08203125" style="3" customWidth="1"/>
    <col min="9" max="9" width="23.9453125" style="3" customWidth="1"/>
    <col min="10" max="10" width="3.2265625" style="10" customWidth="1"/>
    <col min="11" max="11" width="17.75390625" style="3" customWidth="1"/>
    <col min="12" max="12" width="2.6875" style="4" customWidth="1"/>
    <col min="13" max="13" width="11.56640625" style="4" customWidth="1"/>
    <col min="14" max="14" width="13.44921875" style="5" customWidth="1"/>
    <col min="15" max="17" width="17.08203125" style="3" customWidth="1"/>
    <col min="18" max="18" width="23.9453125" style="3" customWidth="1"/>
    <col min="19" max="16384" width="9.14453125" style="7"/>
  </cols>
  <sheetData>
    <row r="1" spans="1:18" s="1" customFormat="1" x14ac:dyDescent="0.2">
      <c r="A1" s="236" t="s">
        <v>0</v>
      </c>
      <c r="B1" s="236"/>
      <c r="C1" s="236"/>
      <c r="D1" s="236"/>
      <c r="E1" s="236"/>
      <c r="F1" s="236"/>
      <c r="G1" s="236"/>
      <c r="H1" s="236"/>
      <c r="I1" s="236"/>
      <c r="J1" s="236" t="s">
        <v>0</v>
      </c>
      <c r="K1" s="236"/>
      <c r="L1" s="236"/>
      <c r="M1" s="236"/>
      <c r="N1" s="236"/>
      <c r="O1" s="236"/>
      <c r="P1" s="236"/>
      <c r="Q1" s="236"/>
      <c r="R1" s="236"/>
    </row>
    <row r="3" spans="1:18" x14ac:dyDescent="0.2">
      <c r="A3" s="2" t="s">
        <v>1</v>
      </c>
      <c r="C3" s="4" t="s">
        <v>2</v>
      </c>
      <c r="D3" s="5" t="s">
        <v>617</v>
      </c>
      <c r="E3" s="237" t="s">
        <v>618</v>
      </c>
      <c r="F3" s="237"/>
      <c r="G3" s="237"/>
      <c r="H3" s="237"/>
      <c r="J3" s="158" t="s">
        <v>1</v>
      </c>
      <c r="L3" s="4" t="s">
        <v>2</v>
      </c>
      <c r="M3" s="5" t="s">
        <v>619</v>
      </c>
      <c r="N3" s="237" t="s">
        <v>620</v>
      </c>
      <c r="O3" s="237"/>
      <c r="P3" s="237"/>
      <c r="Q3" s="237"/>
    </row>
    <row r="4" spans="1:18" x14ac:dyDescent="0.2">
      <c r="A4" s="2" t="s">
        <v>7</v>
      </c>
      <c r="C4" s="4" t="s">
        <v>2</v>
      </c>
      <c r="E4" s="152" t="s">
        <v>66</v>
      </c>
      <c r="F4" s="8"/>
      <c r="G4" s="8"/>
      <c r="H4" s="8"/>
      <c r="J4" s="158" t="s">
        <v>7</v>
      </c>
      <c r="L4" s="4" t="s">
        <v>2</v>
      </c>
      <c r="M4" s="8"/>
      <c r="N4" s="158" t="s">
        <v>59</v>
      </c>
      <c r="O4" s="8"/>
      <c r="P4" s="8"/>
      <c r="Q4" s="8"/>
    </row>
    <row r="5" spans="1:18" x14ac:dyDescent="0.2">
      <c r="A5" s="2" t="s">
        <v>10</v>
      </c>
      <c r="C5" s="4" t="s">
        <v>2</v>
      </c>
      <c r="E5" s="9">
        <v>17.5</v>
      </c>
      <c r="F5" s="8"/>
      <c r="G5" s="8"/>
      <c r="H5" s="8"/>
      <c r="J5" s="158" t="s">
        <v>10</v>
      </c>
      <c r="L5" s="4" t="s">
        <v>2</v>
      </c>
      <c r="M5" s="8"/>
      <c r="N5" s="9">
        <v>1</v>
      </c>
      <c r="O5" s="8"/>
      <c r="P5" s="8"/>
      <c r="Q5" s="8"/>
    </row>
    <row r="6" spans="1:18" x14ac:dyDescent="0.2">
      <c r="B6" s="8"/>
      <c r="F6" s="11"/>
      <c r="G6" s="8"/>
      <c r="H6" s="8"/>
      <c r="I6" s="8"/>
      <c r="K6" s="8"/>
      <c r="O6" s="11"/>
      <c r="P6" s="8"/>
      <c r="Q6" s="8"/>
      <c r="R6" s="8"/>
    </row>
    <row r="7" spans="1:18" x14ac:dyDescent="0.2">
      <c r="A7" s="12"/>
      <c r="B7" s="238" t="s">
        <v>11</v>
      </c>
      <c r="C7" s="239"/>
      <c r="D7" s="239"/>
      <c r="E7" s="240"/>
      <c r="F7" s="244" t="s">
        <v>12</v>
      </c>
      <c r="G7" s="244" t="s">
        <v>13</v>
      </c>
      <c r="H7" s="244" t="s">
        <v>14</v>
      </c>
      <c r="I7" s="246" t="s">
        <v>15</v>
      </c>
      <c r="J7" s="12"/>
      <c r="K7" s="238" t="s">
        <v>11</v>
      </c>
      <c r="L7" s="239"/>
      <c r="M7" s="239"/>
      <c r="N7" s="240"/>
      <c r="O7" s="244" t="s">
        <v>12</v>
      </c>
      <c r="P7" s="244" t="s">
        <v>13</v>
      </c>
      <c r="Q7" s="244" t="s">
        <v>14</v>
      </c>
      <c r="R7" s="246" t="s">
        <v>15</v>
      </c>
    </row>
    <row r="8" spans="1:18" x14ac:dyDescent="0.2">
      <c r="A8" s="13"/>
      <c r="B8" s="241"/>
      <c r="C8" s="242"/>
      <c r="D8" s="242"/>
      <c r="E8" s="243"/>
      <c r="F8" s="245"/>
      <c r="G8" s="245"/>
      <c r="H8" s="245"/>
      <c r="I8" s="247"/>
      <c r="J8" s="13"/>
      <c r="K8" s="241"/>
      <c r="L8" s="242"/>
      <c r="M8" s="242"/>
      <c r="N8" s="243"/>
      <c r="O8" s="245"/>
      <c r="P8" s="245"/>
      <c r="Q8" s="245"/>
      <c r="R8" s="247"/>
    </row>
    <row r="9" spans="1:18" x14ac:dyDescent="0.2">
      <c r="A9" s="13" t="s">
        <v>16</v>
      </c>
      <c r="B9" s="14" t="s">
        <v>17</v>
      </c>
      <c r="C9" s="15"/>
      <c r="D9" s="15"/>
      <c r="E9" s="16"/>
      <c r="F9" s="17"/>
      <c r="G9" s="17"/>
      <c r="H9" s="17"/>
      <c r="I9" s="17"/>
      <c r="J9" s="13" t="s">
        <v>16</v>
      </c>
      <c r="K9" s="14" t="s">
        <v>17</v>
      </c>
      <c r="L9" s="15"/>
      <c r="M9" s="15"/>
      <c r="N9" s="16"/>
      <c r="O9" s="17"/>
      <c r="P9" s="17"/>
      <c r="Q9" s="17"/>
      <c r="R9" s="17"/>
    </row>
    <row r="10" spans="1:18" x14ac:dyDescent="0.2">
      <c r="A10" s="13"/>
      <c r="B10" s="18"/>
      <c r="C10" s="19"/>
      <c r="D10" s="19"/>
      <c r="E10" s="20"/>
      <c r="F10" s="21"/>
      <c r="G10" s="22"/>
      <c r="H10" s="21"/>
      <c r="I10" s="21"/>
      <c r="J10" s="13"/>
      <c r="K10" s="18"/>
      <c r="L10" s="19"/>
      <c r="M10" s="19"/>
      <c r="N10" s="20"/>
      <c r="O10" s="21"/>
      <c r="P10" s="22"/>
      <c r="Q10" s="21"/>
      <c r="R10" s="21"/>
    </row>
    <row r="11" spans="1:18" x14ac:dyDescent="0.2">
      <c r="A11" s="13"/>
      <c r="B11" s="24" t="s">
        <v>18</v>
      </c>
      <c r="C11" s="25"/>
      <c r="D11" s="25"/>
      <c r="E11" s="26"/>
      <c r="F11" s="22">
        <v>1</v>
      </c>
      <c r="G11" s="23">
        <v>1</v>
      </c>
      <c r="H11" s="23">
        <v>69.42</v>
      </c>
      <c r="I11" s="23">
        <f>F11*G11*H11</f>
        <v>69.42</v>
      </c>
      <c r="J11" s="13"/>
      <c r="K11" s="24" t="s">
        <v>18</v>
      </c>
      <c r="L11" s="25"/>
      <c r="M11" s="25"/>
      <c r="N11" s="26"/>
      <c r="O11" s="22">
        <v>1</v>
      </c>
      <c r="P11" s="23">
        <v>1</v>
      </c>
      <c r="Q11" s="23">
        <v>69.42</v>
      </c>
      <c r="R11" s="23">
        <f>O11*P11*Q11</f>
        <v>69.42</v>
      </c>
    </row>
    <row r="12" spans="1:18" x14ac:dyDescent="0.2">
      <c r="A12" s="13"/>
      <c r="B12" s="257" t="s">
        <v>1178</v>
      </c>
      <c r="C12" s="258"/>
      <c r="D12" s="25"/>
      <c r="E12" s="26"/>
      <c r="F12" s="22">
        <v>4</v>
      </c>
      <c r="G12" s="23">
        <v>1</v>
      </c>
      <c r="H12" s="23">
        <v>50.18</v>
      </c>
      <c r="I12" s="23">
        <f>F12*G12*H12</f>
        <v>200.72</v>
      </c>
      <c r="J12" s="13"/>
      <c r="K12" s="257" t="s">
        <v>1178</v>
      </c>
      <c r="L12" s="258"/>
      <c r="M12" s="25"/>
      <c r="N12" s="26"/>
      <c r="O12" s="22">
        <v>1</v>
      </c>
      <c r="P12" s="23">
        <v>1</v>
      </c>
      <c r="Q12" s="23">
        <v>50.18</v>
      </c>
      <c r="R12" s="23">
        <f>O12*P12*Q12</f>
        <v>50.18</v>
      </c>
    </row>
    <row r="13" spans="1:18" x14ac:dyDescent="0.2">
      <c r="A13" s="13"/>
      <c r="B13" s="257" t="s">
        <v>1177</v>
      </c>
      <c r="C13" s="258"/>
      <c r="D13" s="19"/>
      <c r="E13" s="20"/>
      <c r="F13" s="22">
        <v>8</v>
      </c>
      <c r="G13" s="23">
        <v>1</v>
      </c>
      <c r="H13" s="23">
        <v>38.97</v>
      </c>
      <c r="I13" s="23">
        <f>F13*G13*H13</f>
        <v>311.76</v>
      </c>
      <c r="J13" s="13"/>
      <c r="K13" s="257" t="s">
        <v>1177</v>
      </c>
      <c r="L13" s="258"/>
      <c r="M13" s="19"/>
      <c r="N13" s="20"/>
      <c r="O13" s="22">
        <v>2</v>
      </c>
      <c r="P13" s="23">
        <v>1</v>
      </c>
      <c r="Q13" s="23">
        <v>38.97</v>
      </c>
      <c r="R13" s="23">
        <f>O13*P13*Q13</f>
        <v>77.94</v>
      </c>
    </row>
    <row r="14" spans="1:18" x14ac:dyDescent="0.2">
      <c r="A14" s="13"/>
      <c r="B14" s="27"/>
      <c r="C14" s="19"/>
      <c r="D14" s="19"/>
      <c r="E14" s="20"/>
      <c r="F14" s="22"/>
      <c r="G14" s="22"/>
      <c r="H14" s="29"/>
      <c r="I14" s="30"/>
      <c r="J14" s="13"/>
      <c r="K14" s="159"/>
      <c r="L14" s="19"/>
      <c r="M14" s="19"/>
      <c r="N14" s="20"/>
      <c r="O14" s="22"/>
      <c r="P14" s="22"/>
      <c r="Q14" s="29"/>
      <c r="R14" s="30"/>
    </row>
    <row r="15" spans="1:18" x14ac:dyDescent="0.2">
      <c r="A15" s="13"/>
      <c r="B15" s="27"/>
      <c r="C15" s="19"/>
      <c r="D15" s="19"/>
      <c r="E15" s="20"/>
      <c r="F15" s="22"/>
      <c r="G15" s="22"/>
      <c r="H15" s="29"/>
      <c r="I15" s="30"/>
      <c r="J15" s="13"/>
      <c r="K15" s="159"/>
      <c r="L15" s="19"/>
      <c r="M15" s="19"/>
      <c r="N15" s="20"/>
      <c r="O15" s="22"/>
      <c r="P15" s="22"/>
      <c r="Q15" s="29"/>
      <c r="R15" s="30"/>
    </row>
    <row r="16" spans="1:18" x14ac:dyDescent="0.2">
      <c r="A16" s="13"/>
      <c r="B16" s="18"/>
      <c r="C16" s="19"/>
      <c r="D16" s="19"/>
      <c r="E16" s="20"/>
      <c r="F16" s="22"/>
      <c r="G16" s="22"/>
      <c r="H16" s="28"/>
      <c r="I16" s="23"/>
      <c r="J16" s="13"/>
      <c r="K16" s="18"/>
      <c r="L16" s="19"/>
      <c r="M16" s="19"/>
      <c r="N16" s="20"/>
      <c r="O16" s="22"/>
      <c r="P16" s="22"/>
      <c r="Q16" s="28"/>
      <c r="R16" s="23"/>
    </row>
    <row r="17" spans="1:18" x14ac:dyDescent="0.2">
      <c r="A17" s="13"/>
      <c r="B17" s="18"/>
      <c r="C17" s="19"/>
      <c r="D17" s="19"/>
      <c r="E17" s="20"/>
      <c r="F17" s="22"/>
      <c r="G17" s="22"/>
      <c r="H17" s="23"/>
      <c r="I17" s="23"/>
      <c r="J17" s="13"/>
      <c r="K17" s="18"/>
      <c r="L17" s="19"/>
      <c r="M17" s="19"/>
      <c r="N17" s="20"/>
      <c r="O17" s="22"/>
      <c r="P17" s="22"/>
      <c r="Q17" s="23"/>
      <c r="R17" s="23"/>
    </row>
    <row r="18" spans="1:18" x14ac:dyDescent="0.2">
      <c r="A18" s="13"/>
      <c r="B18" s="248" t="s">
        <v>20</v>
      </c>
      <c r="C18" s="249"/>
      <c r="D18" s="249"/>
      <c r="E18" s="250"/>
      <c r="F18" s="31"/>
      <c r="G18" s="31"/>
      <c r="H18" s="32"/>
      <c r="I18" s="32">
        <f>SUM(I11:I17)</f>
        <v>581.9</v>
      </c>
      <c r="J18" s="13"/>
      <c r="K18" s="248" t="s">
        <v>20</v>
      </c>
      <c r="L18" s="249"/>
      <c r="M18" s="249"/>
      <c r="N18" s="250"/>
      <c r="O18" s="31"/>
      <c r="P18" s="31"/>
      <c r="Q18" s="32"/>
      <c r="R18" s="32">
        <f>SUM(R11:R17)</f>
        <v>197.54</v>
      </c>
    </row>
    <row r="19" spans="1:18" x14ac:dyDescent="0.2">
      <c r="A19" s="12"/>
      <c r="B19" s="251" t="s">
        <v>21</v>
      </c>
      <c r="C19" s="252"/>
      <c r="D19" s="252"/>
      <c r="E19" s="253"/>
      <c r="F19" s="244" t="s">
        <v>22</v>
      </c>
      <c r="G19" s="244" t="s">
        <v>13</v>
      </c>
      <c r="H19" s="244" t="s">
        <v>14</v>
      </c>
      <c r="I19" s="246" t="s">
        <v>15</v>
      </c>
      <c r="J19" s="12"/>
      <c r="K19" s="251" t="s">
        <v>21</v>
      </c>
      <c r="L19" s="252"/>
      <c r="M19" s="252"/>
      <c r="N19" s="253"/>
      <c r="O19" s="244" t="s">
        <v>22</v>
      </c>
      <c r="P19" s="244" t="s">
        <v>13</v>
      </c>
      <c r="Q19" s="244" t="s">
        <v>14</v>
      </c>
      <c r="R19" s="246" t="s">
        <v>15</v>
      </c>
    </row>
    <row r="20" spans="1:18" x14ac:dyDescent="0.2">
      <c r="A20" s="13"/>
      <c r="B20" s="254"/>
      <c r="C20" s="255"/>
      <c r="D20" s="255"/>
      <c r="E20" s="256"/>
      <c r="F20" s="245"/>
      <c r="G20" s="245"/>
      <c r="H20" s="245"/>
      <c r="I20" s="247"/>
      <c r="J20" s="13"/>
      <c r="K20" s="254"/>
      <c r="L20" s="255"/>
      <c r="M20" s="255"/>
      <c r="N20" s="256"/>
      <c r="O20" s="245"/>
      <c r="P20" s="245"/>
      <c r="Q20" s="245"/>
      <c r="R20" s="247"/>
    </row>
    <row r="21" spans="1:18" x14ac:dyDescent="0.2">
      <c r="A21" s="13" t="s">
        <v>23</v>
      </c>
      <c r="B21" s="33" t="s">
        <v>24</v>
      </c>
      <c r="C21" s="15"/>
      <c r="D21" s="15"/>
      <c r="E21" s="16"/>
      <c r="F21" s="34"/>
      <c r="G21" s="34"/>
      <c r="H21" s="35"/>
      <c r="I21" s="35"/>
      <c r="J21" s="13" t="s">
        <v>23</v>
      </c>
      <c r="K21" s="33" t="s">
        <v>24</v>
      </c>
      <c r="L21" s="15"/>
      <c r="M21" s="15"/>
      <c r="N21" s="16"/>
      <c r="O21" s="34"/>
      <c r="P21" s="34"/>
      <c r="Q21" s="35"/>
      <c r="R21" s="35"/>
    </row>
    <row r="22" spans="1:18" x14ac:dyDescent="0.2">
      <c r="A22" s="13"/>
      <c r="B22" s="18"/>
      <c r="C22" s="19"/>
      <c r="D22" s="19"/>
      <c r="E22" s="20"/>
      <c r="F22" s="22"/>
      <c r="G22" s="22"/>
      <c r="H22" s="23"/>
      <c r="I22" s="23"/>
      <c r="J22" s="13"/>
      <c r="K22" s="18"/>
      <c r="L22" s="19"/>
      <c r="M22" s="19"/>
      <c r="N22" s="20"/>
      <c r="O22" s="22"/>
      <c r="P22" s="22"/>
      <c r="Q22" s="23"/>
      <c r="R22" s="23"/>
    </row>
    <row r="23" spans="1:18" x14ac:dyDescent="0.2">
      <c r="A23" s="13"/>
      <c r="B23" s="18" t="s">
        <v>621</v>
      </c>
      <c r="C23" s="19"/>
      <c r="D23" s="19"/>
      <c r="E23" s="20"/>
      <c r="F23" s="22">
        <v>1</v>
      </c>
      <c r="G23" s="23">
        <v>1</v>
      </c>
      <c r="H23" s="37">
        <v>91.25</v>
      </c>
      <c r="I23" s="23">
        <f>F23*G23*H23</f>
        <v>91.25</v>
      </c>
      <c r="J23" s="13"/>
      <c r="K23" s="18" t="s">
        <v>1277</v>
      </c>
      <c r="L23" s="19"/>
      <c r="M23" s="19"/>
      <c r="N23" s="20"/>
      <c r="O23" s="22">
        <v>1</v>
      </c>
      <c r="P23" s="23">
        <v>0.25</v>
      </c>
      <c r="Q23" s="37">
        <v>783</v>
      </c>
      <c r="R23" s="37">
        <f>P23*Q23*O23</f>
        <v>195.75</v>
      </c>
    </row>
    <row r="24" spans="1:18" x14ac:dyDescent="0.2">
      <c r="A24" s="13"/>
      <c r="B24" s="18" t="s">
        <v>562</v>
      </c>
      <c r="C24" s="19"/>
      <c r="D24" s="19"/>
      <c r="E24" s="20"/>
      <c r="F24" s="22">
        <v>1</v>
      </c>
      <c r="G24" s="23">
        <v>1</v>
      </c>
      <c r="H24" s="37">
        <v>172</v>
      </c>
      <c r="I24" s="23">
        <f>F24*G24*H24</f>
        <v>172</v>
      </c>
      <c r="J24" s="13"/>
      <c r="K24" s="18" t="s">
        <v>125</v>
      </c>
      <c r="L24" s="66"/>
      <c r="M24" s="19"/>
      <c r="N24" s="20"/>
      <c r="O24" s="22"/>
      <c r="P24" s="71"/>
      <c r="R24" s="37">
        <f>R18*0.1</f>
        <v>19.754000000000001</v>
      </c>
    </row>
    <row r="25" spans="1:18" x14ac:dyDescent="0.2">
      <c r="A25" s="13"/>
      <c r="B25" s="18" t="s">
        <v>1174</v>
      </c>
      <c r="C25" s="19"/>
      <c r="D25" s="19"/>
      <c r="E25" s="20"/>
      <c r="F25" s="22">
        <v>1</v>
      </c>
      <c r="G25" s="23">
        <v>0.05</v>
      </c>
      <c r="H25" s="37">
        <v>2450</v>
      </c>
      <c r="I25" s="23">
        <f>F25*G25*H25</f>
        <v>122.5</v>
      </c>
      <c r="J25" s="13"/>
      <c r="K25" s="18"/>
      <c r="L25" s="19"/>
      <c r="M25" s="19"/>
      <c r="N25" s="20"/>
      <c r="O25" s="22"/>
      <c r="P25" s="36"/>
      <c r="Q25" s="37"/>
      <c r="R25" s="37"/>
    </row>
    <row r="26" spans="1:18" x14ac:dyDescent="0.2">
      <c r="A26" s="13"/>
      <c r="B26" s="18" t="s">
        <v>1192</v>
      </c>
      <c r="F26" s="22"/>
      <c r="G26" s="23"/>
      <c r="I26" s="37">
        <f>0.1*I18</f>
        <v>58.19</v>
      </c>
      <c r="J26" s="13"/>
      <c r="K26" s="18"/>
      <c r="O26" s="22"/>
      <c r="P26" s="36"/>
      <c r="Q26" s="37"/>
      <c r="R26" s="37"/>
    </row>
    <row r="27" spans="1:18" x14ac:dyDescent="0.2">
      <c r="A27" s="13"/>
      <c r="B27" s="18"/>
      <c r="C27" s="19"/>
      <c r="D27" s="19"/>
      <c r="E27" s="20"/>
      <c r="F27" s="22"/>
      <c r="G27" s="36"/>
      <c r="H27" s="37"/>
      <c r="I27" s="37"/>
      <c r="J27" s="13"/>
      <c r="K27" s="18"/>
      <c r="L27" s="19"/>
      <c r="M27" s="19"/>
      <c r="N27" s="20"/>
      <c r="O27" s="22"/>
      <c r="P27" s="36"/>
      <c r="Q27" s="37"/>
      <c r="R27" s="37"/>
    </row>
    <row r="28" spans="1:18" x14ac:dyDescent="0.2">
      <c r="A28" s="13"/>
      <c r="B28" s="18"/>
      <c r="C28" s="19"/>
      <c r="D28" s="19"/>
      <c r="E28" s="20"/>
      <c r="F28" s="22"/>
      <c r="G28" s="36"/>
      <c r="H28" s="38"/>
      <c r="I28" s="38"/>
      <c r="J28" s="13"/>
      <c r="K28" s="18"/>
      <c r="L28" s="19"/>
      <c r="M28" s="19"/>
      <c r="N28" s="20"/>
      <c r="O28" s="22"/>
      <c r="P28" s="36"/>
      <c r="Q28" s="37"/>
      <c r="R28" s="37"/>
    </row>
    <row r="29" spans="1:18" x14ac:dyDescent="0.2">
      <c r="A29" s="13"/>
      <c r="B29" s="18"/>
      <c r="C29" s="19"/>
      <c r="D29" s="19"/>
      <c r="E29" s="20"/>
      <c r="F29" s="22"/>
      <c r="G29" s="36"/>
      <c r="H29" s="38"/>
      <c r="I29" s="38"/>
      <c r="J29" s="13"/>
      <c r="K29" s="18"/>
      <c r="L29" s="19"/>
      <c r="M29" s="19"/>
      <c r="N29" s="20"/>
      <c r="O29" s="22"/>
      <c r="P29" s="36"/>
      <c r="Q29" s="37"/>
      <c r="R29" s="37"/>
    </row>
    <row r="30" spans="1:18" x14ac:dyDescent="0.2">
      <c r="A30" s="13"/>
      <c r="B30" s="18"/>
      <c r="C30" s="19"/>
      <c r="D30" s="19"/>
      <c r="E30" s="20"/>
      <c r="F30" s="22"/>
      <c r="G30" s="36"/>
      <c r="H30" s="38"/>
      <c r="I30" s="38"/>
      <c r="J30" s="13"/>
      <c r="K30" s="18"/>
      <c r="L30" s="19"/>
      <c r="M30" s="19"/>
      <c r="N30" s="20"/>
      <c r="O30" s="22"/>
      <c r="P30" s="23"/>
      <c r="Q30" s="37"/>
      <c r="R30" s="37"/>
    </row>
    <row r="31" spans="1:18" x14ac:dyDescent="0.2">
      <c r="A31" s="13"/>
      <c r="B31" s="18"/>
      <c r="C31" s="19"/>
      <c r="D31" s="19"/>
      <c r="E31" s="20"/>
      <c r="F31" s="22"/>
      <c r="G31" s="36"/>
      <c r="H31" s="38"/>
      <c r="I31" s="38"/>
      <c r="J31" s="13"/>
      <c r="K31" s="18"/>
      <c r="L31" s="19"/>
      <c r="M31" s="19"/>
      <c r="N31" s="20"/>
      <c r="O31" s="22"/>
      <c r="P31" s="36"/>
      <c r="Q31" s="38"/>
      <c r="R31" s="38"/>
    </row>
    <row r="32" spans="1:18" x14ac:dyDescent="0.2">
      <c r="A32" s="13"/>
      <c r="B32" s="18"/>
      <c r="C32" s="19"/>
      <c r="D32" s="19"/>
      <c r="E32" s="20"/>
      <c r="F32" s="22"/>
      <c r="G32" s="36"/>
      <c r="H32" s="37"/>
      <c r="I32" s="37"/>
      <c r="J32" s="13"/>
      <c r="K32" s="18"/>
      <c r="L32" s="19"/>
      <c r="M32" s="19"/>
      <c r="N32" s="20"/>
      <c r="O32" s="22"/>
      <c r="P32" s="36"/>
      <c r="Q32" s="37"/>
      <c r="R32" s="37"/>
    </row>
    <row r="33" spans="1:18" x14ac:dyDescent="0.2">
      <c r="A33" s="13"/>
      <c r="B33" s="18"/>
      <c r="C33" s="19"/>
      <c r="D33" s="19"/>
      <c r="E33" s="20"/>
      <c r="F33" s="22"/>
      <c r="G33" s="36"/>
      <c r="H33" s="37"/>
      <c r="I33" s="37"/>
      <c r="J33" s="13"/>
      <c r="K33" s="18"/>
      <c r="L33" s="19"/>
      <c r="M33" s="19"/>
      <c r="N33" s="20"/>
      <c r="O33" s="22"/>
      <c r="P33" s="36"/>
      <c r="Q33" s="37"/>
      <c r="R33" s="37"/>
    </row>
    <row r="34" spans="1:18" x14ac:dyDescent="0.2">
      <c r="A34" s="13"/>
      <c r="B34" s="18"/>
      <c r="C34" s="19"/>
      <c r="D34" s="19"/>
      <c r="E34" s="20"/>
      <c r="F34" s="22"/>
      <c r="G34" s="36"/>
      <c r="H34" s="37"/>
      <c r="I34" s="37"/>
      <c r="J34" s="13"/>
      <c r="K34" s="18"/>
      <c r="L34" s="19"/>
      <c r="M34" s="19"/>
      <c r="N34" s="20"/>
      <c r="O34" s="22"/>
      <c r="P34" s="36"/>
      <c r="Q34" s="37"/>
      <c r="R34" s="37"/>
    </row>
    <row r="35" spans="1:18" x14ac:dyDescent="0.2">
      <c r="A35" s="13"/>
      <c r="B35" s="18"/>
      <c r="C35" s="19"/>
      <c r="D35" s="19"/>
      <c r="E35" s="20"/>
      <c r="F35" s="22"/>
      <c r="G35" s="22"/>
      <c r="H35" s="23"/>
      <c r="I35" s="23"/>
      <c r="J35" s="13"/>
      <c r="K35" s="18"/>
      <c r="L35" s="19"/>
      <c r="M35" s="19"/>
      <c r="N35" s="20"/>
      <c r="O35" s="22"/>
      <c r="P35" s="22"/>
      <c r="Q35" s="23"/>
      <c r="R35" s="23"/>
    </row>
    <row r="36" spans="1:18" x14ac:dyDescent="0.2">
      <c r="A36" s="13"/>
      <c r="B36" s="248" t="s">
        <v>30</v>
      </c>
      <c r="C36" s="249"/>
      <c r="D36" s="249"/>
      <c r="E36" s="250"/>
      <c r="F36" s="22"/>
      <c r="G36" s="22"/>
      <c r="H36" s="23"/>
      <c r="I36" s="23">
        <f>SUM(I23:I35)</f>
        <v>443.94</v>
      </c>
      <c r="J36" s="13"/>
      <c r="K36" s="248" t="s">
        <v>30</v>
      </c>
      <c r="L36" s="249"/>
      <c r="M36" s="249"/>
      <c r="N36" s="250"/>
      <c r="O36" s="22"/>
      <c r="P36" s="22"/>
      <c r="Q36" s="23"/>
      <c r="R36" s="23">
        <f>SUM(R23:R35)</f>
        <v>215.50399999999999</v>
      </c>
    </row>
    <row r="37" spans="1:18" x14ac:dyDescent="0.2">
      <c r="A37" s="12" t="s">
        <v>31</v>
      </c>
      <c r="B37" s="260" t="s">
        <v>32</v>
      </c>
      <c r="C37" s="261"/>
      <c r="D37" s="261"/>
      <c r="E37" s="261"/>
      <c r="F37" s="39"/>
      <c r="G37" s="39"/>
      <c r="H37" s="40"/>
      <c r="I37" s="41">
        <f>SUM(I36+I18)</f>
        <v>1025.8399999999999</v>
      </c>
      <c r="J37" s="12" t="s">
        <v>31</v>
      </c>
      <c r="K37" s="260" t="s">
        <v>32</v>
      </c>
      <c r="L37" s="261"/>
      <c r="M37" s="261"/>
      <c r="N37" s="261"/>
      <c r="O37" s="161"/>
      <c r="P37" s="161"/>
      <c r="Q37" s="40"/>
      <c r="R37" s="41">
        <f>SUM(R36+R18)</f>
        <v>413.04399999999998</v>
      </c>
    </row>
    <row r="38" spans="1:18" x14ac:dyDescent="0.2">
      <c r="A38" s="13" t="s">
        <v>33</v>
      </c>
      <c r="B38" s="343">
        <f>E5</f>
        <v>17.5</v>
      </c>
      <c r="C38" s="344"/>
      <c r="D38" s="344"/>
      <c r="E38" s="344"/>
      <c r="F38" s="344"/>
      <c r="G38" s="344"/>
      <c r="H38" s="40"/>
      <c r="I38" s="41"/>
      <c r="J38" s="13" t="s">
        <v>33</v>
      </c>
      <c r="K38" s="345">
        <f>N5</f>
        <v>1</v>
      </c>
      <c r="L38" s="346"/>
      <c r="M38" s="346"/>
      <c r="N38" s="346"/>
      <c r="O38" s="346"/>
      <c r="P38" s="346"/>
      <c r="Q38" s="40"/>
      <c r="R38" s="41"/>
    </row>
    <row r="39" spans="1:18" x14ac:dyDescent="0.2">
      <c r="A39" s="13" t="s">
        <v>34</v>
      </c>
      <c r="B39" s="42" t="s">
        <v>35</v>
      </c>
      <c r="C39" s="43"/>
      <c r="D39" s="43"/>
      <c r="E39" s="39"/>
      <c r="F39" s="44"/>
      <c r="G39" s="44"/>
      <c r="H39" s="40"/>
      <c r="I39" s="41">
        <f>I37/E5</f>
        <v>58.619428571428564</v>
      </c>
      <c r="J39" s="13" t="s">
        <v>34</v>
      </c>
      <c r="K39" s="162" t="s">
        <v>35</v>
      </c>
      <c r="L39" s="43"/>
      <c r="M39" s="43"/>
      <c r="N39" s="161"/>
      <c r="O39" s="163"/>
      <c r="P39" s="163"/>
      <c r="Q39" s="40"/>
      <c r="R39" s="41">
        <f>R37/N5</f>
        <v>413.04399999999998</v>
      </c>
    </row>
    <row r="40" spans="1:18" x14ac:dyDescent="0.2">
      <c r="A40" s="12"/>
      <c r="B40" s="251" t="s">
        <v>36</v>
      </c>
      <c r="C40" s="252"/>
      <c r="D40" s="252"/>
      <c r="E40" s="253"/>
      <c r="F40" s="244" t="s">
        <v>37</v>
      </c>
      <c r="G40" s="244" t="s">
        <v>38</v>
      </c>
      <c r="H40" s="244" t="s">
        <v>39</v>
      </c>
      <c r="I40" s="246" t="s">
        <v>15</v>
      </c>
      <c r="J40" s="12"/>
      <c r="K40" s="251" t="s">
        <v>36</v>
      </c>
      <c r="L40" s="252"/>
      <c r="M40" s="252"/>
      <c r="N40" s="253"/>
      <c r="O40" s="244" t="s">
        <v>37</v>
      </c>
      <c r="P40" s="244" t="s">
        <v>38</v>
      </c>
      <c r="Q40" s="244" t="s">
        <v>39</v>
      </c>
      <c r="R40" s="246" t="s">
        <v>15</v>
      </c>
    </row>
    <row r="41" spans="1:18" x14ac:dyDescent="0.2">
      <c r="A41" s="13"/>
      <c r="B41" s="254"/>
      <c r="C41" s="255"/>
      <c r="D41" s="255"/>
      <c r="E41" s="256"/>
      <c r="F41" s="245"/>
      <c r="G41" s="245"/>
      <c r="H41" s="245"/>
      <c r="I41" s="247"/>
      <c r="J41" s="13"/>
      <c r="K41" s="254"/>
      <c r="L41" s="255"/>
      <c r="M41" s="255"/>
      <c r="N41" s="256"/>
      <c r="O41" s="245"/>
      <c r="P41" s="245"/>
      <c r="Q41" s="245"/>
      <c r="R41" s="247"/>
    </row>
    <row r="42" spans="1:18" x14ac:dyDescent="0.2">
      <c r="A42" s="13" t="s">
        <v>40</v>
      </c>
      <c r="B42" s="18" t="s">
        <v>41</v>
      </c>
      <c r="C42" s="19"/>
      <c r="D42" s="19"/>
      <c r="E42" s="20"/>
      <c r="F42" s="22"/>
      <c r="G42" s="22"/>
      <c r="H42" s="23"/>
      <c r="I42" s="23"/>
      <c r="J42" s="13" t="s">
        <v>40</v>
      </c>
      <c r="K42" s="18" t="s">
        <v>41</v>
      </c>
      <c r="L42" s="19"/>
      <c r="M42" s="19"/>
      <c r="N42" s="20"/>
      <c r="O42" s="22"/>
      <c r="P42" s="22"/>
      <c r="Q42" s="107"/>
      <c r="R42" s="23"/>
    </row>
    <row r="43" spans="1:18" x14ac:dyDescent="0.2">
      <c r="A43" s="13"/>
      <c r="B43" s="18"/>
      <c r="C43" s="19"/>
      <c r="D43" s="19"/>
      <c r="E43" s="20"/>
      <c r="F43" s="22"/>
      <c r="G43" s="22"/>
      <c r="H43" s="23"/>
      <c r="I43" s="23"/>
      <c r="J43" s="13"/>
      <c r="K43" s="18"/>
      <c r="L43" s="19"/>
      <c r="M43" s="19"/>
      <c r="N43" s="20"/>
      <c r="O43" s="22"/>
      <c r="P43" s="22"/>
      <c r="Q43" s="107"/>
      <c r="R43" s="23"/>
    </row>
    <row r="44" spans="1:18" x14ac:dyDescent="0.2">
      <c r="A44" s="13"/>
      <c r="B44" s="18" t="s">
        <v>234</v>
      </c>
      <c r="C44" s="66"/>
      <c r="D44" s="19"/>
      <c r="E44" s="20"/>
      <c r="F44" s="62" t="s">
        <v>227</v>
      </c>
      <c r="G44" s="62">
        <v>0.72</v>
      </c>
      <c r="H44" s="107">
        <v>220</v>
      </c>
      <c r="I44" s="23">
        <f>G44*H44</f>
        <v>158.4</v>
      </c>
      <c r="J44" s="13"/>
      <c r="K44" s="18" t="s">
        <v>425</v>
      </c>
      <c r="L44" s="66"/>
      <c r="M44" s="19"/>
      <c r="N44" s="20"/>
      <c r="O44" s="22" t="s">
        <v>227</v>
      </c>
      <c r="P44" s="62">
        <v>0.48</v>
      </c>
      <c r="Q44" s="107">
        <v>220</v>
      </c>
      <c r="R44" s="23">
        <f>Q44*P44</f>
        <v>105.6</v>
      </c>
    </row>
    <row r="45" spans="1:18" x14ac:dyDescent="0.2">
      <c r="A45" s="13"/>
      <c r="B45" s="18" t="s">
        <v>426</v>
      </c>
      <c r="C45" s="66"/>
      <c r="D45" s="19"/>
      <c r="E45" s="20"/>
      <c r="F45" s="62" t="s">
        <v>9</v>
      </c>
      <c r="G45" s="62">
        <v>0.04</v>
      </c>
      <c r="H45" s="107">
        <v>850</v>
      </c>
      <c r="I45" s="23">
        <f>G45*H45</f>
        <v>34</v>
      </c>
      <c r="J45" s="13"/>
      <c r="K45" s="18" t="s">
        <v>567</v>
      </c>
      <c r="L45" s="66"/>
      <c r="M45" s="19"/>
      <c r="N45" s="20"/>
      <c r="O45" s="22" t="s">
        <v>9</v>
      </c>
      <c r="P45" s="22">
        <v>2.5000000000000001E-2</v>
      </c>
      <c r="Q45" s="107">
        <v>850</v>
      </c>
      <c r="R45" s="23">
        <f>Q45*P45</f>
        <v>21.25</v>
      </c>
    </row>
    <row r="46" spans="1:18" x14ac:dyDescent="0.2">
      <c r="A46" s="13"/>
      <c r="B46" s="18" t="s">
        <v>496</v>
      </c>
      <c r="C46" s="19"/>
      <c r="D46" s="19"/>
      <c r="E46" s="20"/>
      <c r="F46" s="62" t="s">
        <v>9</v>
      </c>
      <c r="G46" s="62">
        <v>0.08</v>
      </c>
      <c r="H46" s="107">
        <v>650</v>
      </c>
      <c r="I46" s="23">
        <f>G46*H46</f>
        <v>52</v>
      </c>
      <c r="J46" s="13"/>
      <c r="K46" s="18" t="s">
        <v>496</v>
      </c>
      <c r="L46" s="66"/>
      <c r="M46" s="19"/>
      <c r="N46" s="20"/>
      <c r="O46" s="22" t="s">
        <v>9</v>
      </c>
      <c r="P46" s="70">
        <v>0.05</v>
      </c>
      <c r="Q46" s="107">
        <v>650</v>
      </c>
      <c r="R46" s="23">
        <f>Q46*P46</f>
        <v>32.5</v>
      </c>
    </row>
    <row r="47" spans="1:18" x14ac:dyDescent="0.2">
      <c r="A47" s="13"/>
      <c r="B47" s="18" t="s">
        <v>623</v>
      </c>
      <c r="C47" s="19"/>
      <c r="D47" s="19"/>
      <c r="E47" s="20"/>
      <c r="F47" s="62" t="s">
        <v>80</v>
      </c>
      <c r="G47" s="62">
        <v>0.28000000000000003</v>
      </c>
      <c r="H47" s="107">
        <v>700</v>
      </c>
      <c r="I47" s="23">
        <f>G47*H47/4</f>
        <v>49.000000000000007</v>
      </c>
      <c r="J47" s="13"/>
      <c r="K47" s="18" t="s">
        <v>624</v>
      </c>
      <c r="L47" s="66"/>
      <c r="M47" s="19"/>
      <c r="N47" s="20"/>
      <c r="O47" s="22" t="s">
        <v>413</v>
      </c>
      <c r="P47" s="62">
        <v>8</v>
      </c>
      <c r="Q47" s="107">
        <v>40</v>
      </c>
      <c r="R47" s="23">
        <f>(Q47*P47)/4</f>
        <v>80</v>
      </c>
    </row>
    <row r="48" spans="1:18" x14ac:dyDescent="0.2">
      <c r="A48" s="13"/>
      <c r="B48" s="18" t="s">
        <v>625</v>
      </c>
      <c r="C48" s="19"/>
      <c r="D48" s="19"/>
      <c r="E48" s="20"/>
      <c r="F48" s="22" t="s">
        <v>413</v>
      </c>
      <c r="G48" s="22">
        <v>12.16</v>
      </c>
      <c r="H48" s="107">
        <v>40</v>
      </c>
      <c r="I48" s="23">
        <f>G48*H48/4</f>
        <v>121.6</v>
      </c>
      <c r="J48" s="13"/>
      <c r="K48" s="18" t="s">
        <v>1305</v>
      </c>
      <c r="L48" s="66"/>
      <c r="M48" s="19"/>
      <c r="N48" s="20"/>
      <c r="O48" s="22" t="s">
        <v>66</v>
      </c>
      <c r="P48" s="62">
        <v>3.1</v>
      </c>
      <c r="Q48" s="107">
        <f>3180/6</f>
        <v>530</v>
      </c>
      <c r="R48" s="23">
        <f>Q48*P48</f>
        <v>1643</v>
      </c>
    </row>
    <row r="49" spans="1:18" x14ac:dyDescent="0.2">
      <c r="A49" s="13"/>
      <c r="B49" s="18" t="s">
        <v>626</v>
      </c>
      <c r="C49" s="19"/>
      <c r="D49" s="19"/>
      <c r="E49" s="20"/>
      <c r="F49" s="22" t="s">
        <v>77</v>
      </c>
      <c r="G49" s="22">
        <f>ROUND(G48/100,2)</f>
        <v>0.12</v>
      </c>
      <c r="H49" s="107">
        <v>68</v>
      </c>
      <c r="I49" s="23">
        <f>G49*H49</f>
        <v>8.16</v>
      </c>
      <c r="J49" s="13"/>
      <c r="K49" s="18" t="s">
        <v>627</v>
      </c>
      <c r="L49" s="66"/>
      <c r="M49" s="19"/>
      <c r="N49" s="20"/>
      <c r="O49" s="22" t="s">
        <v>77</v>
      </c>
      <c r="P49" s="62">
        <v>2</v>
      </c>
      <c r="Q49" s="107">
        <v>70.78</v>
      </c>
      <c r="R49" s="23">
        <f>Q49*P49</f>
        <v>141.56</v>
      </c>
    </row>
    <row r="50" spans="1:18" x14ac:dyDescent="0.2">
      <c r="A50" s="13"/>
      <c r="B50" s="18"/>
      <c r="C50" s="19"/>
      <c r="D50" s="19"/>
      <c r="E50" s="20"/>
      <c r="F50" s="22"/>
      <c r="G50" s="22"/>
      <c r="H50" s="23"/>
      <c r="I50" s="23"/>
      <c r="J50" s="13"/>
      <c r="K50" s="18" t="s">
        <v>1306</v>
      </c>
      <c r="L50" s="66"/>
      <c r="M50" s="19"/>
      <c r="N50" s="20"/>
      <c r="O50" s="22" t="s">
        <v>80</v>
      </c>
      <c r="P50" s="62">
        <v>12</v>
      </c>
      <c r="Q50" s="107">
        <v>10</v>
      </c>
      <c r="R50" s="23">
        <f>Q50*P50</f>
        <v>120</v>
      </c>
    </row>
    <row r="51" spans="1:18" x14ac:dyDescent="0.2">
      <c r="A51" s="13"/>
      <c r="B51" s="18"/>
      <c r="C51" s="19"/>
      <c r="D51" s="19"/>
      <c r="E51" s="20"/>
      <c r="F51" s="22"/>
      <c r="G51" s="22"/>
      <c r="H51" s="23"/>
      <c r="I51" s="23"/>
      <c r="J51" s="13"/>
      <c r="K51" s="18" t="s">
        <v>628</v>
      </c>
      <c r="L51" s="66"/>
      <c r="M51" s="19"/>
      <c r="N51" s="20"/>
      <c r="O51" s="22" t="s">
        <v>80</v>
      </c>
      <c r="P51" s="62">
        <v>1</v>
      </c>
      <c r="Q51" s="165">
        <v>4500</v>
      </c>
      <c r="R51" s="23">
        <f>Q51*P51</f>
        <v>4500</v>
      </c>
    </row>
    <row r="52" spans="1:18" x14ac:dyDescent="0.2">
      <c r="A52" s="13"/>
      <c r="B52" s="18"/>
      <c r="C52" s="19"/>
      <c r="D52" s="19"/>
      <c r="E52" s="20"/>
      <c r="F52" s="22"/>
      <c r="G52" s="22"/>
      <c r="H52" s="23"/>
      <c r="I52" s="23"/>
      <c r="J52" s="13"/>
      <c r="K52" s="18" t="s">
        <v>629</v>
      </c>
      <c r="L52" s="19"/>
      <c r="M52" s="19"/>
      <c r="N52" s="20"/>
      <c r="O52" s="22" t="s">
        <v>77</v>
      </c>
      <c r="P52" s="62">
        <f>ROUND(P47/100,2)</f>
        <v>0.08</v>
      </c>
      <c r="Q52" s="107">
        <v>68</v>
      </c>
      <c r="R52" s="23">
        <f>Q52*P52</f>
        <v>5.44</v>
      </c>
    </row>
    <row r="53" spans="1:18" x14ac:dyDescent="0.2">
      <c r="A53" s="13"/>
      <c r="B53" s="18"/>
      <c r="C53" s="19"/>
      <c r="D53" s="19"/>
      <c r="E53" s="20"/>
      <c r="F53" s="22"/>
      <c r="G53" s="22"/>
      <c r="H53" s="23"/>
      <c r="I53" s="23"/>
      <c r="J53" s="13"/>
      <c r="K53" s="18"/>
      <c r="L53" s="19"/>
      <c r="M53" s="19"/>
      <c r="N53" s="20"/>
      <c r="O53" s="22"/>
      <c r="P53" s="22"/>
      <c r="Q53" s="107"/>
      <c r="R53" s="23"/>
    </row>
    <row r="54" spans="1:18" x14ac:dyDescent="0.2">
      <c r="A54" s="13"/>
      <c r="B54" s="18"/>
      <c r="C54" s="19"/>
      <c r="D54" s="19"/>
      <c r="E54" s="20"/>
      <c r="F54" s="22"/>
      <c r="G54" s="22"/>
      <c r="H54" s="23"/>
      <c r="I54" s="23"/>
      <c r="J54" s="13"/>
      <c r="K54" s="18"/>
      <c r="L54" s="19"/>
      <c r="M54" s="19"/>
      <c r="N54" s="20"/>
      <c r="O54" s="22"/>
      <c r="P54" s="22"/>
      <c r="Q54" s="23"/>
      <c r="R54" s="23"/>
    </row>
    <row r="55" spans="1:18" x14ac:dyDescent="0.2">
      <c r="A55" s="13"/>
      <c r="B55" s="18"/>
      <c r="C55" s="19"/>
      <c r="D55" s="19"/>
      <c r="E55" s="20"/>
      <c r="F55" s="22"/>
      <c r="G55" s="22"/>
      <c r="H55" s="23"/>
      <c r="I55" s="23"/>
      <c r="J55" s="13"/>
      <c r="K55" s="18"/>
      <c r="L55" s="19"/>
      <c r="M55" s="19"/>
      <c r="N55" s="20"/>
      <c r="O55" s="22"/>
      <c r="P55" s="36"/>
      <c r="Q55" s="37"/>
      <c r="R55" s="37"/>
    </row>
    <row r="56" spans="1:18" x14ac:dyDescent="0.2">
      <c r="A56" s="13"/>
      <c r="B56" s="18"/>
      <c r="C56" s="19"/>
      <c r="D56" s="19"/>
      <c r="E56" s="20"/>
      <c r="F56" s="22"/>
      <c r="G56" s="36"/>
      <c r="H56" s="37"/>
      <c r="I56" s="37"/>
      <c r="J56" s="13"/>
      <c r="K56" s="18"/>
      <c r="L56" s="19"/>
      <c r="M56" s="19"/>
      <c r="N56" s="20"/>
      <c r="O56" s="22"/>
      <c r="P56" s="36"/>
      <c r="Q56" s="37"/>
      <c r="R56" s="37"/>
    </row>
    <row r="57" spans="1:18" x14ac:dyDescent="0.2">
      <c r="A57" s="13"/>
      <c r="B57" s="248" t="s">
        <v>42</v>
      </c>
      <c r="C57" s="249"/>
      <c r="D57" s="249"/>
      <c r="E57" s="250"/>
      <c r="F57" s="46"/>
      <c r="G57" s="46"/>
      <c r="H57" s="47"/>
      <c r="I57" s="47">
        <f>SUM(I44:I56)</f>
        <v>423.16</v>
      </c>
      <c r="J57" s="13"/>
      <c r="K57" s="248" t="s">
        <v>42</v>
      </c>
      <c r="L57" s="249"/>
      <c r="M57" s="249"/>
      <c r="N57" s="250"/>
      <c r="O57" s="46"/>
      <c r="P57" s="46"/>
      <c r="Q57" s="47"/>
      <c r="R57" s="47">
        <f>SUM(R44:R55)</f>
        <v>6649.3499999999995</v>
      </c>
    </row>
    <row r="58" spans="1:18" x14ac:dyDescent="0.2">
      <c r="A58" s="12" t="s">
        <v>43</v>
      </c>
      <c r="B58" s="48" t="s">
        <v>44</v>
      </c>
      <c r="C58" s="43"/>
      <c r="D58" s="43"/>
      <c r="E58" s="39"/>
      <c r="F58" s="49"/>
      <c r="G58" s="49"/>
      <c r="H58" s="50"/>
      <c r="I58" s="51">
        <f>SUM(I39+I57)</f>
        <v>481.77942857142858</v>
      </c>
      <c r="J58" s="12" t="s">
        <v>43</v>
      </c>
      <c r="K58" s="48" t="s">
        <v>44</v>
      </c>
      <c r="L58" s="43"/>
      <c r="M58" s="43"/>
      <c r="N58" s="161"/>
      <c r="O58" s="49"/>
      <c r="P58" s="49"/>
      <c r="Q58" s="50"/>
      <c r="R58" s="51">
        <f>SUM(R39+R57)</f>
        <v>7062.3939999999993</v>
      </c>
    </row>
    <row r="59" spans="1:18" x14ac:dyDescent="0.2">
      <c r="A59" s="13" t="s">
        <v>45</v>
      </c>
      <c r="B59" s="48" t="s">
        <v>46</v>
      </c>
      <c r="C59" s="43"/>
      <c r="D59" s="43"/>
      <c r="E59" s="39"/>
      <c r="F59" s="49"/>
      <c r="G59" s="52">
        <v>0.09</v>
      </c>
      <c r="H59" s="53" t="s">
        <v>47</v>
      </c>
      <c r="I59" s="51">
        <f>G59*I58</f>
        <v>43.360148571428567</v>
      </c>
      <c r="J59" s="13" t="s">
        <v>45</v>
      </c>
      <c r="K59" s="48" t="s">
        <v>46</v>
      </c>
      <c r="L59" s="43"/>
      <c r="M59" s="43"/>
      <c r="N59" s="161"/>
      <c r="O59" s="49"/>
      <c r="P59" s="52">
        <v>0.09</v>
      </c>
      <c r="Q59" s="53" t="s">
        <v>47</v>
      </c>
      <c r="R59" s="51">
        <f>P59*R58</f>
        <v>635.61545999999987</v>
      </c>
    </row>
    <row r="60" spans="1:18" x14ac:dyDescent="0.2">
      <c r="A60" s="13" t="s">
        <v>48</v>
      </c>
      <c r="B60" s="48" t="s">
        <v>49</v>
      </c>
      <c r="C60" s="43"/>
      <c r="D60" s="43"/>
      <c r="E60" s="39"/>
      <c r="F60" s="49"/>
      <c r="G60" s="52">
        <v>0.08</v>
      </c>
      <c r="H60" s="53" t="s">
        <v>47</v>
      </c>
      <c r="I60" s="51">
        <f>G60*I58</f>
        <v>38.542354285714289</v>
      </c>
      <c r="J60" s="13" t="s">
        <v>48</v>
      </c>
      <c r="K60" s="48" t="s">
        <v>49</v>
      </c>
      <c r="L60" s="43"/>
      <c r="M60" s="43"/>
      <c r="N60" s="161"/>
      <c r="O60" s="49"/>
      <c r="P60" s="52">
        <v>0.08</v>
      </c>
      <c r="Q60" s="53" t="s">
        <v>47</v>
      </c>
      <c r="R60" s="51">
        <f>P60*R58</f>
        <v>564.99151999999992</v>
      </c>
    </row>
    <row r="61" spans="1:18" x14ac:dyDescent="0.2">
      <c r="A61" s="13" t="s">
        <v>50</v>
      </c>
      <c r="B61" s="48" t="s">
        <v>51</v>
      </c>
      <c r="C61" s="43"/>
      <c r="D61" s="43"/>
      <c r="E61" s="39"/>
      <c r="F61" s="49"/>
      <c r="G61" s="52">
        <v>0.05</v>
      </c>
      <c r="H61" s="53" t="s">
        <v>52</v>
      </c>
      <c r="I61" s="51">
        <f>G61*(I58+I59+I60)</f>
        <v>28.184096571428576</v>
      </c>
      <c r="J61" s="13" t="s">
        <v>50</v>
      </c>
      <c r="K61" s="48" t="s">
        <v>51</v>
      </c>
      <c r="L61" s="43"/>
      <c r="M61" s="43"/>
      <c r="N61" s="161"/>
      <c r="O61" s="49"/>
      <c r="P61" s="52">
        <v>0.05</v>
      </c>
      <c r="Q61" s="53" t="s">
        <v>52</v>
      </c>
      <c r="R61" s="51">
        <f>P61*(R58+R59+R60)</f>
        <v>413.15004899999997</v>
      </c>
    </row>
    <row r="62" spans="1:18" x14ac:dyDescent="0.2">
      <c r="A62" s="54" t="s">
        <v>53</v>
      </c>
      <c r="B62" s="48" t="s">
        <v>54</v>
      </c>
      <c r="C62" s="43"/>
      <c r="D62" s="43"/>
      <c r="E62" s="39"/>
      <c r="F62" s="49"/>
      <c r="G62" s="49"/>
      <c r="H62" s="55" t="s">
        <v>55</v>
      </c>
      <c r="I62" s="51">
        <f>SUM(I58+I59+I60+I61)</f>
        <v>591.86602800000003</v>
      </c>
      <c r="J62" s="54" t="s">
        <v>53</v>
      </c>
      <c r="K62" s="48" t="s">
        <v>54</v>
      </c>
      <c r="L62" s="43"/>
      <c r="M62" s="43"/>
      <c r="N62" s="161"/>
      <c r="O62" s="49"/>
      <c r="P62" s="49"/>
      <c r="Q62" s="55" t="s">
        <v>55</v>
      </c>
      <c r="R62" s="51">
        <f>SUM(R58+R59+R60+R61)</f>
        <v>8676.1510289999987</v>
      </c>
    </row>
    <row r="63" spans="1:18" s="1" customFormat="1" x14ac:dyDescent="0.2">
      <c r="A63" s="236" t="s">
        <v>0</v>
      </c>
      <c r="B63" s="236"/>
      <c r="C63" s="236"/>
      <c r="D63" s="236"/>
      <c r="E63" s="236"/>
      <c r="F63" s="236"/>
      <c r="G63" s="236"/>
      <c r="H63" s="236"/>
      <c r="I63" s="236"/>
      <c r="J63" s="236" t="s">
        <v>0</v>
      </c>
      <c r="K63" s="236"/>
      <c r="L63" s="236"/>
      <c r="M63" s="236"/>
      <c r="N63" s="236"/>
      <c r="O63" s="236"/>
      <c r="P63" s="236"/>
      <c r="Q63" s="236"/>
      <c r="R63" s="236"/>
    </row>
    <row r="65" spans="1:18" x14ac:dyDescent="0.2">
      <c r="A65" s="2" t="s">
        <v>1</v>
      </c>
      <c r="C65" s="4" t="s">
        <v>2</v>
      </c>
      <c r="D65" s="5" t="s">
        <v>630</v>
      </c>
      <c r="E65" s="8" t="s">
        <v>631</v>
      </c>
      <c r="F65" s="8"/>
      <c r="G65" s="8"/>
      <c r="H65" s="8"/>
      <c r="I65" s="8"/>
      <c r="J65" s="158" t="s">
        <v>1</v>
      </c>
      <c r="L65" s="4" t="s">
        <v>2</v>
      </c>
      <c r="M65" s="5" t="s">
        <v>632</v>
      </c>
      <c r="N65" s="237" t="s">
        <v>633</v>
      </c>
      <c r="O65" s="237"/>
      <c r="P65" s="237"/>
      <c r="Q65" s="237"/>
    </row>
    <row r="66" spans="1:18" x14ac:dyDescent="0.2">
      <c r="A66" s="2" t="s">
        <v>7</v>
      </c>
      <c r="C66" s="4" t="s">
        <v>2</v>
      </c>
      <c r="E66" s="152" t="s">
        <v>66</v>
      </c>
      <c r="F66" s="8"/>
      <c r="G66" s="8"/>
      <c r="H66" s="8"/>
      <c r="J66" s="158" t="s">
        <v>7</v>
      </c>
      <c r="L66" s="4" t="s">
        <v>2</v>
      </c>
      <c r="M66" s="8"/>
      <c r="N66" s="158" t="s">
        <v>59</v>
      </c>
      <c r="O66" s="8"/>
      <c r="P66" s="8"/>
      <c r="Q66" s="8"/>
    </row>
    <row r="67" spans="1:18" x14ac:dyDescent="0.2">
      <c r="A67" s="2" t="s">
        <v>10</v>
      </c>
      <c r="C67" s="4" t="s">
        <v>2</v>
      </c>
      <c r="E67" s="9">
        <v>17.5</v>
      </c>
      <c r="F67" s="8"/>
      <c r="G67" s="8"/>
      <c r="H67" s="8"/>
      <c r="J67" s="158" t="s">
        <v>10</v>
      </c>
      <c r="L67" s="4" t="s">
        <v>2</v>
      </c>
      <c r="M67" s="8"/>
      <c r="N67" s="9">
        <v>1</v>
      </c>
      <c r="O67" s="8"/>
      <c r="P67" s="8"/>
      <c r="Q67" s="8"/>
    </row>
    <row r="68" spans="1:18" x14ac:dyDescent="0.2">
      <c r="B68" s="8"/>
      <c r="F68" s="11"/>
      <c r="G68" s="8"/>
      <c r="H68" s="8"/>
      <c r="I68" s="8"/>
      <c r="K68" s="8"/>
      <c r="O68" s="11"/>
      <c r="P68" s="8"/>
      <c r="Q68" s="8"/>
      <c r="R68" s="8"/>
    </row>
    <row r="69" spans="1:18" x14ac:dyDescent="0.2">
      <c r="A69" s="12"/>
      <c r="B69" s="238" t="s">
        <v>11</v>
      </c>
      <c r="C69" s="239"/>
      <c r="D69" s="239"/>
      <c r="E69" s="240"/>
      <c r="F69" s="244" t="s">
        <v>12</v>
      </c>
      <c r="G69" s="244" t="s">
        <v>13</v>
      </c>
      <c r="H69" s="244" t="s">
        <v>14</v>
      </c>
      <c r="I69" s="246" t="s">
        <v>15</v>
      </c>
      <c r="J69" s="12"/>
      <c r="K69" s="238" t="s">
        <v>11</v>
      </c>
      <c r="L69" s="239"/>
      <c r="M69" s="239"/>
      <c r="N69" s="240"/>
      <c r="O69" s="244" t="s">
        <v>12</v>
      </c>
      <c r="P69" s="244" t="s">
        <v>13</v>
      </c>
      <c r="Q69" s="244" t="s">
        <v>14</v>
      </c>
      <c r="R69" s="246" t="s">
        <v>15</v>
      </c>
    </row>
    <row r="70" spans="1:18" x14ac:dyDescent="0.2">
      <c r="A70" s="13"/>
      <c r="B70" s="241"/>
      <c r="C70" s="242"/>
      <c r="D70" s="242"/>
      <c r="E70" s="243"/>
      <c r="F70" s="245"/>
      <c r="G70" s="245"/>
      <c r="H70" s="245"/>
      <c r="I70" s="247"/>
      <c r="J70" s="13"/>
      <c r="K70" s="241"/>
      <c r="L70" s="242"/>
      <c r="M70" s="242"/>
      <c r="N70" s="243"/>
      <c r="O70" s="245"/>
      <c r="P70" s="245"/>
      <c r="Q70" s="245"/>
      <c r="R70" s="247"/>
    </row>
    <row r="71" spans="1:18" x14ac:dyDescent="0.2">
      <c r="A71" s="13" t="s">
        <v>16</v>
      </c>
      <c r="B71" s="14" t="s">
        <v>17</v>
      </c>
      <c r="C71" s="15"/>
      <c r="D71" s="15"/>
      <c r="E71" s="16"/>
      <c r="F71" s="17"/>
      <c r="G71" s="17"/>
      <c r="H71" s="17"/>
      <c r="I71" s="17"/>
      <c r="J71" s="13" t="s">
        <v>16</v>
      </c>
      <c r="K71" s="14" t="s">
        <v>17</v>
      </c>
      <c r="L71" s="15"/>
      <c r="M71" s="15"/>
      <c r="N71" s="16"/>
      <c r="O71" s="17"/>
      <c r="P71" s="17"/>
      <c r="Q71" s="17"/>
      <c r="R71" s="17"/>
    </row>
    <row r="72" spans="1:18" x14ac:dyDescent="0.2">
      <c r="A72" s="13"/>
      <c r="B72" s="18"/>
      <c r="C72" s="19"/>
      <c r="D72" s="19"/>
      <c r="E72" s="20"/>
      <c r="F72" s="21"/>
      <c r="G72" s="22"/>
      <c r="H72" s="21"/>
      <c r="I72" s="21"/>
      <c r="J72" s="13"/>
      <c r="K72" s="18"/>
      <c r="L72" s="19"/>
      <c r="M72" s="19"/>
      <c r="N72" s="20"/>
      <c r="O72" s="21"/>
      <c r="P72" s="22"/>
      <c r="Q72" s="21"/>
      <c r="R72" s="21"/>
    </row>
    <row r="73" spans="1:18" x14ac:dyDescent="0.2">
      <c r="A73" s="13"/>
      <c r="B73" s="24" t="s">
        <v>18</v>
      </c>
      <c r="C73" s="25"/>
      <c r="D73" s="25"/>
      <c r="E73" s="26"/>
      <c r="F73" s="22">
        <v>1</v>
      </c>
      <c r="G73" s="23">
        <v>1</v>
      </c>
      <c r="H73" s="23">
        <v>69.42</v>
      </c>
      <c r="I73" s="23">
        <f>F73*G73*H73</f>
        <v>69.42</v>
      </c>
      <c r="J73" s="13"/>
      <c r="K73" s="24" t="s">
        <v>18</v>
      </c>
      <c r="L73" s="25"/>
      <c r="M73" s="25"/>
      <c r="N73" s="26"/>
      <c r="O73" s="22">
        <v>1</v>
      </c>
      <c r="P73" s="23">
        <v>1</v>
      </c>
      <c r="Q73" s="23">
        <v>69.42</v>
      </c>
      <c r="R73" s="23">
        <f>O73*P73*Q73</f>
        <v>69.42</v>
      </c>
    </row>
    <row r="74" spans="1:18" x14ac:dyDescent="0.2">
      <c r="A74" s="13"/>
      <c r="B74" s="257" t="s">
        <v>1178</v>
      </c>
      <c r="C74" s="258"/>
      <c r="D74" s="25"/>
      <c r="E74" s="26"/>
      <c r="F74" s="22">
        <v>4</v>
      </c>
      <c r="G74" s="23">
        <v>1</v>
      </c>
      <c r="H74" s="23">
        <v>50.18</v>
      </c>
      <c r="I74" s="23">
        <f>F74*G74*H74</f>
        <v>200.72</v>
      </c>
      <c r="J74" s="13"/>
      <c r="K74" s="257" t="s">
        <v>1178</v>
      </c>
      <c r="L74" s="258"/>
      <c r="M74" s="25"/>
      <c r="N74" s="26"/>
      <c r="O74" s="22">
        <v>1</v>
      </c>
      <c r="P74" s="23">
        <v>1</v>
      </c>
      <c r="Q74" s="23">
        <v>50.18</v>
      </c>
      <c r="R74" s="23">
        <f>O74*P74*Q74</f>
        <v>50.18</v>
      </c>
    </row>
    <row r="75" spans="1:18" x14ac:dyDescent="0.2">
      <c r="A75" s="13"/>
      <c r="B75" s="257" t="s">
        <v>1177</v>
      </c>
      <c r="C75" s="258"/>
      <c r="D75" s="19"/>
      <c r="E75" s="20"/>
      <c r="F75" s="22">
        <v>8</v>
      </c>
      <c r="G75" s="23">
        <v>1</v>
      </c>
      <c r="H75" s="23">
        <v>38.97</v>
      </c>
      <c r="I75" s="23">
        <f>F75*G75*H75</f>
        <v>311.76</v>
      </c>
      <c r="J75" s="13"/>
      <c r="K75" s="257" t="s">
        <v>1177</v>
      </c>
      <c r="L75" s="258"/>
      <c r="M75" s="19"/>
      <c r="N75" s="20"/>
      <c r="O75" s="22">
        <v>2</v>
      </c>
      <c r="P75" s="23">
        <v>1</v>
      </c>
      <c r="Q75" s="23">
        <v>38.97</v>
      </c>
      <c r="R75" s="23">
        <f>O75*P75*Q75</f>
        <v>77.94</v>
      </c>
    </row>
    <row r="76" spans="1:18" x14ac:dyDescent="0.2">
      <c r="A76" s="13"/>
      <c r="B76" s="153"/>
      <c r="C76" s="19"/>
      <c r="D76" s="19"/>
      <c r="E76" s="20"/>
      <c r="F76" s="22"/>
      <c r="G76" s="22"/>
      <c r="H76" s="29"/>
      <c r="I76" s="30"/>
      <c r="J76" s="13"/>
      <c r="K76" s="159"/>
      <c r="L76" s="19"/>
      <c r="M76" s="19"/>
      <c r="N76" s="20"/>
      <c r="O76" s="22"/>
      <c r="P76" s="22"/>
      <c r="Q76" s="29"/>
      <c r="R76" s="30"/>
    </row>
    <row r="77" spans="1:18" x14ac:dyDescent="0.2">
      <c r="A77" s="13"/>
      <c r="B77" s="153"/>
      <c r="C77" s="19"/>
      <c r="D77" s="19"/>
      <c r="E77" s="20"/>
      <c r="F77" s="22"/>
      <c r="G77" s="22"/>
      <c r="H77" s="29"/>
      <c r="I77" s="30"/>
      <c r="J77" s="13"/>
      <c r="K77" s="159"/>
      <c r="L77" s="19"/>
      <c r="M77" s="19"/>
      <c r="N77" s="20"/>
      <c r="O77" s="22"/>
      <c r="P77" s="22"/>
      <c r="Q77" s="29"/>
      <c r="R77" s="30"/>
    </row>
    <row r="78" spans="1:18" x14ac:dyDescent="0.2">
      <c r="A78" s="13"/>
      <c r="B78" s="18"/>
      <c r="C78" s="19"/>
      <c r="D78" s="19"/>
      <c r="E78" s="20"/>
      <c r="F78" s="22"/>
      <c r="G78" s="22"/>
      <c r="H78" s="28"/>
      <c r="I78" s="23"/>
      <c r="J78" s="13"/>
      <c r="K78" s="18"/>
      <c r="L78" s="19"/>
      <c r="M78" s="19"/>
      <c r="N78" s="20"/>
      <c r="O78" s="22"/>
      <c r="P78" s="22"/>
      <c r="Q78" s="28"/>
      <c r="R78" s="23"/>
    </row>
    <row r="79" spans="1:18" x14ac:dyDescent="0.2">
      <c r="A79" s="13"/>
      <c r="B79" s="18"/>
      <c r="C79" s="19"/>
      <c r="D79" s="19"/>
      <c r="E79" s="20"/>
      <c r="F79" s="22"/>
      <c r="G79" s="22"/>
      <c r="H79" s="23"/>
      <c r="I79" s="23"/>
      <c r="J79" s="13"/>
      <c r="K79" s="18"/>
      <c r="L79" s="19"/>
      <c r="M79" s="19"/>
      <c r="N79" s="20"/>
      <c r="O79" s="22"/>
      <c r="P79" s="22"/>
      <c r="Q79" s="23"/>
      <c r="R79" s="23"/>
    </row>
    <row r="80" spans="1:18" x14ac:dyDescent="0.2">
      <c r="A80" s="13"/>
      <c r="B80" s="248" t="s">
        <v>20</v>
      </c>
      <c r="C80" s="249"/>
      <c r="D80" s="249"/>
      <c r="E80" s="250"/>
      <c r="F80" s="31"/>
      <c r="G80" s="31"/>
      <c r="H80" s="32"/>
      <c r="I80" s="32">
        <f>SUM(I73:I79)</f>
        <v>581.9</v>
      </c>
      <c r="J80" s="13"/>
      <c r="K80" s="248" t="s">
        <v>20</v>
      </c>
      <c r="L80" s="249"/>
      <c r="M80" s="249"/>
      <c r="N80" s="250"/>
      <c r="O80" s="31"/>
      <c r="P80" s="31"/>
      <c r="Q80" s="32"/>
      <c r="R80" s="32">
        <f>SUM(R73:R79)</f>
        <v>197.54</v>
      </c>
    </row>
    <row r="81" spans="1:18" x14ac:dyDescent="0.2">
      <c r="A81" s="12"/>
      <c r="B81" s="251" t="s">
        <v>21</v>
      </c>
      <c r="C81" s="252"/>
      <c r="D81" s="252"/>
      <c r="E81" s="253"/>
      <c r="F81" s="244" t="s">
        <v>22</v>
      </c>
      <c r="G81" s="244" t="s">
        <v>13</v>
      </c>
      <c r="H81" s="244" t="s">
        <v>14</v>
      </c>
      <c r="I81" s="246" t="s">
        <v>15</v>
      </c>
      <c r="J81" s="12"/>
      <c r="K81" s="251" t="s">
        <v>21</v>
      </c>
      <c r="L81" s="252"/>
      <c r="M81" s="252"/>
      <c r="N81" s="253"/>
      <c r="O81" s="244" t="s">
        <v>22</v>
      </c>
      <c r="P81" s="244" t="s">
        <v>13</v>
      </c>
      <c r="Q81" s="244" t="s">
        <v>14</v>
      </c>
      <c r="R81" s="246" t="s">
        <v>15</v>
      </c>
    </row>
    <row r="82" spans="1:18" x14ac:dyDescent="0.2">
      <c r="A82" s="13"/>
      <c r="B82" s="254"/>
      <c r="C82" s="255"/>
      <c r="D82" s="255"/>
      <c r="E82" s="256"/>
      <c r="F82" s="245"/>
      <c r="G82" s="245"/>
      <c r="H82" s="245"/>
      <c r="I82" s="247"/>
      <c r="J82" s="13"/>
      <c r="K82" s="254"/>
      <c r="L82" s="255"/>
      <c r="M82" s="255"/>
      <c r="N82" s="256"/>
      <c r="O82" s="245"/>
      <c r="P82" s="245"/>
      <c r="Q82" s="245"/>
      <c r="R82" s="247"/>
    </row>
    <row r="83" spans="1:18" x14ac:dyDescent="0.2">
      <c r="A83" s="13" t="s">
        <v>23</v>
      </c>
      <c r="B83" s="33" t="s">
        <v>24</v>
      </c>
      <c r="C83" s="15"/>
      <c r="D83" s="15"/>
      <c r="E83" s="16"/>
      <c r="F83" s="34"/>
      <c r="G83" s="34"/>
      <c r="H83" s="35"/>
      <c r="I83" s="35"/>
      <c r="J83" s="13" t="s">
        <v>23</v>
      </c>
      <c r="K83" s="33" t="s">
        <v>24</v>
      </c>
      <c r="L83" s="15"/>
      <c r="M83" s="15"/>
      <c r="N83" s="16"/>
      <c r="O83" s="34"/>
      <c r="P83" s="34"/>
      <c r="Q83" s="35"/>
      <c r="R83" s="35"/>
    </row>
    <row r="84" spans="1:18" x14ac:dyDescent="0.2">
      <c r="A84" s="13"/>
      <c r="B84" s="18"/>
      <c r="C84" s="19"/>
      <c r="D84" s="19"/>
      <c r="E84" s="20"/>
      <c r="F84" s="22"/>
      <c r="G84" s="22"/>
      <c r="H84" s="23"/>
      <c r="I84" s="23"/>
      <c r="J84" s="13"/>
      <c r="K84" s="18"/>
      <c r="L84" s="19"/>
      <c r="M84" s="19"/>
      <c r="N84" s="20"/>
      <c r="O84" s="22"/>
      <c r="P84" s="22"/>
      <c r="Q84" s="23"/>
      <c r="R84" s="23"/>
    </row>
    <row r="85" spans="1:18" x14ac:dyDescent="0.2">
      <c r="A85" s="13"/>
      <c r="B85" s="18" t="s">
        <v>621</v>
      </c>
      <c r="C85" s="19"/>
      <c r="D85" s="19"/>
      <c r="E85" s="20"/>
      <c r="F85" s="22">
        <v>1</v>
      </c>
      <c r="G85" s="23">
        <v>1</v>
      </c>
      <c r="H85" s="37">
        <v>91.25</v>
      </c>
      <c r="I85" s="23">
        <f>F85*G85*H85</f>
        <v>91.25</v>
      </c>
      <c r="J85" s="13"/>
      <c r="K85" s="18" t="s">
        <v>1277</v>
      </c>
      <c r="L85" s="19"/>
      <c r="M85" s="19"/>
      <c r="N85" s="20"/>
      <c r="O85" s="22">
        <v>1</v>
      </c>
      <c r="P85" s="23">
        <v>0.25</v>
      </c>
      <c r="Q85" s="37">
        <v>783</v>
      </c>
      <c r="R85" s="37">
        <f>P85*Q85*O85</f>
        <v>195.75</v>
      </c>
    </row>
    <row r="86" spans="1:18" x14ac:dyDescent="0.2">
      <c r="A86" s="13"/>
      <c r="B86" s="18" t="s">
        <v>562</v>
      </c>
      <c r="C86" s="19"/>
      <c r="D86" s="19"/>
      <c r="E86" s="20"/>
      <c r="F86" s="22">
        <v>1</v>
      </c>
      <c r="G86" s="23">
        <v>1</v>
      </c>
      <c r="H86" s="37">
        <v>172</v>
      </c>
      <c r="I86" s="23">
        <f>F86*G86*H86</f>
        <v>172</v>
      </c>
      <c r="J86" s="13"/>
      <c r="K86" s="18" t="s">
        <v>125</v>
      </c>
      <c r="L86" s="66"/>
      <c r="M86" s="19"/>
      <c r="N86" s="20"/>
      <c r="O86" s="22"/>
      <c r="P86" s="71"/>
      <c r="R86" s="37">
        <f>R80*0.1</f>
        <v>19.754000000000001</v>
      </c>
    </row>
    <row r="87" spans="1:18" x14ac:dyDescent="0.2">
      <c r="A87" s="13"/>
      <c r="B87" s="18" t="s">
        <v>1174</v>
      </c>
      <c r="C87" s="19"/>
      <c r="D87" s="19"/>
      <c r="E87" s="20"/>
      <c r="F87" s="22">
        <v>1</v>
      </c>
      <c r="G87" s="23">
        <v>0.05</v>
      </c>
      <c r="H87" s="37">
        <v>2450</v>
      </c>
      <c r="I87" s="23">
        <f>F87*G87*H87</f>
        <v>122.5</v>
      </c>
      <c r="J87" s="13"/>
      <c r="K87" s="18"/>
      <c r="L87" s="19"/>
      <c r="M87" s="19"/>
      <c r="N87" s="20"/>
      <c r="O87" s="22"/>
      <c r="P87" s="36"/>
      <c r="Q87" s="37"/>
      <c r="R87" s="37"/>
    </row>
    <row r="88" spans="1:18" x14ac:dyDescent="0.2">
      <c r="A88" s="13"/>
      <c r="B88" s="18" t="s">
        <v>1192</v>
      </c>
      <c r="F88" s="22"/>
      <c r="G88" s="23"/>
      <c r="I88" s="37">
        <f>0.1*I80</f>
        <v>58.19</v>
      </c>
      <c r="J88" s="13"/>
      <c r="K88" s="18"/>
      <c r="O88" s="22"/>
      <c r="P88" s="36"/>
      <c r="Q88" s="37"/>
      <c r="R88" s="37"/>
    </row>
    <row r="89" spans="1:18" x14ac:dyDescent="0.2">
      <c r="A89" s="13"/>
      <c r="B89" s="18"/>
      <c r="C89" s="19"/>
      <c r="D89" s="19"/>
      <c r="E89" s="20"/>
      <c r="F89" s="22"/>
      <c r="G89" s="36"/>
      <c r="H89" s="37"/>
      <c r="I89" s="37"/>
      <c r="J89" s="13"/>
      <c r="K89" s="18"/>
      <c r="L89" s="19"/>
      <c r="M89" s="19"/>
      <c r="N89" s="20"/>
      <c r="O89" s="22"/>
      <c r="P89" s="36"/>
      <c r="Q89" s="37"/>
      <c r="R89" s="37"/>
    </row>
    <row r="90" spans="1:18" x14ac:dyDescent="0.2">
      <c r="A90" s="13"/>
      <c r="B90" s="18"/>
      <c r="C90" s="19"/>
      <c r="D90" s="19"/>
      <c r="E90" s="20"/>
      <c r="F90" s="22"/>
      <c r="G90" s="36"/>
      <c r="H90" s="37"/>
      <c r="I90" s="38"/>
      <c r="J90" s="13"/>
      <c r="K90" s="18"/>
      <c r="L90" s="19"/>
      <c r="M90" s="19"/>
      <c r="N90" s="20"/>
      <c r="O90" s="22"/>
      <c r="P90" s="36"/>
      <c r="Q90" s="37"/>
      <c r="R90" s="37"/>
    </row>
    <row r="91" spans="1:18" x14ac:dyDescent="0.2">
      <c r="A91" s="13"/>
      <c r="B91" s="18"/>
      <c r="C91" s="19"/>
      <c r="D91" s="19"/>
      <c r="E91" s="20"/>
      <c r="F91" s="22"/>
      <c r="G91" s="36"/>
      <c r="H91" s="37"/>
      <c r="I91" s="38"/>
      <c r="J91" s="13"/>
      <c r="K91" s="18"/>
      <c r="L91" s="19"/>
      <c r="M91" s="19"/>
      <c r="N91" s="20"/>
      <c r="O91" s="22"/>
      <c r="P91" s="36"/>
      <c r="Q91" s="37"/>
      <c r="R91" s="37"/>
    </row>
    <row r="92" spans="1:18" x14ac:dyDescent="0.2">
      <c r="A92" s="13"/>
      <c r="B92" s="18"/>
      <c r="C92" s="19"/>
      <c r="D92" s="19"/>
      <c r="E92" s="20"/>
      <c r="F92" s="22"/>
      <c r="G92" s="23"/>
      <c r="H92" s="37"/>
      <c r="I92" s="38"/>
      <c r="J92" s="13"/>
      <c r="K92" s="18"/>
      <c r="L92" s="19"/>
      <c r="M92" s="19"/>
      <c r="N92" s="20"/>
      <c r="O92" s="22"/>
      <c r="P92" s="23"/>
      <c r="Q92" s="37"/>
      <c r="R92" s="37"/>
    </row>
    <row r="93" spans="1:18" x14ac:dyDescent="0.2">
      <c r="A93" s="13"/>
      <c r="B93" s="18"/>
      <c r="C93" s="19"/>
      <c r="D93" s="19"/>
      <c r="E93" s="20"/>
      <c r="F93" s="22"/>
      <c r="G93" s="23"/>
      <c r="H93" s="37"/>
      <c r="I93" s="38"/>
      <c r="J93" s="13"/>
      <c r="K93" s="18"/>
      <c r="L93" s="19"/>
      <c r="M93" s="19"/>
      <c r="N93" s="20"/>
      <c r="O93" s="22"/>
      <c r="P93" s="36"/>
      <c r="Q93" s="38"/>
      <c r="R93" s="38"/>
    </row>
    <row r="94" spans="1:18" x14ac:dyDescent="0.2">
      <c r="A94" s="13"/>
      <c r="B94" s="7"/>
      <c r="C94" s="7"/>
      <c r="D94" s="7"/>
      <c r="E94" s="7"/>
      <c r="F94" s="72"/>
      <c r="G94" s="72"/>
      <c r="H94" s="72"/>
      <c r="I94" s="37"/>
      <c r="J94" s="13"/>
      <c r="K94" s="18"/>
      <c r="L94" s="19"/>
      <c r="M94" s="19"/>
      <c r="N94" s="20"/>
      <c r="O94" s="22"/>
      <c r="P94" s="36"/>
      <c r="Q94" s="37"/>
      <c r="R94" s="37"/>
    </row>
    <row r="95" spans="1:18" x14ac:dyDescent="0.2">
      <c r="A95" s="13"/>
      <c r="B95" s="18"/>
      <c r="C95" s="19"/>
      <c r="D95" s="19"/>
      <c r="E95" s="20"/>
      <c r="F95" s="22"/>
      <c r="G95" s="36"/>
      <c r="H95" s="37"/>
      <c r="I95" s="37"/>
      <c r="J95" s="13"/>
      <c r="K95" s="18"/>
      <c r="L95" s="19"/>
      <c r="M95" s="19"/>
      <c r="N95" s="20"/>
      <c r="O95" s="22"/>
      <c r="P95" s="36"/>
      <c r="Q95" s="37"/>
      <c r="R95" s="37"/>
    </row>
    <row r="96" spans="1:18" x14ac:dyDescent="0.2">
      <c r="A96" s="13"/>
      <c r="B96" s="18"/>
      <c r="C96" s="19"/>
      <c r="D96" s="19"/>
      <c r="E96" s="20"/>
      <c r="F96" s="22"/>
      <c r="G96" s="36"/>
      <c r="H96" s="37"/>
      <c r="I96" s="37"/>
      <c r="J96" s="13"/>
      <c r="K96" s="18"/>
      <c r="L96" s="19"/>
      <c r="M96" s="19"/>
      <c r="N96" s="20"/>
      <c r="O96" s="22"/>
      <c r="P96" s="36"/>
      <c r="Q96" s="37"/>
      <c r="R96" s="37"/>
    </row>
    <row r="97" spans="1:18" x14ac:dyDescent="0.2">
      <c r="A97" s="13"/>
      <c r="B97" s="18"/>
      <c r="C97" s="19"/>
      <c r="D97" s="19"/>
      <c r="E97" s="20"/>
      <c r="F97" s="22"/>
      <c r="G97" s="22"/>
      <c r="H97" s="23"/>
      <c r="I97" s="23"/>
      <c r="J97" s="13"/>
      <c r="K97" s="18"/>
      <c r="L97" s="19"/>
      <c r="M97" s="19"/>
      <c r="N97" s="20"/>
      <c r="O97" s="22"/>
      <c r="P97" s="22"/>
      <c r="Q97" s="23"/>
      <c r="R97" s="23"/>
    </row>
    <row r="98" spans="1:18" x14ac:dyDescent="0.2">
      <c r="A98" s="13"/>
      <c r="B98" s="248" t="s">
        <v>30</v>
      </c>
      <c r="C98" s="249"/>
      <c r="D98" s="249"/>
      <c r="E98" s="250"/>
      <c r="F98" s="22"/>
      <c r="G98" s="22"/>
      <c r="H98" s="23"/>
      <c r="I98" s="23">
        <f>SUM(I85:I97)</f>
        <v>443.94</v>
      </c>
      <c r="J98" s="13"/>
      <c r="K98" s="248" t="s">
        <v>30</v>
      </c>
      <c r="L98" s="249"/>
      <c r="M98" s="249"/>
      <c r="N98" s="250"/>
      <c r="O98" s="22"/>
      <c r="P98" s="22"/>
      <c r="Q98" s="23"/>
      <c r="R98" s="23">
        <f>SUM(R85:R97)</f>
        <v>215.50399999999999</v>
      </c>
    </row>
    <row r="99" spans="1:18" x14ac:dyDescent="0.2">
      <c r="A99" s="12" t="s">
        <v>31</v>
      </c>
      <c r="B99" s="260" t="s">
        <v>32</v>
      </c>
      <c r="C99" s="261"/>
      <c r="D99" s="261"/>
      <c r="E99" s="261"/>
      <c r="F99" s="39"/>
      <c r="G99" s="39"/>
      <c r="H99" s="40"/>
      <c r="I99" s="41">
        <f>SUM(I98+I80)</f>
        <v>1025.8399999999999</v>
      </c>
      <c r="J99" s="12" t="s">
        <v>31</v>
      </c>
      <c r="K99" s="260" t="s">
        <v>32</v>
      </c>
      <c r="L99" s="261"/>
      <c r="M99" s="261"/>
      <c r="N99" s="261"/>
      <c r="O99" s="161"/>
      <c r="P99" s="161"/>
      <c r="Q99" s="40"/>
      <c r="R99" s="41">
        <f>SUM(R98+R80)</f>
        <v>413.04399999999998</v>
      </c>
    </row>
    <row r="100" spans="1:18" x14ac:dyDescent="0.2">
      <c r="A100" s="13" t="s">
        <v>33</v>
      </c>
      <c r="B100" s="343">
        <f>E67</f>
        <v>17.5</v>
      </c>
      <c r="C100" s="344"/>
      <c r="D100" s="344"/>
      <c r="E100" s="344"/>
      <c r="F100" s="344"/>
      <c r="G100" s="344"/>
      <c r="H100" s="40"/>
      <c r="I100" s="41"/>
      <c r="J100" s="13" t="s">
        <v>33</v>
      </c>
      <c r="K100" s="345">
        <f>N67</f>
        <v>1</v>
      </c>
      <c r="L100" s="346"/>
      <c r="M100" s="346"/>
      <c r="N100" s="346"/>
      <c r="O100" s="346"/>
      <c r="P100" s="346"/>
      <c r="Q100" s="40"/>
      <c r="R100" s="41"/>
    </row>
    <row r="101" spans="1:18" x14ac:dyDescent="0.2">
      <c r="A101" s="13" t="s">
        <v>34</v>
      </c>
      <c r="B101" s="42" t="s">
        <v>35</v>
      </c>
      <c r="C101" s="43"/>
      <c r="D101" s="43"/>
      <c r="E101" s="39"/>
      <c r="F101" s="44"/>
      <c r="G101" s="44"/>
      <c r="H101" s="40"/>
      <c r="I101" s="41">
        <f>I99/E67</f>
        <v>58.619428571428564</v>
      </c>
      <c r="J101" s="13" t="s">
        <v>34</v>
      </c>
      <c r="K101" s="162" t="s">
        <v>35</v>
      </c>
      <c r="L101" s="43"/>
      <c r="M101" s="43"/>
      <c r="N101" s="161"/>
      <c r="O101" s="163"/>
      <c r="P101" s="163"/>
      <c r="Q101" s="40"/>
      <c r="R101" s="41">
        <f>R99/N67</f>
        <v>413.04399999999998</v>
      </c>
    </row>
    <row r="102" spans="1:18" x14ac:dyDescent="0.2">
      <c r="A102" s="12"/>
      <c r="B102" s="251" t="s">
        <v>36</v>
      </c>
      <c r="C102" s="252"/>
      <c r="D102" s="252"/>
      <c r="E102" s="253"/>
      <c r="F102" s="244" t="s">
        <v>37</v>
      </c>
      <c r="G102" s="244" t="s">
        <v>38</v>
      </c>
      <c r="H102" s="244" t="s">
        <v>39</v>
      </c>
      <c r="I102" s="246" t="s">
        <v>15</v>
      </c>
      <c r="J102" s="12"/>
      <c r="K102" s="251" t="s">
        <v>36</v>
      </c>
      <c r="L102" s="252"/>
      <c r="M102" s="252"/>
      <c r="N102" s="253"/>
      <c r="O102" s="244" t="s">
        <v>37</v>
      </c>
      <c r="P102" s="244" t="s">
        <v>38</v>
      </c>
      <c r="Q102" s="244" t="s">
        <v>39</v>
      </c>
      <c r="R102" s="246" t="s">
        <v>15</v>
      </c>
    </row>
    <row r="103" spans="1:18" x14ac:dyDescent="0.2">
      <c r="A103" s="13"/>
      <c r="B103" s="254"/>
      <c r="C103" s="255"/>
      <c r="D103" s="255"/>
      <c r="E103" s="256"/>
      <c r="F103" s="245"/>
      <c r="G103" s="245"/>
      <c r="H103" s="245"/>
      <c r="I103" s="247"/>
      <c r="J103" s="13"/>
      <c r="K103" s="254"/>
      <c r="L103" s="255"/>
      <c r="M103" s="255"/>
      <c r="N103" s="256"/>
      <c r="O103" s="245"/>
      <c r="P103" s="245"/>
      <c r="Q103" s="245"/>
      <c r="R103" s="247"/>
    </row>
    <row r="104" spans="1:18" x14ac:dyDescent="0.2">
      <c r="A104" s="13" t="s">
        <v>40</v>
      </c>
      <c r="B104" s="18" t="s">
        <v>41</v>
      </c>
      <c r="C104" s="19"/>
      <c r="D104" s="19"/>
      <c r="E104" s="20"/>
      <c r="F104" s="22"/>
      <c r="G104" s="22"/>
      <c r="H104" s="23"/>
      <c r="I104" s="23"/>
      <c r="J104" s="13" t="s">
        <v>40</v>
      </c>
      <c r="K104" s="18" t="s">
        <v>41</v>
      </c>
      <c r="L104" s="19"/>
      <c r="M104" s="19"/>
      <c r="N104" s="20"/>
      <c r="O104" s="22"/>
      <c r="P104" s="22"/>
      <c r="Q104" s="23"/>
      <c r="R104" s="23"/>
    </row>
    <row r="105" spans="1:18" x14ac:dyDescent="0.2">
      <c r="A105" s="13"/>
      <c r="B105" s="18"/>
      <c r="C105" s="19"/>
      <c r="D105" s="19"/>
      <c r="E105" s="20"/>
      <c r="F105" s="22"/>
      <c r="G105" s="22"/>
      <c r="H105" s="23"/>
      <c r="I105" s="23"/>
      <c r="J105" s="13"/>
      <c r="K105" s="18"/>
      <c r="L105" s="19"/>
      <c r="M105" s="19"/>
      <c r="N105" s="20"/>
      <c r="O105" s="22"/>
      <c r="P105" s="22"/>
      <c r="Q105" s="23"/>
      <c r="R105" s="23"/>
    </row>
    <row r="106" spans="1:18" x14ac:dyDescent="0.2">
      <c r="A106" s="13"/>
      <c r="B106" s="18" t="s">
        <v>634</v>
      </c>
      <c r="C106" s="66"/>
      <c r="D106" s="19"/>
      <c r="E106" s="20"/>
      <c r="F106" s="62" t="s">
        <v>227</v>
      </c>
      <c r="G106" s="62">
        <v>0.72</v>
      </c>
      <c r="H106" s="107">
        <v>220</v>
      </c>
      <c r="I106" s="23">
        <f>G106*H106</f>
        <v>158.4</v>
      </c>
      <c r="J106" s="13"/>
      <c r="K106" s="18" t="s">
        <v>425</v>
      </c>
      <c r="L106" s="66"/>
      <c r="M106" s="19"/>
      <c r="N106" s="20"/>
      <c r="O106" s="22" t="s">
        <v>227</v>
      </c>
      <c r="P106" s="62">
        <v>0.48</v>
      </c>
      <c r="Q106" s="107">
        <v>220</v>
      </c>
      <c r="R106" s="23">
        <f>Q106*P106</f>
        <v>105.6</v>
      </c>
    </row>
    <row r="107" spans="1:18" x14ac:dyDescent="0.2">
      <c r="A107" s="13"/>
      <c r="B107" s="18" t="s">
        <v>426</v>
      </c>
      <c r="C107" s="66"/>
      <c r="D107" s="19"/>
      <c r="E107" s="20"/>
      <c r="F107" s="62" t="s">
        <v>9</v>
      </c>
      <c r="G107" s="62">
        <v>0.04</v>
      </c>
      <c r="H107" s="107">
        <v>850</v>
      </c>
      <c r="I107" s="23">
        <f>G107*H107</f>
        <v>34</v>
      </c>
      <c r="J107" s="13"/>
      <c r="K107" s="18" t="s">
        <v>567</v>
      </c>
      <c r="L107" s="66"/>
      <c r="M107" s="19"/>
      <c r="N107" s="20"/>
      <c r="O107" s="22" t="s">
        <v>9</v>
      </c>
      <c r="P107" s="22">
        <v>2.5000000000000001E-2</v>
      </c>
      <c r="Q107" s="107">
        <v>850</v>
      </c>
      <c r="R107" s="23">
        <f>Q107*P107</f>
        <v>21.25</v>
      </c>
    </row>
    <row r="108" spans="1:18" x14ac:dyDescent="0.2">
      <c r="A108" s="13"/>
      <c r="B108" s="18" t="s">
        <v>496</v>
      </c>
      <c r="C108" s="19"/>
      <c r="D108" s="19"/>
      <c r="E108" s="20"/>
      <c r="F108" s="62" t="s">
        <v>9</v>
      </c>
      <c r="G108" s="62">
        <v>0.08</v>
      </c>
      <c r="H108" s="107">
        <v>650</v>
      </c>
      <c r="I108" s="23">
        <f>G108*H108</f>
        <v>52</v>
      </c>
      <c r="J108" s="13"/>
      <c r="K108" s="18" t="s">
        <v>496</v>
      </c>
      <c r="L108" s="66"/>
      <c r="M108" s="19"/>
      <c r="N108" s="20"/>
      <c r="O108" s="22" t="s">
        <v>9</v>
      </c>
      <c r="P108" s="70">
        <v>0.05</v>
      </c>
      <c r="Q108" s="107">
        <v>650</v>
      </c>
      <c r="R108" s="23">
        <f>Q108*P108</f>
        <v>32.5</v>
      </c>
    </row>
    <row r="109" spans="1:18" x14ac:dyDescent="0.2">
      <c r="A109" s="13"/>
      <c r="B109" s="18" t="s">
        <v>635</v>
      </c>
      <c r="C109" s="19"/>
      <c r="D109" s="19"/>
      <c r="E109" s="20"/>
      <c r="F109" s="22" t="s">
        <v>413</v>
      </c>
      <c r="G109" s="62">
        <v>3.28</v>
      </c>
      <c r="H109" s="107">
        <v>40</v>
      </c>
      <c r="I109" s="23">
        <f>G109*H109/4</f>
        <v>32.799999999999997</v>
      </c>
      <c r="J109" s="13"/>
      <c r="K109" s="18" t="s">
        <v>624</v>
      </c>
      <c r="L109" s="66"/>
      <c r="M109" s="19"/>
      <c r="N109" s="20"/>
      <c r="O109" s="22" t="s">
        <v>413</v>
      </c>
      <c r="P109" s="62">
        <v>8</v>
      </c>
      <c r="Q109" s="107">
        <v>40</v>
      </c>
      <c r="R109" s="23">
        <f>(Q109*P109)/4</f>
        <v>80</v>
      </c>
    </row>
    <row r="110" spans="1:18" x14ac:dyDescent="0.2">
      <c r="A110" s="13"/>
      <c r="B110" s="18" t="s">
        <v>636</v>
      </c>
      <c r="C110" s="19"/>
      <c r="D110" s="19"/>
      <c r="E110" s="20"/>
      <c r="F110" s="22" t="s">
        <v>77</v>
      </c>
      <c r="G110" s="62">
        <f>ROUND(G109/100,2)</f>
        <v>0.03</v>
      </c>
      <c r="H110" s="107">
        <v>68</v>
      </c>
      <c r="I110" s="23">
        <f>G110*H110</f>
        <v>2.04</v>
      </c>
      <c r="J110" s="13"/>
      <c r="K110" s="18" t="s">
        <v>1305</v>
      </c>
      <c r="L110" s="66"/>
      <c r="M110" s="19"/>
      <c r="N110" s="20"/>
      <c r="O110" s="22" t="s">
        <v>66</v>
      </c>
      <c r="P110" s="62">
        <v>3.1</v>
      </c>
      <c r="Q110" s="107">
        <f>3180/6</f>
        <v>530</v>
      </c>
      <c r="R110" s="23">
        <f>Q110*P110</f>
        <v>1643</v>
      </c>
    </row>
    <row r="111" spans="1:18" x14ac:dyDescent="0.2">
      <c r="A111" s="13"/>
      <c r="B111" s="18" t="s">
        <v>1291</v>
      </c>
      <c r="C111" s="19"/>
      <c r="D111" s="19"/>
      <c r="E111" s="20"/>
      <c r="F111" s="22" t="s">
        <v>77</v>
      </c>
      <c r="G111" s="22">
        <v>0.84</v>
      </c>
      <c r="H111" s="107">
        <v>37</v>
      </c>
      <c r="I111" s="23">
        <f>G111*H111</f>
        <v>31.08</v>
      </c>
      <c r="J111" s="13"/>
      <c r="K111" s="18" t="s">
        <v>627</v>
      </c>
      <c r="L111" s="66"/>
      <c r="M111" s="19"/>
      <c r="N111" s="20"/>
      <c r="O111" s="22" t="s">
        <v>77</v>
      </c>
      <c r="P111" s="62">
        <v>2</v>
      </c>
      <c r="Q111" s="107">
        <v>48</v>
      </c>
      <c r="R111" s="23">
        <f>Q111*P111</f>
        <v>96</v>
      </c>
    </row>
    <row r="112" spans="1:18" x14ac:dyDescent="0.2">
      <c r="A112" s="13"/>
      <c r="B112" s="18"/>
      <c r="C112" s="19"/>
      <c r="D112" s="19"/>
      <c r="E112" s="20"/>
      <c r="F112" s="22"/>
      <c r="G112" s="22"/>
      <c r="H112" s="23"/>
      <c r="I112" s="23"/>
      <c r="J112" s="13"/>
      <c r="K112" s="18" t="s">
        <v>1306</v>
      </c>
      <c r="L112" s="66"/>
      <c r="M112" s="19"/>
      <c r="N112" s="20"/>
      <c r="O112" s="22" t="s">
        <v>80</v>
      </c>
      <c r="P112" s="62">
        <v>12</v>
      </c>
      <c r="Q112" s="107">
        <v>10</v>
      </c>
      <c r="R112" s="23">
        <f>Q112*P112</f>
        <v>120</v>
      </c>
    </row>
    <row r="113" spans="1:18" x14ac:dyDescent="0.2">
      <c r="A113" s="13"/>
      <c r="B113" s="18"/>
      <c r="C113" s="19"/>
      <c r="D113" s="19"/>
      <c r="E113" s="20"/>
      <c r="F113" s="22"/>
      <c r="G113" s="62"/>
      <c r="H113" s="23"/>
      <c r="I113" s="23"/>
      <c r="J113" s="13"/>
      <c r="K113" s="18" t="s">
        <v>628</v>
      </c>
      <c r="L113" s="66"/>
      <c r="M113" s="19"/>
      <c r="N113" s="20"/>
      <c r="O113" s="22" t="s">
        <v>80</v>
      </c>
      <c r="P113" s="62">
        <v>1</v>
      </c>
      <c r="Q113" s="165">
        <v>7500</v>
      </c>
      <c r="R113" s="23">
        <f>Q113*P113</f>
        <v>7500</v>
      </c>
    </row>
    <row r="114" spans="1:18" x14ac:dyDescent="0.2">
      <c r="A114" s="13"/>
      <c r="B114" s="18"/>
      <c r="C114" s="19"/>
      <c r="D114" s="19"/>
      <c r="E114" s="20"/>
      <c r="F114" s="22"/>
      <c r="G114" s="22"/>
      <c r="H114" s="23"/>
      <c r="I114" s="23"/>
      <c r="J114" s="13"/>
      <c r="K114" s="18" t="s">
        <v>629</v>
      </c>
      <c r="L114" s="19"/>
      <c r="M114" s="19"/>
      <c r="N114" s="20"/>
      <c r="O114" s="22" t="s">
        <v>77</v>
      </c>
      <c r="P114" s="62">
        <f>ROUND(P109/100,2)</f>
        <v>0.08</v>
      </c>
      <c r="Q114" s="107">
        <v>68</v>
      </c>
      <c r="R114" s="23">
        <f>Q114*P114</f>
        <v>5.44</v>
      </c>
    </row>
    <row r="115" spans="1:18" x14ac:dyDescent="0.2">
      <c r="A115" s="13"/>
      <c r="B115" s="18"/>
      <c r="C115" s="19"/>
      <c r="D115" s="19"/>
      <c r="E115" s="20"/>
      <c r="F115" s="22"/>
      <c r="G115" s="22"/>
      <c r="H115" s="23"/>
      <c r="I115" s="23"/>
      <c r="J115" s="13"/>
      <c r="K115" s="18"/>
      <c r="L115" s="19"/>
      <c r="M115" s="19"/>
      <c r="N115" s="20"/>
      <c r="O115" s="22"/>
      <c r="P115" s="22"/>
      <c r="Q115" s="107"/>
      <c r="R115" s="23"/>
    </row>
    <row r="116" spans="1:18" x14ac:dyDescent="0.2">
      <c r="A116" s="13"/>
      <c r="B116" s="18"/>
      <c r="C116" s="19"/>
      <c r="D116" s="19"/>
      <c r="E116" s="20"/>
      <c r="F116" s="22"/>
      <c r="G116" s="22"/>
      <c r="H116" s="23"/>
      <c r="I116" s="23"/>
      <c r="J116" s="13"/>
      <c r="K116" s="18"/>
      <c r="L116" s="19"/>
      <c r="M116" s="19"/>
      <c r="N116" s="20"/>
      <c r="O116" s="22"/>
      <c r="P116" s="22"/>
      <c r="Q116" s="23"/>
      <c r="R116" s="23"/>
    </row>
    <row r="117" spans="1:18" x14ac:dyDescent="0.2">
      <c r="A117" s="13"/>
      <c r="B117" s="18"/>
      <c r="C117" s="19"/>
      <c r="D117" s="19"/>
      <c r="E117" s="20"/>
      <c r="F117" s="22"/>
      <c r="G117" s="36"/>
      <c r="H117" s="37"/>
      <c r="I117" s="37"/>
      <c r="J117" s="13"/>
      <c r="K117" s="18"/>
      <c r="L117" s="19"/>
      <c r="M117" s="19"/>
      <c r="N117" s="20"/>
      <c r="O117" s="22"/>
      <c r="P117" s="36"/>
      <c r="Q117" s="37"/>
      <c r="R117" s="37"/>
    </row>
    <row r="118" spans="1:18" x14ac:dyDescent="0.2">
      <c r="A118" s="13"/>
      <c r="B118" s="18"/>
      <c r="C118" s="19"/>
      <c r="D118" s="19"/>
      <c r="E118" s="20"/>
      <c r="F118" s="22"/>
      <c r="G118" s="36"/>
      <c r="H118" s="37"/>
      <c r="I118" s="37"/>
      <c r="J118" s="13"/>
      <c r="K118" s="18"/>
      <c r="L118" s="19"/>
      <c r="M118" s="19"/>
      <c r="N118" s="20"/>
      <c r="O118" s="22"/>
      <c r="P118" s="36"/>
      <c r="Q118" s="37"/>
      <c r="R118" s="37"/>
    </row>
    <row r="119" spans="1:18" x14ac:dyDescent="0.2">
      <c r="A119" s="13"/>
      <c r="B119" s="248" t="s">
        <v>42</v>
      </c>
      <c r="C119" s="249"/>
      <c r="D119" s="249"/>
      <c r="E119" s="250"/>
      <c r="F119" s="46"/>
      <c r="G119" s="46"/>
      <c r="H119" s="47"/>
      <c r="I119" s="47">
        <f>SUM(I106:I117)</f>
        <v>310.32</v>
      </c>
      <c r="J119" s="13"/>
      <c r="K119" s="248" t="s">
        <v>42</v>
      </c>
      <c r="L119" s="249"/>
      <c r="M119" s="249"/>
      <c r="N119" s="250"/>
      <c r="O119" s="46"/>
      <c r="P119" s="46"/>
      <c r="Q119" s="47"/>
      <c r="R119" s="47">
        <f>SUM(R106:R117)</f>
        <v>9603.7900000000009</v>
      </c>
    </row>
    <row r="120" spans="1:18" x14ac:dyDescent="0.2">
      <c r="A120" s="12" t="s">
        <v>43</v>
      </c>
      <c r="B120" s="48" t="s">
        <v>44</v>
      </c>
      <c r="C120" s="43"/>
      <c r="D120" s="43"/>
      <c r="E120" s="39"/>
      <c r="F120" s="49"/>
      <c r="G120" s="49"/>
      <c r="H120" s="50"/>
      <c r="I120" s="51">
        <f>SUM(I101+I119)</f>
        <v>368.93942857142855</v>
      </c>
      <c r="J120" s="12" t="s">
        <v>43</v>
      </c>
      <c r="K120" s="48" t="s">
        <v>44</v>
      </c>
      <c r="L120" s="43"/>
      <c r="M120" s="43"/>
      <c r="N120" s="161"/>
      <c r="O120" s="49"/>
      <c r="P120" s="49"/>
      <c r="Q120" s="50"/>
      <c r="R120" s="51">
        <f>SUM(R101+R119)</f>
        <v>10016.834000000001</v>
      </c>
    </row>
    <row r="121" spans="1:18" x14ac:dyDescent="0.2">
      <c r="A121" s="13" t="s">
        <v>45</v>
      </c>
      <c r="B121" s="48" t="s">
        <v>46</v>
      </c>
      <c r="C121" s="43"/>
      <c r="D121" s="43"/>
      <c r="E121" s="39"/>
      <c r="F121" s="49"/>
      <c r="G121" s="52">
        <v>0.09</v>
      </c>
      <c r="H121" s="53" t="s">
        <v>47</v>
      </c>
      <c r="I121" s="51">
        <f>G121*I120</f>
        <v>33.204548571428568</v>
      </c>
      <c r="J121" s="13" t="s">
        <v>45</v>
      </c>
      <c r="K121" s="48" t="s">
        <v>46</v>
      </c>
      <c r="L121" s="43"/>
      <c r="M121" s="43"/>
      <c r="N121" s="161"/>
      <c r="O121" s="49"/>
      <c r="P121" s="52">
        <v>0.09</v>
      </c>
      <c r="Q121" s="53" t="s">
        <v>47</v>
      </c>
      <c r="R121" s="51">
        <f>P121*R120</f>
        <v>901.51506000000006</v>
      </c>
    </row>
    <row r="122" spans="1:18" x14ac:dyDescent="0.2">
      <c r="A122" s="13" t="s">
        <v>48</v>
      </c>
      <c r="B122" s="48" t="s">
        <v>49</v>
      </c>
      <c r="C122" s="43"/>
      <c r="D122" s="43"/>
      <c r="E122" s="39"/>
      <c r="F122" s="49"/>
      <c r="G122" s="52">
        <v>0.08</v>
      </c>
      <c r="H122" s="53" t="s">
        <v>47</v>
      </c>
      <c r="I122" s="51">
        <f>G122*I120</f>
        <v>29.515154285714285</v>
      </c>
      <c r="J122" s="13" t="s">
        <v>48</v>
      </c>
      <c r="K122" s="48" t="s">
        <v>49</v>
      </c>
      <c r="L122" s="43"/>
      <c r="M122" s="43"/>
      <c r="N122" s="161"/>
      <c r="O122" s="49"/>
      <c r="P122" s="52">
        <v>0.08</v>
      </c>
      <c r="Q122" s="53" t="s">
        <v>47</v>
      </c>
      <c r="R122" s="51">
        <f>P122*R120</f>
        <v>801.34672000000012</v>
      </c>
    </row>
    <row r="123" spans="1:18" x14ac:dyDescent="0.2">
      <c r="A123" s="13" t="s">
        <v>50</v>
      </c>
      <c r="B123" s="48" t="s">
        <v>51</v>
      </c>
      <c r="C123" s="43"/>
      <c r="D123" s="43"/>
      <c r="E123" s="39"/>
      <c r="F123" s="49"/>
      <c r="G123" s="52">
        <v>0.05</v>
      </c>
      <c r="H123" s="53" t="s">
        <v>52</v>
      </c>
      <c r="I123" s="51">
        <f>G123*(I120+I121+I122)</f>
        <v>21.582956571428571</v>
      </c>
      <c r="J123" s="13" t="s">
        <v>50</v>
      </c>
      <c r="K123" s="48" t="s">
        <v>51</v>
      </c>
      <c r="L123" s="43"/>
      <c r="M123" s="43"/>
      <c r="N123" s="161"/>
      <c r="O123" s="49"/>
      <c r="P123" s="52">
        <v>0.05</v>
      </c>
      <c r="Q123" s="53" t="s">
        <v>52</v>
      </c>
      <c r="R123" s="51">
        <f>P123*(R120+R121+R122)</f>
        <v>585.98478899999998</v>
      </c>
    </row>
    <row r="124" spans="1:18" x14ac:dyDescent="0.2">
      <c r="A124" s="54" t="s">
        <v>53</v>
      </c>
      <c r="B124" s="48" t="s">
        <v>54</v>
      </c>
      <c r="C124" s="43"/>
      <c r="D124" s="43"/>
      <c r="E124" s="39"/>
      <c r="F124" s="49"/>
      <c r="G124" s="49"/>
      <c r="H124" s="55" t="s">
        <v>55</v>
      </c>
      <c r="I124" s="51">
        <f>SUM(I120+I121+I122+I123)</f>
        <v>453.24208799999997</v>
      </c>
      <c r="J124" s="54" t="s">
        <v>53</v>
      </c>
      <c r="K124" s="48" t="s">
        <v>54</v>
      </c>
      <c r="L124" s="43"/>
      <c r="M124" s="43"/>
      <c r="N124" s="161"/>
      <c r="O124" s="49"/>
      <c r="P124" s="49"/>
      <c r="Q124" s="55" t="s">
        <v>55</v>
      </c>
      <c r="R124" s="51">
        <f>SUM(R120+R121+R122+R123)</f>
        <v>12305.680569</v>
      </c>
    </row>
    <row r="125" spans="1:18" s="1" customFormat="1" x14ac:dyDescent="0.2">
      <c r="A125" s="236" t="s">
        <v>0</v>
      </c>
      <c r="B125" s="236"/>
      <c r="C125" s="236"/>
      <c r="D125" s="236"/>
      <c r="E125" s="236"/>
      <c r="F125" s="236"/>
      <c r="G125" s="236"/>
      <c r="H125" s="236"/>
      <c r="I125" s="236"/>
      <c r="J125" s="236" t="s">
        <v>0</v>
      </c>
      <c r="K125" s="236"/>
      <c r="L125" s="236"/>
      <c r="M125" s="236"/>
      <c r="N125" s="236"/>
      <c r="O125" s="236"/>
      <c r="P125" s="236"/>
      <c r="Q125" s="236"/>
      <c r="R125" s="236"/>
    </row>
    <row r="127" spans="1:18" x14ac:dyDescent="0.2">
      <c r="A127" s="2" t="s">
        <v>1</v>
      </c>
      <c r="C127" s="4" t="s">
        <v>2</v>
      </c>
      <c r="D127" s="5" t="s">
        <v>637</v>
      </c>
      <c r="E127" s="237" t="s">
        <v>638</v>
      </c>
      <c r="F127" s="237"/>
      <c r="G127" s="237"/>
      <c r="H127" s="237"/>
      <c r="J127" s="158" t="s">
        <v>1</v>
      </c>
      <c r="L127" s="4" t="s">
        <v>2</v>
      </c>
      <c r="M127" s="5" t="s">
        <v>639</v>
      </c>
      <c r="N127" s="237" t="s">
        <v>640</v>
      </c>
      <c r="O127" s="237"/>
      <c r="P127" s="237"/>
      <c r="Q127" s="237"/>
    </row>
    <row r="128" spans="1:18" x14ac:dyDescent="0.2">
      <c r="A128" s="2" t="s">
        <v>7</v>
      </c>
      <c r="C128" s="4" t="s">
        <v>2</v>
      </c>
      <c r="E128" s="152" t="s">
        <v>1153</v>
      </c>
      <c r="F128" s="8"/>
      <c r="G128" s="8"/>
      <c r="H128" s="8"/>
      <c r="J128" s="158" t="s">
        <v>7</v>
      </c>
      <c r="L128" s="4" t="s">
        <v>2</v>
      </c>
      <c r="M128" s="8"/>
      <c r="N128" s="158" t="s">
        <v>59</v>
      </c>
      <c r="O128" s="8"/>
      <c r="P128" s="8"/>
      <c r="Q128" s="8"/>
    </row>
    <row r="129" spans="1:18" x14ac:dyDescent="0.2">
      <c r="A129" s="2" t="s">
        <v>10</v>
      </c>
      <c r="C129" s="4" t="s">
        <v>2</v>
      </c>
      <c r="E129" s="9">
        <v>10.3</v>
      </c>
      <c r="F129" s="8"/>
      <c r="G129" s="8"/>
      <c r="H129" s="8"/>
      <c r="J129" s="158" t="s">
        <v>10</v>
      </c>
      <c r="L129" s="4" t="s">
        <v>2</v>
      </c>
      <c r="M129" s="8"/>
      <c r="N129" s="9">
        <v>1</v>
      </c>
      <c r="O129" s="8"/>
      <c r="P129" s="8"/>
      <c r="Q129" s="8"/>
    </row>
    <row r="130" spans="1:18" x14ac:dyDescent="0.2">
      <c r="B130" s="8"/>
      <c r="F130" s="11"/>
      <c r="G130" s="8"/>
      <c r="H130" s="8"/>
      <c r="I130" s="8"/>
      <c r="K130" s="8"/>
      <c r="O130" s="11"/>
      <c r="P130" s="8"/>
      <c r="Q130" s="8"/>
      <c r="R130" s="8"/>
    </row>
    <row r="131" spans="1:18" x14ac:dyDescent="0.2">
      <c r="A131" s="12"/>
      <c r="B131" s="238" t="s">
        <v>11</v>
      </c>
      <c r="C131" s="239"/>
      <c r="D131" s="239"/>
      <c r="E131" s="240"/>
      <c r="F131" s="244" t="s">
        <v>12</v>
      </c>
      <c r="G131" s="244" t="s">
        <v>13</v>
      </c>
      <c r="H131" s="244" t="s">
        <v>14</v>
      </c>
      <c r="I131" s="246" t="s">
        <v>15</v>
      </c>
      <c r="J131" s="12"/>
      <c r="K131" s="238" t="s">
        <v>11</v>
      </c>
      <c r="L131" s="239"/>
      <c r="M131" s="239"/>
      <c r="N131" s="240"/>
      <c r="O131" s="244" t="s">
        <v>12</v>
      </c>
      <c r="P131" s="244" t="s">
        <v>13</v>
      </c>
      <c r="Q131" s="244" t="s">
        <v>14</v>
      </c>
      <c r="R131" s="246" t="s">
        <v>15</v>
      </c>
    </row>
    <row r="132" spans="1:18" x14ac:dyDescent="0.2">
      <c r="A132" s="13"/>
      <c r="B132" s="241"/>
      <c r="C132" s="242"/>
      <c r="D132" s="242"/>
      <c r="E132" s="243"/>
      <c r="F132" s="245"/>
      <c r="G132" s="245"/>
      <c r="H132" s="245"/>
      <c r="I132" s="247"/>
      <c r="J132" s="13"/>
      <c r="K132" s="241"/>
      <c r="L132" s="242"/>
      <c r="M132" s="242"/>
      <c r="N132" s="243"/>
      <c r="O132" s="245"/>
      <c r="P132" s="245"/>
      <c r="Q132" s="245"/>
      <c r="R132" s="247"/>
    </row>
    <row r="133" spans="1:18" x14ac:dyDescent="0.2">
      <c r="A133" s="13" t="s">
        <v>16</v>
      </c>
      <c r="B133" s="14" t="s">
        <v>17</v>
      </c>
      <c r="C133" s="15"/>
      <c r="D133" s="15"/>
      <c r="E133" s="16"/>
      <c r="F133" s="17"/>
      <c r="G133" s="17"/>
      <c r="H133" s="17"/>
      <c r="I133" s="17"/>
      <c r="J133" s="13" t="s">
        <v>16</v>
      </c>
      <c r="K133" s="14" t="s">
        <v>17</v>
      </c>
      <c r="L133" s="15"/>
      <c r="M133" s="15"/>
      <c r="N133" s="16"/>
      <c r="O133" s="17"/>
      <c r="P133" s="17"/>
      <c r="Q133" s="17"/>
      <c r="R133" s="17"/>
    </row>
    <row r="134" spans="1:18" x14ac:dyDescent="0.2">
      <c r="A134" s="13"/>
      <c r="B134" s="18"/>
      <c r="C134" s="19"/>
      <c r="D134" s="19"/>
      <c r="E134" s="20"/>
      <c r="F134" s="21"/>
      <c r="G134" s="22"/>
      <c r="H134" s="21"/>
      <c r="I134" s="21"/>
      <c r="J134" s="13"/>
      <c r="K134" s="18"/>
      <c r="L134" s="19"/>
      <c r="M134" s="19"/>
      <c r="N134" s="20"/>
      <c r="O134" s="21"/>
      <c r="P134" s="22"/>
      <c r="Q134" s="21"/>
      <c r="R134" s="21"/>
    </row>
    <row r="135" spans="1:18" x14ac:dyDescent="0.2">
      <c r="A135" s="13"/>
      <c r="B135" s="24" t="s">
        <v>18</v>
      </c>
      <c r="C135" s="25"/>
      <c r="D135" s="25"/>
      <c r="E135" s="26"/>
      <c r="F135" s="22">
        <v>1</v>
      </c>
      <c r="G135" s="23">
        <v>1</v>
      </c>
      <c r="H135" s="23">
        <v>69.42</v>
      </c>
      <c r="I135" s="23">
        <f>F135*G135*H135</f>
        <v>69.42</v>
      </c>
      <c r="J135" s="13"/>
      <c r="K135" s="24" t="s">
        <v>18</v>
      </c>
      <c r="L135" s="25"/>
      <c r="M135" s="25"/>
      <c r="N135" s="26"/>
      <c r="O135" s="22">
        <v>1</v>
      </c>
      <c r="P135" s="23">
        <v>1</v>
      </c>
      <c r="Q135" s="23">
        <v>69.42</v>
      </c>
      <c r="R135" s="23">
        <f>O135*P135*Q135</f>
        <v>69.42</v>
      </c>
    </row>
    <row r="136" spans="1:18" x14ac:dyDescent="0.2">
      <c r="A136" s="13"/>
      <c r="B136" s="257" t="s">
        <v>1178</v>
      </c>
      <c r="C136" s="258"/>
      <c r="D136" s="25"/>
      <c r="E136" s="26"/>
      <c r="F136" s="22">
        <v>4</v>
      </c>
      <c r="G136" s="23">
        <v>1</v>
      </c>
      <c r="H136" s="23">
        <v>50.18</v>
      </c>
      <c r="I136" s="23">
        <f>F136*G136*H136</f>
        <v>200.72</v>
      </c>
      <c r="J136" s="13"/>
      <c r="K136" s="257" t="s">
        <v>1178</v>
      </c>
      <c r="L136" s="258"/>
      <c r="M136" s="25"/>
      <c r="N136" s="26"/>
      <c r="O136" s="22">
        <v>1</v>
      </c>
      <c r="P136" s="23">
        <v>1</v>
      </c>
      <c r="Q136" s="23">
        <v>50.18</v>
      </c>
      <c r="R136" s="23">
        <f>O136*P136*Q136</f>
        <v>50.18</v>
      </c>
    </row>
    <row r="137" spans="1:18" x14ac:dyDescent="0.2">
      <c r="A137" s="13"/>
      <c r="B137" s="257" t="s">
        <v>1177</v>
      </c>
      <c r="C137" s="258"/>
      <c r="D137" s="19"/>
      <c r="E137" s="20"/>
      <c r="F137" s="22">
        <v>8</v>
      </c>
      <c r="G137" s="23">
        <v>1</v>
      </c>
      <c r="H137" s="23">
        <v>38.97</v>
      </c>
      <c r="I137" s="23">
        <f>F137*G137*H137</f>
        <v>311.76</v>
      </c>
      <c r="J137" s="13"/>
      <c r="K137" s="257" t="s">
        <v>1177</v>
      </c>
      <c r="L137" s="258"/>
      <c r="M137" s="19"/>
      <c r="N137" s="20"/>
      <c r="O137" s="22">
        <v>2</v>
      </c>
      <c r="P137" s="23">
        <v>1</v>
      </c>
      <c r="Q137" s="23">
        <v>38.97</v>
      </c>
      <c r="R137" s="23">
        <f>O137*P137*Q137</f>
        <v>77.94</v>
      </c>
    </row>
    <row r="138" spans="1:18" x14ac:dyDescent="0.2">
      <c r="A138" s="13"/>
      <c r="B138" s="153"/>
      <c r="C138" s="19"/>
      <c r="D138" s="19"/>
      <c r="E138" s="20"/>
      <c r="F138" s="22"/>
      <c r="G138" s="22"/>
      <c r="H138" s="29"/>
      <c r="I138" s="30"/>
      <c r="J138" s="13"/>
      <c r="K138" s="159"/>
      <c r="L138" s="19"/>
      <c r="M138" s="19"/>
      <c r="N138" s="20"/>
      <c r="O138" s="22"/>
      <c r="P138" s="22"/>
      <c r="Q138" s="29"/>
      <c r="R138" s="30"/>
    </row>
    <row r="139" spans="1:18" x14ac:dyDescent="0.2">
      <c r="A139" s="13"/>
      <c r="B139" s="153"/>
      <c r="C139" s="19"/>
      <c r="D139" s="19"/>
      <c r="E139" s="20"/>
      <c r="F139" s="22"/>
      <c r="G139" s="22"/>
      <c r="H139" s="29"/>
      <c r="I139" s="30"/>
      <c r="J139" s="13"/>
      <c r="K139" s="159"/>
      <c r="L139" s="19"/>
      <c r="M139" s="19"/>
      <c r="N139" s="20"/>
      <c r="O139" s="22"/>
      <c r="P139" s="22"/>
      <c r="Q139" s="29"/>
      <c r="R139" s="30"/>
    </row>
    <row r="140" spans="1:18" x14ac:dyDescent="0.2">
      <c r="A140" s="13"/>
      <c r="B140" s="18"/>
      <c r="C140" s="19"/>
      <c r="D140" s="19"/>
      <c r="E140" s="20"/>
      <c r="F140" s="22"/>
      <c r="G140" s="22"/>
      <c r="H140" s="28"/>
      <c r="I140" s="23"/>
      <c r="J140" s="13"/>
      <c r="K140" s="18"/>
      <c r="L140" s="19"/>
      <c r="M140" s="19"/>
      <c r="N140" s="20"/>
      <c r="O140" s="22"/>
      <c r="P140" s="22"/>
      <c r="Q140" s="28"/>
      <c r="R140" s="23"/>
    </row>
    <row r="141" spans="1:18" x14ac:dyDescent="0.2">
      <c r="A141" s="13"/>
      <c r="B141" s="18"/>
      <c r="C141" s="19"/>
      <c r="D141" s="19"/>
      <c r="E141" s="20"/>
      <c r="F141" s="22"/>
      <c r="G141" s="22"/>
      <c r="H141" s="23"/>
      <c r="I141" s="23"/>
      <c r="J141" s="13"/>
      <c r="K141" s="18"/>
      <c r="L141" s="19"/>
      <c r="M141" s="19"/>
      <c r="N141" s="20"/>
      <c r="O141" s="22"/>
      <c r="P141" s="22"/>
      <c r="Q141" s="23"/>
      <c r="R141" s="23"/>
    </row>
    <row r="142" spans="1:18" x14ac:dyDescent="0.2">
      <c r="A142" s="13"/>
      <c r="B142" s="248" t="s">
        <v>20</v>
      </c>
      <c r="C142" s="249"/>
      <c r="D142" s="249"/>
      <c r="E142" s="250"/>
      <c r="F142" s="31"/>
      <c r="G142" s="31"/>
      <c r="H142" s="32"/>
      <c r="I142" s="32">
        <f>SUM(I135:I141)</f>
        <v>581.9</v>
      </c>
      <c r="J142" s="13"/>
      <c r="K142" s="248" t="s">
        <v>20</v>
      </c>
      <c r="L142" s="249"/>
      <c r="M142" s="249"/>
      <c r="N142" s="250"/>
      <c r="O142" s="31"/>
      <c r="P142" s="31"/>
      <c r="Q142" s="32"/>
      <c r="R142" s="32">
        <f>SUM(R135:R141)</f>
        <v>197.54</v>
      </c>
    </row>
    <row r="143" spans="1:18" x14ac:dyDescent="0.2">
      <c r="A143" s="12"/>
      <c r="B143" s="251" t="s">
        <v>21</v>
      </c>
      <c r="C143" s="252"/>
      <c r="D143" s="252"/>
      <c r="E143" s="253"/>
      <c r="F143" s="244" t="s">
        <v>22</v>
      </c>
      <c r="G143" s="244" t="s">
        <v>13</v>
      </c>
      <c r="H143" s="244" t="s">
        <v>14</v>
      </c>
      <c r="I143" s="246" t="s">
        <v>15</v>
      </c>
      <c r="J143" s="12"/>
      <c r="K143" s="251" t="s">
        <v>21</v>
      </c>
      <c r="L143" s="252"/>
      <c r="M143" s="252"/>
      <c r="N143" s="253"/>
      <c r="O143" s="244" t="s">
        <v>22</v>
      </c>
      <c r="P143" s="244" t="s">
        <v>13</v>
      </c>
      <c r="Q143" s="244" t="s">
        <v>14</v>
      </c>
      <c r="R143" s="246" t="s">
        <v>15</v>
      </c>
    </row>
    <row r="144" spans="1:18" x14ac:dyDescent="0.2">
      <c r="A144" s="13"/>
      <c r="B144" s="254"/>
      <c r="C144" s="255"/>
      <c r="D144" s="255"/>
      <c r="E144" s="256"/>
      <c r="F144" s="245"/>
      <c r="G144" s="245"/>
      <c r="H144" s="245"/>
      <c r="I144" s="247"/>
      <c r="J144" s="13"/>
      <c r="K144" s="254"/>
      <c r="L144" s="255"/>
      <c r="M144" s="255"/>
      <c r="N144" s="256"/>
      <c r="O144" s="245"/>
      <c r="P144" s="245"/>
      <c r="Q144" s="245"/>
      <c r="R144" s="247"/>
    </row>
    <row r="145" spans="1:18" x14ac:dyDescent="0.2">
      <c r="A145" s="13" t="s">
        <v>23</v>
      </c>
      <c r="B145" s="33" t="s">
        <v>24</v>
      </c>
      <c r="C145" s="15"/>
      <c r="D145" s="15"/>
      <c r="E145" s="16"/>
      <c r="F145" s="34"/>
      <c r="G145" s="34"/>
      <c r="H145" s="35"/>
      <c r="I145" s="35"/>
      <c r="J145" s="13" t="s">
        <v>23</v>
      </c>
      <c r="K145" s="33" t="s">
        <v>24</v>
      </c>
      <c r="L145" s="15"/>
      <c r="M145" s="15"/>
      <c r="N145" s="16"/>
      <c r="O145" s="34"/>
      <c r="P145" s="34"/>
      <c r="Q145" s="35"/>
      <c r="R145" s="35"/>
    </row>
    <row r="146" spans="1:18" x14ac:dyDescent="0.2">
      <c r="A146" s="13"/>
      <c r="B146" s="18"/>
      <c r="C146" s="19"/>
      <c r="D146" s="19"/>
      <c r="E146" s="20"/>
      <c r="F146" s="22"/>
      <c r="G146" s="22"/>
      <c r="H146" s="23"/>
      <c r="I146" s="23"/>
      <c r="J146" s="13"/>
      <c r="K146" s="18"/>
      <c r="L146" s="19"/>
      <c r="M146" s="19"/>
      <c r="N146" s="20"/>
      <c r="O146" s="22"/>
      <c r="P146" s="22"/>
      <c r="Q146" s="23"/>
      <c r="R146" s="23"/>
    </row>
    <row r="147" spans="1:18" x14ac:dyDescent="0.2">
      <c r="A147" s="13"/>
      <c r="B147" s="18" t="s">
        <v>621</v>
      </c>
      <c r="C147" s="19"/>
      <c r="D147" s="19"/>
      <c r="E147" s="20"/>
      <c r="F147" s="22">
        <v>1</v>
      </c>
      <c r="G147" s="23">
        <v>1</v>
      </c>
      <c r="H147" s="37">
        <v>91.25</v>
      </c>
      <c r="I147" s="23">
        <f>F147*G147*H147</f>
        <v>91.25</v>
      </c>
      <c r="J147" s="13"/>
      <c r="K147" s="18" t="s">
        <v>1277</v>
      </c>
      <c r="L147" s="19"/>
      <c r="M147" s="19"/>
      <c r="N147" s="20"/>
      <c r="O147" s="22">
        <v>1</v>
      </c>
      <c r="P147" s="23">
        <v>0.25</v>
      </c>
      <c r="Q147" s="37">
        <v>783</v>
      </c>
      <c r="R147" s="37">
        <f>P147*Q147*O147</f>
        <v>195.75</v>
      </c>
    </row>
    <row r="148" spans="1:18" x14ac:dyDescent="0.2">
      <c r="A148" s="13"/>
      <c r="B148" s="18" t="s">
        <v>562</v>
      </c>
      <c r="C148" s="19"/>
      <c r="D148" s="19"/>
      <c r="E148" s="20"/>
      <c r="F148" s="22">
        <v>1</v>
      </c>
      <c r="G148" s="23">
        <v>1</v>
      </c>
      <c r="H148" s="37">
        <v>172</v>
      </c>
      <c r="I148" s="23">
        <f>F148*G148*H148</f>
        <v>172</v>
      </c>
      <c r="J148" s="13"/>
      <c r="K148" s="18" t="s">
        <v>125</v>
      </c>
      <c r="L148" s="66"/>
      <c r="M148" s="19"/>
      <c r="N148" s="20"/>
      <c r="O148" s="22"/>
      <c r="P148" s="71"/>
      <c r="R148" s="37">
        <f>R142*0.1</f>
        <v>19.754000000000001</v>
      </c>
    </row>
    <row r="149" spans="1:18" x14ac:dyDescent="0.2">
      <c r="A149" s="13"/>
      <c r="B149" s="18" t="s">
        <v>1174</v>
      </c>
      <c r="C149" s="19"/>
      <c r="D149" s="19"/>
      <c r="E149" s="20"/>
      <c r="F149" s="22">
        <v>1</v>
      </c>
      <c r="G149" s="23">
        <v>0.05</v>
      </c>
      <c r="H149" s="37">
        <v>2450</v>
      </c>
      <c r="I149" s="23">
        <f>F149*G149*H149</f>
        <v>122.5</v>
      </c>
      <c r="J149" s="13"/>
      <c r="K149" s="18"/>
      <c r="L149" s="19"/>
      <c r="M149" s="19"/>
      <c r="N149" s="20"/>
      <c r="O149" s="22"/>
      <c r="P149" s="36"/>
      <c r="Q149" s="37"/>
      <c r="R149" s="37"/>
    </row>
    <row r="150" spans="1:18" x14ac:dyDescent="0.2">
      <c r="A150" s="13"/>
      <c r="B150" s="18" t="s">
        <v>1192</v>
      </c>
      <c r="F150" s="22"/>
      <c r="G150" s="23"/>
      <c r="I150" s="37">
        <f>0.1*I142</f>
        <v>58.19</v>
      </c>
      <c r="J150" s="13"/>
      <c r="K150" s="18"/>
      <c r="O150" s="22"/>
      <c r="P150" s="36"/>
      <c r="Q150" s="37"/>
      <c r="R150" s="37"/>
    </row>
    <row r="151" spans="1:18" x14ac:dyDescent="0.2">
      <c r="A151" s="13"/>
      <c r="B151" s="18"/>
      <c r="C151" s="19"/>
      <c r="D151" s="19"/>
      <c r="E151" s="20"/>
      <c r="F151" s="22"/>
      <c r="G151" s="36"/>
      <c r="H151" s="37"/>
      <c r="I151" s="37"/>
      <c r="J151" s="13"/>
      <c r="K151" s="18"/>
      <c r="L151" s="19"/>
      <c r="M151" s="19"/>
      <c r="N151" s="20"/>
      <c r="O151" s="22"/>
      <c r="P151" s="36"/>
      <c r="Q151" s="37"/>
      <c r="R151" s="37"/>
    </row>
    <row r="152" spans="1:18" x14ac:dyDescent="0.2">
      <c r="A152" s="13"/>
      <c r="B152" s="18"/>
      <c r="C152" s="19"/>
      <c r="D152" s="19"/>
      <c r="E152" s="20"/>
      <c r="F152" s="22"/>
      <c r="G152" s="36"/>
      <c r="H152" s="37"/>
      <c r="I152" s="38"/>
      <c r="J152" s="13"/>
      <c r="K152" s="18"/>
      <c r="L152" s="19"/>
      <c r="M152" s="19"/>
      <c r="N152" s="20"/>
      <c r="O152" s="22"/>
      <c r="P152" s="36"/>
      <c r="Q152" s="37"/>
      <c r="R152" s="37"/>
    </row>
    <row r="153" spans="1:18" x14ac:dyDescent="0.2">
      <c r="A153" s="13"/>
      <c r="B153" s="18"/>
      <c r="C153" s="19"/>
      <c r="D153" s="19"/>
      <c r="E153" s="20"/>
      <c r="F153" s="22"/>
      <c r="G153" s="36"/>
      <c r="H153" s="37"/>
      <c r="I153" s="38"/>
      <c r="J153" s="13"/>
      <c r="K153" s="18"/>
      <c r="L153" s="19"/>
      <c r="M153" s="19"/>
      <c r="N153" s="20"/>
      <c r="O153" s="22"/>
      <c r="P153" s="36"/>
      <c r="Q153" s="37"/>
      <c r="R153" s="37"/>
    </row>
    <row r="154" spans="1:18" x14ac:dyDescent="0.2">
      <c r="A154" s="13"/>
      <c r="B154" s="18"/>
      <c r="C154" s="19"/>
      <c r="D154" s="19"/>
      <c r="E154" s="20"/>
      <c r="F154" s="22"/>
      <c r="G154" s="23"/>
      <c r="H154" s="37"/>
      <c r="I154" s="38"/>
      <c r="J154" s="13"/>
      <c r="K154" s="18"/>
      <c r="L154" s="19"/>
      <c r="M154" s="19"/>
      <c r="N154" s="20"/>
      <c r="O154" s="22"/>
      <c r="P154" s="23"/>
      <c r="Q154" s="37"/>
      <c r="R154" s="37"/>
    </row>
    <row r="155" spans="1:18" x14ac:dyDescent="0.2">
      <c r="A155" s="13"/>
      <c r="B155" s="18"/>
      <c r="C155" s="19"/>
      <c r="D155" s="19"/>
      <c r="E155" s="20"/>
      <c r="F155" s="22"/>
      <c r="G155" s="23"/>
      <c r="H155" s="37"/>
      <c r="I155" s="38"/>
      <c r="J155" s="13"/>
      <c r="K155" s="18"/>
      <c r="L155" s="19"/>
      <c r="M155" s="19"/>
      <c r="N155" s="20"/>
      <c r="O155" s="22"/>
      <c r="P155" s="36"/>
      <c r="Q155" s="38"/>
      <c r="R155" s="38"/>
    </row>
    <row r="156" spans="1:18" x14ac:dyDescent="0.2">
      <c r="A156" s="13"/>
      <c r="B156" s="7"/>
      <c r="C156" s="7"/>
      <c r="D156" s="7"/>
      <c r="E156" s="7"/>
      <c r="F156" s="72"/>
      <c r="G156" s="72"/>
      <c r="H156" s="72"/>
      <c r="I156" s="37"/>
      <c r="J156" s="13"/>
      <c r="K156" s="18"/>
      <c r="L156" s="19"/>
      <c r="M156" s="19"/>
      <c r="N156" s="20"/>
      <c r="O156" s="22"/>
      <c r="P156" s="36"/>
      <c r="Q156" s="37"/>
      <c r="R156" s="37"/>
    </row>
    <row r="157" spans="1:18" x14ac:dyDescent="0.2">
      <c r="A157" s="13"/>
      <c r="B157" s="18"/>
      <c r="C157" s="19"/>
      <c r="D157" s="19"/>
      <c r="E157" s="20"/>
      <c r="F157" s="22"/>
      <c r="G157" s="36"/>
      <c r="H157" s="37"/>
      <c r="I157" s="37"/>
      <c r="J157" s="13"/>
      <c r="K157" s="18"/>
      <c r="L157" s="19"/>
      <c r="M157" s="19"/>
      <c r="N157" s="20"/>
      <c r="O157" s="22"/>
      <c r="P157" s="36"/>
      <c r="Q157" s="37"/>
      <c r="R157" s="37"/>
    </row>
    <row r="158" spans="1:18" x14ac:dyDescent="0.2">
      <c r="A158" s="13"/>
      <c r="B158" s="18"/>
      <c r="C158" s="19"/>
      <c r="D158" s="19"/>
      <c r="E158" s="20"/>
      <c r="F158" s="22"/>
      <c r="G158" s="36"/>
      <c r="H158" s="37"/>
      <c r="I158" s="37"/>
      <c r="J158" s="13"/>
      <c r="K158" s="18"/>
      <c r="L158" s="19"/>
      <c r="M158" s="19"/>
      <c r="N158" s="20"/>
      <c r="O158" s="22"/>
      <c r="P158" s="36"/>
      <c r="Q158" s="37"/>
      <c r="R158" s="37"/>
    </row>
    <row r="159" spans="1:18" x14ac:dyDescent="0.2">
      <c r="A159" s="13"/>
      <c r="B159" s="18"/>
      <c r="C159" s="19"/>
      <c r="D159" s="19"/>
      <c r="E159" s="20"/>
      <c r="F159" s="22"/>
      <c r="G159" s="22"/>
      <c r="H159" s="23"/>
      <c r="I159" s="23"/>
      <c r="J159" s="13"/>
      <c r="K159" s="18"/>
      <c r="L159" s="19"/>
      <c r="M159" s="19"/>
      <c r="N159" s="20"/>
      <c r="O159" s="22"/>
      <c r="P159" s="22"/>
      <c r="Q159" s="23"/>
      <c r="R159" s="23"/>
    </row>
    <row r="160" spans="1:18" x14ac:dyDescent="0.2">
      <c r="A160" s="13"/>
      <c r="B160" s="248" t="s">
        <v>30</v>
      </c>
      <c r="C160" s="249"/>
      <c r="D160" s="249"/>
      <c r="E160" s="250"/>
      <c r="F160" s="22"/>
      <c r="G160" s="22"/>
      <c r="H160" s="23"/>
      <c r="I160" s="23">
        <f>SUM(I147:I159)</f>
        <v>443.94</v>
      </c>
      <c r="J160" s="13"/>
      <c r="K160" s="248" t="s">
        <v>30</v>
      </c>
      <c r="L160" s="249"/>
      <c r="M160" s="249"/>
      <c r="N160" s="250"/>
      <c r="O160" s="22"/>
      <c r="P160" s="22"/>
      <c r="Q160" s="23"/>
      <c r="R160" s="23">
        <f>SUM(R147:R159)</f>
        <v>215.50399999999999</v>
      </c>
    </row>
    <row r="161" spans="1:18" x14ac:dyDescent="0.2">
      <c r="A161" s="12" t="s">
        <v>31</v>
      </c>
      <c r="B161" s="260" t="s">
        <v>32</v>
      </c>
      <c r="C161" s="261"/>
      <c r="D161" s="261"/>
      <c r="E161" s="261"/>
      <c r="F161" s="151"/>
      <c r="G161" s="151"/>
      <c r="H161" s="40"/>
      <c r="I161" s="41">
        <f>SUM(I160+I142)</f>
        <v>1025.8399999999999</v>
      </c>
      <c r="J161" s="12" t="s">
        <v>31</v>
      </c>
      <c r="K161" s="260" t="s">
        <v>32</v>
      </c>
      <c r="L161" s="261"/>
      <c r="M161" s="261"/>
      <c r="N161" s="261"/>
      <c r="O161" s="161"/>
      <c r="P161" s="161"/>
      <c r="Q161" s="40"/>
      <c r="R161" s="41">
        <f>SUM(R160+R142)</f>
        <v>413.04399999999998</v>
      </c>
    </row>
    <row r="162" spans="1:18" x14ac:dyDescent="0.2">
      <c r="A162" s="13" t="s">
        <v>33</v>
      </c>
      <c r="B162" s="343">
        <f>E129</f>
        <v>10.3</v>
      </c>
      <c r="C162" s="344"/>
      <c r="D162" s="344"/>
      <c r="E162" s="344"/>
      <c r="F162" s="344"/>
      <c r="G162" s="344"/>
      <c r="H162" s="40"/>
      <c r="I162" s="41"/>
      <c r="J162" s="13" t="s">
        <v>33</v>
      </c>
      <c r="K162" s="345">
        <f>N129</f>
        <v>1</v>
      </c>
      <c r="L162" s="346"/>
      <c r="M162" s="346"/>
      <c r="N162" s="346"/>
      <c r="O162" s="346"/>
      <c r="P162" s="346"/>
      <c r="Q162" s="40"/>
      <c r="R162" s="41"/>
    </row>
    <row r="163" spans="1:18" x14ac:dyDescent="0.2">
      <c r="A163" s="13" t="s">
        <v>34</v>
      </c>
      <c r="B163" s="42" t="s">
        <v>35</v>
      </c>
      <c r="C163" s="43"/>
      <c r="D163" s="43"/>
      <c r="E163" s="39"/>
      <c r="F163" s="44"/>
      <c r="G163" s="44"/>
      <c r="H163" s="40"/>
      <c r="I163" s="41">
        <f>I161/E129</f>
        <v>99.596116504854351</v>
      </c>
      <c r="J163" s="13" t="s">
        <v>34</v>
      </c>
      <c r="K163" s="162" t="s">
        <v>35</v>
      </c>
      <c r="L163" s="43"/>
      <c r="M163" s="43"/>
      <c r="N163" s="161"/>
      <c r="O163" s="163"/>
      <c r="P163" s="163"/>
      <c r="Q163" s="40"/>
      <c r="R163" s="41">
        <f>R161/N129</f>
        <v>413.04399999999998</v>
      </c>
    </row>
    <row r="164" spans="1:18" x14ac:dyDescent="0.2">
      <c r="A164" s="12"/>
      <c r="B164" s="251" t="s">
        <v>36</v>
      </c>
      <c r="C164" s="252"/>
      <c r="D164" s="252"/>
      <c r="E164" s="253"/>
      <c r="F164" s="244" t="s">
        <v>37</v>
      </c>
      <c r="G164" s="244" t="s">
        <v>38</v>
      </c>
      <c r="H164" s="244" t="s">
        <v>39</v>
      </c>
      <c r="I164" s="246" t="s">
        <v>15</v>
      </c>
      <c r="J164" s="12"/>
      <c r="K164" s="251" t="s">
        <v>36</v>
      </c>
      <c r="L164" s="252"/>
      <c r="M164" s="252"/>
      <c r="N164" s="253"/>
      <c r="O164" s="244" t="s">
        <v>37</v>
      </c>
      <c r="P164" s="244" t="s">
        <v>38</v>
      </c>
      <c r="Q164" s="244" t="s">
        <v>39</v>
      </c>
      <c r="R164" s="246" t="s">
        <v>15</v>
      </c>
    </row>
    <row r="165" spans="1:18" x14ac:dyDescent="0.2">
      <c r="A165" s="13"/>
      <c r="B165" s="254"/>
      <c r="C165" s="255"/>
      <c r="D165" s="255"/>
      <c r="E165" s="256"/>
      <c r="F165" s="245"/>
      <c r="G165" s="245"/>
      <c r="H165" s="245"/>
      <c r="I165" s="247"/>
      <c r="J165" s="13"/>
      <c r="K165" s="254"/>
      <c r="L165" s="255"/>
      <c r="M165" s="255"/>
      <c r="N165" s="256"/>
      <c r="O165" s="245"/>
      <c r="P165" s="245"/>
      <c r="Q165" s="245"/>
      <c r="R165" s="247"/>
    </row>
    <row r="166" spans="1:18" x14ac:dyDescent="0.2">
      <c r="A166" s="13" t="s">
        <v>40</v>
      </c>
      <c r="B166" s="18" t="s">
        <v>41</v>
      </c>
      <c r="C166" s="19"/>
      <c r="D166" s="19"/>
      <c r="E166" s="20"/>
      <c r="F166" s="22"/>
      <c r="G166" s="22"/>
      <c r="H166" s="23"/>
      <c r="I166" s="23"/>
      <c r="J166" s="13" t="s">
        <v>40</v>
      </c>
      <c r="K166" s="18" t="s">
        <v>41</v>
      </c>
      <c r="L166" s="19"/>
      <c r="M166" s="19"/>
      <c r="N166" s="20"/>
      <c r="O166" s="22"/>
      <c r="P166" s="22"/>
      <c r="Q166" s="23"/>
      <c r="R166" s="23"/>
    </row>
    <row r="167" spans="1:18" x14ac:dyDescent="0.2">
      <c r="A167" s="13"/>
      <c r="B167" s="18"/>
      <c r="C167" s="19"/>
      <c r="D167" s="19"/>
      <c r="E167" s="20"/>
      <c r="F167" s="22"/>
      <c r="G167" s="22"/>
      <c r="H167" s="23"/>
      <c r="I167" s="23"/>
      <c r="J167" s="13"/>
      <c r="K167" s="18"/>
      <c r="L167" s="19"/>
      <c r="M167" s="19"/>
      <c r="N167" s="20"/>
      <c r="O167" s="22"/>
      <c r="P167" s="22"/>
      <c r="Q167" s="107"/>
      <c r="R167" s="23"/>
    </row>
    <row r="168" spans="1:18" x14ac:dyDescent="0.2">
      <c r="A168" s="13"/>
      <c r="B168" s="18" t="s">
        <v>234</v>
      </c>
      <c r="C168" s="66"/>
      <c r="D168" s="19"/>
      <c r="E168" s="20"/>
      <c r="F168" s="22" t="s">
        <v>227</v>
      </c>
      <c r="G168" s="62">
        <v>1.29</v>
      </c>
      <c r="H168" s="107">
        <v>220</v>
      </c>
      <c r="I168" s="23">
        <f>H168*G168</f>
        <v>283.8</v>
      </c>
      <c r="J168" s="13"/>
      <c r="K168" s="18" t="s">
        <v>425</v>
      </c>
      <c r="L168" s="66"/>
      <c r="M168" s="19"/>
      <c r="N168" s="20"/>
      <c r="O168" s="22" t="s">
        <v>227</v>
      </c>
      <c r="P168" s="70">
        <v>1.32</v>
      </c>
      <c r="Q168" s="107">
        <v>220</v>
      </c>
      <c r="R168" s="23">
        <f>Q168*P168</f>
        <v>290.40000000000003</v>
      </c>
    </row>
    <row r="169" spans="1:18" x14ac:dyDescent="0.2">
      <c r="A169" s="13"/>
      <c r="B169" s="18" t="s">
        <v>426</v>
      </c>
      <c r="C169" s="66"/>
      <c r="D169" s="19"/>
      <c r="E169" s="20"/>
      <c r="F169" s="22" t="s">
        <v>9</v>
      </c>
      <c r="G169" s="62">
        <v>7.0000000000000007E-2</v>
      </c>
      <c r="H169" s="107">
        <v>850</v>
      </c>
      <c r="I169" s="23">
        <f>H169*G169</f>
        <v>59.500000000000007</v>
      </c>
      <c r="J169" s="13"/>
      <c r="K169" s="18" t="s">
        <v>567</v>
      </c>
      <c r="L169" s="66"/>
      <c r="M169" s="19"/>
      <c r="N169" s="20"/>
      <c r="O169" s="22" t="s">
        <v>9</v>
      </c>
      <c r="P169" s="22">
        <v>7.2999999999999995E-2</v>
      </c>
      <c r="Q169" s="107">
        <v>850</v>
      </c>
      <c r="R169" s="23">
        <f>Q169*P169</f>
        <v>62.05</v>
      </c>
    </row>
    <row r="170" spans="1:18" x14ac:dyDescent="0.2">
      <c r="A170" s="13"/>
      <c r="B170" s="18" t="s">
        <v>496</v>
      </c>
      <c r="C170" s="19"/>
      <c r="D170" s="19"/>
      <c r="E170" s="20"/>
      <c r="F170" s="22" t="s">
        <v>9</v>
      </c>
      <c r="G170" s="62">
        <v>0.14000000000000001</v>
      </c>
      <c r="H170" s="107">
        <v>650</v>
      </c>
      <c r="I170" s="23">
        <f>H170*G170</f>
        <v>91.000000000000014</v>
      </c>
      <c r="J170" s="13"/>
      <c r="K170" s="18" t="s">
        <v>496</v>
      </c>
      <c r="L170" s="66"/>
      <c r="M170" s="19"/>
      <c r="N170" s="20"/>
      <c r="O170" s="22" t="s">
        <v>9</v>
      </c>
      <c r="P170" s="70">
        <v>0.14499999999999999</v>
      </c>
      <c r="Q170" s="107">
        <v>650</v>
      </c>
      <c r="R170" s="23">
        <f>Q170*P170</f>
        <v>94.25</v>
      </c>
    </row>
    <row r="171" spans="1:18" x14ac:dyDescent="0.2">
      <c r="A171" s="13"/>
      <c r="B171" s="18" t="s">
        <v>623</v>
      </c>
      <c r="C171" s="19"/>
      <c r="D171" s="19"/>
      <c r="E171" s="20"/>
      <c r="F171" s="22" t="s">
        <v>80</v>
      </c>
      <c r="G171" s="62">
        <v>0.24</v>
      </c>
      <c r="H171" s="107">
        <v>700</v>
      </c>
      <c r="I171" s="23">
        <f>(H171*G171)/4</f>
        <v>42</v>
      </c>
      <c r="J171" s="13"/>
      <c r="K171" s="18" t="s">
        <v>624</v>
      </c>
      <c r="L171" s="66"/>
      <c r="M171" s="19"/>
      <c r="N171" s="20"/>
      <c r="O171" s="22" t="s">
        <v>413</v>
      </c>
      <c r="P171" s="62">
        <v>8</v>
      </c>
      <c r="Q171" s="107">
        <v>40</v>
      </c>
      <c r="R171" s="23">
        <f>(Q171*P171)/4</f>
        <v>80</v>
      </c>
    </row>
    <row r="172" spans="1:18" x14ac:dyDescent="0.2">
      <c r="A172" s="13"/>
      <c r="B172" s="18" t="s">
        <v>625</v>
      </c>
      <c r="C172" s="19"/>
      <c r="D172" s="19"/>
      <c r="E172" s="20"/>
      <c r="F172" s="22" t="s">
        <v>413</v>
      </c>
      <c r="G172" s="62">
        <v>11.47</v>
      </c>
      <c r="H172" s="107">
        <v>40</v>
      </c>
      <c r="I172" s="23">
        <f>(H172*G172)/4</f>
        <v>114.7</v>
      </c>
      <c r="J172" s="13"/>
      <c r="K172" s="18" t="s">
        <v>1305</v>
      </c>
      <c r="L172" s="66"/>
      <c r="M172" s="19"/>
      <c r="N172" s="20"/>
      <c r="O172" s="22" t="s">
        <v>66</v>
      </c>
      <c r="P172" s="62">
        <v>3.1</v>
      </c>
      <c r="Q172" s="107">
        <f>3180/6</f>
        <v>530</v>
      </c>
      <c r="R172" s="23">
        <f>Q172*P172</f>
        <v>1643</v>
      </c>
    </row>
    <row r="173" spans="1:18" x14ac:dyDescent="0.2">
      <c r="A173" s="13"/>
      <c r="B173" s="18" t="s">
        <v>626</v>
      </c>
      <c r="C173" s="19"/>
      <c r="D173" s="19"/>
      <c r="E173" s="20"/>
      <c r="F173" s="22" t="s">
        <v>77</v>
      </c>
      <c r="G173" s="22">
        <f>ROUND(G172/100,2)</f>
        <v>0.11</v>
      </c>
      <c r="H173" s="107">
        <v>68</v>
      </c>
      <c r="I173" s="23">
        <f>H173*G173</f>
        <v>7.48</v>
      </c>
      <c r="J173" s="13"/>
      <c r="K173" s="18" t="s">
        <v>627</v>
      </c>
      <c r="L173" s="66"/>
      <c r="M173" s="19"/>
      <c r="N173" s="20"/>
      <c r="O173" s="22" t="s">
        <v>77</v>
      </c>
      <c r="P173" s="62">
        <v>2</v>
      </c>
      <c r="Q173" s="107">
        <v>48</v>
      </c>
      <c r="R173" s="23">
        <f>Q173*P173</f>
        <v>96</v>
      </c>
    </row>
    <row r="174" spans="1:18" x14ac:dyDescent="0.2">
      <c r="A174" s="13"/>
      <c r="B174" s="18" t="s">
        <v>536</v>
      </c>
      <c r="C174" s="19"/>
      <c r="D174" s="19"/>
      <c r="E174" s="20"/>
      <c r="F174" s="22"/>
      <c r="G174" s="22"/>
      <c r="I174" s="23">
        <f>(I168+I169+I170+I171+I172+I173)*0.02</f>
        <v>11.9696</v>
      </c>
      <c r="J174" s="13"/>
      <c r="K174" s="18" t="s">
        <v>1306</v>
      </c>
      <c r="L174" s="66"/>
      <c r="M174" s="19"/>
      <c r="N174" s="20"/>
      <c r="O174" s="22" t="s">
        <v>80</v>
      </c>
      <c r="P174" s="62">
        <v>12</v>
      </c>
      <c r="Q174" s="107">
        <v>10</v>
      </c>
      <c r="R174" s="23">
        <f>Q174*P174</f>
        <v>120</v>
      </c>
    </row>
    <row r="175" spans="1:18" x14ac:dyDescent="0.2">
      <c r="A175" s="13"/>
      <c r="B175" s="18"/>
      <c r="C175" s="19"/>
      <c r="D175" s="19"/>
      <c r="E175" s="20"/>
      <c r="F175" s="22"/>
      <c r="G175" s="22"/>
      <c r="H175" s="23"/>
      <c r="I175" s="23"/>
      <c r="J175" s="13"/>
      <c r="K175" s="18" t="s">
        <v>628</v>
      </c>
      <c r="L175" s="66"/>
      <c r="M175" s="19"/>
      <c r="N175" s="20"/>
      <c r="O175" s="22" t="s">
        <v>80</v>
      </c>
      <c r="P175" s="62">
        <v>1</v>
      </c>
      <c r="Q175" s="165">
        <v>2750</v>
      </c>
      <c r="R175" s="23">
        <f>Q175*P175</f>
        <v>2750</v>
      </c>
    </row>
    <row r="176" spans="1:18" x14ac:dyDescent="0.2">
      <c r="A176" s="13"/>
      <c r="B176" s="18"/>
      <c r="C176" s="19"/>
      <c r="D176" s="19"/>
      <c r="E176" s="20"/>
      <c r="F176" s="22"/>
      <c r="G176" s="22"/>
      <c r="H176" s="23"/>
      <c r="I176" s="23"/>
      <c r="J176" s="13"/>
      <c r="K176" s="18" t="s">
        <v>629</v>
      </c>
      <c r="L176" s="19"/>
      <c r="M176" s="19"/>
      <c r="N176" s="20"/>
      <c r="O176" s="22" t="s">
        <v>77</v>
      </c>
      <c r="P176" s="62">
        <f>ROUND(P171/100,2)</f>
        <v>0.08</v>
      </c>
      <c r="Q176" s="107">
        <v>68</v>
      </c>
      <c r="R176" s="23">
        <f>Q176*P176</f>
        <v>5.44</v>
      </c>
    </row>
    <row r="177" spans="1:18" x14ac:dyDescent="0.2">
      <c r="A177" s="13"/>
      <c r="B177" s="18"/>
      <c r="C177" s="19"/>
      <c r="D177" s="19"/>
      <c r="E177" s="20"/>
      <c r="F177" s="22"/>
      <c r="G177" s="22"/>
      <c r="H177" s="23"/>
      <c r="I177" s="23"/>
      <c r="J177" s="13"/>
      <c r="K177" s="18"/>
      <c r="L177" s="19"/>
      <c r="M177" s="19"/>
      <c r="N177" s="20"/>
      <c r="O177" s="22"/>
      <c r="P177" s="22"/>
      <c r="Q177" s="107"/>
      <c r="R177" s="23"/>
    </row>
    <row r="178" spans="1:18" x14ac:dyDescent="0.2">
      <c r="A178" s="13"/>
      <c r="B178" s="18"/>
      <c r="C178" s="19"/>
      <c r="D178" s="19"/>
      <c r="E178" s="20"/>
      <c r="F178" s="22"/>
      <c r="G178" s="22"/>
      <c r="H178" s="23"/>
      <c r="I178" s="23"/>
      <c r="J178" s="13"/>
      <c r="K178" s="18"/>
      <c r="L178" s="19"/>
      <c r="M178" s="19"/>
      <c r="N178" s="20"/>
      <c r="O178" s="22"/>
      <c r="P178" s="22"/>
      <c r="Q178" s="23"/>
      <c r="R178" s="23"/>
    </row>
    <row r="179" spans="1:18" x14ac:dyDescent="0.2">
      <c r="A179" s="13"/>
      <c r="B179" s="18"/>
      <c r="C179" s="19"/>
      <c r="D179" s="19"/>
      <c r="E179" s="20"/>
      <c r="F179" s="22"/>
      <c r="G179" s="36"/>
      <c r="H179" s="37"/>
      <c r="I179" s="37"/>
      <c r="J179" s="13"/>
      <c r="K179" s="18"/>
      <c r="L179" s="19"/>
      <c r="M179" s="19"/>
      <c r="N179" s="20"/>
      <c r="O179" s="22"/>
      <c r="P179" s="36"/>
      <c r="Q179" s="37"/>
      <c r="R179" s="37"/>
    </row>
    <row r="180" spans="1:18" x14ac:dyDescent="0.2">
      <c r="A180" s="13"/>
      <c r="B180" s="18"/>
      <c r="C180" s="19"/>
      <c r="D180" s="19"/>
      <c r="E180" s="20"/>
      <c r="F180" s="22"/>
      <c r="G180" s="36"/>
      <c r="H180" s="37"/>
      <c r="I180" s="37"/>
      <c r="J180" s="13"/>
      <c r="K180" s="18"/>
      <c r="L180" s="19"/>
      <c r="M180" s="19"/>
      <c r="N180" s="20"/>
      <c r="O180" s="22"/>
      <c r="P180" s="36"/>
      <c r="Q180" s="37"/>
      <c r="R180" s="37"/>
    </row>
    <row r="181" spans="1:18" x14ac:dyDescent="0.2">
      <c r="A181" s="13"/>
      <c r="B181" s="248" t="s">
        <v>42</v>
      </c>
      <c r="C181" s="249"/>
      <c r="D181" s="249"/>
      <c r="E181" s="250"/>
      <c r="F181" s="46"/>
      <c r="G181" s="46"/>
      <c r="H181" s="47"/>
      <c r="I181" s="47">
        <f>SUM(I168:I179)</f>
        <v>610.44960000000003</v>
      </c>
      <c r="J181" s="13"/>
      <c r="K181" s="248" t="s">
        <v>42</v>
      </c>
      <c r="L181" s="249"/>
      <c r="M181" s="249"/>
      <c r="N181" s="250"/>
      <c r="O181" s="46"/>
      <c r="P181" s="46"/>
      <c r="Q181" s="47"/>
      <c r="R181" s="47">
        <f>SUM(R168:R179)</f>
        <v>5141.1399999999994</v>
      </c>
    </row>
    <row r="182" spans="1:18" x14ac:dyDescent="0.2">
      <c r="A182" s="12" t="s">
        <v>43</v>
      </c>
      <c r="B182" s="48" t="s">
        <v>44</v>
      </c>
      <c r="C182" s="43"/>
      <c r="D182" s="43"/>
      <c r="E182" s="161"/>
      <c r="F182" s="49"/>
      <c r="G182" s="49"/>
      <c r="H182" s="50"/>
      <c r="I182" s="51">
        <f>SUM(I163+I181)</f>
        <v>710.04571650485434</v>
      </c>
      <c r="J182" s="12" t="s">
        <v>43</v>
      </c>
      <c r="K182" s="48" t="s">
        <v>44</v>
      </c>
      <c r="L182" s="43"/>
      <c r="M182" s="43"/>
      <c r="N182" s="161"/>
      <c r="O182" s="49"/>
      <c r="P182" s="49"/>
      <c r="Q182" s="50"/>
      <c r="R182" s="51">
        <f>SUM(R163+R181)</f>
        <v>5554.1839999999993</v>
      </c>
    </row>
    <row r="183" spans="1:18" x14ac:dyDescent="0.2">
      <c r="A183" s="13" t="s">
        <v>45</v>
      </c>
      <c r="B183" s="48" t="s">
        <v>46</v>
      </c>
      <c r="C183" s="43"/>
      <c r="D183" s="43"/>
      <c r="E183" s="161"/>
      <c r="F183" s="49"/>
      <c r="G183" s="52">
        <v>0.09</v>
      </c>
      <c r="H183" s="53" t="s">
        <v>47</v>
      </c>
      <c r="I183" s="51">
        <f>G183*I182</f>
        <v>63.904114485436885</v>
      </c>
      <c r="J183" s="13" t="s">
        <v>45</v>
      </c>
      <c r="K183" s="48" t="s">
        <v>46</v>
      </c>
      <c r="L183" s="43"/>
      <c r="M183" s="43"/>
      <c r="N183" s="161"/>
      <c r="O183" s="49"/>
      <c r="P183" s="52">
        <v>0.09</v>
      </c>
      <c r="Q183" s="53" t="s">
        <v>47</v>
      </c>
      <c r="R183" s="51">
        <f>P183*R182</f>
        <v>499.87655999999993</v>
      </c>
    </row>
    <row r="184" spans="1:18" x14ac:dyDescent="0.2">
      <c r="A184" s="13" t="s">
        <v>48</v>
      </c>
      <c r="B184" s="48" t="s">
        <v>49</v>
      </c>
      <c r="C184" s="43"/>
      <c r="D184" s="43"/>
      <c r="E184" s="161"/>
      <c r="F184" s="49"/>
      <c r="G184" s="52">
        <v>0.08</v>
      </c>
      <c r="H184" s="53" t="s">
        <v>47</v>
      </c>
      <c r="I184" s="51">
        <f>G184*I182</f>
        <v>56.803657320388346</v>
      </c>
      <c r="J184" s="13" t="s">
        <v>48</v>
      </c>
      <c r="K184" s="48" t="s">
        <v>49</v>
      </c>
      <c r="L184" s="43"/>
      <c r="M184" s="43"/>
      <c r="N184" s="161"/>
      <c r="O184" s="49"/>
      <c r="P184" s="52">
        <v>0.08</v>
      </c>
      <c r="Q184" s="53" t="s">
        <v>47</v>
      </c>
      <c r="R184" s="51">
        <f>P184*R182</f>
        <v>444.33471999999995</v>
      </c>
    </row>
    <row r="185" spans="1:18" x14ac:dyDescent="0.2">
      <c r="A185" s="13" t="s">
        <v>50</v>
      </c>
      <c r="B185" s="48" t="s">
        <v>51</v>
      </c>
      <c r="C185" s="43"/>
      <c r="D185" s="43"/>
      <c r="E185" s="161"/>
      <c r="F185" s="49"/>
      <c r="G185" s="52">
        <v>0.05</v>
      </c>
      <c r="H185" s="53" t="s">
        <v>52</v>
      </c>
      <c r="I185" s="51">
        <f>G185*(I182+I183+I184)</f>
        <v>41.537674415533985</v>
      </c>
      <c r="J185" s="13" t="s">
        <v>50</v>
      </c>
      <c r="K185" s="48" t="s">
        <v>51</v>
      </c>
      <c r="L185" s="43"/>
      <c r="M185" s="43"/>
      <c r="N185" s="161"/>
      <c r="O185" s="49"/>
      <c r="P185" s="52">
        <v>0.05</v>
      </c>
      <c r="Q185" s="53" t="s">
        <v>52</v>
      </c>
      <c r="R185" s="51">
        <f>P185*(R182+R183+R184)</f>
        <v>324.91976399999999</v>
      </c>
    </row>
    <row r="186" spans="1:18" x14ac:dyDescent="0.2">
      <c r="A186" s="54" t="s">
        <v>53</v>
      </c>
      <c r="B186" s="48" t="s">
        <v>54</v>
      </c>
      <c r="C186" s="43"/>
      <c r="D186" s="43"/>
      <c r="E186" s="161"/>
      <c r="F186" s="49"/>
      <c r="G186" s="49"/>
      <c r="H186" s="55" t="s">
        <v>55</v>
      </c>
      <c r="I186" s="51">
        <f>SUM(I182+I183+I184+I185)</f>
        <v>872.29116272621354</v>
      </c>
      <c r="J186" s="54" t="s">
        <v>53</v>
      </c>
      <c r="K186" s="48" t="s">
        <v>54</v>
      </c>
      <c r="L186" s="43"/>
      <c r="M186" s="43"/>
      <c r="N186" s="161"/>
      <c r="O186" s="49"/>
      <c r="P186" s="49"/>
      <c r="Q186" s="55" t="s">
        <v>55</v>
      </c>
      <c r="R186" s="51">
        <f>SUM(R182+R183+R184+R185)</f>
        <v>6823.315043999999</v>
      </c>
    </row>
    <row r="187" spans="1:18" s="1" customFormat="1" x14ac:dyDescent="0.2">
      <c r="A187" s="236" t="s">
        <v>0</v>
      </c>
      <c r="B187" s="236"/>
      <c r="C187" s="236"/>
      <c r="D187" s="236"/>
      <c r="E187" s="236"/>
      <c r="F187" s="236"/>
      <c r="G187" s="236"/>
      <c r="H187" s="236"/>
      <c r="I187" s="236"/>
      <c r="J187" s="236" t="s">
        <v>0</v>
      </c>
      <c r="K187" s="236"/>
      <c r="L187" s="236"/>
      <c r="M187" s="236"/>
      <c r="N187" s="236"/>
      <c r="O187" s="236"/>
      <c r="P187" s="236"/>
      <c r="Q187" s="236"/>
      <c r="R187" s="236"/>
    </row>
    <row r="189" spans="1:18" x14ac:dyDescent="0.2">
      <c r="A189" s="158" t="s">
        <v>1</v>
      </c>
      <c r="C189" s="4" t="s">
        <v>2</v>
      </c>
      <c r="D189" s="5" t="s">
        <v>641</v>
      </c>
      <c r="E189" s="8" t="s">
        <v>642</v>
      </c>
      <c r="F189" s="8"/>
      <c r="G189" s="8"/>
      <c r="H189" s="8"/>
      <c r="I189" s="8"/>
      <c r="J189" s="158" t="s">
        <v>1</v>
      </c>
      <c r="L189" s="4" t="s">
        <v>2</v>
      </c>
      <c r="M189" s="5" t="s">
        <v>643</v>
      </c>
      <c r="N189" s="237" t="s">
        <v>644</v>
      </c>
      <c r="O189" s="237"/>
      <c r="P189" s="237"/>
      <c r="Q189" s="237"/>
    </row>
    <row r="190" spans="1:18" x14ac:dyDescent="0.2">
      <c r="A190" s="158" t="s">
        <v>7</v>
      </c>
      <c r="C190" s="4" t="s">
        <v>2</v>
      </c>
      <c r="E190" s="158" t="s">
        <v>80</v>
      </c>
      <c r="F190" s="8"/>
      <c r="G190" s="8"/>
      <c r="H190" s="8"/>
      <c r="J190" s="158" t="s">
        <v>7</v>
      </c>
      <c r="L190" s="4" t="s">
        <v>2</v>
      </c>
      <c r="M190" s="8"/>
      <c r="N190" s="158" t="s">
        <v>59</v>
      </c>
      <c r="O190" s="8"/>
      <c r="P190" s="8"/>
      <c r="Q190" s="8"/>
    </row>
    <row r="191" spans="1:18" x14ac:dyDescent="0.2">
      <c r="A191" s="158" t="s">
        <v>10</v>
      </c>
      <c r="C191" s="4" t="s">
        <v>2</v>
      </c>
      <c r="E191" s="9">
        <v>4</v>
      </c>
      <c r="F191" s="8"/>
      <c r="G191" s="8"/>
      <c r="H191" s="8"/>
      <c r="J191" s="158" t="s">
        <v>10</v>
      </c>
      <c r="L191" s="4" t="s">
        <v>2</v>
      </c>
      <c r="M191" s="8"/>
      <c r="N191" s="9">
        <v>1</v>
      </c>
      <c r="O191" s="8"/>
      <c r="P191" s="8"/>
      <c r="Q191" s="8"/>
    </row>
    <row r="192" spans="1:18" x14ac:dyDescent="0.2">
      <c r="B192" s="8"/>
      <c r="F192" s="11"/>
      <c r="G192" s="8"/>
      <c r="H192" s="8"/>
      <c r="I192" s="8"/>
      <c r="K192" s="8"/>
      <c r="O192" s="11"/>
      <c r="P192" s="8"/>
      <c r="Q192" s="8"/>
      <c r="R192" s="8"/>
    </row>
    <row r="193" spans="1:18" x14ac:dyDescent="0.2">
      <c r="A193" s="12"/>
      <c r="B193" s="238" t="s">
        <v>11</v>
      </c>
      <c r="C193" s="239"/>
      <c r="D193" s="239"/>
      <c r="E193" s="240"/>
      <c r="F193" s="244" t="s">
        <v>12</v>
      </c>
      <c r="G193" s="244" t="s">
        <v>13</v>
      </c>
      <c r="H193" s="244" t="s">
        <v>14</v>
      </c>
      <c r="I193" s="246" t="s">
        <v>15</v>
      </c>
      <c r="J193" s="12"/>
      <c r="K193" s="238" t="s">
        <v>11</v>
      </c>
      <c r="L193" s="239"/>
      <c r="M193" s="239"/>
      <c r="N193" s="240"/>
      <c r="O193" s="244" t="s">
        <v>12</v>
      </c>
      <c r="P193" s="244" t="s">
        <v>13</v>
      </c>
      <c r="Q193" s="244" t="s">
        <v>14</v>
      </c>
      <c r="R193" s="246" t="s">
        <v>15</v>
      </c>
    </row>
    <row r="194" spans="1:18" x14ac:dyDescent="0.2">
      <c r="A194" s="13"/>
      <c r="B194" s="241"/>
      <c r="C194" s="242"/>
      <c r="D194" s="242"/>
      <c r="E194" s="243"/>
      <c r="F194" s="245"/>
      <c r="G194" s="245"/>
      <c r="H194" s="245"/>
      <c r="I194" s="247"/>
      <c r="J194" s="13"/>
      <c r="K194" s="241"/>
      <c r="L194" s="242"/>
      <c r="M194" s="242"/>
      <c r="N194" s="243"/>
      <c r="O194" s="245"/>
      <c r="P194" s="245"/>
      <c r="Q194" s="245"/>
      <c r="R194" s="247"/>
    </row>
    <row r="195" spans="1:18" x14ac:dyDescent="0.2">
      <c r="A195" s="13" t="s">
        <v>16</v>
      </c>
      <c r="B195" s="14" t="s">
        <v>17</v>
      </c>
      <c r="C195" s="15"/>
      <c r="D195" s="15"/>
      <c r="E195" s="16"/>
      <c r="F195" s="17"/>
      <c r="G195" s="17"/>
      <c r="H195" s="17"/>
      <c r="I195" s="17"/>
      <c r="J195" s="13" t="s">
        <v>16</v>
      </c>
      <c r="K195" s="14" t="s">
        <v>17</v>
      </c>
      <c r="L195" s="15"/>
      <c r="M195" s="15"/>
      <c r="N195" s="16"/>
      <c r="O195" s="17"/>
      <c r="P195" s="17"/>
      <c r="Q195" s="17"/>
      <c r="R195" s="17"/>
    </row>
    <row r="196" spans="1:18" x14ac:dyDescent="0.2">
      <c r="A196" s="13"/>
      <c r="B196" s="18"/>
      <c r="C196" s="19"/>
      <c r="D196" s="19"/>
      <c r="E196" s="20"/>
      <c r="F196" s="21"/>
      <c r="G196" s="22"/>
      <c r="H196" s="21"/>
      <c r="I196" s="21"/>
      <c r="J196" s="13"/>
      <c r="K196" s="18"/>
      <c r="L196" s="19"/>
      <c r="M196" s="19"/>
      <c r="N196" s="20"/>
      <c r="O196" s="21"/>
      <c r="P196" s="22"/>
      <c r="Q196" s="21"/>
      <c r="R196" s="21"/>
    </row>
    <row r="197" spans="1:18" x14ac:dyDescent="0.2">
      <c r="A197" s="13"/>
      <c r="B197" s="24" t="s">
        <v>18</v>
      </c>
      <c r="C197" s="25"/>
      <c r="D197" s="25"/>
      <c r="E197" s="26"/>
      <c r="F197" s="22">
        <v>1</v>
      </c>
      <c r="G197" s="23">
        <v>1</v>
      </c>
      <c r="H197" s="23">
        <v>69.42</v>
      </c>
      <c r="I197" s="23">
        <f>G197*H197*F197</f>
        <v>69.42</v>
      </c>
      <c r="J197" s="13"/>
      <c r="K197" s="24" t="s">
        <v>18</v>
      </c>
      <c r="L197" s="25"/>
      <c r="M197" s="25"/>
      <c r="N197" s="26"/>
      <c r="O197" s="22">
        <v>1</v>
      </c>
      <c r="P197" s="23">
        <v>1</v>
      </c>
      <c r="Q197" s="23">
        <v>69.42</v>
      </c>
      <c r="R197" s="23">
        <f>O197*P197*Q197</f>
        <v>69.42</v>
      </c>
    </row>
    <row r="198" spans="1:18" x14ac:dyDescent="0.2">
      <c r="A198" s="13"/>
      <c r="B198" s="257" t="s">
        <v>1178</v>
      </c>
      <c r="C198" s="258"/>
      <c r="D198" s="25"/>
      <c r="E198" s="26"/>
      <c r="F198" s="22">
        <v>1</v>
      </c>
      <c r="G198" s="23">
        <v>1</v>
      </c>
      <c r="H198" s="23">
        <v>50.18</v>
      </c>
      <c r="I198" s="23">
        <f>G198*H198*F198</f>
        <v>50.18</v>
      </c>
      <c r="J198" s="13"/>
      <c r="K198" s="257" t="s">
        <v>1178</v>
      </c>
      <c r="L198" s="258"/>
      <c r="M198" s="25"/>
      <c r="N198" s="26"/>
      <c r="O198" s="22">
        <v>1</v>
      </c>
      <c r="P198" s="23">
        <v>1</v>
      </c>
      <c r="Q198" s="23">
        <v>50.18</v>
      </c>
      <c r="R198" s="23">
        <f>O198*P198*Q198</f>
        <v>50.18</v>
      </c>
    </row>
    <row r="199" spans="1:18" x14ac:dyDescent="0.2">
      <c r="A199" s="13"/>
      <c r="B199" s="257" t="s">
        <v>1177</v>
      </c>
      <c r="C199" s="258"/>
      <c r="D199" s="19"/>
      <c r="E199" s="20"/>
      <c r="F199" s="22">
        <v>1</v>
      </c>
      <c r="G199" s="23">
        <v>1</v>
      </c>
      <c r="H199" s="23">
        <v>38.97</v>
      </c>
      <c r="I199" s="23">
        <f>G199*H199*F199</f>
        <v>38.97</v>
      </c>
      <c r="J199" s="13"/>
      <c r="K199" s="257" t="s">
        <v>1177</v>
      </c>
      <c r="L199" s="258"/>
      <c r="M199" s="19"/>
      <c r="N199" s="20"/>
      <c r="O199" s="22">
        <v>2</v>
      </c>
      <c r="P199" s="23">
        <v>1</v>
      </c>
      <c r="Q199" s="23">
        <v>38.97</v>
      </c>
      <c r="R199" s="23">
        <f>O199*P199*Q199</f>
        <v>77.94</v>
      </c>
    </row>
    <row r="200" spans="1:18" x14ac:dyDescent="0.2">
      <c r="A200" s="13"/>
      <c r="B200" s="159"/>
      <c r="C200" s="160"/>
      <c r="D200" s="19"/>
      <c r="E200" s="20"/>
      <c r="F200" s="22"/>
      <c r="G200" s="22"/>
      <c r="H200" s="29"/>
      <c r="I200" s="30"/>
      <c r="J200" s="13"/>
      <c r="K200" s="159"/>
      <c r="L200" s="19"/>
      <c r="M200" s="19"/>
      <c r="N200" s="20"/>
      <c r="O200" s="22"/>
      <c r="P200" s="22"/>
      <c r="Q200" s="29"/>
      <c r="R200" s="30"/>
    </row>
    <row r="201" spans="1:18" x14ac:dyDescent="0.2">
      <c r="A201" s="13"/>
      <c r="B201" s="159"/>
      <c r="C201" s="160"/>
      <c r="D201" s="19"/>
      <c r="E201" s="20"/>
      <c r="F201" s="22"/>
      <c r="G201" s="22"/>
      <c r="H201" s="29"/>
      <c r="I201" s="30"/>
      <c r="J201" s="13"/>
      <c r="K201" s="159"/>
      <c r="L201" s="19"/>
      <c r="M201" s="19"/>
      <c r="N201" s="20"/>
      <c r="O201" s="22"/>
      <c r="P201" s="22"/>
      <c r="Q201" s="29"/>
      <c r="R201" s="30"/>
    </row>
    <row r="202" spans="1:18" x14ac:dyDescent="0.2">
      <c r="A202" s="13"/>
      <c r="B202" s="257"/>
      <c r="C202" s="258"/>
      <c r="D202" s="19"/>
      <c r="E202" s="20"/>
      <c r="F202" s="22"/>
      <c r="G202" s="22"/>
      <c r="H202" s="23"/>
      <c r="I202" s="23"/>
      <c r="J202" s="13"/>
      <c r="K202" s="18"/>
      <c r="L202" s="19"/>
      <c r="M202" s="19"/>
      <c r="N202" s="20"/>
      <c r="O202" s="22"/>
      <c r="P202" s="22"/>
      <c r="Q202" s="28"/>
      <c r="R202" s="23"/>
    </row>
    <row r="203" spans="1:18" x14ac:dyDescent="0.2">
      <c r="A203" s="13"/>
      <c r="B203" s="257"/>
      <c r="C203" s="258"/>
      <c r="D203" s="19"/>
      <c r="E203" s="20"/>
      <c r="F203" s="22"/>
      <c r="G203" s="22"/>
      <c r="H203" s="23"/>
      <c r="I203" s="23"/>
      <c r="J203" s="13"/>
      <c r="K203" s="18"/>
      <c r="L203" s="19"/>
      <c r="M203" s="19"/>
      <c r="N203" s="20"/>
      <c r="O203" s="22"/>
      <c r="P203" s="22"/>
      <c r="Q203" s="23"/>
      <c r="R203" s="23"/>
    </row>
    <row r="204" spans="1:18" x14ac:dyDescent="0.2">
      <c r="A204" s="13"/>
      <c r="B204" s="248" t="s">
        <v>20</v>
      </c>
      <c r="C204" s="249"/>
      <c r="D204" s="249"/>
      <c r="E204" s="250"/>
      <c r="F204" s="31"/>
      <c r="G204" s="31"/>
      <c r="H204" s="32"/>
      <c r="I204" s="32">
        <f>SUM(I197:I203)</f>
        <v>158.57</v>
      </c>
      <c r="J204" s="13"/>
      <c r="K204" s="248" t="s">
        <v>20</v>
      </c>
      <c r="L204" s="249"/>
      <c r="M204" s="249"/>
      <c r="N204" s="250"/>
      <c r="O204" s="31"/>
      <c r="P204" s="31"/>
      <c r="Q204" s="32"/>
      <c r="R204" s="32">
        <f>SUM(R197:R203)</f>
        <v>197.54</v>
      </c>
    </row>
    <row r="205" spans="1:18" x14ac:dyDescent="0.2">
      <c r="A205" s="12"/>
      <c r="B205" s="251" t="s">
        <v>21</v>
      </c>
      <c r="C205" s="252"/>
      <c r="D205" s="252"/>
      <c r="E205" s="253"/>
      <c r="F205" s="244" t="s">
        <v>22</v>
      </c>
      <c r="G205" s="244" t="s">
        <v>13</v>
      </c>
      <c r="H205" s="244" t="s">
        <v>14</v>
      </c>
      <c r="I205" s="246" t="s">
        <v>15</v>
      </c>
      <c r="J205" s="12"/>
      <c r="K205" s="251" t="s">
        <v>21</v>
      </c>
      <c r="L205" s="252"/>
      <c r="M205" s="252"/>
      <c r="N205" s="253"/>
      <c r="O205" s="244" t="s">
        <v>22</v>
      </c>
      <c r="P205" s="244" t="s">
        <v>13</v>
      </c>
      <c r="Q205" s="244" t="s">
        <v>14</v>
      </c>
      <c r="R205" s="246" t="s">
        <v>15</v>
      </c>
    </row>
    <row r="206" spans="1:18" x14ac:dyDescent="0.2">
      <c r="A206" s="13"/>
      <c r="B206" s="254"/>
      <c r="C206" s="255"/>
      <c r="D206" s="255"/>
      <c r="E206" s="256"/>
      <c r="F206" s="245"/>
      <c r="G206" s="245"/>
      <c r="H206" s="245"/>
      <c r="I206" s="247"/>
      <c r="J206" s="13"/>
      <c r="K206" s="254"/>
      <c r="L206" s="255"/>
      <c r="M206" s="255"/>
      <c r="N206" s="256"/>
      <c r="O206" s="245"/>
      <c r="P206" s="245"/>
      <c r="Q206" s="245"/>
      <c r="R206" s="247"/>
    </row>
    <row r="207" spans="1:18" x14ac:dyDescent="0.2">
      <c r="A207" s="13" t="s">
        <v>23</v>
      </c>
      <c r="B207" s="33" t="s">
        <v>24</v>
      </c>
      <c r="C207" s="15"/>
      <c r="D207" s="15"/>
      <c r="E207" s="16"/>
      <c r="F207" s="34"/>
      <c r="G207" s="34"/>
      <c r="H207" s="35"/>
      <c r="I207" s="35"/>
      <c r="J207" s="13" t="s">
        <v>23</v>
      </c>
      <c r="K207" s="33" t="s">
        <v>24</v>
      </c>
      <c r="L207" s="15"/>
      <c r="M207" s="15"/>
      <c r="N207" s="16"/>
      <c r="O207" s="34"/>
      <c r="P207" s="34"/>
      <c r="Q207" s="35"/>
      <c r="R207" s="35"/>
    </row>
    <row r="208" spans="1:18" x14ac:dyDescent="0.2">
      <c r="A208" s="13"/>
      <c r="B208" s="18"/>
      <c r="C208" s="19"/>
      <c r="D208" s="19"/>
      <c r="E208" s="20"/>
      <c r="F208" s="22"/>
      <c r="G208" s="22"/>
      <c r="H208" s="23"/>
      <c r="I208" s="23"/>
      <c r="J208" s="13"/>
      <c r="K208" s="18"/>
      <c r="L208" s="19"/>
      <c r="M208" s="19"/>
      <c r="N208" s="20"/>
      <c r="O208" s="22"/>
      <c r="P208" s="22"/>
      <c r="Q208" s="23"/>
      <c r="R208" s="23"/>
    </row>
    <row r="209" spans="1:18" x14ac:dyDescent="0.2">
      <c r="A209" s="13"/>
      <c r="B209" s="18" t="s">
        <v>1149</v>
      </c>
      <c r="C209" s="66"/>
      <c r="D209" s="19"/>
      <c r="E209" s="20"/>
      <c r="F209" s="22">
        <v>1</v>
      </c>
      <c r="G209" s="23">
        <v>0.5</v>
      </c>
      <c r="H209" s="37">
        <v>1017.9</v>
      </c>
      <c r="I209" s="37">
        <f>F209*G209*H209</f>
        <v>508.95</v>
      </c>
      <c r="J209" s="13"/>
      <c r="K209" s="18" t="s">
        <v>1277</v>
      </c>
      <c r="L209" s="19"/>
      <c r="M209" s="19"/>
      <c r="N209" s="20"/>
      <c r="O209" s="22">
        <v>1</v>
      </c>
      <c r="P209" s="23">
        <v>0.25</v>
      </c>
      <c r="Q209" s="37">
        <v>783</v>
      </c>
      <c r="R209" s="37">
        <f>P209*Q209*O209</f>
        <v>195.75</v>
      </c>
    </row>
    <row r="210" spans="1:18" x14ac:dyDescent="0.2">
      <c r="A210" s="13"/>
      <c r="B210" s="18" t="s">
        <v>92</v>
      </c>
      <c r="F210" s="22"/>
      <c r="G210" s="23"/>
      <c r="I210" s="37">
        <f>I204*0.1</f>
        <v>15.856999999999999</v>
      </c>
      <c r="J210" s="13"/>
      <c r="K210" s="18" t="s">
        <v>125</v>
      </c>
      <c r="L210" s="66"/>
      <c r="M210" s="19"/>
      <c r="N210" s="20"/>
      <c r="O210" s="22"/>
      <c r="P210" s="71"/>
      <c r="R210" s="37">
        <f>R204*0.1</f>
        <v>19.754000000000001</v>
      </c>
    </row>
    <row r="211" spans="1:18" x14ac:dyDescent="0.2">
      <c r="A211" s="13"/>
      <c r="B211" s="18"/>
      <c r="C211" s="19"/>
      <c r="D211" s="19"/>
      <c r="E211" s="20"/>
      <c r="F211" s="22"/>
      <c r="G211" s="23"/>
      <c r="H211" s="37"/>
      <c r="I211" s="23"/>
      <c r="J211" s="13"/>
      <c r="K211" s="18"/>
      <c r="L211" s="19"/>
      <c r="M211" s="19"/>
      <c r="N211" s="20"/>
      <c r="O211" s="22"/>
      <c r="P211" s="36"/>
      <c r="Q211" s="37"/>
      <c r="R211" s="37"/>
    </row>
    <row r="212" spans="1:18" x14ac:dyDescent="0.2">
      <c r="A212" s="13"/>
      <c r="B212" s="18"/>
      <c r="F212" s="22"/>
      <c r="G212" s="23"/>
      <c r="H212" s="37"/>
      <c r="I212" s="37"/>
      <c r="J212" s="13"/>
      <c r="K212" s="18"/>
      <c r="O212" s="22"/>
      <c r="P212" s="36"/>
      <c r="Q212" s="37"/>
      <c r="R212" s="37"/>
    </row>
    <row r="213" spans="1:18" x14ac:dyDescent="0.2">
      <c r="A213" s="13"/>
      <c r="B213" s="18"/>
      <c r="C213" s="19"/>
      <c r="D213" s="19"/>
      <c r="E213" s="20"/>
      <c r="F213" s="22"/>
      <c r="G213" s="36"/>
      <c r="H213" s="37"/>
      <c r="I213" s="37"/>
      <c r="J213" s="13"/>
      <c r="K213" s="18"/>
      <c r="L213" s="19"/>
      <c r="M213" s="19"/>
      <c r="N213" s="20"/>
      <c r="O213" s="22"/>
      <c r="P213" s="36"/>
      <c r="Q213" s="37"/>
      <c r="R213" s="37"/>
    </row>
    <row r="214" spans="1:18" x14ac:dyDescent="0.2">
      <c r="A214" s="13"/>
      <c r="B214" s="18"/>
      <c r="C214" s="19"/>
      <c r="D214" s="19"/>
      <c r="E214" s="20"/>
      <c r="F214" s="22"/>
      <c r="G214" s="36"/>
      <c r="H214" s="37"/>
      <c r="I214" s="38"/>
      <c r="J214" s="13"/>
      <c r="K214" s="18"/>
      <c r="L214" s="19"/>
      <c r="M214" s="19"/>
      <c r="N214" s="20"/>
      <c r="O214" s="22"/>
      <c r="P214" s="36"/>
      <c r="Q214" s="37"/>
      <c r="R214" s="37"/>
    </row>
    <row r="215" spans="1:18" x14ac:dyDescent="0.2">
      <c r="A215" s="13"/>
      <c r="B215" s="18"/>
      <c r="C215" s="19"/>
      <c r="D215" s="19"/>
      <c r="E215" s="20"/>
      <c r="F215" s="22"/>
      <c r="G215" s="36"/>
      <c r="H215" s="37"/>
      <c r="I215" s="38"/>
      <c r="J215" s="13"/>
      <c r="K215" s="18"/>
      <c r="L215" s="19"/>
      <c r="M215" s="19"/>
      <c r="N215" s="20"/>
      <c r="O215" s="22"/>
      <c r="P215" s="36"/>
      <c r="Q215" s="37"/>
      <c r="R215" s="37"/>
    </row>
    <row r="216" spans="1:18" x14ac:dyDescent="0.2">
      <c r="A216" s="13"/>
      <c r="B216" s="18"/>
      <c r="C216" s="19"/>
      <c r="D216" s="19"/>
      <c r="E216" s="20"/>
      <c r="F216" s="22"/>
      <c r="G216" s="23"/>
      <c r="H216" s="37"/>
      <c r="I216" s="38"/>
      <c r="J216" s="13"/>
      <c r="K216" s="18"/>
      <c r="L216" s="19"/>
      <c r="M216" s="19"/>
      <c r="N216" s="20"/>
      <c r="O216" s="22"/>
      <c r="P216" s="23"/>
      <c r="Q216" s="37"/>
      <c r="R216" s="37"/>
    </row>
    <row r="217" spans="1:18" x14ac:dyDescent="0.2">
      <c r="A217" s="13"/>
      <c r="B217" s="18"/>
      <c r="C217" s="19"/>
      <c r="D217" s="19"/>
      <c r="E217" s="20"/>
      <c r="F217" s="22"/>
      <c r="G217" s="23"/>
      <c r="H217" s="37"/>
      <c r="I217" s="38"/>
      <c r="J217" s="13"/>
      <c r="K217" s="18"/>
      <c r="L217" s="19"/>
      <c r="M217" s="19"/>
      <c r="N217" s="20"/>
      <c r="O217" s="22"/>
      <c r="P217" s="36"/>
      <c r="Q217" s="38"/>
      <c r="R217" s="38"/>
    </row>
    <row r="218" spans="1:18" x14ac:dyDescent="0.2">
      <c r="A218" s="13"/>
      <c r="B218" s="7"/>
      <c r="C218" s="7"/>
      <c r="D218" s="7"/>
      <c r="E218" s="7"/>
      <c r="F218" s="72"/>
      <c r="G218" s="72"/>
      <c r="H218" s="72"/>
      <c r="I218" s="37"/>
      <c r="J218" s="13"/>
      <c r="K218" s="18"/>
      <c r="L218" s="19"/>
      <c r="M218" s="19"/>
      <c r="N218" s="20"/>
      <c r="O218" s="22"/>
      <c r="P218" s="36"/>
      <c r="Q218" s="37"/>
      <c r="R218" s="37"/>
    </row>
    <row r="219" spans="1:18" x14ac:dyDescent="0.2">
      <c r="A219" s="13"/>
      <c r="B219" s="18"/>
      <c r="C219" s="19"/>
      <c r="D219" s="19"/>
      <c r="E219" s="20"/>
      <c r="F219" s="22"/>
      <c r="G219" s="36"/>
      <c r="H219" s="37"/>
      <c r="I219" s="37"/>
      <c r="J219" s="13"/>
      <c r="K219" s="18"/>
      <c r="L219" s="19"/>
      <c r="M219" s="19"/>
      <c r="N219" s="20"/>
      <c r="O219" s="22"/>
      <c r="P219" s="36"/>
      <c r="Q219" s="37"/>
      <c r="R219" s="37"/>
    </row>
    <row r="220" spans="1:18" x14ac:dyDescent="0.2">
      <c r="A220" s="13"/>
      <c r="B220" s="18"/>
      <c r="C220" s="19"/>
      <c r="D220" s="19"/>
      <c r="E220" s="20"/>
      <c r="F220" s="22"/>
      <c r="G220" s="36"/>
      <c r="H220" s="37"/>
      <c r="I220" s="37"/>
      <c r="J220" s="13"/>
      <c r="K220" s="18"/>
      <c r="L220" s="19"/>
      <c r="M220" s="19"/>
      <c r="N220" s="20"/>
      <c r="O220" s="22"/>
      <c r="P220" s="36"/>
      <c r="Q220" s="37"/>
      <c r="R220" s="37"/>
    </row>
    <row r="221" spans="1:18" x14ac:dyDescent="0.2">
      <c r="A221" s="13"/>
      <c r="B221" s="18"/>
      <c r="C221" s="19"/>
      <c r="D221" s="19"/>
      <c r="E221" s="20"/>
      <c r="F221" s="22"/>
      <c r="G221" s="22"/>
      <c r="H221" s="23"/>
      <c r="I221" s="23"/>
      <c r="J221" s="13"/>
      <c r="K221" s="18"/>
      <c r="L221" s="19"/>
      <c r="M221" s="19"/>
      <c r="N221" s="20"/>
      <c r="O221" s="22"/>
      <c r="P221" s="22"/>
      <c r="Q221" s="23"/>
      <c r="R221" s="23"/>
    </row>
    <row r="222" spans="1:18" x14ac:dyDescent="0.2">
      <c r="A222" s="13"/>
      <c r="B222" s="248" t="s">
        <v>30</v>
      </c>
      <c r="C222" s="249"/>
      <c r="D222" s="249"/>
      <c r="E222" s="250"/>
      <c r="F222" s="22"/>
      <c r="G222" s="22"/>
      <c r="H222" s="23"/>
      <c r="I222" s="23">
        <f>SUM(I209:I221)</f>
        <v>524.80700000000002</v>
      </c>
      <c r="J222" s="13"/>
      <c r="K222" s="248" t="s">
        <v>30</v>
      </c>
      <c r="L222" s="249"/>
      <c r="M222" s="249"/>
      <c r="N222" s="250"/>
      <c r="O222" s="22"/>
      <c r="P222" s="22"/>
      <c r="Q222" s="23"/>
      <c r="R222" s="23">
        <f>SUM(R209:R221)</f>
        <v>215.50399999999999</v>
      </c>
    </row>
    <row r="223" spans="1:18" x14ac:dyDescent="0.2">
      <c r="A223" s="12" t="s">
        <v>31</v>
      </c>
      <c r="B223" s="260" t="s">
        <v>32</v>
      </c>
      <c r="C223" s="261"/>
      <c r="D223" s="261"/>
      <c r="E223" s="261"/>
      <c r="F223" s="161"/>
      <c r="G223" s="161"/>
      <c r="H223" s="40"/>
      <c r="I223" s="41">
        <f>SUM(I222+I204)</f>
        <v>683.37699999999995</v>
      </c>
      <c r="J223" s="12" t="s">
        <v>31</v>
      </c>
      <c r="K223" s="260" t="s">
        <v>32</v>
      </c>
      <c r="L223" s="261"/>
      <c r="M223" s="261"/>
      <c r="N223" s="261"/>
      <c r="O223" s="161"/>
      <c r="P223" s="161"/>
      <c r="Q223" s="40"/>
      <c r="R223" s="41">
        <f>SUM(R222+R204)</f>
        <v>413.04399999999998</v>
      </c>
    </row>
    <row r="224" spans="1:18" x14ac:dyDescent="0.2">
      <c r="A224" s="13" t="s">
        <v>33</v>
      </c>
      <c r="B224" s="347">
        <f>E191</f>
        <v>4</v>
      </c>
      <c r="C224" s="348"/>
      <c r="D224" s="348"/>
      <c r="E224" s="348"/>
      <c r="F224" s="348"/>
      <c r="G224" s="348"/>
      <c r="H224" s="40"/>
      <c r="I224" s="41"/>
      <c r="J224" s="13" t="s">
        <v>33</v>
      </c>
      <c r="K224" s="345">
        <f>N191</f>
        <v>1</v>
      </c>
      <c r="L224" s="346"/>
      <c r="M224" s="346"/>
      <c r="N224" s="346"/>
      <c r="O224" s="346"/>
      <c r="P224" s="346"/>
      <c r="Q224" s="40"/>
      <c r="R224" s="41"/>
    </row>
    <row r="225" spans="1:18" x14ac:dyDescent="0.2">
      <c r="A225" s="13" t="s">
        <v>34</v>
      </c>
      <c r="B225" s="162" t="s">
        <v>35</v>
      </c>
      <c r="C225" s="43"/>
      <c r="D225" s="43"/>
      <c r="E225" s="161"/>
      <c r="F225" s="163"/>
      <c r="G225" s="163"/>
      <c r="H225" s="40"/>
      <c r="I225" s="41">
        <f>I223/E191</f>
        <v>170.84424999999999</v>
      </c>
      <c r="J225" s="13" t="s">
        <v>34</v>
      </c>
      <c r="K225" s="162" t="s">
        <v>35</v>
      </c>
      <c r="L225" s="43"/>
      <c r="M225" s="43"/>
      <c r="N225" s="161"/>
      <c r="O225" s="163"/>
      <c r="P225" s="163"/>
      <c r="Q225" s="40"/>
      <c r="R225" s="41">
        <f>R223/N191</f>
        <v>413.04399999999998</v>
      </c>
    </row>
    <row r="226" spans="1:18" x14ac:dyDescent="0.2">
      <c r="A226" s="12"/>
      <c r="B226" s="251" t="s">
        <v>36</v>
      </c>
      <c r="C226" s="252"/>
      <c r="D226" s="252"/>
      <c r="E226" s="253"/>
      <c r="F226" s="244" t="s">
        <v>37</v>
      </c>
      <c r="G226" s="244" t="s">
        <v>38</v>
      </c>
      <c r="H226" s="244" t="s">
        <v>39</v>
      </c>
      <c r="I226" s="246" t="s">
        <v>15</v>
      </c>
      <c r="J226" s="12"/>
      <c r="K226" s="251" t="s">
        <v>36</v>
      </c>
      <c r="L226" s="252"/>
      <c r="M226" s="252"/>
      <c r="N226" s="253"/>
      <c r="O226" s="244" t="s">
        <v>37</v>
      </c>
      <c r="P226" s="244" t="s">
        <v>38</v>
      </c>
      <c r="Q226" s="244" t="s">
        <v>39</v>
      </c>
      <c r="R226" s="246" t="s">
        <v>15</v>
      </c>
    </row>
    <row r="227" spans="1:18" x14ac:dyDescent="0.2">
      <c r="A227" s="13"/>
      <c r="B227" s="254"/>
      <c r="C227" s="255"/>
      <c r="D227" s="255"/>
      <c r="E227" s="256"/>
      <c r="F227" s="245"/>
      <c r="G227" s="245"/>
      <c r="H227" s="245"/>
      <c r="I227" s="247"/>
      <c r="J227" s="13"/>
      <c r="K227" s="254"/>
      <c r="L227" s="255"/>
      <c r="M227" s="255"/>
      <c r="N227" s="256"/>
      <c r="O227" s="245"/>
      <c r="P227" s="245"/>
      <c r="Q227" s="245"/>
      <c r="R227" s="247"/>
    </row>
    <row r="228" spans="1:18" x14ac:dyDescent="0.2">
      <c r="A228" s="13" t="s">
        <v>40</v>
      </c>
      <c r="B228" s="18" t="s">
        <v>41</v>
      </c>
      <c r="C228" s="19"/>
      <c r="D228" s="19"/>
      <c r="E228" s="20"/>
      <c r="F228" s="22"/>
      <c r="G228" s="22"/>
      <c r="H228" s="23"/>
      <c r="I228" s="23"/>
      <c r="J228" s="13" t="s">
        <v>40</v>
      </c>
      <c r="K228" s="18" t="s">
        <v>41</v>
      </c>
      <c r="L228" s="19"/>
      <c r="M228" s="19"/>
      <c r="N228" s="20"/>
      <c r="O228" s="22"/>
      <c r="P228" s="22"/>
      <c r="Q228" s="23"/>
      <c r="R228" s="23"/>
    </row>
    <row r="229" spans="1:18" x14ac:dyDescent="0.2">
      <c r="A229" s="13"/>
      <c r="B229" s="18"/>
      <c r="C229" s="19"/>
      <c r="D229" s="19"/>
      <c r="E229" s="20"/>
      <c r="F229" s="22"/>
      <c r="G229" s="22"/>
      <c r="H229" s="23"/>
      <c r="I229" s="23"/>
      <c r="J229" s="13"/>
      <c r="K229" s="18"/>
      <c r="L229" s="19"/>
      <c r="M229" s="19"/>
      <c r="N229" s="20"/>
      <c r="O229" s="22"/>
      <c r="P229" s="22"/>
      <c r="Q229" s="23"/>
      <c r="R229" s="23"/>
    </row>
    <row r="230" spans="1:18" x14ac:dyDescent="0.2">
      <c r="A230" s="13"/>
      <c r="B230" s="18" t="s">
        <v>645</v>
      </c>
      <c r="C230" s="66"/>
      <c r="D230" s="19"/>
      <c r="E230" s="20"/>
      <c r="F230" s="62" t="s">
        <v>1153</v>
      </c>
      <c r="G230" s="62">
        <v>1</v>
      </c>
      <c r="H230" s="107">
        <v>690</v>
      </c>
      <c r="I230" s="23">
        <f>G230*H230</f>
        <v>690</v>
      </c>
      <c r="J230" s="13"/>
      <c r="K230" s="18" t="s">
        <v>425</v>
      </c>
      <c r="L230" s="66"/>
      <c r="M230" s="19"/>
      <c r="N230" s="20"/>
      <c r="O230" s="22" t="s">
        <v>227</v>
      </c>
      <c r="P230" s="70">
        <v>1.32</v>
      </c>
      <c r="Q230" s="107">
        <v>220</v>
      </c>
      <c r="R230" s="23">
        <f>Q230*P230</f>
        <v>290.40000000000003</v>
      </c>
    </row>
    <row r="231" spans="1:18" x14ac:dyDescent="0.2">
      <c r="A231" s="13"/>
      <c r="B231" s="18" t="s">
        <v>646</v>
      </c>
      <c r="C231" s="66"/>
      <c r="D231" s="19"/>
      <c r="E231" s="20"/>
      <c r="F231" s="62"/>
      <c r="G231" s="70"/>
      <c r="I231" s="23">
        <f>I230*0.05</f>
        <v>34.5</v>
      </c>
      <c r="J231" s="13"/>
      <c r="K231" s="18" t="s">
        <v>567</v>
      </c>
      <c r="L231" s="66"/>
      <c r="M231" s="19"/>
      <c r="N231" s="20"/>
      <c r="O231" s="22" t="s">
        <v>9</v>
      </c>
      <c r="P231" s="22">
        <v>7.2999999999999995E-2</v>
      </c>
      <c r="Q231" s="107">
        <v>850</v>
      </c>
      <c r="R231" s="23">
        <f>Q231*P231</f>
        <v>62.05</v>
      </c>
    </row>
    <row r="232" spans="1:18" x14ac:dyDescent="0.2">
      <c r="A232" s="13"/>
      <c r="B232" s="18"/>
      <c r="C232" s="19"/>
      <c r="D232" s="19"/>
      <c r="E232" s="20"/>
      <c r="F232" s="62"/>
      <c r="G232" s="70"/>
      <c r="H232" s="23"/>
      <c r="I232" s="23"/>
      <c r="J232" s="13"/>
      <c r="K232" s="18" t="s">
        <v>496</v>
      </c>
      <c r="L232" s="66"/>
      <c r="M232" s="19"/>
      <c r="N232" s="20"/>
      <c r="O232" s="22" t="s">
        <v>9</v>
      </c>
      <c r="P232" s="70">
        <v>0.14499999999999999</v>
      </c>
      <c r="Q232" s="107">
        <v>650</v>
      </c>
      <c r="R232" s="23">
        <f>Q232*P232</f>
        <v>94.25</v>
      </c>
    </row>
    <row r="233" spans="1:18" x14ac:dyDescent="0.2">
      <c r="A233" s="13"/>
      <c r="B233" s="18"/>
      <c r="C233" s="19"/>
      <c r="D233" s="19"/>
      <c r="E233" s="20"/>
      <c r="F233" s="22"/>
      <c r="G233" s="62"/>
      <c r="H233" s="23"/>
      <c r="I233" s="23"/>
      <c r="J233" s="13"/>
      <c r="K233" s="18" t="s">
        <v>624</v>
      </c>
      <c r="L233" s="66"/>
      <c r="M233" s="19"/>
      <c r="N233" s="20"/>
      <c r="O233" s="22" t="s">
        <v>413</v>
      </c>
      <c r="P233" s="62">
        <v>8</v>
      </c>
      <c r="Q233" s="107">
        <v>40</v>
      </c>
      <c r="R233" s="23">
        <f>(Q233*P233)/4</f>
        <v>80</v>
      </c>
    </row>
    <row r="234" spans="1:18" x14ac:dyDescent="0.2">
      <c r="A234" s="13"/>
      <c r="B234" s="18"/>
      <c r="C234" s="19"/>
      <c r="D234" s="19"/>
      <c r="E234" s="20"/>
      <c r="F234" s="22"/>
      <c r="G234" s="70"/>
      <c r="H234" s="23"/>
      <c r="I234" s="23"/>
      <c r="J234" s="13"/>
      <c r="K234" s="18" t="s">
        <v>1305</v>
      </c>
      <c r="L234" s="66"/>
      <c r="M234" s="19"/>
      <c r="N234" s="20"/>
      <c r="O234" s="22" t="s">
        <v>66</v>
      </c>
      <c r="P234" s="62">
        <v>3.1</v>
      </c>
      <c r="Q234" s="107">
        <f>3180/6</f>
        <v>530</v>
      </c>
      <c r="R234" s="23">
        <f>Q234*P234</f>
        <v>1643</v>
      </c>
    </row>
    <row r="235" spans="1:18" x14ac:dyDescent="0.2">
      <c r="A235" s="13"/>
      <c r="B235" s="18"/>
      <c r="C235" s="19"/>
      <c r="D235" s="19"/>
      <c r="E235" s="20"/>
      <c r="F235" s="22"/>
      <c r="G235" s="62"/>
      <c r="H235" s="23"/>
      <c r="I235" s="23"/>
      <c r="J235" s="13"/>
      <c r="K235" s="18" t="s">
        <v>627</v>
      </c>
      <c r="L235" s="66"/>
      <c r="M235" s="19"/>
      <c r="N235" s="20"/>
      <c r="O235" s="22" t="s">
        <v>77</v>
      </c>
      <c r="P235" s="62">
        <v>2</v>
      </c>
      <c r="Q235" s="107">
        <v>48</v>
      </c>
      <c r="R235" s="23">
        <f>Q235*P235</f>
        <v>96</v>
      </c>
    </row>
    <row r="236" spans="1:18" x14ac:dyDescent="0.2">
      <c r="A236" s="13"/>
      <c r="B236" s="18"/>
      <c r="C236" s="19"/>
      <c r="D236" s="19"/>
      <c r="E236" s="20"/>
      <c r="F236" s="22"/>
      <c r="G236" s="22"/>
      <c r="H236" s="23"/>
      <c r="I236" s="23"/>
      <c r="J236" s="13"/>
      <c r="K236" s="18" t="s">
        <v>1306</v>
      </c>
      <c r="L236" s="66"/>
      <c r="M236" s="19"/>
      <c r="N236" s="20"/>
      <c r="O236" s="22" t="s">
        <v>80</v>
      </c>
      <c r="P236" s="62">
        <v>12</v>
      </c>
      <c r="Q236" s="107">
        <v>10</v>
      </c>
      <c r="R236" s="23">
        <f>Q236*P236</f>
        <v>120</v>
      </c>
    </row>
    <row r="237" spans="1:18" x14ac:dyDescent="0.2">
      <c r="A237" s="13"/>
      <c r="B237" s="18"/>
      <c r="C237" s="19"/>
      <c r="D237" s="19"/>
      <c r="E237" s="20"/>
      <c r="F237" s="22"/>
      <c r="G237" s="22"/>
      <c r="H237" s="23"/>
      <c r="I237" s="23"/>
      <c r="J237" s="13"/>
      <c r="K237" s="18" t="s">
        <v>628</v>
      </c>
      <c r="L237" s="66"/>
      <c r="M237" s="19"/>
      <c r="N237" s="20"/>
      <c r="O237" s="22" t="s">
        <v>80</v>
      </c>
      <c r="P237" s="62">
        <v>1</v>
      </c>
      <c r="Q237" s="165">
        <v>5450</v>
      </c>
      <c r="R237" s="23">
        <f>Q237*P237</f>
        <v>5450</v>
      </c>
    </row>
    <row r="238" spans="1:18" x14ac:dyDescent="0.2">
      <c r="A238" s="13"/>
      <c r="B238" s="18"/>
      <c r="C238" s="19"/>
      <c r="D238" s="19"/>
      <c r="E238" s="20"/>
      <c r="F238" s="22"/>
      <c r="G238" s="22"/>
      <c r="H238" s="23"/>
      <c r="I238" s="23"/>
      <c r="J238" s="13"/>
      <c r="K238" s="18" t="s">
        <v>629</v>
      </c>
      <c r="L238" s="19"/>
      <c r="M238" s="19"/>
      <c r="N238" s="20"/>
      <c r="O238" s="22" t="s">
        <v>77</v>
      </c>
      <c r="P238" s="62">
        <f>ROUND(P233/100,2)</f>
        <v>0.08</v>
      </c>
      <c r="Q238" s="107">
        <v>68</v>
      </c>
      <c r="R238" s="23">
        <f>Q238*P238</f>
        <v>5.44</v>
      </c>
    </row>
    <row r="239" spans="1:18" x14ac:dyDescent="0.2">
      <c r="A239" s="13"/>
      <c r="B239" s="18"/>
      <c r="C239" s="19"/>
      <c r="D239" s="19"/>
      <c r="E239" s="20"/>
      <c r="F239" s="22"/>
      <c r="G239" s="22"/>
      <c r="H239" s="23"/>
      <c r="I239" s="23"/>
      <c r="J239" s="13"/>
      <c r="K239" s="18"/>
      <c r="L239" s="19"/>
      <c r="M239" s="19"/>
      <c r="N239" s="20"/>
      <c r="O239" s="22"/>
      <c r="P239" s="22"/>
      <c r="Q239" s="107"/>
      <c r="R239" s="23"/>
    </row>
    <row r="240" spans="1:18" x14ac:dyDescent="0.2">
      <c r="A240" s="13"/>
      <c r="B240" s="18"/>
      <c r="C240" s="19"/>
      <c r="D240" s="19"/>
      <c r="E240" s="20"/>
      <c r="F240" s="22"/>
      <c r="G240" s="22"/>
      <c r="H240" s="23"/>
      <c r="I240" s="23"/>
      <c r="J240" s="13"/>
      <c r="K240" s="18"/>
      <c r="L240" s="19"/>
      <c r="M240" s="19"/>
      <c r="N240" s="20"/>
      <c r="O240" s="22"/>
      <c r="P240" s="22"/>
      <c r="Q240" s="107"/>
      <c r="R240" s="23"/>
    </row>
    <row r="241" spans="1:18" x14ac:dyDescent="0.2">
      <c r="A241" s="13"/>
      <c r="B241" s="18"/>
      <c r="C241" s="19"/>
      <c r="D241" s="19"/>
      <c r="E241" s="20"/>
      <c r="F241" s="22"/>
      <c r="G241" s="36"/>
      <c r="H241" s="37"/>
      <c r="I241" s="37"/>
      <c r="J241" s="13"/>
      <c r="K241" s="18"/>
      <c r="L241" s="19"/>
      <c r="M241" s="19"/>
      <c r="N241" s="20"/>
      <c r="O241" s="22"/>
      <c r="P241" s="36"/>
      <c r="Q241" s="37"/>
      <c r="R241" s="37"/>
    </row>
    <row r="242" spans="1:18" x14ac:dyDescent="0.2">
      <c r="A242" s="13"/>
      <c r="B242" s="18"/>
      <c r="C242" s="19"/>
      <c r="D242" s="19"/>
      <c r="E242" s="20"/>
      <c r="F242" s="22"/>
      <c r="G242" s="36"/>
      <c r="H242" s="37"/>
      <c r="I242" s="37"/>
      <c r="J242" s="13"/>
      <c r="K242" s="18"/>
      <c r="L242" s="19"/>
      <c r="M242" s="19"/>
      <c r="N242" s="20"/>
      <c r="O242" s="22"/>
      <c r="P242" s="36"/>
      <c r="Q242" s="37"/>
      <c r="R242" s="37"/>
    </row>
    <row r="243" spans="1:18" x14ac:dyDescent="0.2">
      <c r="A243" s="13"/>
      <c r="B243" s="248" t="s">
        <v>42</v>
      </c>
      <c r="C243" s="249"/>
      <c r="D243" s="249"/>
      <c r="E243" s="250"/>
      <c r="F243" s="46"/>
      <c r="G243" s="46"/>
      <c r="H243" s="47"/>
      <c r="I243" s="47">
        <f>SUM(I230:I241)</f>
        <v>724.5</v>
      </c>
      <c r="J243" s="13"/>
      <c r="K243" s="248" t="s">
        <v>42</v>
      </c>
      <c r="L243" s="249"/>
      <c r="M243" s="249"/>
      <c r="N243" s="250"/>
      <c r="O243" s="46"/>
      <c r="P243" s="46"/>
      <c r="Q243" s="47"/>
      <c r="R243" s="47">
        <f>SUM(R230:R241)</f>
        <v>7841.1399999999994</v>
      </c>
    </row>
    <row r="244" spans="1:18" x14ac:dyDescent="0.2">
      <c r="A244" s="12" t="s">
        <v>43</v>
      </c>
      <c r="B244" s="48" t="s">
        <v>44</v>
      </c>
      <c r="C244" s="43"/>
      <c r="D244" s="43"/>
      <c r="E244" s="161"/>
      <c r="F244" s="49"/>
      <c r="G244" s="49"/>
      <c r="H244" s="50"/>
      <c r="I244" s="51">
        <f>SUM(I225+I243)</f>
        <v>895.34424999999999</v>
      </c>
      <c r="J244" s="12" t="s">
        <v>43</v>
      </c>
      <c r="K244" s="48" t="s">
        <v>44</v>
      </c>
      <c r="L244" s="43"/>
      <c r="M244" s="43"/>
      <c r="N244" s="161"/>
      <c r="O244" s="49"/>
      <c r="P244" s="49"/>
      <c r="Q244" s="50"/>
      <c r="R244" s="51">
        <f>SUM(R225+R243)</f>
        <v>8254.1839999999993</v>
      </c>
    </row>
    <row r="245" spans="1:18" x14ac:dyDescent="0.2">
      <c r="A245" s="13" t="s">
        <v>45</v>
      </c>
      <c r="B245" s="48" t="s">
        <v>46</v>
      </c>
      <c r="C245" s="43"/>
      <c r="D245" s="43"/>
      <c r="E245" s="161"/>
      <c r="F245" s="49"/>
      <c r="G245" s="52">
        <v>0.09</v>
      </c>
      <c r="H245" s="53" t="s">
        <v>47</v>
      </c>
      <c r="I245" s="51">
        <f>G245*I244</f>
        <v>80.58098249999999</v>
      </c>
      <c r="J245" s="13" t="s">
        <v>45</v>
      </c>
      <c r="K245" s="48" t="s">
        <v>46</v>
      </c>
      <c r="L245" s="43"/>
      <c r="M245" s="43"/>
      <c r="N245" s="161"/>
      <c r="O245" s="49"/>
      <c r="P245" s="52">
        <v>0.09</v>
      </c>
      <c r="Q245" s="53" t="s">
        <v>47</v>
      </c>
      <c r="R245" s="51">
        <f>P245*R244</f>
        <v>742.87655999999993</v>
      </c>
    </row>
    <row r="246" spans="1:18" x14ac:dyDescent="0.2">
      <c r="A246" s="13" t="s">
        <v>48</v>
      </c>
      <c r="B246" s="48" t="s">
        <v>49</v>
      </c>
      <c r="C246" s="43"/>
      <c r="D246" s="43"/>
      <c r="E246" s="161"/>
      <c r="F246" s="49"/>
      <c r="G246" s="52">
        <v>0.08</v>
      </c>
      <c r="H246" s="53" t="s">
        <v>47</v>
      </c>
      <c r="I246" s="51">
        <f>G246*I244</f>
        <v>71.627539999999996</v>
      </c>
      <c r="J246" s="13" t="s">
        <v>48</v>
      </c>
      <c r="K246" s="48" t="s">
        <v>49</v>
      </c>
      <c r="L246" s="43"/>
      <c r="M246" s="43"/>
      <c r="N246" s="161"/>
      <c r="O246" s="49"/>
      <c r="P246" s="52">
        <v>0.08</v>
      </c>
      <c r="Q246" s="53" t="s">
        <v>47</v>
      </c>
      <c r="R246" s="51">
        <f>P246*R244</f>
        <v>660.33471999999995</v>
      </c>
    </row>
    <row r="247" spans="1:18" x14ac:dyDescent="0.2">
      <c r="A247" s="13" t="s">
        <v>50</v>
      </c>
      <c r="B247" s="48" t="s">
        <v>51</v>
      </c>
      <c r="C247" s="43"/>
      <c r="D247" s="43"/>
      <c r="E247" s="161"/>
      <c r="F247" s="49"/>
      <c r="G247" s="52">
        <v>0.05</v>
      </c>
      <c r="H247" s="53" t="s">
        <v>52</v>
      </c>
      <c r="I247" s="51">
        <f>G247*(I244+I245+I246)</f>
        <v>52.377638625000003</v>
      </c>
      <c r="J247" s="13" t="s">
        <v>50</v>
      </c>
      <c r="K247" s="48" t="s">
        <v>51</v>
      </c>
      <c r="L247" s="43"/>
      <c r="M247" s="43"/>
      <c r="N247" s="161"/>
      <c r="O247" s="49"/>
      <c r="P247" s="52">
        <v>0.05</v>
      </c>
      <c r="Q247" s="53" t="s">
        <v>52</v>
      </c>
      <c r="R247" s="51">
        <f>P247*(R244+R245+R246)</f>
        <v>482.86976400000003</v>
      </c>
    </row>
    <row r="248" spans="1:18" x14ac:dyDescent="0.2">
      <c r="A248" s="54" t="s">
        <v>53</v>
      </c>
      <c r="B248" s="48" t="s">
        <v>54</v>
      </c>
      <c r="C248" s="43"/>
      <c r="D248" s="43"/>
      <c r="E248" s="161"/>
      <c r="F248" s="49"/>
      <c r="G248" s="49"/>
      <c r="H248" s="55" t="s">
        <v>55</v>
      </c>
      <c r="I248" s="51">
        <f>SUM(I244+I245+I246+I247)</f>
        <v>1099.9304111249999</v>
      </c>
      <c r="J248" s="54" t="s">
        <v>53</v>
      </c>
      <c r="K248" s="48" t="s">
        <v>54</v>
      </c>
      <c r="L248" s="43"/>
      <c r="M248" s="43"/>
      <c r="N248" s="161"/>
      <c r="O248" s="49"/>
      <c r="P248" s="49"/>
      <c r="Q248" s="55" t="s">
        <v>55</v>
      </c>
      <c r="R248" s="51">
        <f>SUM(R244+R245+R246+R247)</f>
        <v>10140.265044</v>
      </c>
    </row>
    <row r="249" spans="1:18" s="1" customFormat="1" x14ac:dyDescent="0.2">
      <c r="A249" s="236" t="s">
        <v>0</v>
      </c>
      <c r="B249" s="236"/>
      <c r="C249" s="236"/>
      <c r="D249" s="236"/>
      <c r="E249" s="236"/>
      <c r="F249" s="236"/>
      <c r="G249" s="236"/>
      <c r="H249" s="236"/>
      <c r="I249" s="236"/>
      <c r="J249" s="236" t="s">
        <v>0</v>
      </c>
      <c r="K249" s="236"/>
      <c r="L249" s="236"/>
      <c r="M249" s="236"/>
      <c r="N249" s="236"/>
      <c r="O249" s="236"/>
      <c r="P249" s="236"/>
      <c r="Q249" s="236"/>
      <c r="R249" s="236"/>
    </row>
    <row r="251" spans="1:18" x14ac:dyDescent="0.2">
      <c r="A251" s="158" t="s">
        <v>1</v>
      </c>
      <c r="C251" s="4" t="s">
        <v>2</v>
      </c>
      <c r="D251" s="5" t="s">
        <v>647</v>
      </c>
      <c r="E251" s="8" t="s">
        <v>648</v>
      </c>
      <c r="F251" s="8"/>
      <c r="G251" s="8"/>
      <c r="H251" s="8"/>
      <c r="I251" s="8"/>
      <c r="J251" s="158" t="s">
        <v>1</v>
      </c>
      <c r="L251" s="4" t="s">
        <v>2</v>
      </c>
      <c r="M251" s="5" t="s">
        <v>649</v>
      </c>
      <c r="N251" s="237" t="s">
        <v>650</v>
      </c>
      <c r="O251" s="237"/>
      <c r="P251" s="237"/>
      <c r="Q251" s="237"/>
    </row>
    <row r="252" spans="1:18" x14ac:dyDescent="0.2">
      <c r="A252" s="158" t="s">
        <v>7</v>
      </c>
      <c r="C252" s="4" t="s">
        <v>2</v>
      </c>
      <c r="E252" s="158" t="s">
        <v>80</v>
      </c>
      <c r="F252" s="8"/>
      <c r="G252" s="8"/>
      <c r="H252" s="8"/>
      <c r="J252" s="158" t="s">
        <v>7</v>
      </c>
      <c r="L252" s="4" t="s">
        <v>2</v>
      </c>
      <c r="M252" s="8"/>
      <c r="N252" s="158" t="s">
        <v>59</v>
      </c>
      <c r="O252" s="8"/>
      <c r="P252" s="8"/>
      <c r="Q252" s="8"/>
    </row>
    <row r="253" spans="1:18" x14ac:dyDescent="0.2">
      <c r="A253" s="158" t="s">
        <v>10</v>
      </c>
      <c r="C253" s="4" t="s">
        <v>2</v>
      </c>
      <c r="E253" s="9">
        <v>4</v>
      </c>
      <c r="F253" s="8"/>
      <c r="G253" s="8"/>
      <c r="H253" s="8"/>
      <c r="J253" s="158" t="s">
        <v>10</v>
      </c>
      <c r="L253" s="4" t="s">
        <v>2</v>
      </c>
      <c r="M253" s="8"/>
      <c r="N253" s="9">
        <v>1</v>
      </c>
      <c r="O253" s="8"/>
      <c r="P253" s="8"/>
      <c r="Q253" s="8"/>
    </row>
    <row r="254" spans="1:18" x14ac:dyDescent="0.2">
      <c r="B254" s="8"/>
      <c r="F254" s="11"/>
      <c r="G254" s="8"/>
      <c r="H254" s="8"/>
      <c r="I254" s="8"/>
      <c r="K254" s="8"/>
      <c r="O254" s="11"/>
      <c r="P254" s="8"/>
      <c r="Q254" s="8"/>
      <c r="R254" s="8"/>
    </row>
    <row r="255" spans="1:18" x14ac:dyDescent="0.2">
      <c r="A255" s="12"/>
      <c r="B255" s="238" t="s">
        <v>11</v>
      </c>
      <c r="C255" s="239"/>
      <c r="D255" s="239"/>
      <c r="E255" s="240"/>
      <c r="F255" s="244" t="s">
        <v>12</v>
      </c>
      <c r="G255" s="244" t="s">
        <v>13</v>
      </c>
      <c r="H255" s="244" t="s">
        <v>14</v>
      </c>
      <c r="I255" s="246" t="s">
        <v>15</v>
      </c>
      <c r="J255" s="12"/>
      <c r="K255" s="238" t="s">
        <v>11</v>
      </c>
      <c r="L255" s="239"/>
      <c r="M255" s="239"/>
      <c r="N255" s="240"/>
      <c r="O255" s="244" t="s">
        <v>12</v>
      </c>
      <c r="P255" s="244" t="s">
        <v>13</v>
      </c>
      <c r="Q255" s="244" t="s">
        <v>14</v>
      </c>
      <c r="R255" s="246" t="s">
        <v>15</v>
      </c>
    </row>
    <row r="256" spans="1:18" x14ac:dyDescent="0.2">
      <c r="A256" s="13"/>
      <c r="B256" s="241"/>
      <c r="C256" s="242"/>
      <c r="D256" s="242"/>
      <c r="E256" s="243"/>
      <c r="F256" s="245"/>
      <c r="G256" s="245"/>
      <c r="H256" s="245"/>
      <c r="I256" s="247"/>
      <c r="J256" s="13"/>
      <c r="K256" s="241"/>
      <c r="L256" s="242"/>
      <c r="M256" s="242"/>
      <c r="N256" s="243"/>
      <c r="O256" s="245"/>
      <c r="P256" s="245"/>
      <c r="Q256" s="245"/>
      <c r="R256" s="247"/>
    </row>
    <row r="257" spans="1:18" x14ac:dyDescent="0.2">
      <c r="A257" s="13" t="s">
        <v>16</v>
      </c>
      <c r="B257" s="14" t="s">
        <v>17</v>
      </c>
      <c r="C257" s="15"/>
      <c r="D257" s="15"/>
      <c r="E257" s="16"/>
      <c r="F257" s="17"/>
      <c r="G257" s="17"/>
      <c r="H257" s="17"/>
      <c r="I257" s="17"/>
      <c r="J257" s="13" t="s">
        <v>16</v>
      </c>
      <c r="K257" s="14" t="s">
        <v>17</v>
      </c>
      <c r="L257" s="15"/>
      <c r="M257" s="15"/>
      <c r="N257" s="16"/>
      <c r="O257" s="17"/>
      <c r="P257" s="17"/>
      <c r="Q257" s="17"/>
      <c r="R257" s="17"/>
    </row>
    <row r="258" spans="1:18" x14ac:dyDescent="0.2">
      <c r="A258" s="13"/>
      <c r="B258" s="18"/>
      <c r="C258" s="19"/>
      <c r="D258" s="19"/>
      <c r="E258" s="20"/>
      <c r="F258" s="21"/>
      <c r="G258" s="22"/>
      <c r="H258" s="21"/>
      <c r="I258" s="21"/>
      <c r="J258" s="13"/>
      <c r="K258" s="18"/>
      <c r="L258" s="19"/>
      <c r="M258" s="19"/>
      <c r="N258" s="20"/>
      <c r="O258" s="21"/>
      <c r="P258" s="22"/>
      <c r="Q258" s="21"/>
      <c r="R258" s="21"/>
    </row>
    <row r="259" spans="1:18" x14ac:dyDescent="0.2">
      <c r="A259" s="13"/>
      <c r="B259" s="24" t="s">
        <v>18</v>
      </c>
      <c r="C259" s="25"/>
      <c r="D259" s="25"/>
      <c r="E259" s="26"/>
      <c r="F259" s="22">
        <v>1</v>
      </c>
      <c r="G259" s="23">
        <v>1</v>
      </c>
      <c r="H259" s="23">
        <v>69.42</v>
      </c>
      <c r="I259" s="23">
        <f>G259*H259*F259</f>
        <v>69.42</v>
      </c>
      <c r="J259" s="13"/>
      <c r="K259" s="24" t="s">
        <v>18</v>
      </c>
      <c r="L259" s="25"/>
      <c r="M259" s="25"/>
      <c r="N259" s="26"/>
      <c r="O259" s="22">
        <v>1</v>
      </c>
      <c r="P259" s="23">
        <v>1</v>
      </c>
      <c r="Q259" s="23">
        <v>69.42</v>
      </c>
      <c r="R259" s="23">
        <f>O259*P259*Q259</f>
        <v>69.42</v>
      </c>
    </row>
    <row r="260" spans="1:18" x14ac:dyDescent="0.2">
      <c r="A260" s="13"/>
      <c r="B260" s="257" t="s">
        <v>1178</v>
      </c>
      <c r="C260" s="258"/>
      <c r="D260" s="25"/>
      <c r="E260" s="26"/>
      <c r="F260" s="22">
        <v>1</v>
      </c>
      <c r="G260" s="23">
        <v>1</v>
      </c>
      <c r="H260" s="23">
        <v>50.18</v>
      </c>
      <c r="I260" s="23">
        <f>G260*H260*F260</f>
        <v>50.18</v>
      </c>
      <c r="J260" s="13"/>
      <c r="K260" s="257" t="s">
        <v>1178</v>
      </c>
      <c r="L260" s="258"/>
      <c r="M260" s="25"/>
      <c r="N260" s="26"/>
      <c r="O260" s="22">
        <v>1</v>
      </c>
      <c r="P260" s="23">
        <v>1</v>
      </c>
      <c r="Q260" s="23">
        <v>50.18</v>
      </c>
      <c r="R260" s="23">
        <f>O260*P260*Q260</f>
        <v>50.18</v>
      </c>
    </row>
    <row r="261" spans="1:18" x14ac:dyDescent="0.2">
      <c r="A261" s="13"/>
      <c r="B261" s="257" t="s">
        <v>1177</v>
      </c>
      <c r="C261" s="258"/>
      <c r="D261" s="19"/>
      <c r="E261" s="20"/>
      <c r="F261" s="22">
        <v>1</v>
      </c>
      <c r="G261" s="23">
        <v>1</v>
      </c>
      <c r="H261" s="23">
        <v>38.97</v>
      </c>
      <c r="I261" s="23">
        <f>G261*H261*F261</f>
        <v>38.97</v>
      </c>
      <c r="J261" s="13"/>
      <c r="K261" s="257" t="s">
        <v>1177</v>
      </c>
      <c r="L261" s="258"/>
      <c r="M261" s="19"/>
      <c r="N261" s="20"/>
      <c r="O261" s="22">
        <v>2</v>
      </c>
      <c r="P261" s="23">
        <v>1</v>
      </c>
      <c r="Q261" s="23">
        <v>38.97</v>
      </c>
      <c r="R261" s="23">
        <f>O261*P261*Q261</f>
        <v>77.94</v>
      </c>
    </row>
    <row r="262" spans="1:18" ht="15" customHeight="1" x14ac:dyDescent="0.2">
      <c r="A262" s="13"/>
      <c r="B262" s="159"/>
      <c r="C262" s="160"/>
      <c r="D262" s="19"/>
      <c r="E262" s="20"/>
      <c r="F262" s="22"/>
      <c r="G262" s="22"/>
      <c r="H262" s="29"/>
      <c r="I262" s="30"/>
      <c r="J262" s="13"/>
      <c r="K262" s="159"/>
      <c r="L262" s="19"/>
      <c r="M262" s="19"/>
      <c r="N262" s="20"/>
      <c r="O262" s="22"/>
      <c r="P262" s="22"/>
      <c r="Q262" s="29"/>
      <c r="R262" s="30"/>
    </row>
    <row r="263" spans="1:18" x14ac:dyDescent="0.2">
      <c r="A263" s="13"/>
      <c r="B263" s="159"/>
      <c r="C263" s="160"/>
      <c r="D263" s="19"/>
      <c r="E263" s="20"/>
      <c r="F263" s="22"/>
      <c r="G263" s="22"/>
      <c r="H263" s="29"/>
      <c r="I263" s="30"/>
      <c r="J263" s="13"/>
      <c r="K263" s="159"/>
      <c r="L263" s="19"/>
      <c r="M263" s="19"/>
      <c r="N263" s="20"/>
      <c r="O263" s="22"/>
      <c r="P263" s="22"/>
      <c r="Q263" s="29"/>
      <c r="R263" s="30"/>
    </row>
    <row r="264" spans="1:18" x14ac:dyDescent="0.2">
      <c r="A264" s="13"/>
      <c r="B264" s="257"/>
      <c r="C264" s="258"/>
      <c r="D264" s="19"/>
      <c r="E264" s="20"/>
      <c r="F264" s="22"/>
      <c r="G264" s="22"/>
      <c r="H264" s="23"/>
      <c r="I264" s="23"/>
      <c r="J264" s="13"/>
      <c r="K264" s="18"/>
      <c r="L264" s="19"/>
      <c r="M264" s="19"/>
      <c r="N264" s="20"/>
      <c r="O264" s="22"/>
      <c r="P264" s="22"/>
      <c r="Q264" s="28"/>
      <c r="R264" s="23"/>
    </row>
    <row r="265" spans="1:18" x14ac:dyDescent="0.2">
      <c r="A265" s="13"/>
      <c r="B265" s="257"/>
      <c r="C265" s="258"/>
      <c r="D265" s="19"/>
      <c r="E265" s="20"/>
      <c r="F265" s="22"/>
      <c r="G265" s="22"/>
      <c r="H265" s="23"/>
      <c r="I265" s="23"/>
      <c r="J265" s="13"/>
      <c r="K265" s="18"/>
      <c r="L265" s="19"/>
      <c r="M265" s="19"/>
      <c r="N265" s="20"/>
      <c r="O265" s="22"/>
      <c r="P265" s="22"/>
      <c r="Q265" s="23"/>
      <c r="R265" s="23"/>
    </row>
    <row r="266" spans="1:18" x14ac:dyDescent="0.2">
      <c r="A266" s="13"/>
      <c r="B266" s="248" t="s">
        <v>20</v>
      </c>
      <c r="C266" s="249"/>
      <c r="D266" s="249"/>
      <c r="E266" s="250"/>
      <c r="F266" s="31"/>
      <c r="G266" s="31"/>
      <c r="H266" s="32"/>
      <c r="I266" s="32">
        <f>SUM(I259:I265)</f>
        <v>158.57</v>
      </c>
      <c r="J266" s="13"/>
      <c r="K266" s="248" t="s">
        <v>20</v>
      </c>
      <c r="L266" s="249"/>
      <c r="M266" s="249"/>
      <c r="N266" s="250"/>
      <c r="O266" s="31"/>
      <c r="P266" s="31"/>
      <c r="Q266" s="32"/>
      <c r="R266" s="32">
        <f>SUM(R259:R265)</f>
        <v>197.54</v>
      </c>
    </row>
    <row r="267" spans="1:18" x14ac:dyDescent="0.2">
      <c r="A267" s="12"/>
      <c r="B267" s="251" t="s">
        <v>21</v>
      </c>
      <c r="C267" s="252"/>
      <c r="D267" s="252"/>
      <c r="E267" s="253"/>
      <c r="F267" s="244" t="s">
        <v>22</v>
      </c>
      <c r="G267" s="244" t="s">
        <v>13</v>
      </c>
      <c r="H267" s="244" t="s">
        <v>14</v>
      </c>
      <c r="I267" s="246" t="s">
        <v>15</v>
      </c>
      <c r="J267" s="12"/>
      <c r="K267" s="251" t="s">
        <v>21</v>
      </c>
      <c r="L267" s="252"/>
      <c r="M267" s="252"/>
      <c r="N267" s="253"/>
      <c r="O267" s="244" t="s">
        <v>22</v>
      </c>
      <c r="P267" s="244" t="s">
        <v>13</v>
      </c>
      <c r="Q267" s="244" t="s">
        <v>14</v>
      </c>
      <c r="R267" s="246" t="s">
        <v>15</v>
      </c>
    </row>
    <row r="268" spans="1:18" x14ac:dyDescent="0.2">
      <c r="A268" s="13"/>
      <c r="B268" s="254"/>
      <c r="C268" s="255"/>
      <c r="D268" s="255"/>
      <c r="E268" s="256"/>
      <c r="F268" s="245"/>
      <c r="G268" s="245"/>
      <c r="H268" s="245"/>
      <c r="I268" s="247"/>
      <c r="J268" s="13"/>
      <c r="K268" s="254"/>
      <c r="L268" s="255"/>
      <c r="M268" s="255"/>
      <c r="N268" s="256"/>
      <c r="O268" s="245"/>
      <c r="P268" s="245"/>
      <c r="Q268" s="245"/>
      <c r="R268" s="247"/>
    </row>
    <row r="269" spans="1:18" x14ac:dyDescent="0.2">
      <c r="A269" s="13" t="s">
        <v>23</v>
      </c>
      <c r="B269" s="33" t="s">
        <v>24</v>
      </c>
      <c r="C269" s="15"/>
      <c r="D269" s="15"/>
      <c r="E269" s="16"/>
      <c r="F269" s="34"/>
      <c r="G269" s="34"/>
      <c r="H269" s="35"/>
      <c r="I269" s="35"/>
      <c r="J269" s="13" t="s">
        <v>23</v>
      </c>
      <c r="K269" s="33" t="s">
        <v>24</v>
      </c>
      <c r="L269" s="15"/>
      <c r="M269" s="15"/>
      <c r="N269" s="16"/>
      <c r="O269" s="34"/>
      <c r="P269" s="34"/>
      <c r="Q269" s="35"/>
      <c r="R269" s="35"/>
    </row>
    <row r="270" spans="1:18" x14ac:dyDescent="0.2">
      <c r="A270" s="13"/>
      <c r="B270" s="18"/>
      <c r="C270" s="19"/>
      <c r="D270" s="19"/>
      <c r="E270" s="20"/>
      <c r="F270" s="22"/>
      <c r="G270" s="22"/>
      <c r="H270" s="23"/>
      <c r="I270" s="23"/>
      <c r="J270" s="13"/>
      <c r="K270" s="18"/>
      <c r="L270" s="19"/>
      <c r="M270" s="19"/>
      <c r="N270" s="20"/>
      <c r="O270" s="22"/>
      <c r="P270" s="22"/>
      <c r="Q270" s="23"/>
      <c r="R270" s="23"/>
    </row>
    <row r="271" spans="1:18" ht="17.25" customHeight="1" x14ac:dyDescent="0.2">
      <c r="A271" s="13"/>
      <c r="B271" s="18" t="s">
        <v>1149</v>
      </c>
      <c r="C271" s="66"/>
      <c r="D271" s="19"/>
      <c r="E271" s="20"/>
      <c r="F271" s="22">
        <v>1</v>
      </c>
      <c r="G271" s="23">
        <v>0.5</v>
      </c>
      <c r="H271" s="37">
        <v>1017.9</v>
      </c>
      <c r="I271" s="37">
        <f>F271*G271*H271</f>
        <v>508.95</v>
      </c>
      <c r="J271" s="13"/>
      <c r="K271" s="18" t="s">
        <v>1277</v>
      </c>
      <c r="L271" s="19"/>
      <c r="M271" s="19"/>
      <c r="N271" s="20"/>
      <c r="O271" s="22">
        <v>1</v>
      </c>
      <c r="P271" s="23">
        <v>0.25</v>
      </c>
      <c r="Q271" s="37">
        <v>783</v>
      </c>
      <c r="R271" s="37">
        <f>P271*Q271*O271</f>
        <v>195.75</v>
      </c>
    </row>
    <row r="272" spans="1:18" ht="17.25" customHeight="1" x14ac:dyDescent="0.2">
      <c r="A272" s="13"/>
      <c r="B272" s="18" t="s">
        <v>92</v>
      </c>
      <c r="F272" s="22"/>
      <c r="G272" s="23"/>
      <c r="I272" s="37">
        <f>I266*0.1</f>
        <v>15.856999999999999</v>
      </c>
      <c r="J272" s="13"/>
      <c r="K272" s="18" t="s">
        <v>125</v>
      </c>
      <c r="L272" s="66"/>
      <c r="M272" s="19"/>
      <c r="N272" s="20"/>
      <c r="O272" s="22"/>
      <c r="P272" s="71"/>
      <c r="R272" s="37">
        <f>R266*0.1</f>
        <v>19.754000000000001</v>
      </c>
    </row>
    <row r="273" spans="1:18" x14ac:dyDescent="0.2">
      <c r="A273" s="13"/>
      <c r="B273" s="18"/>
      <c r="C273" s="19"/>
      <c r="D273" s="19"/>
      <c r="E273" s="20"/>
      <c r="F273" s="22"/>
      <c r="G273" s="23"/>
      <c r="H273" s="37"/>
      <c r="I273" s="23"/>
      <c r="J273" s="13"/>
      <c r="K273" s="18"/>
      <c r="L273" s="19"/>
      <c r="M273" s="19"/>
      <c r="N273" s="20"/>
      <c r="O273" s="22"/>
      <c r="P273" s="36"/>
      <c r="Q273" s="37"/>
      <c r="R273" s="37"/>
    </row>
    <row r="274" spans="1:18" x14ac:dyDescent="0.2">
      <c r="A274" s="13"/>
      <c r="B274" s="18"/>
      <c r="F274" s="22"/>
      <c r="G274" s="23"/>
      <c r="H274" s="37"/>
      <c r="I274" s="37"/>
      <c r="J274" s="13"/>
      <c r="K274" s="18"/>
      <c r="O274" s="22"/>
      <c r="P274" s="36"/>
      <c r="Q274" s="37"/>
      <c r="R274" s="37"/>
    </row>
    <row r="275" spans="1:18" x14ac:dyDescent="0.2">
      <c r="A275" s="13"/>
      <c r="B275" s="18"/>
      <c r="C275" s="19"/>
      <c r="D275" s="19"/>
      <c r="E275" s="20"/>
      <c r="F275" s="22"/>
      <c r="G275" s="36"/>
      <c r="H275" s="37"/>
      <c r="I275" s="37"/>
      <c r="J275" s="13"/>
      <c r="K275" s="18"/>
      <c r="L275" s="19"/>
      <c r="M275" s="19"/>
      <c r="N275" s="20"/>
      <c r="O275" s="22"/>
      <c r="P275" s="36"/>
      <c r="Q275" s="37"/>
      <c r="R275" s="37"/>
    </row>
    <row r="276" spans="1:18" x14ac:dyDescent="0.2">
      <c r="A276" s="13"/>
      <c r="B276" s="18"/>
      <c r="C276" s="19"/>
      <c r="D276" s="19"/>
      <c r="E276" s="20"/>
      <c r="F276" s="22"/>
      <c r="G276" s="36"/>
      <c r="H276" s="37"/>
      <c r="I276" s="38"/>
      <c r="J276" s="13"/>
      <c r="K276" s="18"/>
      <c r="L276" s="19"/>
      <c r="M276" s="19"/>
      <c r="N276" s="20"/>
      <c r="O276" s="22"/>
      <c r="P276" s="36"/>
      <c r="Q276" s="37"/>
      <c r="R276" s="37"/>
    </row>
    <row r="277" spans="1:18" x14ac:dyDescent="0.2">
      <c r="A277" s="13"/>
      <c r="B277" s="18"/>
      <c r="C277" s="19"/>
      <c r="D277" s="19"/>
      <c r="E277" s="20"/>
      <c r="F277" s="22"/>
      <c r="G277" s="36"/>
      <c r="H277" s="37"/>
      <c r="I277" s="38"/>
      <c r="J277" s="13"/>
      <c r="K277" s="18"/>
      <c r="L277" s="19"/>
      <c r="M277" s="19"/>
      <c r="N277" s="20"/>
      <c r="O277" s="22"/>
      <c r="P277" s="36"/>
      <c r="Q277" s="37"/>
      <c r="R277" s="37"/>
    </row>
    <row r="278" spans="1:18" x14ac:dyDescent="0.2">
      <c r="A278" s="13"/>
      <c r="B278" s="18"/>
      <c r="C278" s="19"/>
      <c r="D278" s="19"/>
      <c r="E278" s="20"/>
      <c r="F278" s="22"/>
      <c r="G278" s="23"/>
      <c r="H278" s="37"/>
      <c r="I278" s="38"/>
      <c r="J278" s="13"/>
      <c r="K278" s="18"/>
      <c r="L278" s="19"/>
      <c r="M278" s="19"/>
      <c r="N278" s="20"/>
      <c r="O278" s="22"/>
      <c r="P278" s="23"/>
      <c r="Q278" s="37"/>
      <c r="R278" s="37"/>
    </row>
    <row r="279" spans="1:18" x14ac:dyDescent="0.2">
      <c r="A279" s="13"/>
      <c r="B279" s="18"/>
      <c r="C279" s="19"/>
      <c r="D279" s="19"/>
      <c r="E279" s="20"/>
      <c r="F279" s="22"/>
      <c r="G279" s="23"/>
      <c r="H279" s="37"/>
      <c r="I279" s="38"/>
      <c r="J279" s="13"/>
      <c r="K279" s="18"/>
      <c r="L279" s="19"/>
      <c r="M279" s="19"/>
      <c r="N279" s="20"/>
      <c r="O279" s="22"/>
      <c r="P279" s="36"/>
      <c r="Q279" s="38"/>
      <c r="R279" s="38"/>
    </row>
    <row r="280" spans="1:18" x14ac:dyDescent="0.2">
      <c r="A280" s="13"/>
      <c r="B280" s="7"/>
      <c r="C280" s="7"/>
      <c r="D280" s="7"/>
      <c r="E280" s="7"/>
      <c r="F280" s="72"/>
      <c r="G280" s="72"/>
      <c r="H280" s="72"/>
      <c r="I280" s="37"/>
      <c r="J280" s="13"/>
      <c r="K280" s="18"/>
      <c r="L280" s="19"/>
      <c r="M280" s="19"/>
      <c r="N280" s="20"/>
      <c r="O280" s="22"/>
      <c r="P280" s="36"/>
      <c r="Q280" s="37"/>
      <c r="R280" s="37"/>
    </row>
    <row r="281" spans="1:18" x14ac:dyDescent="0.2">
      <c r="A281" s="13"/>
      <c r="B281" s="18"/>
      <c r="C281" s="19"/>
      <c r="D281" s="19"/>
      <c r="E281" s="20"/>
      <c r="F281" s="22"/>
      <c r="G281" s="36"/>
      <c r="H281" s="37"/>
      <c r="I281" s="37"/>
      <c r="J281" s="13"/>
      <c r="K281" s="18"/>
      <c r="L281" s="19"/>
      <c r="M281" s="19"/>
      <c r="N281" s="20"/>
      <c r="O281" s="22"/>
      <c r="P281" s="36"/>
      <c r="Q281" s="37"/>
      <c r="R281" s="37"/>
    </row>
    <row r="282" spans="1:18" ht="15" customHeight="1" x14ac:dyDescent="0.2">
      <c r="A282" s="13"/>
      <c r="B282" s="18"/>
      <c r="C282" s="19"/>
      <c r="D282" s="19"/>
      <c r="E282" s="20"/>
      <c r="F282" s="22"/>
      <c r="G282" s="36"/>
      <c r="H282" s="37"/>
      <c r="I282" s="37"/>
      <c r="J282" s="13"/>
      <c r="K282" s="18"/>
      <c r="L282" s="19"/>
      <c r="M282" s="19"/>
      <c r="N282" s="20"/>
      <c r="O282" s="22"/>
      <c r="P282" s="36"/>
      <c r="Q282" s="37"/>
      <c r="R282" s="37"/>
    </row>
    <row r="283" spans="1:18" x14ac:dyDescent="0.2">
      <c r="A283" s="13"/>
      <c r="B283" s="18"/>
      <c r="C283" s="19"/>
      <c r="D283" s="19"/>
      <c r="E283" s="20"/>
      <c r="F283" s="22"/>
      <c r="G283" s="22"/>
      <c r="H283" s="23"/>
      <c r="I283" s="23"/>
      <c r="J283" s="13"/>
      <c r="K283" s="18"/>
      <c r="L283" s="19"/>
      <c r="M283" s="19"/>
      <c r="N283" s="20"/>
      <c r="O283" s="22"/>
      <c r="P283" s="22"/>
      <c r="Q283" s="23"/>
      <c r="R283" s="23"/>
    </row>
    <row r="284" spans="1:18" x14ac:dyDescent="0.2">
      <c r="A284" s="13"/>
      <c r="B284" s="248" t="s">
        <v>30</v>
      </c>
      <c r="C284" s="249"/>
      <c r="D284" s="249"/>
      <c r="E284" s="250"/>
      <c r="F284" s="22"/>
      <c r="G284" s="22"/>
      <c r="H284" s="23"/>
      <c r="I284" s="23">
        <f>SUM(I271:I283)</f>
        <v>524.80700000000002</v>
      </c>
      <c r="J284" s="13"/>
      <c r="K284" s="248" t="s">
        <v>30</v>
      </c>
      <c r="L284" s="249"/>
      <c r="M284" s="249"/>
      <c r="N284" s="250"/>
      <c r="O284" s="22"/>
      <c r="P284" s="22"/>
      <c r="Q284" s="23"/>
      <c r="R284" s="23">
        <f>SUM(R271:R283)</f>
        <v>215.50399999999999</v>
      </c>
    </row>
    <row r="285" spans="1:18" x14ac:dyDescent="0.2">
      <c r="A285" s="12" t="s">
        <v>31</v>
      </c>
      <c r="B285" s="260" t="s">
        <v>32</v>
      </c>
      <c r="C285" s="261"/>
      <c r="D285" s="261"/>
      <c r="E285" s="261"/>
      <c r="F285" s="161"/>
      <c r="G285" s="161"/>
      <c r="H285" s="40"/>
      <c r="I285" s="41">
        <f>SUM(I284+I266)</f>
        <v>683.37699999999995</v>
      </c>
      <c r="J285" s="12" t="s">
        <v>31</v>
      </c>
      <c r="K285" s="260" t="s">
        <v>32</v>
      </c>
      <c r="L285" s="261"/>
      <c r="M285" s="261"/>
      <c r="N285" s="261"/>
      <c r="O285" s="161"/>
      <c r="P285" s="161"/>
      <c r="Q285" s="40"/>
      <c r="R285" s="41">
        <f>SUM(R284+R266)</f>
        <v>413.04399999999998</v>
      </c>
    </row>
    <row r="286" spans="1:18" x14ac:dyDescent="0.2">
      <c r="A286" s="13" t="s">
        <v>33</v>
      </c>
      <c r="B286" s="347">
        <f>E253</f>
        <v>4</v>
      </c>
      <c r="C286" s="348"/>
      <c r="D286" s="348"/>
      <c r="E286" s="348"/>
      <c r="F286" s="348"/>
      <c r="G286" s="348"/>
      <c r="H286" s="40"/>
      <c r="I286" s="41"/>
      <c r="J286" s="13" t="s">
        <v>33</v>
      </c>
      <c r="K286" s="345">
        <f>N253</f>
        <v>1</v>
      </c>
      <c r="L286" s="346"/>
      <c r="M286" s="346"/>
      <c r="N286" s="346"/>
      <c r="O286" s="346"/>
      <c r="P286" s="346"/>
      <c r="Q286" s="40"/>
      <c r="R286" s="41"/>
    </row>
    <row r="287" spans="1:18" x14ac:dyDescent="0.2">
      <c r="A287" s="13" t="s">
        <v>34</v>
      </c>
      <c r="B287" s="162" t="s">
        <v>35</v>
      </c>
      <c r="C287" s="43"/>
      <c r="D287" s="43"/>
      <c r="E287" s="161"/>
      <c r="F287" s="163"/>
      <c r="G287" s="163"/>
      <c r="H287" s="40"/>
      <c r="I287" s="41">
        <f>I285/E253</f>
        <v>170.84424999999999</v>
      </c>
      <c r="J287" s="13" t="s">
        <v>34</v>
      </c>
      <c r="K287" s="162" t="s">
        <v>35</v>
      </c>
      <c r="L287" s="43"/>
      <c r="M287" s="43"/>
      <c r="N287" s="161"/>
      <c r="O287" s="163"/>
      <c r="P287" s="163"/>
      <c r="Q287" s="40"/>
      <c r="R287" s="41">
        <f>R285/N253</f>
        <v>413.04399999999998</v>
      </c>
    </row>
    <row r="288" spans="1:18" x14ac:dyDescent="0.2">
      <c r="A288" s="12"/>
      <c r="B288" s="251" t="s">
        <v>36</v>
      </c>
      <c r="C288" s="252"/>
      <c r="D288" s="252"/>
      <c r="E288" s="253"/>
      <c r="F288" s="244" t="s">
        <v>37</v>
      </c>
      <c r="G288" s="244" t="s">
        <v>38</v>
      </c>
      <c r="H288" s="244" t="s">
        <v>39</v>
      </c>
      <c r="I288" s="246" t="s">
        <v>15</v>
      </c>
      <c r="J288" s="12"/>
      <c r="K288" s="251" t="s">
        <v>36</v>
      </c>
      <c r="L288" s="252"/>
      <c r="M288" s="252"/>
      <c r="N288" s="253"/>
      <c r="O288" s="244" t="s">
        <v>37</v>
      </c>
      <c r="P288" s="244" t="s">
        <v>38</v>
      </c>
      <c r="Q288" s="244" t="s">
        <v>39</v>
      </c>
      <c r="R288" s="246" t="s">
        <v>15</v>
      </c>
    </row>
    <row r="289" spans="1:18" x14ac:dyDescent="0.2">
      <c r="A289" s="13"/>
      <c r="B289" s="254"/>
      <c r="C289" s="255"/>
      <c r="D289" s="255"/>
      <c r="E289" s="256"/>
      <c r="F289" s="245"/>
      <c r="G289" s="245"/>
      <c r="H289" s="245"/>
      <c r="I289" s="247"/>
      <c r="J289" s="13"/>
      <c r="K289" s="254"/>
      <c r="L289" s="255"/>
      <c r="M289" s="255"/>
      <c r="N289" s="256"/>
      <c r="O289" s="245"/>
      <c r="P289" s="245"/>
      <c r="Q289" s="245"/>
      <c r="R289" s="247"/>
    </row>
    <row r="290" spans="1:18" x14ac:dyDescent="0.2">
      <c r="A290" s="13" t="s">
        <v>40</v>
      </c>
      <c r="B290" s="18" t="s">
        <v>41</v>
      </c>
      <c r="C290" s="19"/>
      <c r="D290" s="19"/>
      <c r="E290" s="20"/>
      <c r="F290" s="22"/>
      <c r="G290" s="22"/>
      <c r="H290" s="23"/>
      <c r="I290" s="23"/>
      <c r="J290" s="13" t="s">
        <v>40</v>
      </c>
      <c r="K290" s="18" t="s">
        <v>41</v>
      </c>
      <c r="L290" s="19"/>
      <c r="M290" s="19"/>
      <c r="N290" s="20"/>
      <c r="O290" s="22"/>
      <c r="P290" s="22"/>
      <c r="Q290" s="23"/>
      <c r="R290" s="23"/>
    </row>
    <row r="291" spans="1:18" x14ac:dyDescent="0.2">
      <c r="A291" s="13"/>
      <c r="B291" s="18"/>
      <c r="C291" s="19"/>
      <c r="D291" s="19"/>
      <c r="E291" s="20"/>
      <c r="F291" s="22"/>
      <c r="G291" s="22"/>
      <c r="H291" s="23"/>
      <c r="I291" s="23"/>
      <c r="J291" s="13"/>
      <c r="K291" s="18"/>
      <c r="L291" s="19"/>
      <c r="M291" s="19"/>
      <c r="N291" s="20"/>
      <c r="O291" s="22"/>
      <c r="P291" s="22"/>
      <c r="Q291" s="23"/>
      <c r="R291" s="23"/>
    </row>
    <row r="292" spans="1:18" x14ac:dyDescent="0.2">
      <c r="A292" s="13"/>
      <c r="B292" s="18" t="s">
        <v>651</v>
      </c>
      <c r="C292" s="66"/>
      <c r="D292" s="19"/>
      <c r="E292" s="20"/>
      <c r="F292" s="62" t="s">
        <v>1153</v>
      </c>
      <c r="G292" s="62">
        <v>1</v>
      </c>
      <c r="H292" s="107">
        <v>680</v>
      </c>
      <c r="I292" s="23">
        <f>G292*H292</f>
        <v>680</v>
      </c>
      <c r="J292" s="13"/>
      <c r="K292" s="18" t="s">
        <v>425</v>
      </c>
      <c r="L292" s="66"/>
      <c r="M292" s="19"/>
      <c r="N292" s="20"/>
      <c r="O292" s="22" t="s">
        <v>227</v>
      </c>
      <c r="P292" s="70">
        <v>1.32</v>
      </c>
      <c r="Q292" s="107">
        <v>220</v>
      </c>
      <c r="R292" s="23">
        <f>Q292*P292</f>
        <v>290.40000000000003</v>
      </c>
    </row>
    <row r="293" spans="1:18" x14ac:dyDescent="0.2">
      <c r="A293" s="13"/>
      <c r="B293" s="18" t="s">
        <v>646</v>
      </c>
      <c r="C293" s="66"/>
      <c r="D293" s="19"/>
      <c r="E293" s="20"/>
      <c r="F293" s="62"/>
      <c r="G293" s="70"/>
      <c r="I293" s="23">
        <f>I292*0.05</f>
        <v>34</v>
      </c>
      <c r="J293" s="13"/>
      <c r="K293" s="18" t="s">
        <v>567</v>
      </c>
      <c r="L293" s="66"/>
      <c r="M293" s="19"/>
      <c r="N293" s="20"/>
      <c r="O293" s="22" t="s">
        <v>9</v>
      </c>
      <c r="P293" s="22">
        <v>7.2999999999999995E-2</v>
      </c>
      <c r="Q293" s="107">
        <v>850</v>
      </c>
      <c r="R293" s="23">
        <f>Q293*P293</f>
        <v>62.05</v>
      </c>
    </row>
    <row r="294" spans="1:18" x14ac:dyDescent="0.2">
      <c r="A294" s="13"/>
      <c r="B294" s="18"/>
      <c r="C294" s="19"/>
      <c r="D294" s="19"/>
      <c r="E294" s="20"/>
      <c r="F294" s="62"/>
      <c r="G294" s="70"/>
      <c r="H294" s="23"/>
      <c r="I294" s="23"/>
      <c r="J294" s="13"/>
      <c r="K294" s="18" t="s">
        <v>496</v>
      </c>
      <c r="L294" s="66"/>
      <c r="M294" s="19"/>
      <c r="N294" s="20"/>
      <c r="O294" s="22" t="s">
        <v>9</v>
      </c>
      <c r="P294" s="70">
        <v>0.14499999999999999</v>
      </c>
      <c r="Q294" s="107">
        <v>650</v>
      </c>
      <c r="R294" s="23">
        <f>Q294*P294</f>
        <v>94.25</v>
      </c>
    </row>
    <row r="295" spans="1:18" x14ac:dyDescent="0.2">
      <c r="A295" s="13"/>
      <c r="B295" s="18"/>
      <c r="C295" s="19"/>
      <c r="D295" s="19"/>
      <c r="E295" s="20"/>
      <c r="F295" s="22"/>
      <c r="G295" s="62"/>
      <c r="H295" s="23"/>
      <c r="I295" s="23"/>
      <c r="J295" s="13"/>
      <c r="K295" s="18" t="s">
        <v>624</v>
      </c>
      <c r="L295" s="66"/>
      <c r="M295" s="19"/>
      <c r="N295" s="20"/>
      <c r="O295" s="22" t="s">
        <v>413</v>
      </c>
      <c r="P295" s="62">
        <v>8</v>
      </c>
      <c r="Q295" s="107">
        <v>40</v>
      </c>
      <c r="R295" s="23">
        <f>(Q295*P295)/4</f>
        <v>80</v>
      </c>
    </row>
    <row r="296" spans="1:18" x14ac:dyDescent="0.2">
      <c r="A296" s="13"/>
      <c r="B296" s="18"/>
      <c r="C296" s="19"/>
      <c r="D296" s="19"/>
      <c r="E296" s="20"/>
      <c r="F296" s="22"/>
      <c r="G296" s="70"/>
      <c r="H296" s="23"/>
      <c r="I296" s="23"/>
      <c r="J296" s="13"/>
      <c r="K296" s="18" t="s">
        <v>1305</v>
      </c>
      <c r="L296" s="66"/>
      <c r="M296" s="19"/>
      <c r="N296" s="20"/>
      <c r="O296" s="22" t="s">
        <v>66</v>
      </c>
      <c r="P296" s="62">
        <v>3.1</v>
      </c>
      <c r="Q296" s="107">
        <f>3180/6</f>
        <v>530</v>
      </c>
      <c r="R296" s="23">
        <f>Q296*P296</f>
        <v>1643</v>
      </c>
    </row>
    <row r="297" spans="1:18" x14ac:dyDescent="0.2">
      <c r="A297" s="13"/>
      <c r="B297" s="18"/>
      <c r="C297" s="19"/>
      <c r="D297" s="19"/>
      <c r="E297" s="20"/>
      <c r="F297" s="22"/>
      <c r="G297" s="62"/>
      <c r="H297" s="23"/>
      <c r="I297" s="23"/>
      <c r="J297" s="13"/>
      <c r="K297" s="18" t="s">
        <v>627</v>
      </c>
      <c r="L297" s="66"/>
      <c r="M297" s="19"/>
      <c r="N297" s="20"/>
      <c r="O297" s="22" t="s">
        <v>77</v>
      </c>
      <c r="P297" s="62">
        <v>2</v>
      </c>
      <c r="Q297" s="107">
        <v>48</v>
      </c>
      <c r="R297" s="23">
        <f>Q297*P297</f>
        <v>96</v>
      </c>
    </row>
    <row r="298" spans="1:18" ht="15" customHeight="1" x14ac:dyDescent="0.2">
      <c r="A298" s="13"/>
      <c r="B298" s="18"/>
      <c r="C298" s="19"/>
      <c r="D298" s="19"/>
      <c r="E298" s="20"/>
      <c r="F298" s="22"/>
      <c r="G298" s="22"/>
      <c r="H298" s="23"/>
      <c r="I298" s="23"/>
      <c r="J298" s="13"/>
      <c r="K298" s="18" t="s">
        <v>1306</v>
      </c>
      <c r="L298" s="66"/>
      <c r="M298" s="19"/>
      <c r="N298" s="20"/>
      <c r="O298" s="22" t="s">
        <v>80</v>
      </c>
      <c r="P298" s="62">
        <v>12</v>
      </c>
      <c r="Q298" s="107">
        <v>10</v>
      </c>
      <c r="R298" s="23">
        <f>Q298*P298</f>
        <v>120</v>
      </c>
    </row>
    <row r="299" spans="1:18" x14ac:dyDescent="0.2">
      <c r="A299" s="13"/>
      <c r="B299" s="18"/>
      <c r="C299" s="19"/>
      <c r="D299" s="19"/>
      <c r="E299" s="20"/>
      <c r="F299" s="22"/>
      <c r="G299" s="22"/>
      <c r="H299" s="23"/>
      <c r="I299" s="23"/>
      <c r="J299" s="13"/>
      <c r="K299" s="18" t="s">
        <v>628</v>
      </c>
      <c r="L299" s="66"/>
      <c r="M299" s="19"/>
      <c r="N299" s="20"/>
      <c r="O299" s="22" t="s">
        <v>80</v>
      </c>
      <c r="P299" s="62">
        <v>1</v>
      </c>
      <c r="Q299" s="165">
        <v>3750</v>
      </c>
      <c r="R299" s="23">
        <f>Q299*P299</f>
        <v>3750</v>
      </c>
    </row>
    <row r="300" spans="1:18" x14ac:dyDescent="0.2">
      <c r="A300" s="13"/>
      <c r="B300" s="18"/>
      <c r="C300" s="19"/>
      <c r="D300" s="19"/>
      <c r="E300" s="20"/>
      <c r="F300" s="22"/>
      <c r="G300" s="22"/>
      <c r="H300" s="23"/>
      <c r="I300" s="23"/>
      <c r="J300" s="13"/>
      <c r="K300" s="18" t="s">
        <v>629</v>
      </c>
      <c r="L300" s="19"/>
      <c r="M300" s="19"/>
      <c r="N300" s="20"/>
      <c r="O300" s="22" t="s">
        <v>77</v>
      </c>
      <c r="P300" s="62">
        <f>ROUND(P295/100,2)</f>
        <v>0.08</v>
      </c>
      <c r="Q300" s="107">
        <v>68</v>
      </c>
      <c r="R300" s="23">
        <f>Q300*P300</f>
        <v>5.44</v>
      </c>
    </row>
    <row r="301" spans="1:18" x14ac:dyDescent="0.2">
      <c r="A301" s="13"/>
      <c r="B301" s="18"/>
      <c r="C301" s="19"/>
      <c r="D301" s="19"/>
      <c r="E301" s="20"/>
      <c r="F301" s="22"/>
      <c r="G301" s="22"/>
      <c r="H301" s="23"/>
      <c r="I301" s="23"/>
      <c r="J301" s="13"/>
      <c r="K301" s="18"/>
      <c r="L301" s="19"/>
      <c r="M301" s="19"/>
      <c r="N301" s="20"/>
      <c r="O301" s="22"/>
      <c r="P301" s="22"/>
      <c r="Q301" s="107"/>
      <c r="R301" s="23"/>
    </row>
    <row r="302" spans="1:18" x14ac:dyDescent="0.2">
      <c r="A302" s="13"/>
      <c r="B302" s="18"/>
      <c r="C302" s="19"/>
      <c r="D302" s="19"/>
      <c r="E302" s="20"/>
      <c r="F302" s="22"/>
      <c r="G302" s="22"/>
      <c r="H302" s="23"/>
      <c r="I302" s="23"/>
      <c r="J302" s="13"/>
      <c r="K302" s="18"/>
      <c r="L302" s="19"/>
      <c r="M302" s="19"/>
      <c r="N302" s="20"/>
      <c r="O302" s="22"/>
      <c r="P302" s="22"/>
      <c r="Q302" s="107"/>
      <c r="R302" s="23"/>
    </row>
    <row r="303" spans="1:18" x14ac:dyDescent="0.2">
      <c r="A303" s="13"/>
      <c r="B303" s="18"/>
      <c r="C303" s="19"/>
      <c r="D303" s="19"/>
      <c r="E303" s="20"/>
      <c r="F303" s="22"/>
      <c r="G303" s="36"/>
      <c r="H303" s="37"/>
      <c r="I303" s="37"/>
      <c r="J303" s="13"/>
      <c r="K303" s="18"/>
      <c r="L303" s="19"/>
      <c r="M303" s="19"/>
      <c r="N303" s="20"/>
      <c r="O303" s="22"/>
      <c r="P303" s="36"/>
      <c r="Q303" s="37"/>
      <c r="R303" s="37"/>
    </row>
    <row r="304" spans="1:18" x14ac:dyDescent="0.2">
      <c r="A304" s="13"/>
      <c r="B304" s="18"/>
      <c r="C304" s="19"/>
      <c r="D304" s="19"/>
      <c r="E304" s="20"/>
      <c r="F304" s="22"/>
      <c r="G304" s="36"/>
      <c r="H304" s="37"/>
      <c r="I304" s="37"/>
      <c r="J304" s="13"/>
      <c r="K304" s="18"/>
      <c r="L304" s="19"/>
      <c r="M304" s="19"/>
      <c r="N304" s="20"/>
      <c r="O304" s="22"/>
      <c r="P304" s="36"/>
      <c r="Q304" s="37"/>
      <c r="R304" s="37"/>
    </row>
    <row r="305" spans="1:18" x14ac:dyDescent="0.2">
      <c r="A305" s="13"/>
      <c r="B305" s="248" t="s">
        <v>42</v>
      </c>
      <c r="C305" s="249"/>
      <c r="D305" s="249"/>
      <c r="E305" s="250"/>
      <c r="F305" s="46"/>
      <c r="G305" s="46"/>
      <c r="H305" s="47"/>
      <c r="I305" s="47">
        <f>SUM(I292:I303)</f>
        <v>714</v>
      </c>
      <c r="J305" s="13"/>
      <c r="K305" s="248" t="s">
        <v>42</v>
      </c>
      <c r="L305" s="249"/>
      <c r="M305" s="249"/>
      <c r="N305" s="250"/>
      <c r="O305" s="46"/>
      <c r="P305" s="46"/>
      <c r="Q305" s="47"/>
      <c r="R305" s="47">
        <f>SUM(R292:R303)</f>
        <v>6141.1399999999994</v>
      </c>
    </row>
    <row r="306" spans="1:18" x14ac:dyDescent="0.2">
      <c r="A306" s="12" t="s">
        <v>43</v>
      </c>
      <c r="B306" s="48" t="s">
        <v>44</v>
      </c>
      <c r="C306" s="43"/>
      <c r="D306" s="43"/>
      <c r="E306" s="161"/>
      <c r="F306" s="49"/>
      <c r="G306" s="49"/>
      <c r="H306" s="50"/>
      <c r="I306" s="51">
        <f>SUM(I287+I305)</f>
        <v>884.84424999999999</v>
      </c>
      <c r="J306" s="12" t="s">
        <v>43</v>
      </c>
      <c r="K306" s="48" t="s">
        <v>44</v>
      </c>
      <c r="L306" s="43"/>
      <c r="M306" s="43"/>
      <c r="N306" s="161"/>
      <c r="O306" s="49"/>
      <c r="P306" s="49"/>
      <c r="Q306" s="50"/>
      <c r="R306" s="51">
        <f>SUM(R287+R305)</f>
        <v>6554.1839999999993</v>
      </c>
    </row>
    <row r="307" spans="1:18" x14ac:dyDescent="0.2">
      <c r="A307" s="13" t="s">
        <v>45</v>
      </c>
      <c r="B307" s="48" t="s">
        <v>46</v>
      </c>
      <c r="C307" s="43"/>
      <c r="D307" s="43"/>
      <c r="E307" s="161"/>
      <c r="F307" s="49"/>
      <c r="G307" s="52">
        <v>0.09</v>
      </c>
      <c r="H307" s="53" t="s">
        <v>47</v>
      </c>
      <c r="I307" s="51">
        <f>G307*I306</f>
        <v>79.635982499999997</v>
      </c>
      <c r="J307" s="13" t="s">
        <v>45</v>
      </c>
      <c r="K307" s="48" t="s">
        <v>46</v>
      </c>
      <c r="L307" s="43"/>
      <c r="M307" s="43"/>
      <c r="N307" s="161"/>
      <c r="O307" s="49"/>
      <c r="P307" s="52">
        <v>0.09</v>
      </c>
      <c r="Q307" s="53" t="s">
        <v>47</v>
      </c>
      <c r="R307" s="51">
        <f>P307*R306</f>
        <v>589.87655999999993</v>
      </c>
    </row>
    <row r="308" spans="1:18" x14ac:dyDescent="0.2">
      <c r="A308" s="13" t="s">
        <v>48</v>
      </c>
      <c r="B308" s="48" t="s">
        <v>49</v>
      </c>
      <c r="C308" s="43"/>
      <c r="D308" s="43"/>
      <c r="E308" s="161"/>
      <c r="F308" s="49"/>
      <c r="G308" s="52">
        <v>0.08</v>
      </c>
      <c r="H308" s="53" t="s">
        <v>47</v>
      </c>
      <c r="I308" s="51">
        <f>G308*I306</f>
        <v>70.787540000000007</v>
      </c>
      <c r="J308" s="13" t="s">
        <v>48</v>
      </c>
      <c r="K308" s="48" t="s">
        <v>49</v>
      </c>
      <c r="L308" s="43"/>
      <c r="M308" s="43"/>
      <c r="N308" s="161"/>
      <c r="O308" s="49"/>
      <c r="P308" s="52">
        <v>0.08</v>
      </c>
      <c r="Q308" s="53" t="s">
        <v>47</v>
      </c>
      <c r="R308" s="51">
        <f>P308*R306</f>
        <v>524.33471999999995</v>
      </c>
    </row>
    <row r="309" spans="1:18" x14ac:dyDescent="0.2">
      <c r="A309" s="13" t="s">
        <v>50</v>
      </c>
      <c r="B309" s="48" t="s">
        <v>51</v>
      </c>
      <c r="C309" s="43"/>
      <c r="D309" s="43"/>
      <c r="E309" s="161"/>
      <c r="F309" s="49"/>
      <c r="G309" s="52">
        <v>0.05</v>
      </c>
      <c r="H309" s="53" t="s">
        <v>52</v>
      </c>
      <c r="I309" s="51">
        <f>G309*(I306+I307+I308)</f>
        <v>51.763388624999997</v>
      </c>
      <c r="J309" s="13" t="s">
        <v>50</v>
      </c>
      <c r="K309" s="48" t="s">
        <v>51</v>
      </c>
      <c r="L309" s="43"/>
      <c r="M309" s="43"/>
      <c r="N309" s="161"/>
      <c r="O309" s="49"/>
      <c r="P309" s="52">
        <v>0.05</v>
      </c>
      <c r="Q309" s="53" t="s">
        <v>52</v>
      </c>
      <c r="R309" s="51">
        <f>P309*(R306+R307+R308)</f>
        <v>383.41976399999999</v>
      </c>
    </row>
    <row r="310" spans="1:18" x14ac:dyDescent="0.2">
      <c r="A310" s="54" t="s">
        <v>53</v>
      </c>
      <c r="B310" s="48" t="s">
        <v>54</v>
      </c>
      <c r="C310" s="43"/>
      <c r="D310" s="43"/>
      <c r="E310" s="161"/>
      <c r="F310" s="49"/>
      <c r="G310" s="49"/>
      <c r="H310" s="55" t="s">
        <v>55</v>
      </c>
      <c r="I310" s="51">
        <f>SUM(I306+I307+I308+I309)</f>
        <v>1087.0311611249999</v>
      </c>
      <c r="J310" s="54" t="s">
        <v>53</v>
      </c>
      <c r="K310" s="48" t="s">
        <v>54</v>
      </c>
      <c r="L310" s="43"/>
      <c r="M310" s="43"/>
      <c r="N310" s="161"/>
      <c r="O310" s="49"/>
      <c r="P310" s="49"/>
      <c r="Q310" s="55" t="s">
        <v>55</v>
      </c>
      <c r="R310" s="51">
        <f>SUM(R306+R307+R308+R309)</f>
        <v>8051.815043999999</v>
      </c>
    </row>
    <row r="311" spans="1:18" s="1" customFormat="1" x14ac:dyDescent="0.2">
      <c r="A311" s="236" t="s">
        <v>0</v>
      </c>
      <c r="B311" s="236"/>
      <c r="C311" s="236"/>
      <c r="D311" s="236"/>
      <c r="E311" s="236"/>
      <c r="F311" s="236"/>
      <c r="G311" s="236"/>
      <c r="H311" s="236"/>
      <c r="I311" s="236"/>
      <c r="J311" s="236" t="s">
        <v>0</v>
      </c>
      <c r="K311" s="236"/>
      <c r="L311" s="236"/>
      <c r="M311" s="236"/>
      <c r="N311" s="236"/>
      <c r="O311" s="236"/>
      <c r="P311" s="236"/>
      <c r="Q311" s="236"/>
      <c r="R311" s="236"/>
    </row>
    <row r="313" spans="1:18" x14ac:dyDescent="0.2">
      <c r="A313" s="158" t="s">
        <v>1</v>
      </c>
      <c r="C313" s="4" t="s">
        <v>2</v>
      </c>
      <c r="D313" s="5" t="s">
        <v>652</v>
      </c>
      <c r="E313" s="8" t="s">
        <v>653</v>
      </c>
      <c r="F313" s="8"/>
      <c r="G313" s="8"/>
      <c r="H313" s="8"/>
      <c r="I313" s="8"/>
      <c r="J313" s="158" t="s">
        <v>1</v>
      </c>
      <c r="L313" s="4" t="s">
        <v>2</v>
      </c>
      <c r="M313" s="5" t="s">
        <v>654</v>
      </c>
      <c r="N313" s="237" t="s">
        <v>655</v>
      </c>
      <c r="O313" s="237"/>
      <c r="P313" s="237"/>
      <c r="Q313" s="237"/>
    </row>
    <row r="314" spans="1:18" x14ac:dyDescent="0.2">
      <c r="A314" s="158" t="s">
        <v>7</v>
      </c>
      <c r="C314" s="4" t="s">
        <v>2</v>
      </c>
      <c r="E314" s="158" t="s">
        <v>80</v>
      </c>
      <c r="F314" s="8"/>
      <c r="G314" s="8"/>
      <c r="H314" s="8"/>
      <c r="J314" s="158" t="s">
        <v>7</v>
      </c>
      <c r="L314" s="4" t="s">
        <v>2</v>
      </c>
      <c r="M314" s="8"/>
      <c r="N314" s="158" t="s">
        <v>59</v>
      </c>
      <c r="O314" s="8"/>
      <c r="P314" s="8"/>
      <c r="Q314" s="8"/>
    </row>
    <row r="315" spans="1:18" x14ac:dyDescent="0.2">
      <c r="A315" s="158" t="s">
        <v>10</v>
      </c>
      <c r="C315" s="4" t="s">
        <v>2</v>
      </c>
      <c r="E315" s="9">
        <v>3</v>
      </c>
      <c r="F315" s="8"/>
      <c r="G315" s="8"/>
      <c r="H315" s="8"/>
      <c r="J315" s="158" t="s">
        <v>10</v>
      </c>
      <c r="L315" s="4" t="s">
        <v>2</v>
      </c>
      <c r="M315" s="8"/>
      <c r="N315" s="9">
        <v>1</v>
      </c>
      <c r="O315" s="8"/>
      <c r="P315" s="8"/>
      <c r="Q315" s="8"/>
    </row>
    <row r="316" spans="1:18" x14ac:dyDescent="0.2">
      <c r="B316" s="8"/>
      <c r="F316" s="11"/>
      <c r="G316" s="8"/>
      <c r="H316" s="8"/>
      <c r="I316" s="8"/>
      <c r="K316" s="8"/>
      <c r="O316" s="11"/>
      <c r="P316" s="8"/>
      <c r="Q316" s="8"/>
      <c r="R316" s="8"/>
    </row>
    <row r="317" spans="1:18" x14ac:dyDescent="0.2">
      <c r="A317" s="12"/>
      <c r="B317" s="238" t="s">
        <v>11</v>
      </c>
      <c r="C317" s="239"/>
      <c r="D317" s="239"/>
      <c r="E317" s="240"/>
      <c r="F317" s="244" t="s">
        <v>12</v>
      </c>
      <c r="G317" s="244" t="s">
        <v>13</v>
      </c>
      <c r="H317" s="244" t="s">
        <v>14</v>
      </c>
      <c r="I317" s="246" t="s">
        <v>15</v>
      </c>
      <c r="J317" s="12"/>
      <c r="K317" s="238" t="s">
        <v>11</v>
      </c>
      <c r="L317" s="239"/>
      <c r="M317" s="239"/>
      <c r="N317" s="240"/>
      <c r="O317" s="244" t="s">
        <v>12</v>
      </c>
      <c r="P317" s="244" t="s">
        <v>13</v>
      </c>
      <c r="Q317" s="244" t="s">
        <v>14</v>
      </c>
      <c r="R317" s="246" t="s">
        <v>15</v>
      </c>
    </row>
    <row r="318" spans="1:18" x14ac:dyDescent="0.2">
      <c r="A318" s="13"/>
      <c r="B318" s="241"/>
      <c r="C318" s="242"/>
      <c r="D318" s="242"/>
      <c r="E318" s="243"/>
      <c r="F318" s="245"/>
      <c r="G318" s="245"/>
      <c r="H318" s="245"/>
      <c r="I318" s="247"/>
      <c r="J318" s="13"/>
      <c r="K318" s="241"/>
      <c r="L318" s="242"/>
      <c r="M318" s="242"/>
      <c r="N318" s="243"/>
      <c r="O318" s="245"/>
      <c r="P318" s="245"/>
      <c r="Q318" s="245"/>
      <c r="R318" s="247"/>
    </row>
    <row r="319" spans="1:18" x14ac:dyDescent="0.2">
      <c r="A319" s="13" t="s">
        <v>16</v>
      </c>
      <c r="B319" s="14" t="s">
        <v>17</v>
      </c>
      <c r="C319" s="15"/>
      <c r="D319" s="15"/>
      <c r="E319" s="16"/>
      <c r="F319" s="17"/>
      <c r="G319" s="17"/>
      <c r="H319" s="17"/>
      <c r="I319" s="17"/>
      <c r="J319" s="13" t="s">
        <v>16</v>
      </c>
      <c r="K319" s="14" t="s">
        <v>17</v>
      </c>
      <c r="L319" s="15"/>
      <c r="M319" s="15"/>
      <c r="N319" s="16"/>
      <c r="O319" s="17"/>
      <c r="P319" s="17"/>
      <c r="Q319" s="17"/>
      <c r="R319" s="17"/>
    </row>
    <row r="320" spans="1:18" x14ac:dyDescent="0.2">
      <c r="A320" s="13"/>
      <c r="B320" s="18"/>
      <c r="C320" s="19"/>
      <c r="D320" s="19"/>
      <c r="E320" s="20"/>
      <c r="F320" s="21"/>
      <c r="G320" s="22"/>
      <c r="H320" s="21"/>
      <c r="I320" s="21"/>
      <c r="J320" s="13"/>
      <c r="K320" s="18"/>
      <c r="L320" s="19"/>
      <c r="M320" s="19"/>
      <c r="N320" s="20"/>
      <c r="O320" s="21"/>
      <c r="P320" s="22"/>
      <c r="Q320" s="21"/>
      <c r="R320" s="21"/>
    </row>
    <row r="321" spans="1:18" x14ac:dyDescent="0.2">
      <c r="A321" s="13"/>
      <c r="B321" s="24" t="s">
        <v>18</v>
      </c>
      <c r="C321" s="25"/>
      <c r="D321" s="25"/>
      <c r="E321" s="26"/>
      <c r="F321" s="22">
        <v>1</v>
      </c>
      <c r="G321" s="23">
        <v>1</v>
      </c>
      <c r="H321" s="23">
        <v>69.42</v>
      </c>
      <c r="I321" s="23">
        <f>G321*H321*F321</f>
        <v>69.42</v>
      </c>
      <c r="J321" s="13"/>
      <c r="K321" s="24" t="s">
        <v>18</v>
      </c>
      <c r="L321" s="25"/>
      <c r="M321" s="25"/>
      <c r="N321" s="26"/>
      <c r="O321" s="22">
        <v>1</v>
      </c>
      <c r="P321" s="23">
        <v>1</v>
      </c>
      <c r="Q321" s="23">
        <v>69.42</v>
      </c>
      <c r="R321" s="23">
        <f>O321*P321*Q321</f>
        <v>69.42</v>
      </c>
    </row>
    <row r="322" spans="1:18" x14ac:dyDescent="0.2">
      <c r="A322" s="13"/>
      <c r="B322" s="257" t="s">
        <v>1178</v>
      </c>
      <c r="C322" s="258"/>
      <c r="D322" s="25"/>
      <c r="E322" s="26"/>
      <c r="F322" s="22">
        <v>1</v>
      </c>
      <c r="G322" s="23">
        <v>1</v>
      </c>
      <c r="H322" s="23">
        <v>50.18</v>
      </c>
      <c r="I322" s="23">
        <f>G322*H322*F322</f>
        <v>50.18</v>
      </c>
      <c r="J322" s="13"/>
      <c r="K322" s="257" t="s">
        <v>1178</v>
      </c>
      <c r="L322" s="258"/>
      <c r="M322" s="25"/>
      <c r="N322" s="26"/>
      <c r="O322" s="22">
        <v>1</v>
      </c>
      <c r="P322" s="23">
        <v>1</v>
      </c>
      <c r="Q322" s="23">
        <v>50.18</v>
      </c>
      <c r="R322" s="23">
        <f>O322*P322*Q322</f>
        <v>50.18</v>
      </c>
    </row>
    <row r="323" spans="1:18" x14ac:dyDescent="0.2">
      <c r="A323" s="13"/>
      <c r="B323" s="257" t="s">
        <v>1177</v>
      </c>
      <c r="C323" s="258"/>
      <c r="D323" s="19"/>
      <c r="E323" s="20"/>
      <c r="F323" s="22">
        <v>1</v>
      </c>
      <c r="G323" s="23">
        <v>1</v>
      </c>
      <c r="H323" s="23">
        <v>38.97</v>
      </c>
      <c r="I323" s="23">
        <f>G323*H323*F323</f>
        <v>38.97</v>
      </c>
      <c r="J323" s="13"/>
      <c r="K323" s="257" t="s">
        <v>1177</v>
      </c>
      <c r="L323" s="258"/>
      <c r="M323" s="19"/>
      <c r="N323" s="20"/>
      <c r="O323" s="22">
        <v>2</v>
      </c>
      <c r="P323" s="23">
        <v>1</v>
      </c>
      <c r="Q323" s="23">
        <v>38.97</v>
      </c>
      <c r="R323" s="23">
        <f>O323*P323*Q323</f>
        <v>77.94</v>
      </c>
    </row>
    <row r="324" spans="1:18" ht="15" customHeight="1" x14ac:dyDescent="0.2">
      <c r="A324" s="13"/>
      <c r="B324" s="159"/>
      <c r="C324" s="160"/>
      <c r="D324" s="19"/>
      <c r="E324" s="20"/>
      <c r="F324" s="22"/>
      <c r="G324" s="22"/>
      <c r="H324" s="29"/>
      <c r="I324" s="30"/>
      <c r="J324" s="13"/>
      <c r="K324" s="159"/>
      <c r="L324" s="19"/>
      <c r="M324" s="19"/>
      <c r="N324" s="20"/>
      <c r="O324" s="22"/>
      <c r="P324" s="22"/>
      <c r="Q324" s="29"/>
      <c r="R324" s="30"/>
    </row>
    <row r="325" spans="1:18" x14ac:dyDescent="0.2">
      <c r="A325" s="13"/>
      <c r="B325" s="159"/>
      <c r="C325" s="160"/>
      <c r="D325" s="19"/>
      <c r="E325" s="20"/>
      <c r="F325" s="22"/>
      <c r="G325" s="22"/>
      <c r="H325" s="29"/>
      <c r="I325" s="30"/>
      <c r="J325" s="13"/>
      <c r="K325" s="159"/>
      <c r="L325" s="19"/>
      <c r="M325" s="19"/>
      <c r="N325" s="20"/>
      <c r="O325" s="22"/>
      <c r="P325" s="22"/>
      <c r="Q325" s="29"/>
      <c r="R325" s="30"/>
    </row>
    <row r="326" spans="1:18" x14ac:dyDescent="0.2">
      <c r="A326" s="13"/>
      <c r="B326" s="257"/>
      <c r="C326" s="258"/>
      <c r="D326" s="19"/>
      <c r="E326" s="20"/>
      <c r="F326" s="22"/>
      <c r="G326" s="22"/>
      <c r="H326" s="23"/>
      <c r="I326" s="23"/>
      <c r="J326" s="13"/>
      <c r="K326" s="18"/>
      <c r="L326" s="19"/>
      <c r="M326" s="19"/>
      <c r="N326" s="20"/>
      <c r="O326" s="22"/>
      <c r="P326" s="22"/>
      <c r="Q326" s="28"/>
      <c r="R326" s="23"/>
    </row>
    <row r="327" spans="1:18" x14ac:dyDescent="0.2">
      <c r="A327" s="13"/>
      <c r="B327" s="257"/>
      <c r="C327" s="258"/>
      <c r="D327" s="19"/>
      <c r="E327" s="20"/>
      <c r="F327" s="22"/>
      <c r="G327" s="22"/>
      <c r="H327" s="23"/>
      <c r="I327" s="23"/>
      <c r="J327" s="13"/>
      <c r="K327" s="18"/>
      <c r="L327" s="19"/>
      <c r="M327" s="19"/>
      <c r="N327" s="20"/>
      <c r="O327" s="22"/>
      <c r="P327" s="22"/>
      <c r="Q327" s="23"/>
      <c r="R327" s="23"/>
    </row>
    <row r="328" spans="1:18" x14ac:dyDescent="0.2">
      <c r="A328" s="13"/>
      <c r="B328" s="248" t="s">
        <v>20</v>
      </c>
      <c r="C328" s="249"/>
      <c r="D328" s="249"/>
      <c r="E328" s="250"/>
      <c r="F328" s="31"/>
      <c r="G328" s="31"/>
      <c r="H328" s="32"/>
      <c r="I328" s="32">
        <f>SUM(I321:I327)</f>
        <v>158.57</v>
      </c>
      <c r="J328" s="13"/>
      <c r="K328" s="248" t="s">
        <v>20</v>
      </c>
      <c r="L328" s="249"/>
      <c r="M328" s="249"/>
      <c r="N328" s="250"/>
      <c r="O328" s="31"/>
      <c r="P328" s="31"/>
      <c r="Q328" s="32"/>
      <c r="R328" s="32">
        <f>SUM(R321:R327)</f>
        <v>197.54</v>
      </c>
    </row>
    <row r="329" spans="1:18" x14ac:dyDescent="0.2">
      <c r="A329" s="12"/>
      <c r="B329" s="251" t="s">
        <v>21</v>
      </c>
      <c r="C329" s="252"/>
      <c r="D329" s="252"/>
      <c r="E329" s="253"/>
      <c r="F329" s="244" t="s">
        <v>22</v>
      </c>
      <c r="G329" s="244" t="s">
        <v>13</v>
      </c>
      <c r="H329" s="244" t="s">
        <v>14</v>
      </c>
      <c r="I329" s="246" t="s">
        <v>15</v>
      </c>
      <c r="J329" s="12"/>
      <c r="K329" s="251" t="s">
        <v>21</v>
      </c>
      <c r="L329" s="252"/>
      <c r="M329" s="252"/>
      <c r="N329" s="253"/>
      <c r="O329" s="244" t="s">
        <v>22</v>
      </c>
      <c r="P329" s="244" t="s">
        <v>13</v>
      </c>
      <c r="Q329" s="244" t="s">
        <v>14</v>
      </c>
      <c r="R329" s="246" t="s">
        <v>15</v>
      </c>
    </row>
    <row r="330" spans="1:18" x14ac:dyDescent="0.2">
      <c r="A330" s="13"/>
      <c r="B330" s="254"/>
      <c r="C330" s="255"/>
      <c r="D330" s="255"/>
      <c r="E330" s="256"/>
      <c r="F330" s="245"/>
      <c r="G330" s="245"/>
      <c r="H330" s="245"/>
      <c r="I330" s="247"/>
      <c r="J330" s="13"/>
      <c r="K330" s="254"/>
      <c r="L330" s="255"/>
      <c r="M330" s="255"/>
      <c r="N330" s="256"/>
      <c r="O330" s="245"/>
      <c r="P330" s="245"/>
      <c r="Q330" s="245"/>
      <c r="R330" s="247"/>
    </row>
    <row r="331" spans="1:18" x14ac:dyDescent="0.2">
      <c r="A331" s="13" t="s">
        <v>23</v>
      </c>
      <c r="B331" s="33" t="s">
        <v>24</v>
      </c>
      <c r="C331" s="15"/>
      <c r="D331" s="15"/>
      <c r="E331" s="16"/>
      <c r="F331" s="34"/>
      <c r="G331" s="34"/>
      <c r="H331" s="35"/>
      <c r="I331" s="35"/>
      <c r="J331" s="13" t="s">
        <v>23</v>
      </c>
      <c r="K331" s="33" t="s">
        <v>24</v>
      </c>
      <c r="L331" s="15"/>
      <c r="M331" s="15"/>
      <c r="N331" s="16"/>
      <c r="O331" s="34"/>
      <c r="P331" s="34"/>
      <c r="Q331" s="35"/>
      <c r="R331" s="35"/>
    </row>
    <row r="332" spans="1:18" x14ac:dyDescent="0.2">
      <c r="A332" s="13"/>
      <c r="B332" s="18"/>
      <c r="C332" s="19"/>
      <c r="D332" s="19"/>
      <c r="E332" s="20"/>
      <c r="F332" s="22"/>
      <c r="G332" s="22"/>
      <c r="H332" s="23"/>
      <c r="I332" s="23"/>
      <c r="J332" s="13"/>
      <c r="K332" s="18"/>
      <c r="L332" s="19"/>
      <c r="M332" s="19"/>
      <c r="N332" s="20"/>
      <c r="O332" s="22"/>
      <c r="P332" s="22"/>
      <c r="Q332" s="23"/>
      <c r="R332" s="23"/>
    </row>
    <row r="333" spans="1:18" ht="17.25" customHeight="1" x14ac:dyDescent="0.2">
      <c r="A333" s="13"/>
      <c r="B333" s="18" t="s">
        <v>1149</v>
      </c>
      <c r="C333" s="66"/>
      <c r="D333" s="19"/>
      <c r="E333" s="20"/>
      <c r="F333" s="22">
        <v>1</v>
      </c>
      <c r="G333" s="23">
        <v>0.5</v>
      </c>
      <c r="H333" s="37">
        <v>1017.9</v>
      </c>
      <c r="I333" s="37">
        <f>F333*G333*H333</f>
        <v>508.95</v>
      </c>
      <c r="J333" s="13"/>
      <c r="K333" s="18" t="s">
        <v>1277</v>
      </c>
      <c r="L333" s="19"/>
      <c r="M333" s="19"/>
      <c r="N333" s="20"/>
      <c r="O333" s="22">
        <v>1</v>
      </c>
      <c r="P333" s="23">
        <v>0.25</v>
      </c>
      <c r="Q333" s="37">
        <v>783</v>
      </c>
      <c r="R333" s="37">
        <f>P333*Q333*O333</f>
        <v>195.75</v>
      </c>
    </row>
    <row r="334" spans="1:18" ht="17.25" customHeight="1" x14ac:dyDescent="0.2">
      <c r="A334" s="13"/>
      <c r="B334" s="18" t="s">
        <v>92</v>
      </c>
      <c r="F334" s="22"/>
      <c r="G334" s="23"/>
      <c r="I334" s="37">
        <f>I328*0.1</f>
        <v>15.856999999999999</v>
      </c>
      <c r="J334" s="13"/>
      <c r="K334" s="18" t="s">
        <v>125</v>
      </c>
      <c r="L334" s="66"/>
      <c r="M334" s="19"/>
      <c r="N334" s="20"/>
      <c r="O334" s="22"/>
      <c r="P334" s="71"/>
      <c r="R334" s="37">
        <f>R328*0.1</f>
        <v>19.754000000000001</v>
      </c>
    </row>
    <row r="335" spans="1:18" x14ac:dyDescent="0.2">
      <c r="A335" s="13"/>
      <c r="B335" s="18"/>
      <c r="C335" s="19"/>
      <c r="D335" s="19"/>
      <c r="E335" s="20"/>
      <c r="F335" s="22"/>
      <c r="G335" s="23"/>
      <c r="H335" s="37"/>
      <c r="I335" s="23"/>
      <c r="J335" s="13"/>
      <c r="K335" s="18"/>
      <c r="L335" s="19"/>
      <c r="M335" s="19"/>
      <c r="N335" s="20"/>
      <c r="O335" s="22"/>
      <c r="P335" s="36"/>
      <c r="Q335" s="37"/>
      <c r="R335" s="37"/>
    </row>
    <row r="336" spans="1:18" x14ac:dyDescent="0.2">
      <c r="A336" s="13"/>
      <c r="B336" s="18"/>
      <c r="F336" s="22"/>
      <c r="G336" s="23"/>
      <c r="H336" s="37"/>
      <c r="I336" s="37"/>
      <c r="J336" s="13"/>
      <c r="K336" s="18"/>
      <c r="O336" s="22"/>
      <c r="P336" s="36"/>
      <c r="Q336" s="37"/>
      <c r="R336" s="37"/>
    </row>
    <row r="337" spans="1:18" x14ac:dyDescent="0.2">
      <c r="A337" s="13"/>
      <c r="B337" s="18"/>
      <c r="C337" s="19"/>
      <c r="D337" s="19"/>
      <c r="E337" s="20"/>
      <c r="F337" s="22"/>
      <c r="G337" s="36"/>
      <c r="H337" s="37"/>
      <c r="I337" s="37"/>
      <c r="J337" s="13"/>
      <c r="K337" s="18"/>
      <c r="L337" s="19"/>
      <c r="M337" s="19"/>
      <c r="N337" s="20"/>
      <c r="O337" s="22"/>
      <c r="P337" s="36"/>
      <c r="Q337" s="37"/>
      <c r="R337" s="37"/>
    </row>
    <row r="338" spans="1:18" x14ac:dyDescent="0.2">
      <c r="A338" s="13"/>
      <c r="B338" s="18"/>
      <c r="C338" s="19"/>
      <c r="D338" s="19"/>
      <c r="E338" s="20"/>
      <c r="F338" s="22"/>
      <c r="G338" s="36"/>
      <c r="H338" s="37"/>
      <c r="I338" s="38"/>
      <c r="J338" s="13"/>
      <c r="K338" s="18"/>
      <c r="L338" s="19"/>
      <c r="M338" s="19"/>
      <c r="N338" s="20"/>
      <c r="O338" s="22"/>
      <c r="P338" s="36"/>
      <c r="Q338" s="37"/>
      <c r="R338" s="37"/>
    </row>
    <row r="339" spans="1:18" x14ac:dyDescent="0.2">
      <c r="A339" s="13"/>
      <c r="B339" s="18"/>
      <c r="C339" s="19"/>
      <c r="D339" s="19"/>
      <c r="E339" s="20"/>
      <c r="F339" s="22"/>
      <c r="G339" s="36"/>
      <c r="H339" s="37"/>
      <c r="I339" s="38"/>
      <c r="J339" s="13"/>
      <c r="K339" s="18"/>
      <c r="L339" s="19"/>
      <c r="M339" s="19"/>
      <c r="N339" s="20"/>
      <c r="O339" s="22"/>
      <c r="P339" s="36"/>
      <c r="Q339" s="37"/>
      <c r="R339" s="37"/>
    </row>
    <row r="340" spans="1:18" x14ac:dyDescent="0.2">
      <c r="A340" s="13"/>
      <c r="B340" s="18"/>
      <c r="C340" s="19"/>
      <c r="D340" s="19"/>
      <c r="E340" s="20"/>
      <c r="F340" s="22"/>
      <c r="G340" s="23"/>
      <c r="H340" s="37"/>
      <c r="I340" s="38"/>
      <c r="J340" s="13"/>
      <c r="K340" s="18"/>
      <c r="L340" s="19"/>
      <c r="M340" s="19"/>
      <c r="N340" s="20"/>
      <c r="O340" s="22"/>
      <c r="P340" s="23"/>
      <c r="Q340" s="37"/>
      <c r="R340" s="37"/>
    </row>
    <row r="341" spans="1:18" x14ac:dyDescent="0.2">
      <c r="A341" s="13"/>
      <c r="B341" s="18"/>
      <c r="C341" s="19"/>
      <c r="D341" s="19"/>
      <c r="E341" s="20"/>
      <c r="F341" s="22"/>
      <c r="G341" s="23"/>
      <c r="H341" s="37"/>
      <c r="I341" s="38"/>
      <c r="J341" s="13"/>
      <c r="K341" s="18"/>
      <c r="L341" s="19"/>
      <c r="M341" s="19"/>
      <c r="N341" s="20"/>
      <c r="O341" s="22"/>
      <c r="P341" s="36"/>
      <c r="Q341" s="38"/>
      <c r="R341" s="38"/>
    </row>
    <row r="342" spans="1:18" x14ac:dyDescent="0.2">
      <c r="A342" s="13"/>
      <c r="B342" s="7"/>
      <c r="C342" s="7"/>
      <c r="D342" s="7"/>
      <c r="E342" s="7"/>
      <c r="F342" s="72"/>
      <c r="G342" s="72"/>
      <c r="H342" s="72"/>
      <c r="I342" s="37"/>
      <c r="J342" s="13"/>
      <c r="K342" s="18"/>
      <c r="L342" s="19"/>
      <c r="M342" s="19"/>
      <c r="N342" s="20"/>
      <c r="O342" s="22"/>
      <c r="P342" s="36"/>
      <c r="Q342" s="37"/>
      <c r="R342" s="37"/>
    </row>
    <row r="343" spans="1:18" x14ac:dyDescent="0.2">
      <c r="A343" s="13"/>
      <c r="B343" s="18"/>
      <c r="C343" s="19"/>
      <c r="D343" s="19"/>
      <c r="E343" s="20"/>
      <c r="F343" s="22"/>
      <c r="G343" s="36"/>
      <c r="H343" s="37"/>
      <c r="I343" s="37"/>
      <c r="J343" s="13"/>
      <c r="K343" s="18"/>
      <c r="L343" s="19"/>
      <c r="M343" s="19"/>
      <c r="N343" s="20"/>
      <c r="O343" s="22"/>
      <c r="P343" s="36"/>
      <c r="Q343" s="37"/>
      <c r="R343" s="37"/>
    </row>
    <row r="344" spans="1:18" ht="15" customHeight="1" x14ac:dyDescent="0.2">
      <c r="A344" s="13"/>
      <c r="B344" s="18"/>
      <c r="C344" s="19"/>
      <c r="D344" s="19"/>
      <c r="E344" s="20"/>
      <c r="F344" s="22"/>
      <c r="G344" s="36"/>
      <c r="H344" s="37"/>
      <c r="I344" s="37"/>
      <c r="J344" s="13"/>
      <c r="K344" s="18"/>
      <c r="L344" s="19"/>
      <c r="M344" s="19"/>
      <c r="N344" s="20"/>
      <c r="O344" s="22"/>
      <c r="P344" s="36"/>
      <c r="Q344" s="37"/>
      <c r="R344" s="37"/>
    </row>
    <row r="345" spans="1:18" x14ac:dyDescent="0.2">
      <c r="A345" s="13"/>
      <c r="B345" s="18"/>
      <c r="C345" s="19"/>
      <c r="D345" s="19"/>
      <c r="E345" s="20"/>
      <c r="F345" s="22"/>
      <c r="G345" s="22"/>
      <c r="H345" s="23"/>
      <c r="I345" s="23"/>
      <c r="J345" s="13"/>
      <c r="K345" s="18"/>
      <c r="L345" s="19"/>
      <c r="M345" s="19"/>
      <c r="N345" s="20"/>
      <c r="O345" s="22"/>
      <c r="P345" s="22"/>
      <c r="Q345" s="23"/>
      <c r="R345" s="23"/>
    </row>
    <row r="346" spans="1:18" x14ac:dyDescent="0.2">
      <c r="A346" s="13"/>
      <c r="B346" s="248" t="s">
        <v>30</v>
      </c>
      <c r="C346" s="249"/>
      <c r="D346" s="249"/>
      <c r="E346" s="250"/>
      <c r="F346" s="22"/>
      <c r="G346" s="22"/>
      <c r="H346" s="23"/>
      <c r="I346" s="23">
        <f>SUM(I333:I345)</f>
        <v>524.80700000000002</v>
      </c>
      <c r="J346" s="13"/>
      <c r="K346" s="248" t="s">
        <v>30</v>
      </c>
      <c r="L346" s="249"/>
      <c r="M346" s="249"/>
      <c r="N346" s="250"/>
      <c r="O346" s="22"/>
      <c r="P346" s="22"/>
      <c r="Q346" s="23"/>
      <c r="R346" s="23">
        <f>SUM(R333:R345)</f>
        <v>215.50399999999999</v>
      </c>
    </row>
    <row r="347" spans="1:18" x14ac:dyDescent="0.2">
      <c r="A347" s="12" t="s">
        <v>31</v>
      </c>
      <c r="B347" s="260" t="s">
        <v>32</v>
      </c>
      <c r="C347" s="261"/>
      <c r="D347" s="261"/>
      <c r="E347" s="261"/>
      <c r="F347" s="161"/>
      <c r="G347" s="161"/>
      <c r="H347" s="40"/>
      <c r="I347" s="41">
        <f>SUM(I346+I328)</f>
        <v>683.37699999999995</v>
      </c>
      <c r="J347" s="12" t="s">
        <v>31</v>
      </c>
      <c r="K347" s="260" t="s">
        <v>32</v>
      </c>
      <c r="L347" s="261"/>
      <c r="M347" s="261"/>
      <c r="N347" s="261"/>
      <c r="O347" s="161"/>
      <c r="P347" s="161"/>
      <c r="Q347" s="40"/>
      <c r="R347" s="41">
        <f>SUM(R346+R328)</f>
        <v>413.04399999999998</v>
      </c>
    </row>
    <row r="348" spans="1:18" x14ac:dyDescent="0.2">
      <c r="A348" s="13" t="s">
        <v>33</v>
      </c>
      <c r="B348" s="347">
        <f>E315</f>
        <v>3</v>
      </c>
      <c r="C348" s="348"/>
      <c r="D348" s="348"/>
      <c r="E348" s="348"/>
      <c r="F348" s="348"/>
      <c r="G348" s="348"/>
      <c r="H348" s="40"/>
      <c r="I348" s="41"/>
      <c r="J348" s="13" t="s">
        <v>33</v>
      </c>
      <c r="K348" s="345">
        <f>N315</f>
        <v>1</v>
      </c>
      <c r="L348" s="346"/>
      <c r="M348" s="346"/>
      <c r="N348" s="346"/>
      <c r="O348" s="346"/>
      <c r="P348" s="346"/>
      <c r="Q348" s="40"/>
      <c r="R348" s="41"/>
    </row>
    <row r="349" spans="1:18" x14ac:dyDescent="0.2">
      <c r="A349" s="13" t="s">
        <v>34</v>
      </c>
      <c r="B349" s="162" t="s">
        <v>35</v>
      </c>
      <c r="C349" s="43"/>
      <c r="D349" s="43"/>
      <c r="E349" s="161"/>
      <c r="F349" s="163"/>
      <c r="G349" s="163"/>
      <c r="H349" s="40"/>
      <c r="I349" s="41">
        <f>I347/E315</f>
        <v>227.79233333333332</v>
      </c>
      <c r="J349" s="13" t="s">
        <v>34</v>
      </c>
      <c r="K349" s="162" t="s">
        <v>35</v>
      </c>
      <c r="L349" s="43"/>
      <c r="M349" s="43"/>
      <c r="N349" s="161"/>
      <c r="O349" s="163"/>
      <c r="P349" s="163"/>
      <c r="Q349" s="40"/>
      <c r="R349" s="41">
        <f>R347/N315</f>
        <v>413.04399999999998</v>
      </c>
    </row>
    <row r="350" spans="1:18" x14ac:dyDescent="0.2">
      <c r="A350" s="12"/>
      <c r="B350" s="251" t="s">
        <v>36</v>
      </c>
      <c r="C350" s="252"/>
      <c r="D350" s="252"/>
      <c r="E350" s="253"/>
      <c r="F350" s="244" t="s">
        <v>37</v>
      </c>
      <c r="G350" s="244" t="s">
        <v>38</v>
      </c>
      <c r="H350" s="244" t="s">
        <v>39</v>
      </c>
      <c r="I350" s="246" t="s">
        <v>15</v>
      </c>
      <c r="J350" s="12"/>
      <c r="K350" s="251" t="s">
        <v>36</v>
      </c>
      <c r="L350" s="252"/>
      <c r="M350" s="252"/>
      <c r="N350" s="253"/>
      <c r="O350" s="244" t="s">
        <v>37</v>
      </c>
      <c r="P350" s="244" t="s">
        <v>38</v>
      </c>
      <c r="Q350" s="244" t="s">
        <v>39</v>
      </c>
      <c r="R350" s="246" t="s">
        <v>15</v>
      </c>
    </row>
    <row r="351" spans="1:18" x14ac:dyDescent="0.2">
      <c r="A351" s="13"/>
      <c r="B351" s="254"/>
      <c r="C351" s="255"/>
      <c r="D351" s="255"/>
      <c r="E351" s="256"/>
      <c r="F351" s="245"/>
      <c r="G351" s="245"/>
      <c r="H351" s="245"/>
      <c r="I351" s="247"/>
      <c r="J351" s="13"/>
      <c r="K351" s="254"/>
      <c r="L351" s="255"/>
      <c r="M351" s="255"/>
      <c r="N351" s="256"/>
      <c r="O351" s="245"/>
      <c r="P351" s="245"/>
      <c r="Q351" s="245"/>
      <c r="R351" s="247"/>
    </row>
    <row r="352" spans="1:18" x14ac:dyDescent="0.2">
      <c r="A352" s="13" t="s">
        <v>40</v>
      </c>
      <c r="B352" s="18" t="s">
        <v>41</v>
      </c>
      <c r="C352" s="19"/>
      <c r="D352" s="19"/>
      <c r="E352" s="20"/>
      <c r="F352" s="22"/>
      <c r="G352" s="22"/>
      <c r="H352" s="23"/>
      <c r="I352" s="23"/>
      <c r="J352" s="13" t="s">
        <v>40</v>
      </c>
      <c r="K352" s="18" t="s">
        <v>41</v>
      </c>
      <c r="L352" s="19"/>
      <c r="M352" s="19"/>
      <c r="N352" s="20"/>
      <c r="O352" s="22"/>
      <c r="P352" s="22"/>
      <c r="Q352" s="23"/>
      <c r="R352" s="23"/>
    </row>
    <row r="353" spans="1:18" x14ac:dyDescent="0.2">
      <c r="A353" s="13"/>
      <c r="B353" s="18"/>
      <c r="C353" s="19"/>
      <c r="D353" s="19"/>
      <c r="E353" s="20"/>
      <c r="F353" s="22"/>
      <c r="G353" s="22"/>
      <c r="H353" s="23"/>
      <c r="I353" s="23"/>
      <c r="J353" s="13"/>
      <c r="K353" s="18"/>
      <c r="L353" s="19"/>
      <c r="M353" s="19"/>
      <c r="N353" s="20"/>
      <c r="O353" s="22"/>
      <c r="P353" s="22"/>
      <c r="Q353" s="23"/>
      <c r="R353" s="23"/>
    </row>
    <row r="354" spans="1:18" x14ac:dyDescent="0.2">
      <c r="A354" s="13"/>
      <c r="B354" s="18" t="s">
        <v>656</v>
      </c>
      <c r="C354" s="66"/>
      <c r="D354" s="19"/>
      <c r="E354" s="20"/>
      <c r="F354" s="62" t="s">
        <v>1153</v>
      </c>
      <c r="G354" s="62">
        <v>1</v>
      </c>
      <c r="H354" s="107">
        <v>1750</v>
      </c>
      <c r="I354" s="23">
        <f>G354*H354</f>
        <v>1750</v>
      </c>
      <c r="J354" s="13"/>
      <c r="K354" s="18" t="s">
        <v>425</v>
      </c>
      <c r="L354" s="66"/>
      <c r="M354" s="19"/>
      <c r="N354" s="20"/>
      <c r="O354" s="22" t="s">
        <v>227</v>
      </c>
      <c r="P354" s="70">
        <v>1.32</v>
      </c>
      <c r="Q354" s="107">
        <v>220</v>
      </c>
      <c r="R354" s="23">
        <f>Q354*P354</f>
        <v>290.40000000000003</v>
      </c>
    </row>
    <row r="355" spans="1:18" x14ac:dyDescent="0.2">
      <c r="A355" s="13"/>
      <c r="B355" s="18" t="s">
        <v>646</v>
      </c>
      <c r="C355" s="66"/>
      <c r="D355" s="19"/>
      <c r="E355" s="20"/>
      <c r="F355" s="62"/>
      <c r="G355" s="70"/>
      <c r="I355" s="23">
        <f>I354*0.05</f>
        <v>87.5</v>
      </c>
      <c r="J355" s="13"/>
      <c r="K355" s="18" t="s">
        <v>567</v>
      </c>
      <c r="L355" s="66"/>
      <c r="M355" s="19"/>
      <c r="N355" s="20"/>
      <c r="O355" s="22" t="s">
        <v>9</v>
      </c>
      <c r="P355" s="22">
        <v>7.2999999999999995E-2</v>
      </c>
      <c r="Q355" s="107">
        <v>850</v>
      </c>
      <c r="R355" s="23">
        <f>Q355*P355</f>
        <v>62.05</v>
      </c>
    </row>
    <row r="356" spans="1:18" x14ac:dyDescent="0.2">
      <c r="A356" s="13"/>
      <c r="B356" s="18"/>
      <c r="C356" s="19"/>
      <c r="D356" s="19"/>
      <c r="E356" s="20"/>
      <c r="F356" s="62"/>
      <c r="G356" s="70"/>
      <c r="H356" s="23"/>
      <c r="I356" s="23"/>
      <c r="J356" s="13"/>
      <c r="K356" s="18" t="s">
        <v>496</v>
      </c>
      <c r="L356" s="66"/>
      <c r="M356" s="19"/>
      <c r="N356" s="20"/>
      <c r="O356" s="22" t="s">
        <v>9</v>
      </c>
      <c r="P356" s="70">
        <v>0.14499999999999999</v>
      </c>
      <c r="Q356" s="107">
        <v>650</v>
      </c>
      <c r="R356" s="23">
        <f>Q356*P356</f>
        <v>94.25</v>
      </c>
    </row>
    <row r="357" spans="1:18" x14ac:dyDescent="0.2">
      <c r="A357" s="13"/>
      <c r="B357" s="18"/>
      <c r="C357" s="19"/>
      <c r="D357" s="19"/>
      <c r="E357" s="20"/>
      <c r="F357" s="22"/>
      <c r="G357" s="62"/>
      <c r="H357" s="23"/>
      <c r="I357" s="23"/>
      <c r="J357" s="13"/>
      <c r="K357" s="18" t="s">
        <v>624</v>
      </c>
      <c r="L357" s="66"/>
      <c r="M357" s="19"/>
      <c r="N357" s="20"/>
      <c r="O357" s="22" t="s">
        <v>413</v>
      </c>
      <c r="P357" s="62">
        <v>8</v>
      </c>
      <c r="Q357" s="107">
        <v>40</v>
      </c>
      <c r="R357" s="23">
        <f>(Q357*P357)/4</f>
        <v>80</v>
      </c>
    </row>
    <row r="358" spans="1:18" x14ac:dyDescent="0.2">
      <c r="A358" s="13"/>
      <c r="B358" s="18"/>
      <c r="C358" s="19"/>
      <c r="D358" s="19"/>
      <c r="E358" s="20"/>
      <c r="F358" s="22"/>
      <c r="G358" s="70"/>
      <c r="H358" s="23"/>
      <c r="I358" s="23"/>
      <c r="J358" s="13"/>
      <c r="K358" s="18" t="s">
        <v>1305</v>
      </c>
      <c r="L358" s="66"/>
      <c r="M358" s="19"/>
      <c r="N358" s="20"/>
      <c r="O358" s="22" t="s">
        <v>66</v>
      </c>
      <c r="P358" s="62">
        <v>3.1</v>
      </c>
      <c r="Q358" s="107">
        <f>3180/6</f>
        <v>530</v>
      </c>
      <c r="R358" s="23">
        <f>Q358*P358</f>
        <v>1643</v>
      </c>
    </row>
    <row r="359" spans="1:18" x14ac:dyDescent="0.2">
      <c r="A359" s="13"/>
      <c r="B359" s="18"/>
      <c r="C359" s="19"/>
      <c r="D359" s="19"/>
      <c r="E359" s="20"/>
      <c r="F359" s="22"/>
      <c r="G359" s="62"/>
      <c r="H359" s="23"/>
      <c r="I359" s="23"/>
      <c r="J359" s="13"/>
      <c r="K359" s="18" t="s">
        <v>627</v>
      </c>
      <c r="L359" s="66"/>
      <c r="M359" s="19"/>
      <c r="N359" s="20"/>
      <c r="O359" s="22" t="s">
        <v>77</v>
      </c>
      <c r="P359" s="62">
        <v>2</v>
      </c>
      <c r="Q359" s="107">
        <v>48</v>
      </c>
      <c r="R359" s="23">
        <f>Q359*P359</f>
        <v>96</v>
      </c>
    </row>
    <row r="360" spans="1:18" ht="15" customHeight="1" x14ac:dyDescent="0.2">
      <c r="A360" s="13"/>
      <c r="B360" s="18"/>
      <c r="C360" s="19"/>
      <c r="D360" s="19"/>
      <c r="E360" s="20"/>
      <c r="F360" s="22"/>
      <c r="G360" s="22"/>
      <c r="H360" s="23"/>
      <c r="I360" s="23"/>
      <c r="J360" s="13"/>
      <c r="K360" s="18" t="s">
        <v>1306</v>
      </c>
      <c r="L360" s="66"/>
      <c r="M360" s="19"/>
      <c r="N360" s="20"/>
      <c r="O360" s="22" t="s">
        <v>80</v>
      </c>
      <c r="P360" s="62">
        <v>12</v>
      </c>
      <c r="Q360" s="107">
        <v>10</v>
      </c>
      <c r="R360" s="23">
        <f>Q360*P360</f>
        <v>120</v>
      </c>
    </row>
    <row r="361" spans="1:18" x14ac:dyDescent="0.2">
      <c r="A361" s="13"/>
      <c r="B361" s="18"/>
      <c r="C361" s="19"/>
      <c r="D361" s="19"/>
      <c r="E361" s="20"/>
      <c r="F361" s="22"/>
      <c r="G361" s="22"/>
      <c r="H361" s="23"/>
      <c r="I361" s="23"/>
      <c r="J361" s="13"/>
      <c r="K361" s="18" t="s">
        <v>628</v>
      </c>
      <c r="L361" s="66"/>
      <c r="M361" s="19"/>
      <c r="N361" s="20"/>
      <c r="O361" s="22" t="s">
        <v>80</v>
      </c>
      <c r="P361" s="62">
        <v>1</v>
      </c>
      <c r="Q361" s="165">
        <v>8200</v>
      </c>
      <c r="R361" s="23">
        <f>Q361*P361</f>
        <v>8200</v>
      </c>
    </row>
    <row r="362" spans="1:18" x14ac:dyDescent="0.2">
      <c r="A362" s="13"/>
      <c r="B362" s="18"/>
      <c r="C362" s="19"/>
      <c r="D362" s="19"/>
      <c r="E362" s="20"/>
      <c r="F362" s="22"/>
      <c r="G362" s="22"/>
      <c r="H362" s="23"/>
      <c r="I362" s="23"/>
      <c r="J362" s="13"/>
      <c r="K362" s="18" t="s">
        <v>629</v>
      </c>
      <c r="L362" s="19"/>
      <c r="M362" s="19"/>
      <c r="N362" s="20"/>
      <c r="O362" s="22" t="s">
        <v>77</v>
      </c>
      <c r="P362" s="62">
        <f>ROUND(P357/100,2)</f>
        <v>0.08</v>
      </c>
      <c r="Q362" s="107">
        <v>68</v>
      </c>
      <c r="R362" s="23">
        <f>Q362*P362</f>
        <v>5.44</v>
      </c>
    </row>
    <row r="363" spans="1:18" x14ac:dyDescent="0.2">
      <c r="A363" s="13"/>
      <c r="B363" s="18"/>
      <c r="C363" s="19"/>
      <c r="D363" s="19"/>
      <c r="E363" s="20"/>
      <c r="F363" s="22"/>
      <c r="G363" s="22"/>
      <c r="H363" s="23"/>
      <c r="I363" s="23"/>
      <c r="J363" s="13"/>
      <c r="K363" s="18"/>
      <c r="L363" s="19"/>
      <c r="M363" s="19"/>
      <c r="N363" s="20"/>
      <c r="O363" s="22"/>
      <c r="P363" s="22"/>
      <c r="Q363" s="107"/>
      <c r="R363" s="23"/>
    </row>
    <row r="364" spans="1:18" x14ac:dyDescent="0.2">
      <c r="A364" s="13"/>
      <c r="B364" s="18"/>
      <c r="C364" s="19"/>
      <c r="D364" s="19"/>
      <c r="E364" s="20"/>
      <c r="F364" s="22"/>
      <c r="G364" s="22"/>
      <c r="H364" s="23"/>
      <c r="I364" s="23"/>
      <c r="J364" s="13"/>
      <c r="K364" s="18"/>
      <c r="L364" s="19"/>
      <c r="M364" s="19"/>
      <c r="N364" s="20"/>
      <c r="O364" s="22"/>
      <c r="P364" s="22"/>
      <c r="Q364" s="23"/>
      <c r="R364" s="23"/>
    </row>
    <row r="365" spans="1:18" x14ac:dyDescent="0.2">
      <c r="A365" s="13"/>
      <c r="B365" s="18"/>
      <c r="C365" s="19"/>
      <c r="D365" s="19"/>
      <c r="E365" s="20"/>
      <c r="F365" s="22"/>
      <c r="G365" s="36"/>
      <c r="H365" s="37"/>
      <c r="I365" s="37"/>
      <c r="J365" s="13"/>
      <c r="K365" s="18"/>
      <c r="L365" s="19"/>
      <c r="M365" s="19"/>
      <c r="N365" s="20"/>
      <c r="O365" s="22"/>
      <c r="P365" s="22"/>
      <c r="Q365" s="23"/>
      <c r="R365" s="23"/>
    </row>
    <row r="366" spans="1:18" x14ac:dyDescent="0.2">
      <c r="A366" s="13"/>
      <c r="B366" s="18"/>
      <c r="C366" s="19"/>
      <c r="D366" s="19"/>
      <c r="E366" s="20"/>
      <c r="F366" s="22"/>
      <c r="G366" s="36"/>
      <c r="H366" s="37"/>
      <c r="I366" s="37"/>
      <c r="J366" s="13"/>
      <c r="K366" s="18"/>
      <c r="L366" s="19"/>
      <c r="M366" s="19"/>
      <c r="N366" s="20"/>
      <c r="O366" s="22"/>
      <c r="P366" s="36"/>
      <c r="Q366" s="37"/>
      <c r="R366" s="37"/>
    </row>
    <row r="367" spans="1:18" x14ac:dyDescent="0.2">
      <c r="A367" s="13"/>
      <c r="B367" s="248" t="s">
        <v>42</v>
      </c>
      <c r="C367" s="249"/>
      <c r="D367" s="249"/>
      <c r="E367" s="250"/>
      <c r="F367" s="46"/>
      <c r="G367" s="46"/>
      <c r="H367" s="47"/>
      <c r="I367" s="47">
        <f>SUM(I354:I365)</f>
        <v>1837.5</v>
      </c>
      <c r="J367" s="13"/>
      <c r="K367" s="248" t="s">
        <v>42</v>
      </c>
      <c r="L367" s="249"/>
      <c r="M367" s="249"/>
      <c r="N367" s="250"/>
      <c r="O367" s="46"/>
      <c r="P367" s="46"/>
      <c r="Q367" s="47"/>
      <c r="R367" s="47">
        <f>SUM(R354:R366)</f>
        <v>10591.140000000001</v>
      </c>
    </row>
    <row r="368" spans="1:18" x14ac:dyDescent="0.2">
      <c r="A368" s="12" t="s">
        <v>43</v>
      </c>
      <c r="B368" s="48" t="s">
        <v>44</v>
      </c>
      <c r="C368" s="43"/>
      <c r="D368" s="43"/>
      <c r="E368" s="161"/>
      <c r="F368" s="49"/>
      <c r="G368" s="49"/>
      <c r="H368" s="50"/>
      <c r="I368" s="51">
        <f>SUM(I349+I367)</f>
        <v>2065.2923333333333</v>
      </c>
      <c r="J368" s="12" t="s">
        <v>43</v>
      </c>
      <c r="K368" s="48" t="s">
        <v>44</v>
      </c>
      <c r="L368" s="43"/>
      <c r="M368" s="43"/>
      <c r="N368" s="161"/>
      <c r="O368" s="49"/>
      <c r="P368" s="49"/>
      <c r="Q368" s="50"/>
      <c r="R368" s="51">
        <f>SUM(R349+R367)</f>
        <v>11004.184000000001</v>
      </c>
    </row>
    <row r="369" spans="1:18" x14ac:dyDescent="0.2">
      <c r="A369" s="13" t="s">
        <v>45</v>
      </c>
      <c r="B369" s="48" t="s">
        <v>46</v>
      </c>
      <c r="C369" s="43"/>
      <c r="D369" s="43"/>
      <c r="E369" s="161"/>
      <c r="F369" s="49"/>
      <c r="G369" s="52">
        <v>0.09</v>
      </c>
      <c r="H369" s="53" t="s">
        <v>47</v>
      </c>
      <c r="I369" s="51">
        <f>G369*I368</f>
        <v>185.87630999999999</v>
      </c>
      <c r="J369" s="13" t="s">
        <v>45</v>
      </c>
      <c r="K369" s="48" t="s">
        <v>46</v>
      </c>
      <c r="L369" s="43"/>
      <c r="M369" s="43"/>
      <c r="N369" s="161"/>
      <c r="O369" s="49"/>
      <c r="P369" s="52">
        <v>0.09</v>
      </c>
      <c r="Q369" s="53" t="s">
        <v>47</v>
      </c>
      <c r="R369" s="51">
        <f>P369*R368</f>
        <v>990.37656000000004</v>
      </c>
    </row>
    <row r="370" spans="1:18" x14ac:dyDescent="0.2">
      <c r="A370" s="13" t="s">
        <v>48</v>
      </c>
      <c r="B370" s="48" t="s">
        <v>49</v>
      </c>
      <c r="C370" s="43"/>
      <c r="D370" s="43"/>
      <c r="E370" s="161"/>
      <c r="F370" s="49"/>
      <c r="G370" s="52">
        <v>0.08</v>
      </c>
      <c r="H370" s="53" t="s">
        <v>47</v>
      </c>
      <c r="I370" s="51">
        <f>G370*I368</f>
        <v>165.22338666666667</v>
      </c>
      <c r="J370" s="13" t="s">
        <v>48</v>
      </c>
      <c r="K370" s="48" t="s">
        <v>49</v>
      </c>
      <c r="L370" s="43"/>
      <c r="M370" s="43"/>
      <c r="N370" s="161"/>
      <c r="O370" s="49"/>
      <c r="P370" s="52">
        <v>0.08</v>
      </c>
      <c r="Q370" s="53" t="s">
        <v>47</v>
      </c>
      <c r="R370" s="51">
        <f>P370*R368</f>
        <v>880.33472000000006</v>
      </c>
    </row>
    <row r="371" spans="1:18" x14ac:dyDescent="0.2">
      <c r="A371" s="13" t="s">
        <v>50</v>
      </c>
      <c r="B371" s="48" t="s">
        <v>51</v>
      </c>
      <c r="C371" s="43"/>
      <c r="D371" s="43"/>
      <c r="E371" s="161"/>
      <c r="F371" s="49"/>
      <c r="G371" s="52">
        <v>0.05</v>
      </c>
      <c r="H371" s="53" t="s">
        <v>52</v>
      </c>
      <c r="I371" s="51">
        <f>G371*(I368+I369+I370)</f>
        <v>120.8196015</v>
      </c>
      <c r="J371" s="13" t="s">
        <v>50</v>
      </c>
      <c r="K371" s="48" t="s">
        <v>51</v>
      </c>
      <c r="L371" s="43"/>
      <c r="M371" s="43"/>
      <c r="N371" s="161"/>
      <c r="O371" s="49"/>
      <c r="P371" s="52">
        <v>0.05</v>
      </c>
      <c r="Q371" s="53" t="s">
        <v>52</v>
      </c>
      <c r="R371" s="51">
        <f>P371*(R368+R369+R370)</f>
        <v>643.74476400000015</v>
      </c>
    </row>
    <row r="372" spans="1:18" x14ac:dyDescent="0.2">
      <c r="A372" s="54" t="s">
        <v>53</v>
      </c>
      <c r="B372" s="48" t="s">
        <v>54</v>
      </c>
      <c r="C372" s="43"/>
      <c r="D372" s="43"/>
      <c r="E372" s="161"/>
      <c r="F372" s="49"/>
      <c r="G372" s="49"/>
      <c r="H372" s="55" t="s">
        <v>55</v>
      </c>
      <c r="I372" s="51">
        <f>SUM(I368+I369+I370+I371)</f>
        <v>2537.2116314999998</v>
      </c>
      <c r="J372" s="54" t="s">
        <v>53</v>
      </c>
      <c r="K372" s="48" t="s">
        <v>54</v>
      </c>
      <c r="L372" s="43"/>
      <c r="M372" s="43"/>
      <c r="N372" s="161"/>
      <c r="O372" s="49"/>
      <c r="P372" s="49"/>
      <c r="Q372" s="55" t="s">
        <v>55</v>
      </c>
      <c r="R372" s="51">
        <f>SUM(R368+R369+R370+R371)</f>
        <v>13518.640044000003</v>
      </c>
    </row>
    <row r="373" spans="1:18" s="1" customFormat="1" x14ac:dyDescent="0.2">
      <c r="A373" s="236" t="s">
        <v>0</v>
      </c>
      <c r="B373" s="236"/>
      <c r="C373" s="236"/>
      <c r="D373" s="236"/>
      <c r="E373" s="236"/>
      <c r="F373" s="236"/>
      <c r="G373" s="236"/>
      <c r="H373" s="236"/>
      <c r="I373" s="236"/>
      <c r="J373" s="236" t="s">
        <v>0</v>
      </c>
      <c r="K373" s="236"/>
      <c r="L373" s="236"/>
      <c r="M373" s="236"/>
      <c r="N373" s="236"/>
      <c r="O373" s="236"/>
      <c r="P373" s="236"/>
      <c r="Q373" s="236"/>
      <c r="R373" s="236"/>
    </row>
    <row r="375" spans="1:18" x14ac:dyDescent="0.2">
      <c r="A375" s="2" t="s">
        <v>1</v>
      </c>
      <c r="C375" s="4" t="s">
        <v>2</v>
      </c>
      <c r="D375" s="5" t="s">
        <v>657</v>
      </c>
      <c r="E375" s="237" t="s">
        <v>658</v>
      </c>
      <c r="F375" s="237"/>
      <c r="G375" s="237"/>
      <c r="H375" s="237"/>
      <c r="J375" s="158" t="s">
        <v>1</v>
      </c>
      <c r="L375" s="4" t="s">
        <v>2</v>
      </c>
      <c r="M375" s="5" t="s">
        <v>659</v>
      </c>
      <c r="N375" s="237" t="s">
        <v>660</v>
      </c>
      <c r="O375" s="237"/>
      <c r="P375" s="237"/>
      <c r="Q375" s="237"/>
      <c r="R375" s="8"/>
    </row>
    <row r="376" spans="1:18" x14ac:dyDescent="0.2">
      <c r="A376" s="2" t="s">
        <v>7</v>
      </c>
      <c r="C376" s="4" t="s">
        <v>2</v>
      </c>
      <c r="E376" s="2" t="s">
        <v>8</v>
      </c>
      <c r="F376" s="8"/>
      <c r="G376" s="8"/>
      <c r="H376" s="8"/>
      <c r="J376" s="158" t="s">
        <v>7</v>
      </c>
      <c r="L376" s="4" t="s">
        <v>2</v>
      </c>
      <c r="N376" s="158" t="s">
        <v>8</v>
      </c>
      <c r="O376" s="8"/>
      <c r="P376" s="8"/>
      <c r="Q376" s="8"/>
    </row>
    <row r="377" spans="1:18" x14ac:dyDescent="0.2">
      <c r="A377" s="2" t="s">
        <v>10</v>
      </c>
      <c r="C377" s="4" t="s">
        <v>2</v>
      </c>
      <c r="E377" s="9">
        <v>161</v>
      </c>
      <c r="F377" s="8"/>
      <c r="G377" s="8"/>
      <c r="H377" s="8"/>
      <c r="J377" s="158" t="s">
        <v>10</v>
      </c>
      <c r="L377" s="4" t="s">
        <v>2</v>
      </c>
      <c r="N377" s="9">
        <v>10</v>
      </c>
      <c r="O377" s="8"/>
      <c r="P377" s="8"/>
      <c r="Q377" s="8"/>
    </row>
    <row r="378" spans="1:18" x14ac:dyDescent="0.2">
      <c r="B378" s="8"/>
      <c r="F378" s="11"/>
      <c r="G378" s="8"/>
      <c r="H378" s="8"/>
      <c r="I378" s="8"/>
      <c r="K378" s="8"/>
      <c r="O378" s="11"/>
      <c r="P378" s="8"/>
      <c r="Q378" s="8"/>
      <c r="R378" s="8"/>
    </row>
    <row r="379" spans="1:18" x14ac:dyDescent="0.2">
      <c r="A379" s="12"/>
      <c r="B379" s="238" t="s">
        <v>11</v>
      </c>
      <c r="C379" s="239"/>
      <c r="D379" s="239"/>
      <c r="E379" s="240"/>
      <c r="F379" s="244" t="s">
        <v>12</v>
      </c>
      <c r="G379" s="244" t="s">
        <v>13</v>
      </c>
      <c r="H379" s="244" t="s">
        <v>14</v>
      </c>
      <c r="I379" s="246" t="s">
        <v>15</v>
      </c>
      <c r="J379" s="12"/>
      <c r="K379" s="238" t="s">
        <v>11</v>
      </c>
      <c r="L379" s="239"/>
      <c r="M379" s="239"/>
      <c r="N379" s="240"/>
      <c r="O379" s="244" t="s">
        <v>12</v>
      </c>
      <c r="P379" s="244" t="s">
        <v>13</v>
      </c>
      <c r="Q379" s="244" t="s">
        <v>14</v>
      </c>
      <c r="R379" s="246" t="s">
        <v>15</v>
      </c>
    </row>
    <row r="380" spans="1:18" x14ac:dyDescent="0.2">
      <c r="A380" s="13"/>
      <c r="B380" s="241"/>
      <c r="C380" s="242"/>
      <c r="D380" s="242"/>
      <c r="E380" s="243"/>
      <c r="F380" s="245"/>
      <c r="G380" s="245"/>
      <c r="H380" s="245"/>
      <c r="I380" s="247"/>
      <c r="J380" s="13"/>
      <c r="K380" s="241"/>
      <c r="L380" s="242"/>
      <c r="M380" s="242"/>
      <c r="N380" s="243"/>
      <c r="O380" s="245"/>
      <c r="P380" s="245"/>
      <c r="Q380" s="245"/>
      <c r="R380" s="247"/>
    </row>
    <row r="381" spans="1:18" x14ac:dyDescent="0.2">
      <c r="A381" s="13" t="s">
        <v>16</v>
      </c>
      <c r="B381" s="14" t="s">
        <v>17</v>
      </c>
      <c r="C381" s="15"/>
      <c r="D381" s="15"/>
      <c r="E381" s="16"/>
      <c r="F381" s="17"/>
      <c r="G381" s="17"/>
      <c r="H381" s="17"/>
      <c r="I381" s="17"/>
      <c r="J381" s="13" t="s">
        <v>16</v>
      </c>
      <c r="K381" s="14" t="s">
        <v>17</v>
      </c>
      <c r="L381" s="15"/>
      <c r="M381" s="15"/>
      <c r="N381" s="16"/>
      <c r="O381" s="17"/>
      <c r="P381" s="17"/>
      <c r="Q381" s="17"/>
      <c r="R381" s="17"/>
    </row>
    <row r="382" spans="1:18" x14ac:dyDescent="0.2">
      <c r="A382" s="13"/>
      <c r="B382" s="18"/>
      <c r="C382" s="19"/>
      <c r="D382" s="19"/>
      <c r="E382" s="20"/>
      <c r="F382" s="21"/>
      <c r="G382" s="22"/>
      <c r="H382" s="21"/>
      <c r="I382" s="21"/>
      <c r="J382" s="13"/>
      <c r="K382" s="18"/>
      <c r="L382" s="19"/>
      <c r="M382" s="19"/>
      <c r="N382" s="20"/>
      <c r="O382" s="21"/>
      <c r="P382" s="22"/>
      <c r="Q382" s="21"/>
      <c r="R382" s="21"/>
    </row>
    <row r="383" spans="1:18" x14ac:dyDescent="0.2">
      <c r="A383" s="13"/>
      <c r="B383" s="24" t="s">
        <v>18</v>
      </c>
      <c r="C383" s="25"/>
      <c r="D383" s="25"/>
      <c r="E383" s="26"/>
      <c r="F383" s="22">
        <v>1</v>
      </c>
      <c r="G383" s="23">
        <v>1</v>
      </c>
      <c r="H383" s="23">
        <v>69.42</v>
      </c>
      <c r="I383" s="23">
        <f>G383*H383*F383</f>
        <v>69.42</v>
      </c>
      <c r="J383" s="13"/>
      <c r="K383" s="24" t="s">
        <v>18</v>
      </c>
      <c r="L383" s="25"/>
      <c r="M383" s="25"/>
      <c r="N383" s="26"/>
      <c r="O383" s="22">
        <v>1</v>
      </c>
      <c r="P383" s="23">
        <v>1</v>
      </c>
      <c r="Q383" s="23">
        <v>69.42</v>
      </c>
      <c r="R383" s="23">
        <f>O383*P383*Q383</f>
        <v>69.42</v>
      </c>
    </row>
    <row r="384" spans="1:18" x14ac:dyDescent="0.2">
      <c r="A384" s="13"/>
      <c r="B384" s="257" t="s">
        <v>1178</v>
      </c>
      <c r="C384" s="258"/>
      <c r="D384" s="25"/>
      <c r="E384" s="26"/>
      <c r="F384" s="22">
        <v>4</v>
      </c>
      <c r="G384" s="23">
        <v>1</v>
      </c>
      <c r="H384" s="23">
        <v>50.18</v>
      </c>
      <c r="I384" s="23">
        <f>G384*H384*F384</f>
        <v>200.72</v>
      </c>
      <c r="J384" s="13"/>
      <c r="K384" s="257" t="s">
        <v>1178</v>
      </c>
      <c r="L384" s="258"/>
      <c r="M384" s="25"/>
      <c r="N384" s="26"/>
      <c r="O384" s="22">
        <v>1</v>
      </c>
      <c r="P384" s="23">
        <v>1</v>
      </c>
      <c r="Q384" s="23">
        <v>50.18</v>
      </c>
      <c r="R384" s="23">
        <f>O384*P384*Q384</f>
        <v>50.18</v>
      </c>
    </row>
    <row r="385" spans="1:18" x14ac:dyDescent="0.2">
      <c r="A385" s="13"/>
      <c r="B385" s="257" t="s">
        <v>1177</v>
      </c>
      <c r="C385" s="258"/>
      <c r="D385" s="19"/>
      <c r="E385" s="20"/>
      <c r="F385" s="22">
        <v>12</v>
      </c>
      <c r="G385" s="23">
        <v>1</v>
      </c>
      <c r="H385" s="23">
        <v>38.97</v>
      </c>
      <c r="I385" s="23">
        <f>G385*H385*F385</f>
        <v>467.64</v>
      </c>
      <c r="J385" s="13"/>
      <c r="K385" s="257" t="s">
        <v>1177</v>
      </c>
      <c r="L385" s="258"/>
      <c r="M385" s="19"/>
      <c r="N385" s="20"/>
      <c r="O385" s="22">
        <v>2</v>
      </c>
      <c r="P385" s="23">
        <v>1</v>
      </c>
      <c r="Q385" s="23">
        <v>38.97</v>
      </c>
      <c r="R385" s="23">
        <f>O385*P385*Q385</f>
        <v>77.94</v>
      </c>
    </row>
    <row r="386" spans="1:18" ht="15" customHeight="1" x14ac:dyDescent="0.2">
      <c r="A386" s="13"/>
      <c r="B386" s="27"/>
      <c r="C386" s="19"/>
      <c r="D386" s="19"/>
      <c r="E386" s="20"/>
      <c r="F386" s="22"/>
      <c r="G386" s="22"/>
      <c r="H386" s="29"/>
      <c r="I386" s="30"/>
      <c r="J386" s="13"/>
      <c r="K386" s="159"/>
      <c r="L386" s="19"/>
      <c r="M386" s="19"/>
      <c r="N386" s="20"/>
      <c r="O386" s="22"/>
      <c r="P386" s="22"/>
      <c r="Q386" s="29"/>
      <c r="R386" s="30"/>
    </row>
    <row r="387" spans="1:18" x14ac:dyDescent="0.2">
      <c r="A387" s="13"/>
      <c r="B387" s="27"/>
      <c r="C387" s="19"/>
      <c r="D387" s="19"/>
      <c r="E387" s="20"/>
      <c r="F387" s="22"/>
      <c r="G387" s="22"/>
      <c r="H387" s="29"/>
      <c r="I387" s="30"/>
      <c r="J387" s="13"/>
      <c r="K387" s="159"/>
      <c r="L387" s="19"/>
      <c r="M387" s="19"/>
      <c r="N387" s="20"/>
      <c r="O387" s="22"/>
      <c r="P387" s="22"/>
      <c r="Q387" s="29"/>
      <c r="R387" s="30"/>
    </row>
    <row r="388" spans="1:18" x14ac:dyDescent="0.2">
      <c r="A388" s="13"/>
      <c r="B388" s="18"/>
      <c r="C388" s="19"/>
      <c r="D388" s="19"/>
      <c r="E388" s="20"/>
      <c r="F388" s="22"/>
      <c r="G388" s="22"/>
      <c r="H388" s="28"/>
      <c r="I388" s="23"/>
      <c r="J388" s="13"/>
      <c r="K388" s="18"/>
      <c r="L388" s="19"/>
      <c r="M388" s="19"/>
      <c r="N388" s="20"/>
      <c r="O388" s="22"/>
      <c r="P388" s="22"/>
      <c r="Q388" s="28"/>
      <c r="R388" s="23"/>
    </row>
    <row r="389" spans="1:18" x14ac:dyDescent="0.2">
      <c r="A389" s="13"/>
      <c r="B389" s="18"/>
      <c r="C389" s="19"/>
      <c r="D389" s="19"/>
      <c r="E389" s="20"/>
      <c r="F389" s="22"/>
      <c r="G389" s="22"/>
      <c r="H389" s="23"/>
      <c r="I389" s="23"/>
      <c r="J389" s="13"/>
      <c r="K389" s="18"/>
      <c r="L389" s="19"/>
      <c r="M389" s="19"/>
      <c r="N389" s="20"/>
      <c r="O389" s="22"/>
      <c r="P389" s="22"/>
      <c r="Q389" s="23"/>
      <c r="R389" s="23"/>
    </row>
    <row r="390" spans="1:18" x14ac:dyDescent="0.2">
      <c r="A390" s="13"/>
      <c r="B390" s="248" t="s">
        <v>20</v>
      </c>
      <c r="C390" s="249"/>
      <c r="D390" s="249"/>
      <c r="E390" s="250"/>
      <c r="F390" s="31"/>
      <c r="G390" s="31"/>
      <c r="H390" s="32"/>
      <c r="I390" s="32">
        <f>SUM(I383:I389)</f>
        <v>737.78</v>
      </c>
      <c r="J390" s="13"/>
      <c r="K390" s="248" t="s">
        <v>20</v>
      </c>
      <c r="L390" s="249"/>
      <c r="M390" s="249"/>
      <c r="N390" s="250"/>
      <c r="O390" s="31"/>
      <c r="P390" s="31"/>
      <c r="Q390" s="32"/>
      <c r="R390" s="32">
        <f>SUM(R383:R389)</f>
        <v>197.54</v>
      </c>
    </row>
    <row r="391" spans="1:18" x14ac:dyDescent="0.2">
      <c r="A391" s="12"/>
      <c r="B391" s="251" t="s">
        <v>21</v>
      </c>
      <c r="C391" s="252"/>
      <c r="D391" s="252"/>
      <c r="E391" s="253"/>
      <c r="F391" s="244" t="s">
        <v>22</v>
      </c>
      <c r="G391" s="244" t="s">
        <v>13</v>
      </c>
      <c r="H391" s="244" t="s">
        <v>14</v>
      </c>
      <c r="I391" s="246" t="s">
        <v>15</v>
      </c>
      <c r="J391" s="12"/>
      <c r="K391" s="251" t="s">
        <v>21</v>
      </c>
      <c r="L391" s="252"/>
      <c r="M391" s="252"/>
      <c r="N391" s="253"/>
      <c r="O391" s="244" t="s">
        <v>22</v>
      </c>
      <c r="P391" s="244" t="s">
        <v>13</v>
      </c>
      <c r="Q391" s="244" t="s">
        <v>14</v>
      </c>
      <c r="R391" s="246" t="s">
        <v>15</v>
      </c>
    </row>
    <row r="392" spans="1:18" x14ac:dyDescent="0.2">
      <c r="A392" s="13"/>
      <c r="B392" s="254"/>
      <c r="C392" s="255"/>
      <c r="D392" s="255"/>
      <c r="E392" s="256"/>
      <c r="F392" s="245"/>
      <c r="G392" s="245"/>
      <c r="H392" s="245"/>
      <c r="I392" s="247"/>
      <c r="J392" s="13"/>
      <c r="K392" s="254"/>
      <c r="L392" s="255"/>
      <c r="M392" s="255"/>
      <c r="N392" s="256"/>
      <c r="O392" s="245"/>
      <c r="P392" s="245"/>
      <c r="Q392" s="245"/>
      <c r="R392" s="247"/>
    </row>
    <row r="393" spans="1:18" x14ac:dyDescent="0.2">
      <c r="A393" s="13" t="s">
        <v>23</v>
      </c>
      <c r="B393" s="33" t="s">
        <v>24</v>
      </c>
      <c r="C393" s="15"/>
      <c r="D393" s="15"/>
      <c r="E393" s="16"/>
      <c r="F393" s="34"/>
      <c r="G393" s="34"/>
      <c r="H393" s="35"/>
      <c r="I393" s="35"/>
      <c r="J393" s="13" t="s">
        <v>23</v>
      </c>
      <c r="K393" s="33" t="s">
        <v>24</v>
      </c>
      <c r="L393" s="15"/>
      <c r="M393" s="15"/>
      <c r="N393" s="16"/>
      <c r="O393" s="34"/>
      <c r="P393" s="34"/>
      <c r="Q393" s="35"/>
      <c r="R393" s="35"/>
    </row>
    <row r="394" spans="1:18" x14ac:dyDescent="0.2">
      <c r="A394" s="13"/>
      <c r="B394" s="18"/>
      <c r="C394" s="19"/>
      <c r="D394" s="19"/>
      <c r="E394" s="20"/>
      <c r="F394" s="22"/>
      <c r="G394" s="22"/>
      <c r="H394" s="23"/>
      <c r="I394" s="23"/>
      <c r="J394" s="13"/>
      <c r="K394" s="18"/>
      <c r="L394" s="19"/>
      <c r="M394" s="19"/>
      <c r="N394" s="20"/>
      <c r="O394" s="22"/>
      <c r="P394" s="22"/>
      <c r="Q394" s="23"/>
      <c r="R394" s="23"/>
    </row>
    <row r="395" spans="1:18" ht="17.25" customHeight="1" x14ac:dyDescent="0.2">
      <c r="A395" s="13"/>
      <c r="B395" s="18" t="s">
        <v>340</v>
      </c>
      <c r="C395" s="19"/>
      <c r="D395" s="19"/>
      <c r="E395" s="20"/>
      <c r="F395" s="22">
        <v>4</v>
      </c>
      <c r="G395" s="23">
        <v>1</v>
      </c>
      <c r="H395" s="37">
        <v>1318</v>
      </c>
      <c r="I395" s="37">
        <f>G395*H395*F395</f>
        <v>5272</v>
      </c>
      <c r="J395" s="13"/>
      <c r="K395" s="18" t="s">
        <v>1277</v>
      </c>
      <c r="L395" s="19"/>
      <c r="M395" s="19"/>
      <c r="N395" s="20"/>
      <c r="O395" s="22">
        <v>1</v>
      </c>
      <c r="P395" s="23">
        <v>0.05</v>
      </c>
      <c r="Q395" s="37">
        <v>783</v>
      </c>
      <c r="R395" s="23">
        <f>O395*P395*Q395</f>
        <v>39.150000000000006</v>
      </c>
    </row>
    <row r="396" spans="1:18" ht="17.25" customHeight="1" x14ac:dyDescent="0.2">
      <c r="A396" s="13"/>
      <c r="B396" s="18" t="s">
        <v>341</v>
      </c>
      <c r="C396" s="19"/>
      <c r="D396" s="19"/>
      <c r="E396" s="20"/>
      <c r="F396" s="22">
        <v>2</v>
      </c>
      <c r="G396" s="23">
        <v>1</v>
      </c>
      <c r="H396" s="37">
        <v>91.25</v>
      </c>
      <c r="I396" s="37">
        <f t="shared" ref="I396:I401" si="0">G396*H396*F396</f>
        <v>182.5</v>
      </c>
      <c r="J396" s="13"/>
      <c r="K396" s="18" t="s">
        <v>260</v>
      </c>
      <c r="L396" s="66"/>
      <c r="M396" s="19"/>
      <c r="N396" s="20"/>
      <c r="O396" s="22"/>
      <c r="P396" s="23"/>
      <c r="R396" s="37">
        <f>R390*0.05</f>
        <v>9.8770000000000007</v>
      </c>
    </row>
    <row r="397" spans="1:18" x14ac:dyDescent="0.2">
      <c r="A397" s="13"/>
      <c r="B397" s="18" t="s">
        <v>1224</v>
      </c>
      <c r="C397" s="19"/>
      <c r="D397" s="19"/>
      <c r="E397" s="20"/>
      <c r="F397" s="22">
        <v>1</v>
      </c>
      <c r="G397" s="23">
        <v>1</v>
      </c>
      <c r="H397" s="37">
        <v>1759.5</v>
      </c>
      <c r="I397" s="37">
        <f t="shared" si="0"/>
        <v>1759.5</v>
      </c>
      <c r="J397" s="13"/>
      <c r="K397" s="18"/>
      <c r="L397" s="66"/>
      <c r="M397" s="19"/>
      <c r="N397" s="20"/>
      <c r="O397" s="22"/>
      <c r="P397" s="36"/>
      <c r="Q397" s="37"/>
      <c r="R397" s="37"/>
    </row>
    <row r="398" spans="1:18" x14ac:dyDescent="0.2">
      <c r="A398" s="13"/>
      <c r="B398" s="18" t="s">
        <v>257</v>
      </c>
      <c r="C398" s="66"/>
      <c r="D398" s="19"/>
      <c r="E398" s="20"/>
      <c r="F398" s="22">
        <v>1</v>
      </c>
      <c r="G398" s="23">
        <v>1</v>
      </c>
      <c r="H398" s="37">
        <v>1733</v>
      </c>
      <c r="I398" s="37">
        <f t="shared" si="0"/>
        <v>1733</v>
      </c>
      <c r="J398" s="13"/>
      <c r="K398" s="18"/>
      <c r="L398" s="66"/>
      <c r="O398" s="22"/>
      <c r="P398" s="23"/>
      <c r="Q398" s="37"/>
      <c r="R398" s="37"/>
    </row>
    <row r="399" spans="1:18" x14ac:dyDescent="0.2">
      <c r="A399" s="13"/>
      <c r="B399" s="18" t="s">
        <v>342</v>
      </c>
      <c r="C399" s="19"/>
      <c r="D399" s="19"/>
      <c r="E399" s="20"/>
      <c r="F399" s="22">
        <v>1</v>
      </c>
      <c r="G399" s="23">
        <v>1</v>
      </c>
      <c r="H399" s="37">
        <v>545</v>
      </c>
      <c r="I399" s="37">
        <f t="shared" si="0"/>
        <v>545</v>
      </c>
      <c r="J399" s="13"/>
      <c r="K399" s="18"/>
      <c r="L399" s="19"/>
      <c r="M399" s="19"/>
      <c r="N399" s="20"/>
      <c r="O399" s="22"/>
      <c r="P399" s="36"/>
      <c r="Q399" s="37"/>
      <c r="R399" s="37"/>
    </row>
    <row r="400" spans="1:18" x14ac:dyDescent="0.2">
      <c r="A400" s="13"/>
      <c r="B400" s="18" t="s">
        <v>1206</v>
      </c>
      <c r="C400" s="19"/>
      <c r="D400" s="19"/>
      <c r="E400" s="20"/>
      <c r="F400" s="22">
        <v>1</v>
      </c>
      <c r="G400" s="23">
        <v>1</v>
      </c>
      <c r="H400" s="37">
        <v>2450</v>
      </c>
      <c r="I400" s="37">
        <f t="shared" si="0"/>
        <v>2450</v>
      </c>
      <c r="J400" s="13"/>
      <c r="K400" s="18"/>
      <c r="L400" s="19"/>
      <c r="M400" s="19"/>
      <c r="N400" s="20"/>
      <c r="O400" s="22"/>
      <c r="P400" s="36"/>
      <c r="Q400" s="37"/>
      <c r="R400" s="37"/>
    </row>
    <row r="401" spans="1:18" x14ac:dyDescent="0.2">
      <c r="A401" s="13"/>
      <c r="B401" s="18" t="s">
        <v>1236</v>
      </c>
      <c r="C401" s="19"/>
      <c r="D401" s="19"/>
      <c r="E401" s="20"/>
      <c r="F401" s="22">
        <v>1</v>
      </c>
      <c r="G401" s="23">
        <v>1</v>
      </c>
      <c r="H401" s="37">
        <v>32.630000000000003</v>
      </c>
      <c r="I401" s="37">
        <f t="shared" si="0"/>
        <v>32.630000000000003</v>
      </c>
      <c r="J401" s="13"/>
      <c r="K401" s="18"/>
      <c r="L401" s="19"/>
      <c r="M401" s="19"/>
      <c r="N401" s="20"/>
      <c r="O401" s="22"/>
      <c r="P401" s="36"/>
      <c r="Q401" s="37"/>
      <c r="R401" s="37"/>
    </row>
    <row r="402" spans="1:18" x14ac:dyDescent="0.2">
      <c r="A402" s="13"/>
      <c r="B402" s="18" t="s">
        <v>260</v>
      </c>
      <c r="C402" s="19"/>
      <c r="D402" s="19"/>
      <c r="E402" s="20"/>
      <c r="F402" s="22"/>
      <c r="G402" s="23"/>
      <c r="H402" s="37"/>
      <c r="I402" s="37">
        <f>I390*0.05</f>
        <v>36.889000000000003</v>
      </c>
      <c r="J402" s="13"/>
      <c r="K402" s="18"/>
      <c r="L402" s="19"/>
      <c r="M402" s="19"/>
      <c r="N402" s="20"/>
      <c r="O402" s="22"/>
      <c r="P402" s="23"/>
      <c r="Q402" s="37"/>
      <c r="R402" s="37"/>
    </row>
    <row r="403" spans="1:18" x14ac:dyDescent="0.2">
      <c r="A403" s="13"/>
      <c r="B403" s="18"/>
      <c r="C403" s="19"/>
      <c r="D403" s="19"/>
      <c r="E403" s="20"/>
      <c r="F403" s="22"/>
      <c r="G403" s="36"/>
      <c r="H403" s="38"/>
      <c r="I403" s="38"/>
      <c r="J403" s="13"/>
      <c r="K403" s="18"/>
      <c r="L403" s="19"/>
      <c r="M403" s="19"/>
      <c r="N403" s="20"/>
      <c r="O403" s="22"/>
      <c r="P403" s="23"/>
      <c r="Q403" s="37"/>
      <c r="R403" s="37"/>
    </row>
    <row r="404" spans="1:18" x14ac:dyDescent="0.2">
      <c r="A404" s="13"/>
      <c r="B404" s="18"/>
      <c r="C404" s="19"/>
      <c r="D404" s="19"/>
      <c r="E404" s="20"/>
      <c r="F404" s="22"/>
      <c r="G404" s="36"/>
      <c r="H404" s="37"/>
      <c r="I404" s="37"/>
      <c r="J404" s="13"/>
      <c r="K404" s="7"/>
      <c r="L404" s="7"/>
      <c r="M404" s="7"/>
      <c r="N404" s="7"/>
      <c r="O404" s="72"/>
      <c r="P404" s="72"/>
      <c r="Q404" s="72"/>
      <c r="R404" s="72"/>
    </row>
    <row r="405" spans="1:18" x14ac:dyDescent="0.2">
      <c r="A405" s="13"/>
      <c r="B405" s="18"/>
      <c r="C405" s="19"/>
      <c r="D405" s="19"/>
      <c r="E405" s="20"/>
      <c r="F405" s="22"/>
      <c r="G405" s="36"/>
      <c r="H405" s="37"/>
      <c r="I405" s="37"/>
      <c r="J405" s="13"/>
      <c r="K405" s="18"/>
      <c r="L405" s="19"/>
      <c r="M405" s="19"/>
      <c r="N405" s="20"/>
      <c r="O405" s="22"/>
      <c r="P405" s="36"/>
      <c r="Q405" s="37"/>
      <c r="R405" s="37"/>
    </row>
    <row r="406" spans="1:18" ht="15" customHeight="1" x14ac:dyDescent="0.2">
      <c r="A406" s="13"/>
      <c r="B406" s="18"/>
      <c r="C406" s="19"/>
      <c r="D406" s="19"/>
      <c r="E406" s="20"/>
      <c r="F406" s="22"/>
      <c r="G406" s="36"/>
      <c r="H406" s="37"/>
      <c r="I406" s="37"/>
      <c r="J406" s="13"/>
      <c r="K406" s="18"/>
      <c r="L406" s="19"/>
      <c r="M406" s="19"/>
      <c r="N406" s="20"/>
      <c r="O406" s="22"/>
      <c r="P406" s="36"/>
      <c r="Q406" s="37"/>
      <c r="R406" s="37"/>
    </row>
    <row r="407" spans="1:18" x14ac:dyDescent="0.2">
      <c r="A407" s="13"/>
      <c r="B407" s="18"/>
      <c r="C407" s="19"/>
      <c r="D407" s="19"/>
      <c r="E407" s="20"/>
      <c r="F407" s="22"/>
      <c r="G407" s="22"/>
      <c r="H407" s="23"/>
      <c r="I407" s="23"/>
      <c r="J407" s="13"/>
      <c r="K407" s="18"/>
      <c r="L407" s="19"/>
      <c r="M407" s="19"/>
      <c r="N407" s="20"/>
      <c r="O407" s="22"/>
      <c r="P407" s="22"/>
      <c r="Q407" s="23"/>
      <c r="R407" s="23"/>
    </row>
    <row r="408" spans="1:18" x14ac:dyDescent="0.2">
      <c r="A408" s="13"/>
      <c r="B408" s="248" t="s">
        <v>30</v>
      </c>
      <c r="C408" s="249"/>
      <c r="D408" s="249"/>
      <c r="E408" s="250"/>
      <c r="F408" s="22"/>
      <c r="G408" s="22"/>
      <c r="H408" s="23"/>
      <c r="I408" s="23">
        <f>SUM(I395:I407)</f>
        <v>12011.518999999998</v>
      </c>
      <c r="J408" s="13"/>
      <c r="K408" s="248" t="s">
        <v>30</v>
      </c>
      <c r="L408" s="249"/>
      <c r="M408" s="249"/>
      <c r="N408" s="250"/>
      <c r="O408" s="22"/>
      <c r="P408" s="22"/>
      <c r="Q408" s="23"/>
      <c r="R408" s="23">
        <f>SUM(R395:R407)</f>
        <v>49.027000000000008</v>
      </c>
    </row>
    <row r="409" spans="1:18" x14ac:dyDescent="0.2">
      <c r="A409" s="12" t="s">
        <v>31</v>
      </c>
      <c r="B409" s="260" t="s">
        <v>32</v>
      </c>
      <c r="C409" s="261"/>
      <c r="D409" s="261"/>
      <c r="E409" s="261"/>
      <c r="F409" s="39"/>
      <c r="G409" s="39"/>
      <c r="H409" s="40"/>
      <c r="I409" s="41">
        <f>SUM(I408+I390)</f>
        <v>12749.298999999999</v>
      </c>
      <c r="J409" s="12" t="s">
        <v>31</v>
      </c>
      <c r="K409" s="260" t="s">
        <v>32</v>
      </c>
      <c r="L409" s="261"/>
      <c r="M409" s="261"/>
      <c r="N409" s="261"/>
      <c r="O409" s="161"/>
      <c r="P409" s="161"/>
      <c r="Q409" s="40"/>
      <c r="R409" s="41">
        <f>SUM(R408+R390)</f>
        <v>246.56700000000001</v>
      </c>
    </row>
    <row r="410" spans="1:18" x14ac:dyDescent="0.2">
      <c r="A410" s="13" t="s">
        <v>33</v>
      </c>
      <c r="B410" s="305">
        <f>E377</f>
        <v>161</v>
      </c>
      <c r="C410" s="306"/>
      <c r="D410" s="306"/>
      <c r="E410" s="306"/>
      <c r="F410" s="306"/>
      <c r="G410" s="306"/>
      <c r="H410" s="40"/>
      <c r="I410" s="41"/>
      <c r="J410" s="13" t="s">
        <v>33</v>
      </c>
      <c r="K410" s="295">
        <f>N377</f>
        <v>10</v>
      </c>
      <c r="L410" s="296"/>
      <c r="M410" s="296"/>
      <c r="N410" s="296"/>
      <c r="O410" s="296"/>
      <c r="P410" s="296"/>
      <c r="Q410" s="40"/>
      <c r="R410" s="41"/>
    </row>
    <row r="411" spans="1:18" x14ac:dyDescent="0.2">
      <c r="A411" s="13" t="s">
        <v>34</v>
      </c>
      <c r="B411" s="42" t="s">
        <v>35</v>
      </c>
      <c r="C411" s="43"/>
      <c r="D411" s="43"/>
      <c r="E411" s="39"/>
      <c r="F411" s="44"/>
      <c r="G411" s="44"/>
      <c r="H411" s="40"/>
      <c r="I411" s="41">
        <f>I409/E377</f>
        <v>79.188192546583849</v>
      </c>
      <c r="J411" s="13" t="s">
        <v>34</v>
      </c>
      <c r="K411" s="162" t="s">
        <v>35</v>
      </c>
      <c r="L411" s="43"/>
      <c r="M411" s="43"/>
      <c r="N411" s="161"/>
      <c r="O411" s="163"/>
      <c r="P411" s="163"/>
      <c r="Q411" s="40"/>
      <c r="R411" s="41">
        <f>R409/N377</f>
        <v>24.656700000000001</v>
      </c>
    </row>
    <row r="412" spans="1:18" x14ac:dyDescent="0.2">
      <c r="A412" s="12"/>
      <c r="B412" s="251" t="s">
        <v>36</v>
      </c>
      <c r="C412" s="252"/>
      <c r="D412" s="252"/>
      <c r="E412" s="253"/>
      <c r="F412" s="244" t="s">
        <v>37</v>
      </c>
      <c r="G412" s="244" t="s">
        <v>38</v>
      </c>
      <c r="H412" s="244" t="s">
        <v>39</v>
      </c>
      <c r="I412" s="246" t="s">
        <v>15</v>
      </c>
      <c r="J412" s="12"/>
      <c r="K412" s="251" t="s">
        <v>36</v>
      </c>
      <c r="L412" s="252"/>
      <c r="M412" s="252"/>
      <c r="N412" s="253"/>
      <c r="O412" s="244" t="s">
        <v>37</v>
      </c>
      <c r="P412" s="244" t="s">
        <v>38</v>
      </c>
      <c r="Q412" s="244" t="s">
        <v>39</v>
      </c>
      <c r="R412" s="246" t="s">
        <v>15</v>
      </c>
    </row>
    <row r="413" spans="1:18" x14ac:dyDescent="0.2">
      <c r="A413" s="13"/>
      <c r="B413" s="254"/>
      <c r="C413" s="255"/>
      <c r="D413" s="255"/>
      <c r="E413" s="256"/>
      <c r="F413" s="245"/>
      <c r="G413" s="245"/>
      <c r="H413" s="245"/>
      <c r="I413" s="247"/>
      <c r="J413" s="13"/>
      <c r="K413" s="254"/>
      <c r="L413" s="255"/>
      <c r="M413" s="255"/>
      <c r="N413" s="256"/>
      <c r="O413" s="245"/>
      <c r="P413" s="245"/>
      <c r="Q413" s="245"/>
      <c r="R413" s="247"/>
    </row>
    <row r="414" spans="1:18" x14ac:dyDescent="0.2">
      <c r="A414" s="13" t="s">
        <v>40</v>
      </c>
      <c r="B414" s="18" t="s">
        <v>41</v>
      </c>
      <c r="C414" s="19"/>
      <c r="D414" s="19"/>
      <c r="E414" s="20"/>
      <c r="F414" s="22"/>
      <c r="G414" s="22"/>
      <c r="H414" s="23"/>
      <c r="I414" s="23"/>
      <c r="J414" s="13" t="s">
        <v>40</v>
      </c>
      <c r="K414" s="18" t="s">
        <v>41</v>
      </c>
      <c r="L414" s="19"/>
      <c r="M414" s="19"/>
      <c r="N414" s="20"/>
      <c r="O414" s="22"/>
      <c r="P414" s="22"/>
      <c r="Q414" s="23"/>
      <c r="R414" s="23"/>
    </row>
    <row r="415" spans="1:18" x14ac:dyDescent="0.2">
      <c r="A415" s="13"/>
      <c r="B415" s="18"/>
      <c r="C415" s="19"/>
      <c r="D415" s="19"/>
      <c r="E415" s="20"/>
      <c r="F415" s="22"/>
      <c r="G415" s="22"/>
      <c r="H415" s="23"/>
      <c r="I415" s="23"/>
      <c r="J415" s="13"/>
      <c r="K415" s="18"/>
      <c r="L415" s="19"/>
      <c r="M415" s="19"/>
      <c r="N415" s="20"/>
      <c r="O415" s="22"/>
      <c r="P415" s="22"/>
      <c r="Q415" s="23"/>
      <c r="R415" s="23"/>
    </row>
    <row r="416" spans="1:18" x14ac:dyDescent="0.2">
      <c r="A416" s="13"/>
      <c r="B416" s="18" t="s">
        <v>661</v>
      </c>
      <c r="C416" s="66"/>
      <c r="D416" s="19"/>
      <c r="E416" s="20"/>
      <c r="F416" s="22" t="s">
        <v>1216</v>
      </c>
      <c r="G416" s="22">
        <v>0.28999999999999998</v>
      </c>
      <c r="H416" s="107">
        <v>28</v>
      </c>
      <c r="I416" s="23">
        <f t="shared" ref="I416:I421" si="1">G416*H416</f>
        <v>8.1199999999999992</v>
      </c>
      <c r="J416" s="13"/>
      <c r="K416" s="18" t="s">
        <v>662</v>
      </c>
      <c r="L416" s="66"/>
      <c r="M416" s="19"/>
      <c r="N416" s="20"/>
      <c r="O416" s="62" t="s">
        <v>1216</v>
      </c>
      <c r="P416" s="62">
        <v>1</v>
      </c>
      <c r="Q416" s="107">
        <v>450</v>
      </c>
      <c r="R416" s="23">
        <f>P416*Q416</f>
        <v>450</v>
      </c>
    </row>
    <row r="417" spans="1:18" x14ac:dyDescent="0.2">
      <c r="A417" s="13"/>
      <c r="B417" s="18" t="s">
        <v>663</v>
      </c>
      <c r="C417" s="19"/>
      <c r="D417" s="19"/>
      <c r="E417" s="20"/>
      <c r="F417" s="22" t="s">
        <v>1216</v>
      </c>
      <c r="G417" s="22">
        <v>0.12</v>
      </c>
      <c r="H417" s="107">
        <f>44000/1000</f>
        <v>44</v>
      </c>
      <c r="I417" s="23">
        <f t="shared" si="1"/>
        <v>5.2799999999999994</v>
      </c>
      <c r="J417" s="13"/>
      <c r="K417" s="18" t="s">
        <v>664</v>
      </c>
      <c r="L417" s="66"/>
      <c r="M417" s="19"/>
      <c r="N417" s="20"/>
      <c r="O417" s="62"/>
      <c r="P417" s="70"/>
      <c r="Q417" s="23"/>
      <c r="R417" s="23">
        <f>R416*0.05</f>
        <v>22.5</v>
      </c>
    </row>
    <row r="418" spans="1:18" x14ac:dyDescent="0.2">
      <c r="A418" s="13"/>
      <c r="B418" s="18" t="s">
        <v>665</v>
      </c>
      <c r="C418" s="19"/>
      <c r="D418" s="19"/>
      <c r="E418" s="20"/>
      <c r="F418" s="22" t="s">
        <v>1153</v>
      </c>
      <c r="G418" s="22">
        <v>0.46</v>
      </c>
      <c r="H418" s="107">
        <v>250</v>
      </c>
      <c r="I418" s="23">
        <f t="shared" si="1"/>
        <v>115</v>
      </c>
      <c r="J418" s="13"/>
      <c r="K418" s="18"/>
      <c r="L418" s="19"/>
      <c r="M418" s="19"/>
      <c r="N418" s="20"/>
      <c r="O418" s="62"/>
      <c r="P418" s="62"/>
      <c r="Q418" s="23"/>
      <c r="R418" s="23"/>
    </row>
    <row r="419" spans="1:18" x14ac:dyDescent="0.2">
      <c r="A419" s="13"/>
      <c r="B419" s="18" t="s">
        <v>374</v>
      </c>
      <c r="C419" s="19"/>
      <c r="D419" s="19"/>
      <c r="E419" s="20"/>
      <c r="F419" s="22" t="s">
        <v>9</v>
      </c>
      <c r="G419" s="22">
        <v>5.5E-2</v>
      </c>
      <c r="H419" s="107">
        <v>850</v>
      </c>
      <c r="I419" s="23">
        <f t="shared" si="1"/>
        <v>46.75</v>
      </c>
      <c r="J419" s="13"/>
      <c r="K419" s="18"/>
      <c r="L419" s="19"/>
      <c r="M419" s="19"/>
      <c r="N419" s="20"/>
      <c r="O419" s="22"/>
      <c r="P419" s="22"/>
      <c r="Q419" s="23"/>
      <c r="R419" s="23"/>
    </row>
    <row r="420" spans="1:18" x14ac:dyDescent="0.2">
      <c r="A420" s="13"/>
      <c r="B420" s="18" t="s">
        <v>375</v>
      </c>
      <c r="C420" s="19"/>
      <c r="D420" s="19"/>
      <c r="E420" s="20"/>
      <c r="F420" s="22" t="s">
        <v>9</v>
      </c>
      <c r="G420" s="62">
        <v>0.1</v>
      </c>
      <c r="H420" s="107">
        <v>650</v>
      </c>
      <c r="I420" s="23">
        <f t="shared" si="1"/>
        <v>65</v>
      </c>
      <c r="J420" s="13"/>
      <c r="K420" s="18"/>
      <c r="L420" s="19"/>
      <c r="M420" s="19"/>
      <c r="N420" s="20"/>
      <c r="O420" s="22"/>
      <c r="P420" s="22"/>
      <c r="Q420" s="23"/>
      <c r="R420" s="23"/>
    </row>
    <row r="421" spans="1:18" x14ac:dyDescent="0.2">
      <c r="A421" s="13"/>
      <c r="B421" s="18" t="s">
        <v>376</v>
      </c>
      <c r="C421" s="19"/>
      <c r="D421" s="19"/>
      <c r="E421" s="20"/>
      <c r="F421" s="22" t="s">
        <v>227</v>
      </c>
      <c r="G421" s="22">
        <v>0.95</v>
      </c>
      <c r="H421" s="107">
        <v>220</v>
      </c>
      <c r="I421" s="23">
        <f t="shared" si="1"/>
        <v>209</v>
      </c>
      <c r="J421" s="13"/>
      <c r="K421" s="18"/>
      <c r="L421" s="19"/>
      <c r="M421" s="19"/>
      <c r="N421" s="20"/>
      <c r="O421" s="22"/>
      <c r="P421" s="22"/>
      <c r="Q421" s="23"/>
      <c r="R421" s="23"/>
    </row>
    <row r="422" spans="1:18" ht="15" customHeight="1" x14ac:dyDescent="0.2">
      <c r="A422" s="13"/>
      <c r="B422" s="18"/>
      <c r="C422" s="19"/>
      <c r="D422" s="19"/>
      <c r="E422" s="20"/>
      <c r="F422" s="22"/>
      <c r="G422" s="22"/>
      <c r="H422" s="23"/>
      <c r="I422" s="23"/>
      <c r="J422" s="13"/>
      <c r="K422" s="18"/>
      <c r="L422" s="19"/>
      <c r="M422" s="19"/>
      <c r="N422" s="20"/>
      <c r="O422" s="22"/>
      <c r="P422" s="22"/>
      <c r="Q422" s="23"/>
      <c r="R422" s="23"/>
    </row>
    <row r="423" spans="1:18" x14ac:dyDescent="0.2">
      <c r="A423" s="13"/>
      <c r="B423" s="18" t="s">
        <v>666</v>
      </c>
      <c r="C423" s="19"/>
      <c r="D423" s="19"/>
      <c r="E423" s="20"/>
      <c r="F423" s="22"/>
      <c r="G423" s="22"/>
      <c r="H423" s="23"/>
      <c r="I423" s="23"/>
      <c r="J423" s="13"/>
      <c r="K423" s="18"/>
      <c r="L423" s="19"/>
      <c r="M423" s="19"/>
      <c r="N423" s="20"/>
      <c r="O423" s="22"/>
      <c r="P423" s="22"/>
      <c r="Q423" s="23"/>
      <c r="R423" s="23"/>
    </row>
    <row r="424" spans="1:18" x14ac:dyDescent="0.2">
      <c r="A424" s="13"/>
      <c r="B424" s="18"/>
      <c r="C424" s="19"/>
      <c r="D424" s="19"/>
      <c r="E424" s="20"/>
      <c r="F424" s="22"/>
      <c r="G424" s="22"/>
      <c r="H424" s="23"/>
      <c r="I424" s="23"/>
      <c r="J424" s="13"/>
      <c r="K424" s="18"/>
      <c r="L424" s="19"/>
      <c r="M424" s="19"/>
      <c r="N424" s="20"/>
      <c r="O424" s="22"/>
      <c r="P424" s="22"/>
      <c r="Q424" s="23"/>
      <c r="R424" s="23"/>
    </row>
    <row r="425" spans="1:18" x14ac:dyDescent="0.2">
      <c r="A425" s="13"/>
      <c r="B425" s="18"/>
      <c r="C425" s="19"/>
      <c r="D425" s="19"/>
      <c r="E425" s="20"/>
      <c r="F425" s="22"/>
      <c r="G425" s="22"/>
      <c r="H425" s="23"/>
      <c r="I425" s="23"/>
      <c r="J425" s="13"/>
      <c r="K425" s="18"/>
      <c r="L425" s="19"/>
      <c r="M425" s="19"/>
      <c r="N425" s="20"/>
      <c r="O425" s="22"/>
      <c r="P425" s="22"/>
      <c r="Q425" s="23"/>
      <c r="R425" s="23"/>
    </row>
    <row r="426" spans="1:18" x14ac:dyDescent="0.2">
      <c r="A426" s="13"/>
      <c r="B426" s="18"/>
      <c r="C426" s="19"/>
      <c r="D426" s="19"/>
      <c r="E426" s="20"/>
      <c r="F426" s="22"/>
      <c r="G426" s="22"/>
      <c r="H426" s="23"/>
      <c r="I426" s="23"/>
      <c r="J426" s="13"/>
      <c r="K426" s="18"/>
      <c r="L426" s="19"/>
      <c r="M426" s="19"/>
      <c r="N426" s="20"/>
      <c r="O426" s="22"/>
      <c r="P426" s="22"/>
      <c r="Q426" s="23"/>
      <c r="R426" s="23"/>
    </row>
    <row r="427" spans="1:18" x14ac:dyDescent="0.2">
      <c r="A427" s="13"/>
      <c r="B427" s="18"/>
      <c r="C427" s="19"/>
      <c r="D427" s="19"/>
      <c r="E427" s="20"/>
      <c r="F427" s="22"/>
      <c r="G427" s="22"/>
      <c r="H427" s="23"/>
      <c r="I427" s="23"/>
      <c r="J427" s="13"/>
      <c r="K427" s="18"/>
      <c r="L427" s="19"/>
      <c r="M427" s="19"/>
      <c r="N427" s="20"/>
      <c r="O427" s="22"/>
      <c r="P427" s="22"/>
      <c r="Q427" s="23"/>
      <c r="R427" s="23"/>
    </row>
    <row r="428" spans="1:18" x14ac:dyDescent="0.2">
      <c r="A428" s="13"/>
      <c r="B428" s="18"/>
      <c r="C428" s="19"/>
      <c r="D428" s="19"/>
      <c r="E428" s="20"/>
      <c r="F428" s="22"/>
      <c r="G428" s="36"/>
      <c r="H428" s="37"/>
      <c r="I428" s="37"/>
      <c r="J428" s="13"/>
      <c r="K428" s="18"/>
      <c r="L428" s="19"/>
      <c r="M428" s="19"/>
      <c r="N428" s="20"/>
      <c r="O428" s="22"/>
      <c r="P428" s="36"/>
      <c r="Q428" s="37"/>
      <c r="R428" s="37"/>
    </row>
    <row r="429" spans="1:18" x14ac:dyDescent="0.2">
      <c r="A429" s="13"/>
      <c r="B429" s="248" t="s">
        <v>42</v>
      </c>
      <c r="C429" s="249"/>
      <c r="D429" s="249"/>
      <c r="E429" s="250"/>
      <c r="F429" s="46"/>
      <c r="G429" s="46"/>
      <c r="H429" s="47"/>
      <c r="I429" s="47">
        <f>SUM(I416:I428)</f>
        <v>449.15</v>
      </c>
      <c r="J429" s="13"/>
      <c r="K429" s="248" t="s">
        <v>42</v>
      </c>
      <c r="L429" s="249"/>
      <c r="M429" s="249"/>
      <c r="N429" s="250"/>
      <c r="O429" s="46"/>
      <c r="P429" s="46"/>
      <c r="Q429" s="47"/>
      <c r="R429" s="47">
        <f>SUM(R416:R428)</f>
        <v>472.5</v>
      </c>
    </row>
    <row r="430" spans="1:18" x14ac:dyDescent="0.2">
      <c r="A430" s="12" t="s">
        <v>43</v>
      </c>
      <c r="B430" s="48" t="s">
        <v>44</v>
      </c>
      <c r="C430" s="43"/>
      <c r="D430" s="43"/>
      <c r="E430" s="39"/>
      <c r="F430" s="49"/>
      <c r="G430" s="49"/>
      <c r="H430" s="50"/>
      <c r="I430" s="51">
        <f>SUM(I411+I429)</f>
        <v>528.33819254658385</v>
      </c>
      <c r="J430" s="12" t="s">
        <v>43</v>
      </c>
      <c r="K430" s="48" t="s">
        <v>44</v>
      </c>
      <c r="L430" s="43"/>
      <c r="M430" s="43"/>
      <c r="N430" s="161"/>
      <c r="O430" s="49"/>
      <c r="P430" s="49"/>
      <c r="Q430" s="50"/>
      <c r="R430" s="51">
        <f>SUM(R411+R429)</f>
        <v>497.1567</v>
      </c>
    </row>
    <row r="431" spans="1:18" x14ac:dyDescent="0.2">
      <c r="A431" s="13" t="s">
        <v>45</v>
      </c>
      <c r="B431" s="48" t="s">
        <v>46</v>
      </c>
      <c r="C431" s="43"/>
      <c r="D431" s="43"/>
      <c r="E431" s="39"/>
      <c r="F431" s="49"/>
      <c r="G431" s="52">
        <v>0.09</v>
      </c>
      <c r="H431" s="53" t="s">
        <v>47</v>
      </c>
      <c r="I431" s="51">
        <f>G431*I430</f>
        <v>47.550437329192548</v>
      </c>
      <c r="J431" s="13" t="s">
        <v>45</v>
      </c>
      <c r="K431" s="48" t="s">
        <v>46</v>
      </c>
      <c r="L431" s="43"/>
      <c r="M431" s="43"/>
      <c r="N431" s="161"/>
      <c r="O431" s="49"/>
      <c r="P431" s="52">
        <v>0.09</v>
      </c>
      <c r="Q431" s="53" t="s">
        <v>47</v>
      </c>
      <c r="R431" s="51">
        <f>P431*R430</f>
        <v>44.744102999999996</v>
      </c>
    </row>
    <row r="432" spans="1:18" x14ac:dyDescent="0.2">
      <c r="A432" s="13" t="s">
        <v>48</v>
      </c>
      <c r="B432" s="48" t="s">
        <v>49</v>
      </c>
      <c r="C432" s="43"/>
      <c r="D432" s="43"/>
      <c r="E432" s="39"/>
      <c r="F432" s="49"/>
      <c r="G432" s="52">
        <v>0.08</v>
      </c>
      <c r="H432" s="53" t="s">
        <v>47</v>
      </c>
      <c r="I432" s="51">
        <f>G432*I430</f>
        <v>42.267055403726708</v>
      </c>
      <c r="J432" s="13" t="s">
        <v>48</v>
      </c>
      <c r="K432" s="48" t="s">
        <v>49</v>
      </c>
      <c r="L432" s="43"/>
      <c r="M432" s="43"/>
      <c r="N432" s="161"/>
      <c r="O432" s="49"/>
      <c r="P432" s="52">
        <v>0.08</v>
      </c>
      <c r="Q432" s="53" t="s">
        <v>47</v>
      </c>
      <c r="R432" s="51">
        <f>P432*R430</f>
        <v>39.772536000000002</v>
      </c>
    </row>
    <row r="433" spans="1:18" x14ac:dyDescent="0.2">
      <c r="A433" s="13" t="s">
        <v>50</v>
      </c>
      <c r="B433" s="48" t="s">
        <v>51</v>
      </c>
      <c r="C433" s="43"/>
      <c r="D433" s="43"/>
      <c r="E433" s="39"/>
      <c r="F433" s="49"/>
      <c r="G433" s="52">
        <v>0.05</v>
      </c>
      <c r="H433" s="53" t="s">
        <v>52</v>
      </c>
      <c r="I433" s="51">
        <f>G433*(I430+I431+I432)</f>
        <v>30.907784263975152</v>
      </c>
      <c r="J433" s="13" t="s">
        <v>50</v>
      </c>
      <c r="K433" s="48" t="s">
        <v>51</v>
      </c>
      <c r="L433" s="43"/>
      <c r="M433" s="43"/>
      <c r="N433" s="161"/>
      <c r="O433" s="49"/>
      <c r="P433" s="52">
        <v>0.05</v>
      </c>
      <c r="Q433" s="53" t="s">
        <v>52</v>
      </c>
      <c r="R433" s="51">
        <f>P433*(R430+R431+R432)</f>
        <v>29.083666949999998</v>
      </c>
    </row>
    <row r="434" spans="1:18" x14ac:dyDescent="0.2">
      <c r="A434" s="54" t="s">
        <v>53</v>
      </c>
      <c r="B434" s="48" t="s">
        <v>54</v>
      </c>
      <c r="C434" s="43"/>
      <c r="D434" s="43"/>
      <c r="E434" s="39"/>
      <c r="F434" s="49"/>
      <c r="G434" s="49"/>
      <c r="H434" s="55" t="s">
        <v>55</v>
      </c>
      <c r="I434" s="51">
        <f>SUM(I430+I431+I432+I433)</f>
        <v>649.06346954347816</v>
      </c>
      <c r="J434" s="54" t="s">
        <v>53</v>
      </c>
      <c r="K434" s="48" t="s">
        <v>54</v>
      </c>
      <c r="L434" s="43"/>
      <c r="M434" s="43"/>
      <c r="N434" s="161"/>
      <c r="O434" s="49"/>
      <c r="P434" s="49"/>
      <c r="Q434" s="55" t="s">
        <v>55</v>
      </c>
      <c r="R434" s="51">
        <f>SUM(R430+R431+R432+R433)</f>
        <v>610.75700594999989</v>
      </c>
    </row>
    <row r="435" spans="1:18" s="1" customFormat="1" x14ac:dyDescent="0.2">
      <c r="A435" s="236" t="s">
        <v>0</v>
      </c>
      <c r="B435" s="236"/>
      <c r="C435" s="236"/>
      <c r="D435" s="236"/>
      <c r="E435" s="236"/>
      <c r="F435" s="236"/>
      <c r="G435" s="236"/>
      <c r="H435" s="236"/>
      <c r="I435" s="236"/>
      <c r="J435" s="236" t="s">
        <v>0</v>
      </c>
      <c r="K435" s="236"/>
      <c r="L435" s="236"/>
      <c r="M435" s="236"/>
      <c r="N435" s="236"/>
      <c r="O435" s="236"/>
      <c r="P435" s="236"/>
      <c r="Q435" s="236"/>
      <c r="R435" s="236"/>
    </row>
    <row r="437" spans="1:18" x14ac:dyDescent="0.2">
      <c r="A437" s="2" t="s">
        <v>1</v>
      </c>
      <c r="C437" s="4" t="s">
        <v>2</v>
      </c>
      <c r="D437" s="5" t="s">
        <v>667</v>
      </c>
      <c r="E437" s="237" t="s">
        <v>658</v>
      </c>
      <c r="F437" s="237"/>
      <c r="G437" s="237"/>
      <c r="H437" s="237"/>
      <c r="J437" s="158" t="s">
        <v>1</v>
      </c>
      <c r="L437" s="4" t="s">
        <v>2</v>
      </c>
      <c r="M437" s="5" t="s">
        <v>668</v>
      </c>
      <c r="N437" s="237" t="s">
        <v>1307</v>
      </c>
      <c r="O437" s="237"/>
      <c r="P437" s="237"/>
      <c r="Q437" s="237"/>
      <c r="R437" s="8"/>
    </row>
    <row r="438" spans="1:18" x14ac:dyDescent="0.2">
      <c r="A438" s="2" t="s">
        <v>7</v>
      </c>
      <c r="C438" s="4" t="s">
        <v>2</v>
      </c>
      <c r="E438" s="2" t="s">
        <v>8</v>
      </c>
      <c r="F438" s="8"/>
      <c r="G438" s="8"/>
      <c r="H438" s="8"/>
      <c r="J438" s="158" t="s">
        <v>7</v>
      </c>
      <c r="L438" s="4" t="s">
        <v>2</v>
      </c>
      <c r="N438" s="158" t="s">
        <v>8</v>
      </c>
      <c r="O438" s="8"/>
      <c r="P438" s="8"/>
      <c r="Q438" s="8"/>
    </row>
    <row r="439" spans="1:18" x14ac:dyDescent="0.2">
      <c r="A439" s="2" t="s">
        <v>10</v>
      </c>
      <c r="C439" s="4" t="s">
        <v>2</v>
      </c>
      <c r="E439" s="9">
        <v>20</v>
      </c>
      <c r="F439" s="8"/>
      <c r="G439" s="8"/>
      <c r="H439" s="8"/>
      <c r="J439" s="158" t="s">
        <v>10</v>
      </c>
      <c r="L439" s="4" t="s">
        <v>2</v>
      </c>
      <c r="N439" s="9">
        <v>10</v>
      </c>
      <c r="O439" s="8"/>
      <c r="P439" s="8"/>
      <c r="Q439" s="8"/>
    </row>
    <row r="440" spans="1:18" x14ac:dyDescent="0.2">
      <c r="B440" s="8"/>
      <c r="F440" s="11"/>
      <c r="G440" s="8"/>
      <c r="H440" s="8"/>
      <c r="I440" s="8"/>
      <c r="K440" s="8"/>
      <c r="O440" s="11"/>
      <c r="P440" s="8"/>
      <c r="Q440" s="8"/>
      <c r="R440" s="8"/>
    </row>
    <row r="441" spans="1:18" x14ac:dyDescent="0.2">
      <c r="A441" s="12"/>
      <c r="B441" s="238" t="s">
        <v>11</v>
      </c>
      <c r="C441" s="239"/>
      <c r="D441" s="239"/>
      <c r="E441" s="240"/>
      <c r="F441" s="244" t="s">
        <v>12</v>
      </c>
      <c r="G441" s="244" t="s">
        <v>13</v>
      </c>
      <c r="H441" s="244" t="s">
        <v>14</v>
      </c>
      <c r="I441" s="246" t="s">
        <v>15</v>
      </c>
      <c r="J441" s="12"/>
      <c r="K441" s="238" t="s">
        <v>11</v>
      </c>
      <c r="L441" s="239"/>
      <c r="M441" s="239"/>
      <c r="N441" s="240"/>
      <c r="O441" s="244" t="s">
        <v>12</v>
      </c>
      <c r="P441" s="244" t="s">
        <v>13</v>
      </c>
      <c r="Q441" s="244" t="s">
        <v>14</v>
      </c>
      <c r="R441" s="246" t="s">
        <v>15</v>
      </c>
    </row>
    <row r="442" spans="1:18" x14ac:dyDescent="0.2">
      <c r="A442" s="13"/>
      <c r="B442" s="241"/>
      <c r="C442" s="242"/>
      <c r="D442" s="242"/>
      <c r="E442" s="243"/>
      <c r="F442" s="245"/>
      <c r="G442" s="245"/>
      <c r="H442" s="245"/>
      <c r="I442" s="247"/>
      <c r="J442" s="13"/>
      <c r="K442" s="241"/>
      <c r="L442" s="242"/>
      <c r="M442" s="242"/>
      <c r="N442" s="243"/>
      <c r="O442" s="245"/>
      <c r="P442" s="245"/>
      <c r="Q442" s="245"/>
      <c r="R442" s="247"/>
    </row>
    <row r="443" spans="1:18" x14ac:dyDescent="0.2">
      <c r="A443" s="13" t="s">
        <v>16</v>
      </c>
      <c r="B443" s="14" t="s">
        <v>17</v>
      </c>
      <c r="C443" s="15"/>
      <c r="D443" s="15"/>
      <c r="E443" s="16"/>
      <c r="F443" s="17"/>
      <c r="G443" s="17"/>
      <c r="H443" s="17"/>
      <c r="I443" s="17"/>
      <c r="J443" s="13" t="s">
        <v>16</v>
      </c>
      <c r="K443" s="14" t="s">
        <v>17</v>
      </c>
      <c r="L443" s="15"/>
      <c r="M443" s="15"/>
      <c r="N443" s="16"/>
      <c r="O443" s="17"/>
      <c r="P443" s="17"/>
      <c r="Q443" s="17"/>
      <c r="R443" s="17"/>
    </row>
    <row r="444" spans="1:18" x14ac:dyDescent="0.2">
      <c r="A444" s="13"/>
      <c r="B444" s="18"/>
      <c r="C444" s="19"/>
      <c r="D444" s="19"/>
      <c r="E444" s="20"/>
      <c r="F444" s="21"/>
      <c r="G444" s="22"/>
      <c r="H444" s="21"/>
      <c r="I444" s="21"/>
      <c r="J444" s="13"/>
      <c r="K444" s="18"/>
      <c r="L444" s="19"/>
      <c r="M444" s="19"/>
      <c r="N444" s="20"/>
      <c r="O444" s="21"/>
      <c r="P444" s="22"/>
      <c r="Q444" s="21"/>
      <c r="R444" s="21"/>
    </row>
    <row r="445" spans="1:18" x14ac:dyDescent="0.2">
      <c r="A445" s="13"/>
      <c r="B445" s="24" t="s">
        <v>18</v>
      </c>
      <c r="C445" s="25"/>
      <c r="D445" s="25"/>
      <c r="E445" s="26"/>
      <c r="F445" s="22">
        <v>1</v>
      </c>
      <c r="G445" s="23">
        <v>1</v>
      </c>
      <c r="H445" s="23">
        <v>69.42</v>
      </c>
      <c r="I445" s="23">
        <f>G445*H445*F445</f>
        <v>69.42</v>
      </c>
      <c r="J445" s="13"/>
      <c r="K445" s="24" t="s">
        <v>18</v>
      </c>
      <c r="L445" s="25"/>
      <c r="M445" s="25"/>
      <c r="N445" s="26"/>
      <c r="O445" s="22">
        <v>1</v>
      </c>
      <c r="P445" s="23">
        <v>1</v>
      </c>
      <c r="Q445" s="23">
        <v>69.42</v>
      </c>
      <c r="R445" s="23">
        <f>P445*Q445*O445</f>
        <v>69.42</v>
      </c>
    </row>
    <row r="446" spans="1:18" x14ac:dyDescent="0.2">
      <c r="A446" s="13"/>
      <c r="B446" s="257" t="s">
        <v>1178</v>
      </c>
      <c r="C446" s="258"/>
      <c r="D446" s="25"/>
      <c r="E446" s="26"/>
      <c r="F446" s="22">
        <v>4</v>
      </c>
      <c r="G446" s="23">
        <v>1</v>
      </c>
      <c r="H446" s="23">
        <v>50.18</v>
      </c>
      <c r="I446" s="23">
        <f>G446*H446*F446</f>
        <v>200.72</v>
      </c>
      <c r="J446" s="13"/>
      <c r="K446" s="257" t="s">
        <v>1178</v>
      </c>
      <c r="L446" s="258"/>
      <c r="M446" s="25"/>
      <c r="N446" s="26"/>
      <c r="O446" s="22">
        <v>1</v>
      </c>
      <c r="P446" s="23">
        <v>1</v>
      </c>
      <c r="Q446" s="23">
        <v>50.18</v>
      </c>
      <c r="R446" s="23">
        <f>P446*Q446*O446</f>
        <v>50.18</v>
      </c>
    </row>
    <row r="447" spans="1:18" x14ac:dyDescent="0.2">
      <c r="A447" s="13"/>
      <c r="B447" s="257" t="s">
        <v>1177</v>
      </c>
      <c r="C447" s="258"/>
      <c r="D447" s="19"/>
      <c r="E447" s="20"/>
      <c r="F447" s="22">
        <v>12</v>
      </c>
      <c r="G447" s="23">
        <v>1</v>
      </c>
      <c r="H447" s="23">
        <v>38.97</v>
      </c>
      <c r="I447" s="23">
        <f>G447*H447*F447</f>
        <v>467.64</v>
      </c>
      <c r="J447" s="13"/>
      <c r="K447" s="257" t="s">
        <v>1177</v>
      </c>
      <c r="L447" s="258"/>
      <c r="M447" s="19"/>
      <c r="N447" s="20"/>
      <c r="O447" s="22">
        <v>2</v>
      </c>
      <c r="P447" s="23">
        <v>1</v>
      </c>
      <c r="Q447" s="23">
        <v>38.97</v>
      </c>
      <c r="R447" s="23">
        <f>P447*Q447*O447</f>
        <v>77.94</v>
      </c>
    </row>
    <row r="448" spans="1:18" ht="15" customHeight="1" x14ac:dyDescent="0.2">
      <c r="A448" s="13"/>
      <c r="B448" s="27"/>
      <c r="C448" s="19"/>
      <c r="D448" s="19"/>
      <c r="E448" s="20"/>
      <c r="F448" s="22"/>
      <c r="G448" s="22"/>
      <c r="H448" s="29"/>
      <c r="I448" s="30"/>
      <c r="J448" s="13"/>
      <c r="K448" s="159"/>
      <c r="L448" s="19"/>
      <c r="M448" s="19"/>
      <c r="N448" s="20"/>
      <c r="O448" s="22"/>
      <c r="P448" s="22"/>
      <c r="Q448" s="29"/>
      <c r="R448" s="30"/>
    </row>
    <row r="449" spans="1:18" x14ac:dyDescent="0.2">
      <c r="A449" s="13"/>
      <c r="B449" s="27"/>
      <c r="C449" s="19"/>
      <c r="D449" s="19"/>
      <c r="E449" s="20"/>
      <c r="F449" s="22"/>
      <c r="G449" s="22"/>
      <c r="H449" s="29"/>
      <c r="I449" s="30"/>
      <c r="J449" s="13"/>
      <c r="K449" s="159"/>
      <c r="L449" s="19"/>
      <c r="M449" s="19"/>
      <c r="N449" s="20"/>
      <c r="O449" s="22"/>
      <c r="P449" s="22"/>
      <c r="Q449" s="29"/>
      <c r="R449" s="30"/>
    </row>
    <row r="450" spans="1:18" x14ac:dyDescent="0.2">
      <c r="A450" s="13"/>
      <c r="B450" s="18"/>
      <c r="C450" s="19"/>
      <c r="D450" s="19"/>
      <c r="E450" s="20"/>
      <c r="F450" s="22"/>
      <c r="G450" s="22"/>
      <c r="H450" s="28"/>
      <c r="I450" s="23"/>
      <c r="J450" s="13"/>
      <c r="K450" s="18"/>
      <c r="L450" s="19"/>
      <c r="M450" s="19"/>
      <c r="N450" s="20"/>
      <c r="O450" s="22"/>
      <c r="P450" s="22"/>
      <c r="Q450" s="28"/>
      <c r="R450" s="23"/>
    </row>
    <row r="451" spans="1:18" x14ac:dyDescent="0.2">
      <c r="A451" s="13"/>
      <c r="B451" s="18"/>
      <c r="C451" s="19"/>
      <c r="D451" s="19"/>
      <c r="E451" s="20"/>
      <c r="F451" s="22"/>
      <c r="G451" s="22"/>
      <c r="H451" s="23"/>
      <c r="I451" s="23"/>
      <c r="J451" s="13"/>
      <c r="K451" s="18"/>
      <c r="L451" s="19"/>
      <c r="M451" s="19"/>
      <c r="N451" s="20"/>
      <c r="O451" s="22"/>
      <c r="P451" s="22"/>
      <c r="Q451" s="23"/>
      <c r="R451" s="23"/>
    </row>
    <row r="452" spans="1:18" x14ac:dyDescent="0.2">
      <c r="A452" s="13"/>
      <c r="B452" s="248" t="s">
        <v>20</v>
      </c>
      <c r="C452" s="249"/>
      <c r="D452" s="249"/>
      <c r="E452" s="250"/>
      <c r="F452" s="31"/>
      <c r="G452" s="31"/>
      <c r="H452" s="32"/>
      <c r="I452" s="32">
        <f>SUM(I445:I451)</f>
        <v>737.78</v>
      </c>
      <c r="J452" s="13"/>
      <c r="K452" s="248" t="s">
        <v>20</v>
      </c>
      <c r="L452" s="249"/>
      <c r="M452" s="249"/>
      <c r="N452" s="250"/>
      <c r="O452" s="31"/>
      <c r="P452" s="31"/>
      <c r="Q452" s="32"/>
      <c r="R452" s="32">
        <f>SUM(R445:R451)</f>
        <v>197.54</v>
      </c>
    </row>
    <row r="453" spans="1:18" x14ac:dyDescent="0.2">
      <c r="A453" s="12"/>
      <c r="B453" s="251" t="s">
        <v>21</v>
      </c>
      <c r="C453" s="252"/>
      <c r="D453" s="252"/>
      <c r="E453" s="253"/>
      <c r="F453" s="244" t="s">
        <v>22</v>
      </c>
      <c r="G453" s="244" t="s">
        <v>13</v>
      </c>
      <c r="H453" s="244" t="s">
        <v>14</v>
      </c>
      <c r="I453" s="246" t="s">
        <v>15</v>
      </c>
      <c r="J453" s="12"/>
      <c r="K453" s="251" t="s">
        <v>21</v>
      </c>
      <c r="L453" s="252"/>
      <c r="M453" s="252"/>
      <c r="N453" s="253"/>
      <c r="O453" s="244" t="s">
        <v>22</v>
      </c>
      <c r="P453" s="244" t="s">
        <v>13</v>
      </c>
      <c r="Q453" s="244" t="s">
        <v>14</v>
      </c>
      <c r="R453" s="246" t="s">
        <v>15</v>
      </c>
    </row>
    <row r="454" spans="1:18" x14ac:dyDescent="0.2">
      <c r="A454" s="13"/>
      <c r="B454" s="254"/>
      <c r="C454" s="255"/>
      <c r="D454" s="255"/>
      <c r="E454" s="256"/>
      <c r="F454" s="245"/>
      <c r="G454" s="245"/>
      <c r="H454" s="245"/>
      <c r="I454" s="247"/>
      <c r="J454" s="13"/>
      <c r="K454" s="254"/>
      <c r="L454" s="255"/>
      <c r="M454" s="255"/>
      <c r="N454" s="256"/>
      <c r="O454" s="245"/>
      <c r="P454" s="245"/>
      <c r="Q454" s="245"/>
      <c r="R454" s="247"/>
    </row>
    <row r="455" spans="1:18" x14ac:dyDescent="0.2">
      <c r="A455" s="13" t="s">
        <v>23</v>
      </c>
      <c r="B455" s="33" t="s">
        <v>24</v>
      </c>
      <c r="C455" s="15"/>
      <c r="D455" s="15"/>
      <c r="E455" s="16"/>
      <c r="F455" s="34"/>
      <c r="G455" s="34"/>
      <c r="H455" s="35"/>
      <c r="I455" s="35"/>
      <c r="J455" s="13" t="s">
        <v>23</v>
      </c>
      <c r="K455" s="33" t="s">
        <v>24</v>
      </c>
      <c r="L455" s="15"/>
      <c r="M455" s="15"/>
      <c r="N455" s="16"/>
      <c r="O455" s="34"/>
      <c r="P455" s="34"/>
      <c r="Q455" s="35"/>
      <c r="R455" s="35"/>
    </row>
    <row r="456" spans="1:18" x14ac:dyDescent="0.2">
      <c r="A456" s="13"/>
      <c r="B456" s="18"/>
      <c r="C456" s="19"/>
      <c r="D456" s="19"/>
      <c r="E456" s="20"/>
      <c r="F456" s="22"/>
      <c r="G456" s="22"/>
      <c r="H456" s="23"/>
      <c r="I456" s="23"/>
      <c r="J456" s="13"/>
      <c r="K456" s="18"/>
      <c r="L456" s="19"/>
      <c r="M456" s="19"/>
      <c r="N456" s="20"/>
      <c r="O456" s="22"/>
      <c r="P456" s="22"/>
      <c r="Q456" s="23"/>
      <c r="R456" s="23"/>
    </row>
    <row r="457" spans="1:18" ht="17.25" customHeight="1" x14ac:dyDescent="0.2">
      <c r="A457" s="13"/>
      <c r="B457" s="18" t="s">
        <v>403</v>
      </c>
      <c r="C457" s="19"/>
      <c r="D457" s="19"/>
      <c r="E457" s="20"/>
      <c r="F457" s="22">
        <v>1</v>
      </c>
      <c r="G457" s="23">
        <v>1</v>
      </c>
      <c r="H457" s="37">
        <v>172</v>
      </c>
      <c r="I457" s="37">
        <f>G457*H457*F457</f>
        <v>172</v>
      </c>
      <c r="J457" s="13"/>
      <c r="K457" s="18" t="s">
        <v>1277</v>
      </c>
      <c r="L457" s="19"/>
      <c r="M457" s="19"/>
      <c r="N457" s="20"/>
      <c r="O457" s="22">
        <v>1</v>
      </c>
      <c r="P457" s="23">
        <v>0.05</v>
      </c>
      <c r="Q457" s="37">
        <v>783</v>
      </c>
      <c r="R457" s="37">
        <f>P457*Q457*O457</f>
        <v>39.150000000000006</v>
      </c>
    </row>
    <row r="458" spans="1:18" ht="17.25" customHeight="1" x14ac:dyDescent="0.2">
      <c r="A458" s="13"/>
      <c r="B458" s="18" t="s">
        <v>1169</v>
      </c>
      <c r="C458" s="19"/>
      <c r="D458" s="19"/>
      <c r="E458" s="20"/>
      <c r="F458" s="22">
        <v>2</v>
      </c>
      <c r="G458" s="23">
        <v>1</v>
      </c>
      <c r="H458" s="37">
        <v>2450</v>
      </c>
      <c r="I458" s="37">
        <f>G458*H458*F458</f>
        <v>4900</v>
      </c>
      <c r="J458" s="13"/>
      <c r="K458" s="18" t="s">
        <v>669</v>
      </c>
      <c r="L458" s="66"/>
      <c r="M458" s="19"/>
      <c r="N458" s="20"/>
      <c r="O458" s="22"/>
      <c r="P458" s="23"/>
      <c r="R458" s="37">
        <f>R452*0.1</f>
        <v>19.754000000000001</v>
      </c>
    </row>
    <row r="459" spans="1:18" x14ac:dyDescent="0.2">
      <c r="A459" s="13"/>
      <c r="B459" s="18" t="s">
        <v>495</v>
      </c>
      <c r="C459" s="19"/>
      <c r="D459" s="19"/>
      <c r="E459" s="20"/>
      <c r="F459" s="22">
        <v>1</v>
      </c>
      <c r="G459" s="68">
        <v>0.125</v>
      </c>
      <c r="H459" s="37">
        <v>91.25</v>
      </c>
      <c r="I459" s="37">
        <f>G459*H459*F459</f>
        <v>11.40625</v>
      </c>
      <c r="J459" s="13"/>
      <c r="K459" s="18"/>
      <c r="L459" s="66"/>
      <c r="M459" s="19"/>
      <c r="N459" s="20"/>
      <c r="O459" s="22"/>
      <c r="P459" s="36"/>
      <c r="Q459" s="37"/>
      <c r="R459" s="37"/>
    </row>
    <row r="460" spans="1:18" x14ac:dyDescent="0.2">
      <c r="A460" s="13"/>
      <c r="B460" s="18" t="s">
        <v>1152</v>
      </c>
      <c r="C460" s="19"/>
      <c r="D460" s="19"/>
      <c r="E460" s="20"/>
      <c r="F460" s="22">
        <v>1</v>
      </c>
      <c r="G460" s="23">
        <v>1</v>
      </c>
      <c r="H460" s="37">
        <v>32.630000000000003</v>
      </c>
      <c r="I460" s="37">
        <f>G460*H460*F460</f>
        <v>32.630000000000003</v>
      </c>
      <c r="J460" s="13"/>
      <c r="K460" s="18"/>
      <c r="L460" s="66"/>
      <c r="O460" s="22"/>
      <c r="P460" s="23"/>
      <c r="Q460" s="37"/>
      <c r="R460" s="37"/>
    </row>
    <row r="461" spans="1:18" x14ac:dyDescent="0.2">
      <c r="A461" s="13"/>
      <c r="B461" s="18" t="s">
        <v>1195</v>
      </c>
      <c r="C461" s="19"/>
      <c r="D461" s="19"/>
      <c r="E461" s="20"/>
      <c r="F461" s="22"/>
      <c r="G461" s="36"/>
      <c r="H461" s="37"/>
      <c r="I461" s="37">
        <f>I452*0.05</f>
        <v>36.889000000000003</v>
      </c>
      <c r="J461" s="13"/>
      <c r="K461" s="18"/>
      <c r="L461" s="19"/>
      <c r="M461" s="19"/>
      <c r="N461" s="20"/>
      <c r="O461" s="22"/>
      <c r="P461" s="36"/>
      <c r="Q461" s="37"/>
      <c r="R461" s="37"/>
    </row>
    <row r="462" spans="1:18" x14ac:dyDescent="0.2">
      <c r="A462" s="13"/>
      <c r="B462" s="18"/>
      <c r="C462" s="19"/>
      <c r="D462" s="19"/>
      <c r="E462" s="20"/>
      <c r="F462" s="22"/>
      <c r="G462" s="36"/>
      <c r="H462" s="37"/>
      <c r="I462" s="37"/>
      <c r="J462" s="13"/>
      <c r="K462" s="18"/>
      <c r="L462" s="19"/>
      <c r="M462" s="19"/>
      <c r="N462" s="20"/>
      <c r="O462" s="22"/>
      <c r="P462" s="36"/>
      <c r="Q462" s="37"/>
      <c r="R462" s="38"/>
    </row>
    <row r="463" spans="1:18" x14ac:dyDescent="0.2">
      <c r="A463" s="13"/>
      <c r="B463" s="18"/>
      <c r="C463" s="19"/>
      <c r="D463" s="19"/>
      <c r="E463" s="20"/>
      <c r="F463" s="22"/>
      <c r="G463" s="36"/>
      <c r="H463" s="37"/>
      <c r="I463" s="37"/>
      <c r="J463" s="13"/>
      <c r="K463" s="18"/>
      <c r="L463" s="19"/>
      <c r="M463" s="19"/>
      <c r="N463" s="20"/>
      <c r="O463" s="22"/>
      <c r="P463" s="36"/>
      <c r="Q463" s="37"/>
      <c r="R463" s="38"/>
    </row>
    <row r="464" spans="1:18" x14ac:dyDescent="0.2">
      <c r="A464" s="13"/>
      <c r="B464" s="18"/>
      <c r="C464" s="19"/>
      <c r="D464" s="19"/>
      <c r="E464" s="20"/>
      <c r="F464" s="22"/>
      <c r="G464" s="23"/>
      <c r="H464" s="37"/>
      <c r="I464" s="37"/>
      <c r="J464" s="13"/>
      <c r="K464" s="18"/>
      <c r="L464" s="19"/>
      <c r="M464" s="19"/>
      <c r="N464" s="20"/>
      <c r="O464" s="22"/>
      <c r="P464" s="23"/>
      <c r="Q464" s="37"/>
      <c r="R464" s="38"/>
    </row>
    <row r="465" spans="1:18" x14ac:dyDescent="0.2">
      <c r="A465" s="13"/>
      <c r="B465" s="18"/>
      <c r="C465" s="19"/>
      <c r="D465" s="19"/>
      <c r="E465" s="20"/>
      <c r="F465" s="22"/>
      <c r="G465" s="36"/>
      <c r="H465" s="38"/>
      <c r="I465" s="38"/>
      <c r="J465" s="13"/>
      <c r="K465" s="18"/>
      <c r="L465" s="19"/>
      <c r="M465" s="19"/>
      <c r="N465" s="20"/>
      <c r="O465" s="22"/>
      <c r="P465" s="23"/>
      <c r="Q465" s="37"/>
      <c r="R465" s="38"/>
    </row>
    <row r="466" spans="1:18" x14ac:dyDescent="0.2">
      <c r="A466" s="13"/>
      <c r="B466" s="18"/>
      <c r="C466" s="19"/>
      <c r="D466" s="19"/>
      <c r="E466" s="20"/>
      <c r="F466" s="22"/>
      <c r="G466" s="36"/>
      <c r="H466" s="37"/>
      <c r="I466" s="37"/>
      <c r="J466" s="13"/>
      <c r="K466" s="7"/>
      <c r="L466" s="7"/>
      <c r="M466" s="7"/>
      <c r="N466" s="7"/>
      <c r="O466" s="72"/>
      <c r="P466" s="72"/>
      <c r="Q466" s="72"/>
      <c r="R466" s="37"/>
    </row>
    <row r="467" spans="1:18" x14ac:dyDescent="0.2">
      <c r="A467" s="13"/>
      <c r="B467" s="18"/>
      <c r="C467" s="19"/>
      <c r="D467" s="19"/>
      <c r="E467" s="20"/>
      <c r="F467" s="22"/>
      <c r="G467" s="36"/>
      <c r="H467" s="37"/>
      <c r="I467" s="37"/>
      <c r="J467" s="13"/>
      <c r="K467" s="18"/>
      <c r="L467" s="19"/>
      <c r="M467" s="19"/>
      <c r="N467" s="20"/>
      <c r="O467" s="22"/>
      <c r="P467" s="36"/>
      <c r="Q467" s="37"/>
      <c r="R467" s="37"/>
    </row>
    <row r="468" spans="1:18" ht="15" customHeight="1" x14ac:dyDescent="0.2">
      <c r="A468" s="13"/>
      <c r="B468" s="18"/>
      <c r="C468" s="19"/>
      <c r="D468" s="19"/>
      <c r="E468" s="20"/>
      <c r="F468" s="22"/>
      <c r="G468" s="36"/>
      <c r="H468" s="37"/>
      <c r="I468" s="37"/>
      <c r="J468" s="13"/>
      <c r="K468" s="18"/>
      <c r="L468" s="19"/>
      <c r="M468" s="19"/>
      <c r="N468" s="20"/>
      <c r="O468" s="22"/>
      <c r="P468" s="36"/>
      <c r="Q468" s="37"/>
      <c r="R468" s="37"/>
    </row>
    <row r="469" spans="1:18" x14ac:dyDescent="0.2">
      <c r="A469" s="13"/>
      <c r="B469" s="18"/>
      <c r="C469" s="19"/>
      <c r="D469" s="19"/>
      <c r="E469" s="20"/>
      <c r="F469" s="22"/>
      <c r="G469" s="22"/>
      <c r="H469" s="23"/>
      <c r="I469" s="23"/>
      <c r="J469" s="13"/>
      <c r="K469" s="18"/>
      <c r="L469" s="19"/>
      <c r="M469" s="19"/>
      <c r="N469" s="20"/>
      <c r="O469" s="22"/>
      <c r="P469" s="22"/>
      <c r="Q469" s="23"/>
      <c r="R469" s="23"/>
    </row>
    <row r="470" spans="1:18" x14ac:dyDescent="0.2">
      <c r="A470" s="13"/>
      <c r="B470" s="248" t="s">
        <v>30</v>
      </c>
      <c r="C470" s="249"/>
      <c r="D470" s="249"/>
      <c r="E470" s="250"/>
      <c r="F470" s="22"/>
      <c r="G470" s="22"/>
      <c r="H470" s="23"/>
      <c r="I470" s="23">
        <f>SUM(I457:I469)</f>
        <v>5152.9252500000002</v>
      </c>
      <c r="J470" s="13"/>
      <c r="K470" s="248" t="s">
        <v>30</v>
      </c>
      <c r="L470" s="249"/>
      <c r="M470" s="249"/>
      <c r="N470" s="250"/>
      <c r="O470" s="22"/>
      <c r="P470" s="22"/>
      <c r="Q470" s="23"/>
      <c r="R470" s="23">
        <f>SUM(R457:R469)</f>
        <v>58.904000000000011</v>
      </c>
    </row>
    <row r="471" spans="1:18" x14ac:dyDescent="0.2">
      <c r="A471" s="12" t="s">
        <v>31</v>
      </c>
      <c r="B471" s="260" t="s">
        <v>32</v>
      </c>
      <c r="C471" s="261"/>
      <c r="D471" s="261"/>
      <c r="E471" s="261"/>
      <c r="F471" s="39"/>
      <c r="G471" s="39"/>
      <c r="H471" s="40"/>
      <c r="I471" s="41">
        <f>SUM(I470+I452)</f>
        <v>5890.70525</v>
      </c>
      <c r="J471" s="12" t="s">
        <v>31</v>
      </c>
      <c r="K471" s="260" t="s">
        <v>32</v>
      </c>
      <c r="L471" s="261"/>
      <c r="M471" s="261"/>
      <c r="N471" s="261"/>
      <c r="O471" s="161"/>
      <c r="P471" s="161"/>
      <c r="Q471" s="40"/>
      <c r="R471" s="41">
        <f>SUM(R470+R452)</f>
        <v>256.44400000000002</v>
      </c>
    </row>
    <row r="472" spans="1:18" x14ac:dyDescent="0.2">
      <c r="A472" s="13" t="s">
        <v>33</v>
      </c>
      <c r="B472" s="305">
        <f>E439</f>
        <v>20</v>
      </c>
      <c r="C472" s="306"/>
      <c r="D472" s="306"/>
      <c r="E472" s="306"/>
      <c r="F472" s="306"/>
      <c r="G472" s="306"/>
      <c r="H472" s="40"/>
      <c r="I472" s="41"/>
      <c r="J472" s="13" t="s">
        <v>33</v>
      </c>
      <c r="K472" s="295">
        <f>N439</f>
        <v>10</v>
      </c>
      <c r="L472" s="296"/>
      <c r="M472" s="296"/>
      <c r="N472" s="296"/>
      <c r="O472" s="296"/>
      <c r="P472" s="296"/>
      <c r="Q472" s="40"/>
      <c r="R472" s="41"/>
    </row>
    <row r="473" spans="1:18" x14ac:dyDescent="0.2">
      <c r="A473" s="13" t="s">
        <v>34</v>
      </c>
      <c r="B473" s="42" t="s">
        <v>35</v>
      </c>
      <c r="C473" s="43"/>
      <c r="D473" s="43"/>
      <c r="E473" s="39"/>
      <c r="F473" s="44"/>
      <c r="G473" s="44"/>
      <c r="H473" s="40"/>
      <c r="I473" s="41">
        <f>I471/E439</f>
        <v>294.53526249999999</v>
      </c>
      <c r="J473" s="13" t="s">
        <v>34</v>
      </c>
      <c r="K473" s="162" t="s">
        <v>35</v>
      </c>
      <c r="L473" s="43"/>
      <c r="M473" s="43"/>
      <c r="N473" s="161"/>
      <c r="O473" s="163"/>
      <c r="P473" s="163"/>
      <c r="Q473" s="40"/>
      <c r="R473" s="41">
        <f>R471/N439</f>
        <v>25.644400000000001</v>
      </c>
    </row>
    <row r="474" spans="1:18" x14ac:dyDescent="0.2">
      <c r="A474" s="12"/>
      <c r="B474" s="251" t="s">
        <v>36</v>
      </c>
      <c r="C474" s="252"/>
      <c r="D474" s="252"/>
      <c r="E474" s="253"/>
      <c r="F474" s="244" t="s">
        <v>37</v>
      </c>
      <c r="G474" s="244" t="s">
        <v>38</v>
      </c>
      <c r="H474" s="244" t="s">
        <v>39</v>
      </c>
      <c r="I474" s="246" t="s">
        <v>15</v>
      </c>
      <c r="J474" s="12"/>
      <c r="K474" s="251" t="s">
        <v>36</v>
      </c>
      <c r="L474" s="252"/>
      <c r="M474" s="252"/>
      <c r="N474" s="253"/>
      <c r="O474" s="244" t="s">
        <v>37</v>
      </c>
      <c r="P474" s="244" t="s">
        <v>38</v>
      </c>
      <c r="Q474" s="244" t="s">
        <v>39</v>
      </c>
      <c r="R474" s="246" t="s">
        <v>15</v>
      </c>
    </row>
    <row r="475" spans="1:18" x14ac:dyDescent="0.2">
      <c r="A475" s="13"/>
      <c r="B475" s="254"/>
      <c r="C475" s="255"/>
      <c r="D475" s="255"/>
      <c r="E475" s="256"/>
      <c r="F475" s="245"/>
      <c r="G475" s="245"/>
      <c r="H475" s="245"/>
      <c r="I475" s="247"/>
      <c r="J475" s="13"/>
      <c r="K475" s="254"/>
      <c r="L475" s="255"/>
      <c r="M475" s="255"/>
      <c r="N475" s="256"/>
      <c r="O475" s="245"/>
      <c r="P475" s="245"/>
      <c r="Q475" s="245"/>
      <c r="R475" s="247"/>
    </row>
    <row r="476" spans="1:18" x14ac:dyDescent="0.2">
      <c r="A476" s="13" t="s">
        <v>40</v>
      </c>
      <c r="B476" s="18" t="s">
        <v>41</v>
      </c>
      <c r="C476" s="19"/>
      <c r="D476" s="19"/>
      <c r="E476" s="20"/>
      <c r="F476" s="22"/>
      <c r="G476" s="22"/>
      <c r="H476" s="23"/>
      <c r="I476" s="23"/>
      <c r="J476" s="13" t="s">
        <v>40</v>
      </c>
      <c r="K476" s="18" t="s">
        <v>41</v>
      </c>
      <c r="L476" s="19"/>
      <c r="M476" s="19"/>
      <c r="N476" s="20"/>
      <c r="O476" s="22"/>
      <c r="P476" s="22"/>
      <c r="Q476" s="23"/>
      <c r="R476" s="23"/>
    </row>
    <row r="477" spans="1:18" x14ac:dyDescent="0.2">
      <c r="A477" s="13"/>
      <c r="B477" s="18"/>
      <c r="C477" s="19"/>
      <c r="D477" s="19"/>
      <c r="E477" s="20"/>
      <c r="F477" s="22"/>
      <c r="G477" s="22"/>
      <c r="H477" s="23"/>
      <c r="I477" s="23"/>
      <c r="J477" s="13"/>
      <c r="K477" s="18"/>
      <c r="L477" s="19"/>
      <c r="M477" s="19"/>
      <c r="N477" s="20"/>
      <c r="O477" s="22"/>
      <c r="P477" s="22"/>
      <c r="Q477" s="23"/>
      <c r="R477" s="23"/>
    </row>
    <row r="478" spans="1:18" x14ac:dyDescent="0.2">
      <c r="A478" s="13"/>
      <c r="B478" s="18" t="s">
        <v>661</v>
      </c>
      <c r="C478" s="66"/>
      <c r="D478" s="19"/>
      <c r="E478" s="20"/>
      <c r="F478" s="22" t="s">
        <v>1216</v>
      </c>
      <c r="G478" s="22">
        <v>0.28999999999999998</v>
      </c>
      <c r="H478" s="107">
        <v>28</v>
      </c>
      <c r="I478" s="23">
        <f t="shared" ref="I478:I483" si="2">G478*H478</f>
        <v>8.1199999999999992</v>
      </c>
      <c r="J478" s="13"/>
      <c r="K478" s="18" t="s">
        <v>670</v>
      </c>
      <c r="L478" s="66"/>
      <c r="M478" s="19"/>
      <c r="N478" s="20"/>
      <c r="O478" s="62" t="s">
        <v>1216</v>
      </c>
      <c r="P478" s="62">
        <v>1</v>
      </c>
      <c r="Q478" s="107">
        <v>450</v>
      </c>
      <c r="R478" s="23">
        <f>P478*Q478</f>
        <v>450</v>
      </c>
    </row>
    <row r="479" spans="1:18" x14ac:dyDescent="0.2">
      <c r="A479" s="13"/>
      <c r="B479" s="18" t="s">
        <v>663</v>
      </c>
      <c r="C479" s="19"/>
      <c r="D479" s="19"/>
      <c r="E479" s="20"/>
      <c r="F479" s="22" t="s">
        <v>1216</v>
      </c>
      <c r="G479" s="22">
        <v>0.12</v>
      </c>
      <c r="H479" s="107">
        <f>44000/1000</f>
        <v>44</v>
      </c>
      <c r="I479" s="23">
        <f t="shared" si="2"/>
        <v>5.2799999999999994</v>
      </c>
      <c r="J479" s="13"/>
      <c r="K479" s="18" t="s">
        <v>664</v>
      </c>
      <c r="L479" s="66"/>
      <c r="M479" s="19"/>
      <c r="N479" s="20"/>
      <c r="O479" s="62"/>
      <c r="P479" s="70"/>
      <c r="R479" s="23">
        <f>R478*0.05</f>
        <v>22.5</v>
      </c>
    </row>
    <row r="480" spans="1:18" x14ac:dyDescent="0.2">
      <c r="A480" s="13"/>
      <c r="B480" s="18" t="s">
        <v>665</v>
      </c>
      <c r="C480" s="19"/>
      <c r="D480" s="19"/>
      <c r="E480" s="20"/>
      <c r="F480" s="22" t="s">
        <v>1153</v>
      </c>
      <c r="G480" s="22">
        <v>0.46</v>
      </c>
      <c r="H480" s="107">
        <v>250</v>
      </c>
      <c r="I480" s="23">
        <f t="shared" si="2"/>
        <v>115</v>
      </c>
      <c r="J480" s="13"/>
      <c r="K480" s="18"/>
      <c r="L480" s="19"/>
      <c r="M480" s="19"/>
      <c r="N480" s="20"/>
      <c r="O480" s="62"/>
      <c r="P480" s="62"/>
      <c r="Q480" s="23"/>
      <c r="R480" s="23"/>
    </row>
    <row r="481" spans="1:18" x14ac:dyDescent="0.2">
      <c r="A481" s="13"/>
      <c r="B481" s="18" t="s">
        <v>374</v>
      </c>
      <c r="C481" s="19"/>
      <c r="D481" s="19"/>
      <c r="E481" s="20"/>
      <c r="F481" s="22" t="s">
        <v>9</v>
      </c>
      <c r="G481" s="22">
        <v>5.5E-2</v>
      </c>
      <c r="H481" s="107">
        <v>850</v>
      </c>
      <c r="I481" s="23">
        <f t="shared" si="2"/>
        <v>46.75</v>
      </c>
      <c r="J481" s="13"/>
      <c r="K481" s="18"/>
      <c r="L481" s="19"/>
      <c r="M481" s="19"/>
      <c r="N481" s="20"/>
      <c r="O481" s="22"/>
      <c r="P481" s="22"/>
      <c r="Q481" s="23"/>
      <c r="R481" s="23"/>
    </row>
    <row r="482" spans="1:18" x14ac:dyDescent="0.2">
      <c r="A482" s="13"/>
      <c r="B482" s="18" t="s">
        <v>375</v>
      </c>
      <c r="C482" s="19"/>
      <c r="D482" s="19"/>
      <c r="E482" s="20"/>
      <c r="F482" s="22" t="s">
        <v>9</v>
      </c>
      <c r="G482" s="62">
        <v>0.1</v>
      </c>
      <c r="H482" s="107">
        <v>650</v>
      </c>
      <c r="I482" s="23">
        <f t="shared" si="2"/>
        <v>65</v>
      </c>
      <c r="J482" s="13"/>
      <c r="K482" s="18"/>
      <c r="L482" s="19"/>
      <c r="M482" s="19"/>
      <c r="N482" s="20"/>
      <c r="O482" s="22"/>
      <c r="P482" s="22"/>
      <c r="Q482" s="23"/>
      <c r="R482" s="23"/>
    </row>
    <row r="483" spans="1:18" x14ac:dyDescent="0.2">
      <c r="A483" s="13"/>
      <c r="B483" s="18" t="s">
        <v>376</v>
      </c>
      <c r="C483" s="19"/>
      <c r="D483" s="19"/>
      <c r="E483" s="20"/>
      <c r="F483" s="22" t="s">
        <v>227</v>
      </c>
      <c r="G483" s="22">
        <v>0.95</v>
      </c>
      <c r="H483" s="107">
        <v>220</v>
      </c>
      <c r="I483" s="23">
        <f t="shared" si="2"/>
        <v>209</v>
      </c>
      <c r="J483" s="13"/>
      <c r="K483" s="18"/>
      <c r="L483" s="19"/>
      <c r="M483" s="19"/>
      <c r="N483" s="20"/>
      <c r="O483" s="22"/>
      <c r="P483" s="22"/>
      <c r="Q483" s="23"/>
      <c r="R483" s="23"/>
    </row>
    <row r="484" spans="1:18" ht="15" customHeight="1" x14ac:dyDescent="0.2">
      <c r="A484" s="13"/>
      <c r="B484" s="18"/>
      <c r="C484" s="19"/>
      <c r="D484" s="19"/>
      <c r="E484" s="20"/>
      <c r="F484" s="22"/>
      <c r="G484" s="22"/>
      <c r="H484" s="23"/>
      <c r="I484" s="23"/>
      <c r="J484" s="13"/>
      <c r="K484" s="18"/>
      <c r="L484" s="19"/>
      <c r="M484" s="19"/>
      <c r="N484" s="20"/>
      <c r="O484" s="22"/>
      <c r="P484" s="22"/>
      <c r="Q484" s="23"/>
      <c r="R484" s="23"/>
    </row>
    <row r="485" spans="1:18" x14ac:dyDescent="0.2">
      <c r="A485" s="13"/>
      <c r="B485" s="18" t="s">
        <v>666</v>
      </c>
      <c r="C485" s="19"/>
      <c r="D485" s="19"/>
      <c r="E485" s="20"/>
      <c r="F485" s="22"/>
      <c r="G485" s="22"/>
      <c r="H485" s="23"/>
      <c r="I485" s="23"/>
      <c r="J485" s="13"/>
      <c r="K485" s="18"/>
      <c r="L485" s="19"/>
      <c r="M485" s="19"/>
      <c r="N485" s="20"/>
      <c r="O485" s="22"/>
      <c r="P485" s="22"/>
      <c r="Q485" s="23"/>
      <c r="R485" s="23"/>
    </row>
    <row r="486" spans="1:18" x14ac:dyDescent="0.2">
      <c r="A486" s="13"/>
      <c r="B486" s="18"/>
      <c r="C486" s="19"/>
      <c r="D486" s="19"/>
      <c r="E486" s="20"/>
      <c r="F486" s="22"/>
      <c r="G486" s="22"/>
      <c r="H486" s="23"/>
      <c r="I486" s="23"/>
      <c r="J486" s="13"/>
      <c r="K486" s="18"/>
      <c r="L486" s="19"/>
      <c r="M486" s="19"/>
      <c r="N486" s="20"/>
      <c r="O486" s="22"/>
      <c r="P486" s="22"/>
      <c r="Q486" s="23"/>
      <c r="R486" s="23"/>
    </row>
    <row r="487" spans="1:18" x14ac:dyDescent="0.2">
      <c r="A487" s="13"/>
      <c r="B487" s="18"/>
      <c r="C487" s="19"/>
      <c r="D487" s="19"/>
      <c r="E487" s="20"/>
      <c r="F487" s="22"/>
      <c r="G487" s="22"/>
      <c r="H487" s="23"/>
      <c r="I487" s="23"/>
      <c r="J487" s="13"/>
      <c r="K487" s="18"/>
      <c r="L487" s="19"/>
      <c r="M487" s="19"/>
      <c r="N487" s="20"/>
      <c r="O487" s="22"/>
      <c r="P487" s="22"/>
      <c r="Q487" s="23"/>
      <c r="R487" s="23"/>
    </row>
    <row r="488" spans="1:18" x14ac:dyDescent="0.2">
      <c r="A488" s="13"/>
      <c r="B488" s="18"/>
      <c r="C488" s="19"/>
      <c r="D488" s="19"/>
      <c r="E488" s="20"/>
      <c r="F488" s="22"/>
      <c r="G488" s="22"/>
      <c r="H488" s="23"/>
      <c r="I488" s="23"/>
      <c r="J488" s="13"/>
      <c r="K488" s="18"/>
      <c r="L488" s="19"/>
      <c r="M488" s="19"/>
      <c r="N488" s="20"/>
      <c r="O488" s="22"/>
      <c r="P488" s="22"/>
      <c r="Q488" s="23"/>
      <c r="R488" s="23"/>
    </row>
    <row r="489" spans="1:18" x14ac:dyDescent="0.2">
      <c r="A489" s="13"/>
      <c r="B489" s="18"/>
      <c r="C489" s="19"/>
      <c r="D489" s="19"/>
      <c r="E489" s="20"/>
      <c r="F489" s="22"/>
      <c r="G489" s="22"/>
      <c r="H489" s="23"/>
      <c r="I489" s="23"/>
      <c r="J489" s="13"/>
      <c r="K489" s="18"/>
      <c r="L489" s="19"/>
      <c r="M489" s="19"/>
      <c r="N489" s="20"/>
      <c r="O489" s="22"/>
      <c r="P489" s="22"/>
      <c r="Q489" s="23"/>
      <c r="R489" s="23"/>
    </row>
    <row r="490" spans="1:18" x14ac:dyDescent="0.2">
      <c r="A490" s="13"/>
      <c r="B490" s="18"/>
      <c r="C490" s="19"/>
      <c r="D490" s="19"/>
      <c r="E490" s="20"/>
      <c r="F490" s="22"/>
      <c r="G490" s="36"/>
      <c r="H490" s="37"/>
      <c r="I490" s="37"/>
      <c r="J490" s="13"/>
      <c r="K490" s="18"/>
      <c r="L490" s="19"/>
      <c r="M490" s="19"/>
      <c r="N490" s="20"/>
      <c r="O490" s="22"/>
      <c r="P490" s="36"/>
      <c r="Q490" s="37"/>
      <c r="R490" s="37"/>
    </row>
    <row r="491" spans="1:18" x14ac:dyDescent="0.2">
      <c r="A491" s="13"/>
      <c r="B491" s="248" t="s">
        <v>42</v>
      </c>
      <c r="C491" s="249"/>
      <c r="D491" s="249"/>
      <c r="E491" s="250"/>
      <c r="F491" s="46"/>
      <c r="G491" s="46"/>
      <c r="H491" s="47"/>
      <c r="I491" s="47">
        <f>SUM(I478:I490)</f>
        <v>449.15</v>
      </c>
      <c r="J491" s="13"/>
      <c r="K491" s="248" t="s">
        <v>42</v>
      </c>
      <c r="L491" s="249"/>
      <c r="M491" s="249"/>
      <c r="N491" s="250"/>
      <c r="O491" s="46"/>
      <c r="P491" s="46"/>
      <c r="Q491" s="47"/>
      <c r="R491" s="47">
        <f>SUM(R478:R490)</f>
        <v>472.5</v>
      </c>
    </row>
    <row r="492" spans="1:18" x14ac:dyDescent="0.2">
      <c r="A492" s="12" t="s">
        <v>43</v>
      </c>
      <c r="B492" s="48" t="s">
        <v>44</v>
      </c>
      <c r="C492" s="43"/>
      <c r="D492" s="43"/>
      <c r="E492" s="39"/>
      <c r="F492" s="49"/>
      <c r="G492" s="49"/>
      <c r="H492" s="50"/>
      <c r="I492" s="51">
        <f>SUM(I473+I491)</f>
        <v>743.68526249999991</v>
      </c>
      <c r="J492" s="12" t="s">
        <v>43</v>
      </c>
      <c r="K492" s="48" t="s">
        <v>44</v>
      </c>
      <c r="L492" s="43"/>
      <c r="M492" s="43"/>
      <c r="N492" s="161"/>
      <c r="O492" s="49"/>
      <c r="P492" s="49"/>
      <c r="Q492" s="50"/>
      <c r="R492" s="51">
        <f>SUM(R473+R491)</f>
        <v>498.14440000000002</v>
      </c>
    </row>
    <row r="493" spans="1:18" x14ac:dyDescent="0.2">
      <c r="A493" s="13" t="s">
        <v>45</v>
      </c>
      <c r="B493" s="48" t="s">
        <v>46</v>
      </c>
      <c r="C493" s="43"/>
      <c r="D493" s="43"/>
      <c r="E493" s="39"/>
      <c r="F493" s="49"/>
      <c r="G493" s="52">
        <v>0.09</v>
      </c>
      <c r="H493" s="53" t="s">
        <v>47</v>
      </c>
      <c r="I493" s="51">
        <f>G493*I492</f>
        <v>66.931673624999988</v>
      </c>
      <c r="J493" s="13" t="s">
        <v>45</v>
      </c>
      <c r="K493" s="48" t="s">
        <v>46</v>
      </c>
      <c r="L493" s="43"/>
      <c r="M493" s="43"/>
      <c r="N493" s="161"/>
      <c r="O493" s="49"/>
      <c r="P493" s="52">
        <v>0.09</v>
      </c>
      <c r="Q493" s="53" t="s">
        <v>47</v>
      </c>
      <c r="R493" s="51">
        <f>P493*R492</f>
        <v>44.832996000000001</v>
      </c>
    </row>
    <row r="494" spans="1:18" x14ac:dyDescent="0.2">
      <c r="A494" s="13" t="s">
        <v>48</v>
      </c>
      <c r="B494" s="48" t="s">
        <v>49</v>
      </c>
      <c r="C494" s="43"/>
      <c r="D494" s="43"/>
      <c r="E494" s="39"/>
      <c r="F494" s="49"/>
      <c r="G494" s="52">
        <v>0.08</v>
      </c>
      <c r="H494" s="53" t="s">
        <v>47</v>
      </c>
      <c r="I494" s="51">
        <f>G494*I492</f>
        <v>59.494820999999995</v>
      </c>
      <c r="J494" s="13" t="s">
        <v>48</v>
      </c>
      <c r="K494" s="48" t="s">
        <v>49</v>
      </c>
      <c r="L494" s="43"/>
      <c r="M494" s="43"/>
      <c r="N494" s="161"/>
      <c r="O494" s="49"/>
      <c r="P494" s="52">
        <v>0.08</v>
      </c>
      <c r="Q494" s="53" t="s">
        <v>47</v>
      </c>
      <c r="R494" s="51">
        <f>P494*R492</f>
        <v>39.851552000000005</v>
      </c>
    </row>
    <row r="495" spans="1:18" x14ac:dyDescent="0.2">
      <c r="A495" s="13" t="s">
        <v>50</v>
      </c>
      <c r="B495" s="48" t="s">
        <v>51</v>
      </c>
      <c r="C495" s="43"/>
      <c r="D495" s="43"/>
      <c r="E495" s="39"/>
      <c r="F495" s="49"/>
      <c r="G495" s="52">
        <v>0.05</v>
      </c>
      <c r="H495" s="53" t="s">
        <v>52</v>
      </c>
      <c r="I495" s="51">
        <f>G495*(I492+I493+I494)</f>
        <v>43.505587856250003</v>
      </c>
      <c r="J495" s="13" t="s">
        <v>50</v>
      </c>
      <c r="K495" s="48" t="s">
        <v>51</v>
      </c>
      <c r="L495" s="43"/>
      <c r="M495" s="43"/>
      <c r="N495" s="161"/>
      <c r="O495" s="49"/>
      <c r="P495" s="52">
        <v>0.05</v>
      </c>
      <c r="Q495" s="53" t="s">
        <v>52</v>
      </c>
      <c r="R495" s="51">
        <f>P495*(R492+R493+R494)</f>
        <v>29.141447400000001</v>
      </c>
    </row>
    <row r="496" spans="1:18" x14ac:dyDescent="0.2">
      <c r="A496" s="54" t="s">
        <v>53</v>
      </c>
      <c r="B496" s="48" t="s">
        <v>54</v>
      </c>
      <c r="C496" s="43"/>
      <c r="D496" s="43"/>
      <c r="E496" s="39"/>
      <c r="F496" s="49"/>
      <c r="G496" s="49"/>
      <c r="H496" s="55" t="s">
        <v>55</v>
      </c>
      <c r="I496" s="51">
        <f>SUM(I492+I493+I494+I495)</f>
        <v>913.61734498124997</v>
      </c>
      <c r="J496" s="54" t="s">
        <v>53</v>
      </c>
      <c r="K496" s="48" t="s">
        <v>54</v>
      </c>
      <c r="L496" s="43"/>
      <c r="M496" s="43"/>
      <c r="N496" s="161"/>
      <c r="O496" s="49"/>
      <c r="P496" s="49"/>
      <c r="Q496" s="55" t="s">
        <v>55</v>
      </c>
      <c r="R496" s="51">
        <f>SUM(R492+R493+R494+R495)</f>
        <v>611.97039539999992</v>
      </c>
    </row>
    <row r="497" spans="1:18" s="1" customFormat="1" x14ac:dyDescent="0.2">
      <c r="A497" s="236" t="s">
        <v>0</v>
      </c>
      <c r="B497" s="236"/>
      <c r="C497" s="236"/>
      <c r="D497" s="236"/>
      <c r="E497" s="236"/>
      <c r="F497" s="236"/>
      <c r="G497" s="236"/>
      <c r="H497" s="236"/>
      <c r="I497" s="236"/>
      <c r="J497" s="236" t="s">
        <v>0</v>
      </c>
      <c r="K497" s="236"/>
      <c r="L497" s="236"/>
      <c r="M497" s="236"/>
      <c r="N497" s="236"/>
      <c r="O497" s="236"/>
      <c r="P497" s="236"/>
      <c r="Q497" s="236"/>
      <c r="R497" s="236"/>
    </row>
    <row r="499" spans="1:18" x14ac:dyDescent="0.2">
      <c r="A499" s="158" t="s">
        <v>1</v>
      </c>
      <c r="C499" s="4" t="s">
        <v>2</v>
      </c>
      <c r="D499" s="5" t="s">
        <v>671</v>
      </c>
      <c r="E499" s="8" t="s">
        <v>672</v>
      </c>
      <c r="F499" s="8"/>
      <c r="G499" s="8"/>
      <c r="H499" s="8"/>
      <c r="I499" s="8"/>
      <c r="J499" s="158" t="s">
        <v>1</v>
      </c>
      <c r="L499" s="4" t="s">
        <v>2</v>
      </c>
      <c r="M499" s="5" t="s">
        <v>673</v>
      </c>
      <c r="N499" s="237" t="s">
        <v>1308</v>
      </c>
      <c r="O499" s="237"/>
      <c r="P499" s="237"/>
      <c r="Q499" s="237"/>
      <c r="R499" s="8"/>
    </row>
    <row r="500" spans="1:18" x14ac:dyDescent="0.2">
      <c r="A500" s="158" t="s">
        <v>7</v>
      </c>
      <c r="C500" s="4" t="s">
        <v>2</v>
      </c>
      <c r="E500" s="158" t="s">
        <v>59</v>
      </c>
      <c r="F500" s="8"/>
      <c r="G500" s="8"/>
      <c r="H500" s="8"/>
      <c r="J500" s="158" t="s">
        <v>7</v>
      </c>
      <c r="L500" s="4" t="s">
        <v>2</v>
      </c>
      <c r="N500" s="158" t="s">
        <v>8</v>
      </c>
      <c r="O500" s="8"/>
      <c r="P500" s="8"/>
      <c r="Q500" s="8"/>
    </row>
    <row r="501" spans="1:18" x14ac:dyDescent="0.2">
      <c r="A501" s="158" t="s">
        <v>10</v>
      </c>
      <c r="C501" s="4" t="s">
        <v>2</v>
      </c>
      <c r="E501" s="9">
        <v>2</v>
      </c>
      <c r="F501" s="8"/>
      <c r="G501" s="8"/>
      <c r="H501" s="8"/>
      <c r="J501" s="158" t="s">
        <v>10</v>
      </c>
      <c r="L501" s="4" t="s">
        <v>2</v>
      </c>
      <c r="N501" s="9">
        <v>10</v>
      </c>
      <c r="O501" s="8"/>
      <c r="P501" s="8"/>
      <c r="Q501" s="8"/>
    </row>
    <row r="502" spans="1:18" x14ac:dyDescent="0.2">
      <c r="B502" s="8"/>
      <c r="F502" s="11"/>
      <c r="G502" s="8"/>
      <c r="H502" s="8"/>
      <c r="I502" s="8"/>
      <c r="K502" s="8"/>
      <c r="O502" s="11"/>
      <c r="P502" s="8"/>
      <c r="Q502" s="8"/>
      <c r="R502" s="8"/>
    </row>
    <row r="503" spans="1:18" x14ac:dyDescent="0.2">
      <c r="A503" s="12"/>
      <c r="B503" s="238" t="s">
        <v>11</v>
      </c>
      <c r="C503" s="239"/>
      <c r="D503" s="239"/>
      <c r="E503" s="240"/>
      <c r="F503" s="244" t="s">
        <v>12</v>
      </c>
      <c r="G503" s="244" t="s">
        <v>13</v>
      </c>
      <c r="H503" s="244" t="s">
        <v>14</v>
      </c>
      <c r="I503" s="246" t="s">
        <v>15</v>
      </c>
      <c r="J503" s="12"/>
      <c r="K503" s="238" t="s">
        <v>11</v>
      </c>
      <c r="L503" s="239"/>
      <c r="M503" s="239"/>
      <c r="N503" s="240"/>
      <c r="O503" s="244" t="s">
        <v>12</v>
      </c>
      <c r="P503" s="244" t="s">
        <v>13</v>
      </c>
      <c r="Q503" s="244" t="s">
        <v>14</v>
      </c>
      <c r="R503" s="246" t="s">
        <v>15</v>
      </c>
    </row>
    <row r="504" spans="1:18" x14ac:dyDescent="0.2">
      <c r="A504" s="13"/>
      <c r="B504" s="241"/>
      <c r="C504" s="242"/>
      <c r="D504" s="242"/>
      <c r="E504" s="243"/>
      <c r="F504" s="245"/>
      <c r="G504" s="245"/>
      <c r="H504" s="245"/>
      <c r="I504" s="247"/>
      <c r="J504" s="13"/>
      <c r="K504" s="241"/>
      <c r="L504" s="242"/>
      <c r="M504" s="242"/>
      <c r="N504" s="243"/>
      <c r="O504" s="245"/>
      <c r="P504" s="245"/>
      <c r="Q504" s="245"/>
      <c r="R504" s="247"/>
    </row>
    <row r="505" spans="1:18" x14ac:dyDescent="0.2">
      <c r="A505" s="13" t="s">
        <v>16</v>
      </c>
      <c r="B505" s="14" t="s">
        <v>17</v>
      </c>
      <c r="C505" s="15"/>
      <c r="D505" s="15"/>
      <c r="E505" s="16"/>
      <c r="F505" s="17"/>
      <c r="G505" s="17"/>
      <c r="H505" s="17"/>
      <c r="I505" s="17"/>
      <c r="J505" s="13" t="s">
        <v>16</v>
      </c>
      <c r="K505" s="14" t="s">
        <v>17</v>
      </c>
      <c r="L505" s="15"/>
      <c r="M505" s="15"/>
      <c r="N505" s="16"/>
      <c r="O505" s="17"/>
      <c r="P505" s="17"/>
      <c r="Q505" s="17"/>
      <c r="R505" s="17"/>
    </row>
    <row r="506" spans="1:18" x14ac:dyDescent="0.2">
      <c r="A506" s="13"/>
      <c r="B506" s="18"/>
      <c r="C506" s="19"/>
      <c r="D506" s="19"/>
      <c r="E506" s="20"/>
      <c r="F506" s="21"/>
      <c r="G506" s="22"/>
      <c r="H506" s="21"/>
      <c r="I506" s="21"/>
      <c r="J506" s="13"/>
      <c r="K506" s="18"/>
      <c r="L506" s="19"/>
      <c r="M506" s="19"/>
      <c r="N506" s="20"/>
      <c r="O506" s="21"/>
      <c r="P506" s="22"/>
      <c r="Q506" s="21"/>
      <c r="R506" s="21"/>
    </row>
    <row r="507" spans="1:18" x14ac:dyDescent="0.2">
      <c r="A507" s="13"/>
      <c r="B507" s="24" t="s">
        <v>18</v>
      </c>
      <c r="C507" s="25"/>
      <c r="D507" s="25"/>
      <c r="E507" s="26"/>
      <c r="F507" s="22">
        <v>1</v>
      </c>
      <c r="G507" s="23">
        <v>1</v>
      </c>
      <c r="H507" s="23">
        <v>69.42</v>
      </c>
      <c r="I507" s="23">
        <f>G507*H507*F507</f>
        <v>69.42</v>
      </c>
      <c r="J507" s="13"/>
      <c r="K507" s="24" t="s">
        <v>18</v>
      </c>
      <c r="L507" s="25"/>
      <c r="M507" s="25"/>
      <c r="N507" s="26"/>
      <c r="O507" s="22">
        <v>1</v>
      </c>
      <c r="P507" s="23">
        <v>1</v>
      </c>
      <c r="Q507" s="23">
        <v>69.42</v>
      </c>
      <c r="R507" s="23">
        <f>P507*Q507*O507</f>
        <v>69.42</v>
      </c>
    </row>
    <row r="508" spans="1:18" x14ac:dyDescent="0.2">
      <c r="A508" s="13"/>
      <c r="B508" s="257" t="s">
        <v>1178</v>
      </c>
      <c r="C508" s="258"/>
      <c r="D508" s="25"/>
      <c r="E508" s="26"/>
      <c r="F508" s="22">
        <v>1</v>
      </c>
      <c r="G508" s="23">
        <v>1</v>
      </c>
      <c r="H508" s="23">
        <v>50.18</v>
      </c>
      <c r="I508" s="23">
        <f>G508*H508*F508</f>
        <v>50.18</v>
      </c>
      <c r="J508" s="13"/>
      <c r="K508" s="257" t="s">
        <v>1178</v>
      </c>
      <c r="L508" s="258"/>
      <c r="M508" s="25"/>
      <c r="N508" s="26"/>
      <c r="O508" s="22">
        <v>1</v>
      </c>
      <c r="P508" s="23">
        <v>1</v>
      </c>
      <c r="Q508" s="23">
        <v>50.18</v>
      </c>
      <c r="R508" s="23">
        <f>P508*Q508*O508</f>
        <v>50.18</v>
      </c>
    </row>
    <row r="509" spans="1:18" x14ac:dyDescent="0.2">
      <c r="A509" s="13"/>
      <c r="B509" s="257" t="s">
        <v>1177</v>
      </c>
      <c r="C509" s="258"/>
      <c r="D509" s="19"/>
      <c r="E509" s="20"/>
      <c r="F509" s="22">
        <v>2</v>
      </c>
      <c r="G509" s="23">
        <v>1</v>
      </c>
      <c r="H509" s="23">
        <v>38.97</v>
      </c>
      <c r="I509" s="23">
        <f>G509*H509*F509</f>
        <v>77.94</v>
      </c>
      <c r="J509" s="13"/>
      <c r="K509" s="257" t="s">
        <v>1177</v>
      </c>
      <c r="L509" s="258"/>
      <c r="M509" s="19"/>
      <c r="N509" s="20"/>
      <c r="O509" s="22">
        <v>2</v>
      </c>
      <c r="P509" s="23">
        <v>1</v>
      </c>
      <c r="Q509" s="23">
        <v>38.97</v>
      </c>
      <c r="R509" s="23">
        <f>P509*Q509*O509</f>
        <v>77.94</v>
      </c>
    </row>
    <row r="510" spans="1:18" ht="15" customHeight="1" x14ac:dyDescent="0.2">
      <c r="A510" s="13"/>
      <c r="B510" s="159"/>
      <c r="C510" s="160"/>
      <c r="D510" s="19"/>
      <c r="E510" s="20"/>
      <c r="F510" s="22"/>
      <c r="G510" s="22"/>
      <c r="H510" s="29"/>
      <c r="I510" s="30"/>
      <c r="J510" s="13"/>
      <c r="K510" s="159"/>
      <c r="L510" s="19"/>
      <c r="M510" s="19"/>
      <c r="N510" s="20"/>
      <c r="O510" s="22"/>
      <c r="P510" s="22"/>
      <c r="Q510" s="29"/>
      <c r="R510" s="30"/>
    </row>
    <row r="511" spans="1:18" x14ac:dyDescent="0.2">
      <c r="A511" s="13"/>
      <c r="B511" s="159"/>
      <c r="C511" s="160"/>
      <c r="D511" s="19"/>
      <c r="E511" s="20"/>
      <c r="F511" s="22"/>
      <c r="G511" s="22"/>
      <c r="H511" s="29"/>
      <c r="I511" s="30"/>
      <c r="J511" s="13"/>
      <c r="K511" s="159"/>
      <c r="L511" s="19"/>
      <c r="M511" s="19"/>
      <c r="N511" s="20"/>
      <c r="O511" s="22"/>
      <c r="P511" s="22"/>
      <c r="Q511" s="29"/>
      <c r="R511" s="30"/>
    </row>
    <row r="512" spans="1:18" x14ac:dyDescent="0.2">
      <c r="A512" s="13"/>
      <c r="B512" s="257"/>
      <c r="C512" s="258"/>
      <c r="D512" s="19"/>
      <c r="E512" s="20"/>
      <c r="F512" s="22"/>
      <c r="G512" s="22"/>
      <c r="H512" s="23"/>
      <c r="I512" s="23"/>
      <c r="J512" s="13"/>
      <c r="K512" s="18"/>
      <c r="L512" s="19"/>
      <c r="M512" s="19"/>
      <c r="N512" s="20"/>
      <c r="O512" s="22"/>
      <c r="P512" s="22"/>
      <c r="Q512" s="28"/>
      <c r="R512" s="23"/>
    </row>
    <row r="513" spans="1:18" x14ac:dyDescent="0.2">
      <c r="A513" s="13"/>
      <c r="B513" s="257"/>
      <c r="C513" s="258"/>
      <c r="D513" s="19"/>
      <c r="E513" s="20"/>
      <c r="F513" s="22"/>
      <c r="G513" s="22"/>
      <c r="H513" s="23"/>
      <c r="I513" s="23"/>
      <c r="J513" s="13"/>
      <c r="K513" s="18"/>
      <c r="L513" s="19"/>
      <c r="M513" s="19"/>
      <c r="N513" s="20"/>
      <c r="O513" s="22"/>
      <c r="P513" s="22"/>
      <c r="Q513" s="23"/>
      <c r="R513" s="23"/>
    </row>
    <row r="514" spans="1:18" x14ac:dyDescent="0.2">
      <c r="A514" s="13"/>
      <c r="B514" s="248" t="s">
        <v>20</v>
      </c>
      <c r="C514" s="249"/>
      <c r="D514" s="249"/>
      <c r="E514" s="250"/>
      <c r="F514" s="31"/>
      <c r="G514" s="31"/>
      <c r="H514" s="32"/>
      <c r="I514" s="32">
        <f>SUM(I507:I513)</f>
        <v>197.54</v>
      </c>
      <c r="J514" s="13"/>
      <c r="K514" s="248" t="s">
        <v>20</v>
      </c>
      <c r="L514" s="249"/>
      <c r="M514" s="249"/>
      <c r="N514" s="250"/>
      <c r="O514" s="31"/>
      <c r="P514" s="31"/>
      <c r="Q514" s="32"/>
      <c r="R514" s="32">
        <f>SUM(R507:R513)</f>
        <v>197.54</v>
      </c>
    </row>
    <row r="515" spans="1:18" x14ac:dyDescent="0.2">
      <c r="A515" s="12"/>
      <c r="B515" s="251" t="s">
        <v>21</v>
      </c>
      <c r="C515" s="252"/>
      <c r="D515" s="252"/>
      <c r="E515" s="253"/>
      <c r="F515" s="244" t="s">
        <v>22</v>
      </c>
      <c r="G515" s="244" t="s">
        <v>13</v>
      </c>
      <c r="H515" s="244" t="s">
        <v>14</v>
      </c>
      <c r="I515" s="246" t="s">
        <v>15</v>
      </c>
      <c r="J515" s="12"/>
      <c r="K515" s="251" t="s">
        <v>21</v>
      </c>
      <c r="L515" s="252"/>
      <c r="M515" s="252"/>
      <c r="N515" s="253"/>
      <c r="O515" s="244" t="s">
        <v>22</v>
      </c>
      <c r="P515" s="244" t="s">
        <v>13</v>
      </c>
      <c r="Q515" s="244" t="s">
        <v>14</v>
      </c>
      <c r="R515" s="246" t="s">
        <v>15</v>
      </c>
    </row>
    <row r="516" spans="1:18" x14ac:dyDescent="0.2">
      <c r="A516" s="13"/>
      <c r="B516" s="254"/>
      <c r="C516" s="255"/>
      <c r="D516" s="255"/>
      <c r="E516" s="256"/>
      <c r="F516" s="245"/>
      <c r="G516" s="245"/>
      <c r="H516" s="245"/>
      <c r="I516" s="247"/>
      <c r="J516" s="13"/>
      <c r="K516" s="254"/>
      <c r="L516" s="255"/>
      <c r="M516" s="255"/>
      <c r="N516" s="256"/>
      <c r="O516" s="245"/>
      <c r="P516" s="245"/>
      <c r="Q516" s="245"/>
      <c r="R516" s="247"/>
    </row>
    <row r="517" spans="1:18" x14ac:dyDescent="0.2">
      <c r="A517" s="13" t="s">
        <v>23</v>
      </c>
      <c r="B517" s="33" t="s">
        <v>24</v>
      </c>
      <c r="C517" s="15"/>
      <c r="D517" s="15"/>
      <c r="E517" s="16"/>
      <c r="F517" s="34"/>
      <c r="G517" s="34"/>
      <c r="H517" s="35"/>
      <c r="I517" s="35"/>
      <c r="J517" s="13" t="s">
        <v>23</v>
      </c>
      <c r="K517" s="33" t="s">
        <v>24</v>
      </c>
      <c r="L517" s="15"/>
      <c r="M517" s="15"/>
      <c r="N517" s="16"/>
      <c r="O517" s="34"/>
      <c r="P517" s="34"/>
      <c r="Q517" s="35"/>
      <c r="R517" s="35"/>
    </row>
    <row r="518" spans="1:18" x14ac:dyDescent="0.2">
      <c r="A518" s="13"/>
      <c r="B518" s="18"/>
      <c r="C518" s="19"/>
      <c r="D518" s="19"/>
      <c r="E518" s="20"/>
      <c r="F518" s="22"/>
      <c r="G518" s="22"/>
      <c r="H518" s="23"/>
      <c r="I518" s="23"/>
      <c r="J518" s="13"/>
      <c r="K518" s="18"/>
      <c r="L518" s="19"/>
      <c r="M518" s="19"/>
      <c r="N518" s="20"/>
      <c r="O518" s="22"/>
      <c r="P518" s="22"/>
      <c r="Q518" s="23"/>
      <c r="R518" s="23"/>
    </row>
    <row r="519" spans="1:18" ht="17.25" customHeight="1" x14ac:dyDescent="0.2">
      <c r="A519" s="13"/>
      <c r="B519" s="18" t="s">
        <v>621</v>
      </c>
      <c r="C519" s="19"/>
      <c r="D519" s="19"/>
      <c r="E519" s="20"/>
      <c r="F519" s="22">
        <v>1</v>
      </c>
      <c r="G519" s="23">
        <v>0.2</v>
      </c>
      <c r="H519" s="37">
        <v>91.25</v>
      </c>
      <c r="I519" s="37">
        <f>F519*G519*H519</f>
        <v>18.25</v>
      </c>
      <c r="J519" s="13"/>
      <c r="K519" s="18" t="s">
        <v>1277</v>
      </c>
      <c r="L519" s="19"/>
      <c r="M519" s="19"/>
      <c r="N519" s="20"/>
      <c r="O519" s="22">
        <v>1</v>
      </c>
      <c r="P519" s="23">
        <v>0.05</v>
      </c>
      <c r="Q519" s="37">
        <v>783</v>
      </c>
      <c r="R519" s="37">
        <f>P519*Q519*O519</f>
        <v>39.150000000000006</v>
      </c>
    </row>
    <row r="520" spans="1:18" ht="17.25" customHeight="1" x14ac:dyDescent="0.2">
      <c r="A520" s="13"/>
      <c r="B520" s="18" t="s">
        <v>1292</v>
      </c>
      <c r="C520" s="66"/>
      <c r="D520" s="19"/>
      <c r="E520" s="20"/>
      <c r="F520" s="22">
        <v>1</v>
      </c>
      <c r="G520" s="23">
        <v>0.05</v>
      </c>
      <c r="H520" s="37">
        <v>1212</v>
      </c>
      <c r="I520" s="37">
        <f>F520*G520*H520</f>
        <v>60.6</v>
      </c>
      <c r="J520" s="13"/>
      <c r="K520" s="18" t="s">
        <v>669</v>
      </c>
      <c r="L520" s="66"/>
      <c r="M520" s="19"/>
      <c r="N520" s="20"/>
      <c r="O520" s="22"/>
      <c r="P520" s="23"/>
      <c r="R520" s="37">
        <f>R514*0.1</f>
        <v>19.754000000000001</v>
      </c>
    </row>
    <row r="521" spans="1:18" x14ac:dyDescent="0.2">
      <c r="A521" s="13"/>
      <c r="B521" s="18" t="s">
        <v>92</v>
      </c>
      <c r="F521" s="22"/>
      <c r="G521" s="23"/>
      <c r="I521" s="37">
        <f>I514*0.1</f>
        <v>19.754000000000001</v>
      </c>
      <c r="J521" s="13"/>
      <c r="K521" s="18"/>
      <c r="L521" s="66"/>
      <c r="M521" s="19"/>
      <c r="N521" s="20"/>
      <c r="O521" s="22"/>
      <c r="P521" s="36"/>
      <c r="Q521" s="37"/>
      <c r="R521" s="37"/>
    </row>
    <row r="522" spans="1:18" x14ac:dyDescent="0.2">
      <c r="A522" s="13"/>
      <c r="B522" s="18"/>
      <c r="F522" s="22"/>
      <c r="G522" s="23"/>
      <c r="H522" s="37"/>
      <c r="I522" s="37"/>
      <c r="J522" s="13"/>
      <c r="K522" s="18"/>
      <c r="L522" s="66"/>
      <c r="O522" s="22"/>
      <c r="P522" s="23"/>
      <c r="Q522" s="37"/>
      <c r="R522" s="37"/>
    </row>
    <row r="523" spans="1:18" x14ac:dyDescent="0.2">
      <c r="A523" s="13"/>
      <c r="B523" s="18"/>
      <c r="C523" s="19"/>
      <c r="D523" s="19"/>
      <c r="E523" s="20"/>
      <c r="F523" s="22"/>
      <c r="G523" s="36"/>
      <c r="H523" s="37"/>
      <c r="I523" s="37"/>
      <c r="J523" s="13"/>
      <c r="K523" s="18"/>
      <c r="L523" s="19"/>
      <c r="M523" s="19"/>
      <c r="N523" s="20"/>
      <c r="O523" s="22"/>
      <c r="P523" s="36"/>
      <c r="Q523" s="37"/>
      <c r="R523" s="37"/>
    </row>
    <row r="524" spans="1:18" x14ac:dyDescent="0.2">
      <c r="A524" s="13"/>
      <c r="B524" s="18"/>
      <c r="C524" s="19"/>
      <c r="D524" s="19"/>
      <c r="E524" s="20"/>
      <c r="F524" s="22"/>
      <c r="G524" s="36"/>
      <c r="H524" s="37"/>
      <c r="I524" s="38"/>
      <c r="J524" s="13"/>
      <c r="K524" s="18"/>
      <c r="L524" s="19"/>
      <c r="M524" s="19"/>
      <c r="N524" s="20"/>
      <c r="O524" s="22"/>
      <c r="P524" s="36"/>
      <c r="Q524" s="37"/>
      <c r="R524" s="38"/>
    </row>
    <row r="525" spans="1:18" x14ac:dyDescent="0.2">
      <c r="A525" s="13"/>
      <c r="B525" s="18"/>
      <c r="C525" s="19"/>
      <c r="D525" s="19"/>
      <c r="E525" s="20"/>
      <c r="F525" s="22"/>
      <c r="G525" s="36"/>
      <c r="H525" s="37"/>
      <c r="I525" s="38"/>
      <c r="J525" s="13"/>
      <c r="K525" s="18"/>
      <c r="L525" s="19"/>
      <c r="M525" s="19"/>
      <c r="N525" s="20"/>
      <c r="O525" s="22"/>
      <c r="P525" s="36"/>
      <c r="Q525" s="37"/>
      <c r="R525" s="38"/>
    </row>
    <row r="526" spans="1:18" x14ac:dyDescent="0.2">
      <c r="A526" s="13"/>
      <c r="B526" s="18"/>
      <c r="C526" s="19"/>
      <c r="D526" s="19"/>
      <c r="E526" s="20"/>
      <c r="F526" s="22"/>
      <c r="G526" s="23"/>
      <c r="H526" s="37"/>
      <c r="I526" s="38"/>
      <c r="J526" s="13"/>
      <c r="K526" s="18"/>
      <c r="L526" s="19"/>
      <c r="M526" s="19"/>
      <c r="N526" s="20"/>
      <c r="O526" s="22"/>
      <c r="P526" s="23"/>
      <c r="Q526" s="37"/>
      <c r="R526" s="38"/>
    </row>
    <row r="527" spans="1:18" x14ac:dyDescent="0.2">
      <c r="A527" s="13"/>
      <c r="B527" s="18"/>
      <c r="C527" s="19"/>
      <c r="D527" s="19"/>
      <c r="E527" s="20"/>
      <c r="F527" s="22"/>
      <c r="G527" s="23"/>
      <c r="H527" s="37"/>
      <c r="I527" s="38"/>
      <c r="J527" s="13"/>
      <c r="K527" s="18"/>
      <c r="L527" s="19"/>
      <c r="M527" s="19"/>
      <c r="N527" s="20"/>
      <c r="O527" s="22"/>
      <c r="P527" s="23"/>
      <c r="Q527" s="37"/>
      <c r="R527" s="38"/>
    </row>
    <row r="528" spans="1:18" x14ac:dyDescent="0.2">
      <c r="A528" s="13"/>
      <c r="B528" s="7"/>
      <c r="C528" s="7"/>
      <c r="D528" s="7"/>
      <c r="E528" s="7"/>
      <c r="F528" s="72"/>
      <c r="G528" s="72"/>
      <c r="H528" s="72"/>
      <c r="I528" s="37"/>
      <c r="J528" s="13"/>
      <c r="K528" s="7"/>
      <c r="L528" s="7"/>
      <c r="M528" s="7"/>
      <c r="N528" s="7"/>
      <c r="O528" s="72"/>
      <c r="P528" s="72"/>
      <c r="Q528" s="72"/>
      <c r="R528" s="37"/>
    </row>
    <row r="529" spans="1:18" x14ac:dyDescent="0.2">
      <c r="A529" s="13"/>
      <c r="B529" s="18"/>
      <c r="C529" s="19"/>
      <c r="D529" s="19"/>
      <c r="E529" s="20"/>
      <c r="F529" s="22"/>
      <c r="G529" s="36"/>
      <c r="H529" s="37"/>
      <c r="I529" s="37"/>
      <c r="J529" s="13"/>
      <c r="K529" s="18"/>
      <c r="L529" s="19"/>
      <c r="M529" s="19"/>
      <c r="N529" s="20"/>
      <c r="O529" s="22"/>
      <c r="P529" s="36"/>
      <c r="Q529" s="37"/>
      <c r="R529" s="37"/>
    </row>
    <row r="530" spans="1:18" ht="15" customHeight="1" x14ac:dyDescent="0.2">
      <c r="A530" s="13"/>
      <c r="B530" s="18"/>
      <c r="C530" s="19"/>
      <c r="D530" s="19"/>
      <c r="E530" s="20"/>
      <c r="F530" s="22"/>
      <c r="G530" s="36"/>
      <c r="H530" s="37"/>
      <c r="I530" s="37"/>
      <c r="J530" s="13"/>
      <c r="K530" s="18"/>
      <c r="L530" s="19"/>
      <c r="M530" s="19"/>
      <c r="N530" s="20"/>
      <c r="O530" s="22"/>
      <c r="P530" s="36"/>
      <c r="Q530" s="37"/>
      <c r="R530" s="37"/>
    </row>
    <row r="531" spans="1:18" x14ac:dyDescent="0.2">
      <c r="A531" s="13"/>
      <c r="B531" s="18"/>
      <c r="C531" s="19"/>
      <c r="D531" s="19"/>
      <c r="E531" s="20"/>
      <c r="F531" s="22"/>
      <c r="G531" s="22"/>
      <c r="H531" s="23"/>
      <c r="I531" s="23"/>
      <c r="J531" s="13"/>
      <c r="K531" s="18"/>
      <c r="L531" s="19"/>
      <c r="M531" s="19"/>
      <c r="N531" s="20"/>
      <c r="O531" s="22"/>
      <c r="P531" s="22"/>
      <c r="Q531" s="23"/>
      <c r="R531" s="23"/>
    </row>
    <row r="532" spans="1:18" x14ac:dyDescent="0.2">
      <c r="A532" s="13"/>
      <c r="B532" s="248" t="s">
        <v>30</v>
      </c>
      <c r="C532" s="249"/>
      <c r="D532" s="249"/>
      <c r="E532" s="250"/>
      <c r="F532" s="22"/>
      <c r="G532" s="22"/>
      <c r="H532" s="23"/>
      <c r="I532" s="23">
        <f>SUM(I519:I531)</f>
        <v>98.603999999999999</v>
      </c>
      <c r="J532" s="13"/>
      <c r="K532" s="248" t="s">
        <v>30</v>
      </c>
      <c r="L532" s="249"/>
      <c r="M532" s="249"/>
      <c r="N532" s="250"/>
      <c r="O532" s="22"/>
      <c r="P532" s="22"/>
      <c r="Q532" s="23"/>
      <c r="R532" s="23">
        <f>SUM(R519:R531)</f>
        <v>58.904000000000011</v>
      </c>
    </row>
    <row r="533" spans="1:18" x14ac:dyDescent="0.2">
      <c r="A533" s="12" t="s">
        <v>31</v>
      </c>
      <c r="B533" s="260" t="s">
        <v>32</v>
      </c>
      <c r="C533" s="261"/>
      <c r="D533" s="261"/>
      <c r="E533" s="261"/>
      <c r="F533" s="161"/>
      <c r="G533" s="161"/>
      <c r="H533" s="40"/>
      <c r="I533" s="41">
        <f>SUM(I532+I514)</f>
        <v>296.14400000000001</v>
      </c>
      <c r="J533" s="12" t="s">
        <v>31</v>
      </c>
      <c r="K533" s="260" t="s">
        <v>32</v>
      </c>
      <c r="L533" s="261"/>
      <c r="M533" s="261"/>
      <c r="N533" s="261"/>
      <c r="O533" s="161"/>
      <c r="P533" s="161"/>
      <c r="Q533" s="40"/>
      <c r="R533" s="41">
        <f>SUM(R532+R514)</f>
        <v>256.44400000000002</v>
      </c>
    </row>
    <row r="534" spans="1:18" x14ac:dyDescent="0.2">
      <c r="A534" s="13" t="s">
        <v>33</v>
      </c>
      <c r="B534" s="269">
        <f>E501</f>
        <v>2</v>
      </c>
      <c r="C534" s="270"/>
      <c r="D534" s="270"/>
      <c r="E534" s="270"/>
      <c r="F534" s="270"/>
      <c r="G534" s="270"/>
      <c r="H534" s="40"/>
      <c r="I534" s="41"/>
      <c r="J534" s="13" t="s">
        <v>33</v>
      </c>
      <c r="K534" s="295">
        <f>N501</f>
        <v>10</v>
      </c>
      <c r="L534" s="296"/>
      <c r="M534" s="296"/>
      <c r="N534" s="296"/>
      <c r="O534" s="296"/>
      <c r="P534" s="296"/>
      <c r="Q534" s="40"/>
      <c r="R534" s="41"/>
    </row>
    <row r="535" spans="1:18" x14ac:dyDescent="0.2">
      <c r="A535" s="13" t="s">
        <v>34</v>
      </c>
      <c r="B535" s="162" t="s">
        <v>35</v>
      </c>
      <c r="C535" s="43"/>
      <c r="D535" s="43"/>
      <c r="E535" s="161"/>
      <c r="F535" s="163"/>
      <c r="G535" s="163"/>
      <c r="H535" s="40"/>
      <c r="I535" s="41">
        <f>I533/E501</f>
        <v>148.072</v>
      </c>
      <c r="J535" s="13" t="s">
        <v>34</v>
      </c>
      <c r="K535" s="162" t="s">
        <v>35</v>
      </c>
      <c r="L535" s="43"/>
      <c r="M535" s="43"/>
      <c r="N535" s="161"/>
      <c r="O535" s="163"/>
      <c r="P535" s="163"/>
      <c r="Q535" s="40"/>
      <c r="R535" s="41">
        <f>R533/N501</f>
        <v>25.644400000000001</v>
      </c>
    </row>
    <row r="536" spans="1:18" x14ac:dyDescent="0.2">
      <c r="A536" s="12"/>
      <c r="B536" s="251" t="s">
        <v>36</v>
      </c>
      <c r="C536" s="252"/>
      <c r="D536" s="252"/>
      <c r="E536" s="253"/>
      <c r="F536" s="244" t="s">
        <v>37</v>
      </c>
      <c r="G536" s="244" t="s">
        <v>38</v>
      </c>
      <c r="H536" s="244" t="s">
        <v>39</v>
      </c>
      <c r="I536" s="246" t="s">
        <v>15</v>
      </c>
      <c r="J536" s="12"/>
      <c r="K536" s="251" t="s">
        <v>36</v>
      </c>
      <c r="L536" s="252"/>
      <c r="M536" s="252"/>
      <c r="N536" s="253"/>
      <c r="O536" s="244" t="s">
        <v>37</v>
      </c>
      <c r="P536" s="244" t="s">
        <v>38</v>
      </c>
      <c r="Q536" s="244" t="s">
        <v>39</v>
      </c>
      <c r="R536" s="246" t="s">
        <v>15</v>
      </c>
    </row>
    <row r="537" spans="1:18" x14ac:dyDescent="0.2">
      <c r="A537" s="13"/>
      <c r="B537" s="254"/>
      <c r="C537" s="255"/>
      <c r="D537" s="255"/>
      <c r="E537" s="256"/>
      <c r="F537" s="245"/>
      <c r="G537" s="245"/>
      <c r="H537" s="245"/>
      <c r="I537" s="247"/>
      <c r="J537" s="13"/>
      <c r="K537" s="254"/>
      <c r="L537" s="255"/>
      <c r="M537" s="255"/>
      <c r="N537" s="256"/>
      <c r="O537" s="245"/>
      <c r="P537" s="245"/>
      <c r="Q537" s="245"/>
      <c r="R537" s="247"/>
    </row>
    <row r="538" spans="1:18" x14ac:dyDescent="0.2">
      <c r="A538" s="13" t="s">
        <v>40</v>
      </c>
      <c r="B538" s="18" t="s">
        <v>41</v>
      </c>
      <c r="C538" s="19"/>
      <c r="D538" s="19"/>
      <c r="E538" s="20"/>
      <c r="F538" s="22"/>
      <c r="G538" s="22"/>
      <c r="H538" s="23"/>
      <c r="I538" s="23"/>
      <c r="J538" s="13" t="s">
        <v>40</v>
      </c>
      <c r="K538" s="18" t="s">
        <v>41</v>
      </c>
      <c r="L538" s="19"/>
      <c r="M538" s="19"/>
      <c r="N538" s="20"/>
      <c r="O538" s="22"/>
      <c r="P538" s="22"/>
      <c r="Q538" s="23"/>
      <c r="R538" s="23"/>
    </row>
    <row r="539" spans="1:18" x14ac:dyDescent="0.2">
      <c r="A539" s="13"/>
      <c r="B539" s="18"/>
      <c r="C539" s="19"/>
      <c r="D539" s="19"/>
      <c r="E539" s="20"/>
      <c r="F539" s="22"/>
      <c r="G539" s="22"/>
      <c r="H539" s="23"/>
      <c r="I539" s="23"/>
      <c r="J539" s="13"/>
      <c r="K539" s="18"/>
      <c r="L539" s="19"/>
      <c r="M539" s="19"/>
      <c r="N539" s="20"/>
      <c r="O539" s="22"/>
      <c r="P539" s="22"/>
      <c r="Q539" s="23"/>
      <c r="R539" s="23"/>
    </row>
    <row r="540" spans="1:18" x14ac:dyDescent="0.2">
      <c r="A540" s="13"/>
      <c r="B540" s="18" t="s">
        <v>674</v>
      </c>
      <c r="C540" s="66"/>
      <c r="D540" s="19"/>
      <c r="E540" s="20"/>
      <c r="F540" s="62" t="s">
        <v>9</v>
      </c>
      <c r="G540" s="62">
        <v>0.03</v>
      </c>
      <c r="H540" s="107">
        <v>3538.78</v>
      </c>
      <c r="I540" s="23">
        <f t="shared" ref="I540:I545" si="3">G540*H540</f>
        <v>106.1634</v>
      </c>
      <c r="J540" s="13"/>
      <c r="K540" s="18" t="s">
        <v>675</v>
      </c>
      <c r="L540" s="66"/>
      <c r="M540" s="19"/>
      <c r="N540" s="20"/>
      <c r="O540" s="62" t="s">
        <v>1216</v>
      </c>
      <c r="P540" s="62">
        <v>1</v>
      </c>
      <c r="Q540" s="107">
        <v>475</v>
      </c>
      <c r="R540" s="23">
        <f>P540*Q540</f>
        <v>475</v>
      </c>
    </row>
    <row r="541" spans="1:18" x14ac:dyDescent="0.2">
      <c r="A541" s="13"/>
      <c r="B541" s="18" t="s">
        <v>409</v>
      </c>
      <c r="C541" s="66"/>
      <c r="D541" s="19"/>
      <c r="E541" s="20"/>
      <c r="F541" s="62" t="s">
        <v>77</v>
      </c>
      <c r="G541" s="62">
        <v>7.15</v>
      </c>
      <c r="H541" s="107">
        <v>40</v>
      </c>
      <c r="I541" s="23">
        <f t="shared" si="3"/>
        <v>286</v>
      </c>
      <c r="J541" s="13"/>
      <c r="K541" s="18" t="s">
        <v>664</v>
      </c>
      <c r="L541" s="66"/>
      <c r="M541" s="19"/>
      <c r="N541" s="20"/>
      <c r="O541" s="62"/>
      <c r="P541" s="70"/>
      <c r="R541" s="23">
        <f>R540*0.05</f>
        <v>23.75</v>
      </c>
    </row>
    <row r="542" spans="1:18" x14ac:dyDescent="0.2">
      <c r="A542" s="13"/>
      <c r="B542" s="18" t="s">
        <v>676</v>
      </c>
      <c r="C542" s="19"/>
      <c r="D542" s="19"/>
      <c r="E542" s="20"/>
      <c r="F542" s="62" t="s">
        <v>80</v>
      </c>
      <c r="G542" s="62">
        <v>0.22</v>
      </c>
      <c r="H542" s="107">
        <v>700</v>
      </c>
      <c r="I542" s="23">
        <f>G542*H542/4</f>
        <v>38.5</v>
      </c>
      <c r="J542" s="13"/>
      <c r="K542" s="18"/>
      <c r="L542" s="19"/>
      <c r="M542" s="19"/>
      <c r="N542" s="20"/>
      <c r="O542" s="62"/>
      <c r="P542" s="62"/>
      <c r="Q542" s="23"/>
      <c r="R542" s="23"/>
    </row>
    <row r="543" spans="1:18" x14ac:dyDescent="0.2">
      <c r="A543" s="13"/>
      <c r="B543" s="18" t="s">
        <v>624</v>
      </c>
      <c r="C543" s="19"/>
      <c r="D543" s="19"/>
      <c r="E543" s="20"/>
      <c r="F543" s="22" t="s">
        <v>413</v>
      </c>
      <c r="G543" s="62">
        <v>13.53</v>
      </c>
      <c r="H543" s="107">
        <v>40</v>
      </c>
      <c r="I543" s="23">
        <f>G543*H543/4</f>
        <v>135.29999999999998</v>
      </c>
      <c r="J543" s="13"/>
      <c r="K543" s="18"/>
      <c r="L543" s="19"/>
      <c r="M543" s="19"/>
      <c r="N543" s="20"/>
      <c r="O543" s="22"/>
      <c r="P543" s="22"/>
      <c r="Q543" s="23"/>
      <c r="R543" s="23"/>
    </row>
    <row r="544" spans="1:18" x14ac:dyDescent="0.2">
      <c r="A544" s="13"/>
      <c r="B544" s="18" t="s">
        <v>677</v>
      </c>
      <c r="C544" s="19"/>
      <c r="D544" s="19"/>
      <c r="E544" s="20"/>
      <c r="F544" s="22" t="s">
        <v>1216</v>
      </c>
      <c r="G544" s="62">
        <v>0.1</v>
      </c>
      <c r="H544" s="107">
        <v>475</v>
      </c>
      <c r="I544" s="23">
        <f t="shared" si="3"/>
        <v>47.5</v>
      </c>
      <c r="J544" s="13"/>
      <c r="K544" s="18"/>
      <c r="L544" s="19"/>
      <c r="M544" s="19"/>
      <c r="N544" s="20"/>
      <c r="O544" s="22"/>
      <c r="P544" s="22"/>
      <c r="Q544" s="23"/>
      <c r="R544" s="23"/>
    </row>
    <row r="545" spans="1:18" x14ac:dyDescent="0.2">
      <c r="A545" s="13"/>
      <c r="B545" s="18" t="s">
        <v>678</v>
      </c>
      <c r="C545" s="19"/>
      <c r="D545" s="19"/>
      <c r="E545" s="20"/>
      <c r="F545" s="22" t="s">
        <v>77</v>
      </c>
      <c r="G545" s="62">
        <f>ROUND(G541*0.02,2)</f>
        <v>0.14000000000000001</v>
      </c>
      <c r="H545" s="107">
        <v>47</v>
      </c>
      <c r="I545" s="23">
        <f t="shared" si="3"/>
        <v>6.580000000000001</v>
      </c>
      <c r="J545" s="13"/>
      <c r="K545" s="18"/>
      <c r="L545" s="19"/>
      <c r="M545" s="19"/>
      <c r="N545" s="20"/>
      <c r="O545" s="22"/>
      <c r="P545" s="22"/>
      <c r="Q545" s="23"/>
      <c r="R545" s="23"/>
    </row>
    <row r="546" spans="1:18" ht="15" customHeight="1" x14ac:dyDescent="0.2">
      <c r="A546" s="13"/>
      <c r="B546" s="18" t="s">
        <v>679</v>
      </c>
      <c r="C546" s="19"/>
      <c r="D546" s="19"/>
      <c r="E546" s="20"/>
      <c r="F546" s="22" t="s">
        <v>77</v>
      </c>
      <c r="G546" s="22">
        <f>ROUND(G543/100,2)</f>
        <v>0.14000000000000001</v>
      </c>
      <c r="H546" s="107">
        <v>68</v>
      </c>
      <c r="I546" s="23">
        <f>H546*G546</f>
        <v>9.5200000000000014</v>
      </c>
      <c r="J546" s="13"/>
      <c r="K546" s="18"/>
      <c r="L546" s="19"/>
      <c r="M546" s="19"/>
      <c r="N546" s="20"/>
      <c r="O546" s="22"/>
      <c r="P546" s="22"/>
      <c r="Q546" s="23"/>
      <c r="R546" s="23"/>
    </row>
    <row r="547" spans="1:18" x14ac:dyDescent="0.2">
      <c r="A547" s="13"/>
      <c r="B547" s="18"/>
      <c r="C547" s="19"/>
      <c r="D547" s="19"/>
      <c r="E547" s="20"/>
      <c r="F547" s="22"/>
      <c r="G547" s="22"/>
      <c r="H547" s="23"/>
      <c r="I547" s="23"/>
      <c r="J547" s="13"/>
      <c r="K547" s="18"/>
      <c r="L547" s="19"/>
      <c r="M547" s="19"/>
      <c r="N547" s="20"/>
      <c r="O547" s="22"/>
      <c r="P547" s="22"/>
      <c r="Q547" s="23"/>
      <c r="R547" s="23"/>
    </row>
    <row r="548" spans="1:18" x14ac:dyDescent="0.2">
      <c r="A548" s="13"/>
      <c r="B548" s="18"/>
      <c r="C548" s="19"/>
      <c r="D548" s="19"/>
      <c r="E548" s="20"/>
      <c r="F548" s="22"/>
      <c r="G548" s="22"/>
      <c r="H548" s="23"/>
      <c r="I548" s="23"/>
      <c r="J548" s="13"/>
      <c r="K548" s="18"/>
      <c r="L548" s="19"/>
      <c r="M548" s="19"/>
      <c r="N548" s="20"/>
      <c r="O548" s="22"/>
      <c r="P548" s="22"/>
      <c r="Q548" s="23"/>
      <c r="R548" s="23"/>
    </row>
    <row r="549" spans="1:18" x14ac:dyDescent="0.2">
      <c r="A549" s="13"/>
      <c r="B549" s="18"/>
      <c r="C549" s="19"/>
      <c r="D549" s="19"/>
      <c r="E549" s="20"/>
      <c r="F549" s="22"/>
      <c r="G549" s="22"/>
      <c r="H549" s="23"/>
      <c r="I549" s="23"/>
      <c r="J549" s="13"/>
      <c r="K549" s="18"/>
      <c r="L549" s="19"/>
      <c r="M549" s="19"/>
      <c r="N549" s="20"/>
      <c r="O549" s="22"/>
      <c r="P549" s="22"/>
      <c r="Q549" s="23"/>
      <c r="R549" s="23"/>
    </row>
    <row r="550" spans="1:18" x14ac:dyDescent="0.2">
      <c r="A550" s="13"/>
      <c r="B550" s="18"/>
      <c r="C550" s="19"/>
      <c r="D550" s="19"/>
      <c r="E550" s="20"/>
      <c r="F550" s="22"/>
      <c r="G550" s="22"/>
      <c r="H550" s="23"/>
      <c r="I550" s="23"/>
      <c r="J550" s="13"/>
      <c r="K550" s="18"/>
      <c r="L550" s="19"/>
      <c r="M550" s="19"/>
      <c r="N550" s="20"/>
      <c r="O550" s="22"/>
      <c r="P550" s="22"/>
      <c r="Q550" s="23"/>
      <c r="R550" s="23"/>
    </row>
    <row r="551" spans="1:18" x14ac:dyDescent="0.2">
      <c r="A551" s="13"/>
      <c r="B551" s="18"/>
      <c r="C551" s="19"/>
      <c r="D551" s="19"/>
      <c r="E551" s="20"/>
      <c r="F551" s="22"/>
      <c r="G551" s="36"/>
      <c r="H551" s="37"/>
      <c r="I551" s="37"/>
      <c r="J551" s="13"/>
      <c r="K551" s="18"/>
      <c r="L551" s="19"/>
      <c r="M551" s="19"/>
      <c r="N551" s="20"/>
      <c r="O551" s="22"/>
      <c r="P551" s="36"/>
      <c r="Q551" s="37"/>
      <c r="R551" s="37"/>
    </row>
    <row r="552" spans="1:18" x14ac:dyDescent="0.2">
      <c r="A552" s="13"/>
      <c r="B552" s="18"/>
      <c r="C552" s="19"/>
      <c r="D552" s="19"/>
      <c r="E552" s="20"/>
      <c r="F552" s="22"/>
      <c r="G552" s="36"/>
      <c r="H552" s="37"/>
      <c r="I552" s="37"/>
      <c r="J552" s="13"/>
      <c r="K552" s="18"/>
      <c r="L552" s="19"/>
      <c r="M552" s="19"/>
      <c r="N552" s="20"/>
      <c r="O552" s="22"/>
      <c r="P552" s="36"/>
      <c r="Q552" s="37"/>
      <c r="R552" s="37"/>
    </row>
    <row r="553" spans="1:18" x14ac:dyDescent="0.2">
      <c r="A553" s="13"/>
      <c r="B553" s="248" t="s">
        <v>42</v>
      </c>
      <c r="C553" s="249"/>
      <c r="D553" s="249"/>
      <c r="E553" s="250"/>
      <c r="F553" s="46"/>
      <c r="G553" s="46"/>
      <c r="H553" s="47"/>
      <c r="I553" s="47">
        <f>SUM(I540:I551)</f>
        <v>629.5634</v>
      </c>
      <c r="J553" s="13"/>
      <c r="K553" s="248" t="s">
        <v>42</v>
      </c>
      <c r="L553" s="249"/>
      <c r="M553" s="249"/>
      <c r="N553" s="250"/>
      <c r="O553" s="46"/>
      <c r="P553" s="46"/>
      <c r="Q553" s="47"/>
      <c r="R553" s="47">
        <f>SUM(R540:R551)</f>
        <v>498.75</v>
      </c>
    </row>
    <row r="554" spans="1:18" x14ac:dyDescent="0.2">
      <c r="A554" s="12" t="s">
        <v>43</v>
      </c>
      <c r="B554" s="48" t="s">
        <v>44</v>
      </c>
      <c r="C554" s="43"/>
      <c r="D554" s="43"/>
      <c r="E554" s="161"/>
      <c r="F554" s="49"/>
      <c r="G554" s="49"/>
      <c r="H554" s="50"/>
      <c r="I554" s="51">
        <f>SUM(I535+I553)</f>
        <v>777.6354</v>
      </c>
      <c r="J554" s="12" t="s">
        <v>43</v>
      </c>
      <c r="K554" s="48" t="s">
        <v>44</v>
      </c>
      <c r="L554" s="43"/>
      <c r="M554" s="43"/>
      <c r="N554" s="161"/>
      <c r="O554" s="49"/>
      <c r="P554" s="49"/>
      <c r="Q554" s="50"/>
      <c r="R554" s="51">
        <f>SUM(R535+R553)</f>
        <v>524.39440000000002</v>
      </c>
    </row>
    <row r="555" spans="1:18" x14ac:dyDescent="0.2">
      <c r="A555" s="13" t="s">
        <v>45</v>
      </c>
      <c r="B555" s="48" t="s">
        <v>46</v>
      </c>
      <c r="C555" s="43"/>
      <c r="D555" s="43"/>
      <c r="E555" s="161"/>
      <c r="F555" s="49"/>
      <c r="G555" s="52">
        <v>0.09</v>
      </c>
      <c r="H555" s="53" t="s">
        <v>47</v>
      </c>
      <c r="I555" s="51">
        <f>G555*I554</f>
        <v>69.987185999999994</v>
      </c>
      <c r="J555" s="13" t="s">
        <v>45</v>
      </c>
      <c r="K555" s="48" t="s">
        <v>46</v>
      </c>
      <c r="L555" s="43"/>
      <c r="M555" s="43"/>
      <c r="N555" s="161"/>
      <c r="O555" s="49"/>
      <c r="P555" s="52">
        <v>0.09</v>
      </c>
      <c r="Q555" s="53" t="s">
        <v>47</v>
      </c>
      <c r="R555" s="51">
        <f>P555*R554</f>
        <v>47.195495999999999</v>
      </c>
    </row>
    <row r="556" spans="1:18" x14ac:dyDescent="0.2">
      <c r="A556" s="13" t="s">
        <v>48</v>
      </c>
      <c r="B556" s="48" t="s">
        <v>49</v>
      </c>
      <c r="C556" s="43"/>
      <c r="D556" s="43"/>
      <c r="E556" s="161"/>
      <c r="F556" s="49"/>
      <c r="G556" s="52">
        <v>0.08</v>
      </c>
      <c r="H556" s="53" t="s">
        <v>47</v>
      </c>
      <c r="I556" s="51">
        <f>G556*I554</f>
        <v>62.210832000000003</v>
      </c>
      <c r="J556" s="13" t="s">
        <v>48</v>
      </c>
      <c r="K556" s="48" t="s">
        <v>49</v>
      </c>
      <c r="L556" s="43"/>
      <c r="M556" s="43"/>
      <c r="N556" s="161"/>
      <c r="O556" s="49"/>
      <c r="P556" s="52">
        <v>0.08</v>
      </c>
      <c r="Q556" s="53" t="s">
        <v>47</v>
      </c>
      <c r="R556" s="51">
        <f>P556*R554</f>
        <v>41.951552</v>
      </c>
    </row>
    <row r="557" spans="1:18" x14ac:dyDescent="0.2">
      <c r="A557" s="13" t="s">
        <v>50</v>
      </c>
      <c r="B557" s="48" t="s">
        <v>51</v>
      </c>
      <c r="C557" s="43"/>
      <c r="D557" s="43"/>
      <c r="E557" s="161"/>
      <c r="F557" s="49"/>
      <c r="G557" s="52">
        <v>0.05</v>
      </c>
      <c r="H557" s="53" t="s">
        <v>52</v>
      </c>
      <c r="I557" s="51">
        <f>G557*(I554+I555+I556)</f>
        <v>45.491670900000003</v>
      </c>
      <c r="J557" s="13" t="s">
        <v>50</v>
      </c>
      <c r="K557" s="48" t="s">
        <v>51</v>
      </c>
      <c r="L557" s="43"/>
      <c r="M557" s="43"/>
      <c r="N557" s="161"/>
      <c r="O557" s="49"/>
      <c r="P557" s="52">
        <v>0.05</v>
      </c>
      <c r="Q557" s="53" t="s">
        <v>52</v>
      </c>
      <c r="R557" s="51">
        <f>P557*(R554+R555+R556)</f>
        <v>30.677072400000004</v>
      </c>
    </row>
    <row r="558" spans="1:18" x14ac:dyDescent="0.2">
      <c r="A558" s="54" t="s">
        <v>53</v>
      </c>
      <c r="B558" s="48" t="s">
        <v>54</v>
      </c>
      <c r="C558" s="43"/>
      <c r="D558" s="43"/>
      <c r="E558" s="161"/>
      <c r="F558" s="49"/>
      <c r="G558" s="49"/>
      <c r="H558" s="55" t="s">
        <v>55</v>
      </c>
      <c r="I558" s="51">
        <f>SUM(I554+I555+I556+I557)</f>
        <v>955.32508889999997</v>
      </c>
      <c r="J558" s="54" t="s">
        <v>53</v>
      </c>
      <c r="K558" s="48" t="s">
        <v>54</v>
      </c>
      <c r="L558" s="43"/>
      <c r="M558" s="43"/>
      <c r="N558" s="161"/>
      <c r="O558" s="49"/>
      <c r="P558" s="49"/>
      <c r="Q558" s="55" t="s">
        <v>55</v>
      </c>
      <c r="R558" s="51">
        <f>SUM(R554+R555+R556+R557)</f>
        <v>644.2185204000001</v>
      </c>
    </row>
    <row r="559" spans="1:18" s="1" customFormat="1" x14ac:dyDescent="0.2">
      <c r="A559" s="236" t="s">
        <v>0</v>
      </c>
      <c r="B559" s="236"/>
      <c r="C559" s="236"/>
      <c r="D559" s="236"/>
      <c r="E559" s="236"/>
      <c r="F559" s="236"/>
      <c r="G559" s="236"/>
      <c r="H559" s="236"/>
      <c r="I559" s="236"/>
      <c r="J559" s="236" t="s">
        <v>0</v>
      </c>
      <c r="K559" s="236"/>
      <c r="L559" s="236"/>
      <c r="M559" s="236"/>
      <c r="N559" s="236"/>
      <c r="O559" s="236"/>
      <c r="P559" s="236"/>
      <c r="Q559" s="236"/>
      <c r="R559" s="236"/>
    </row>
    <row r="561" spans="1:18" x14ac:dyDescent="0.2">
      <c r="A561" s="158" t="s">
        <v>1</v>
      </c>
      <c r="C561" s="4" t="s">
        <v>2</v>
      </c>
      <c r="D561" s="5" t="s">
        <v>680</v>
      </c>
      <c r="E561" s="8" t="s">
        <v>681</v>
      </c>
      <c r="F561" s="8"/>
      <c r="G561" s="8"/>
      <c r="H561" s="8"/>
      <c r="I561" s="8"/>
      <c r="J561" s="158" t="s">
        <v>1</v>
      </c>
      <c r="L561" s="4" t="s">
        <v>2</v>
      </c>
      <c r="M561" s="5" t="s">
        <v>943</v>
      </c>
      <c r="N561" s="173" t="s">
        <v>1316</v>
      </c>
      <c r="O561" s="158"/>
      <c r="P561" s="158"/>
      <c r="Q561" s="158"/>
    </row>
    <row r="562" spans="1:18" x14ac:dyDescent="0.2">
      <c r="A562" s="158" t="s">
        <v>7</v>
      </c>
      <c r="C562" s="4" t="s">
        <v>2</v>
      </c>
      <c r="E562" s="158" t="s">
        <v>59</v>
      </c>
      <c r="F562" s="8"/>
      <c r="G562" s="8"/>
      <c r="H562" s="8"/>
      <c r="J562" s="158" t="s">
        <v>7</v>
      </c>
      <c r="L562" s="4" t="s">
        <v>2</v>
      </c>
      <c r="N562" s="158" t="s">
        <v>59</v>
      </c>
      <c r="O562" s="158"/>
      <c r="P562" s="158"/>
      <c r="Q562" s="158"/>
    </row>
    <row r="563" spans="1:18" x14ac:dyDescent="0.2">
      <c r="A563" s="158" t="s">
        <v>10</v>
      </c>
      <c r="C563" s="4" t="s">
        <v>2</v>
      </c>
      <c r="E563" s="9">
        <v>4</v>
      </c>
      <c r="F563" s="8"/>
      <c r="G563" s="8"/>
      <c r="H563" s="8"/>
      <c r="J563" s="158" t="s">
        <v>10</v>
      </c>
      <c r="L563" s="4" t="s">
        <v>2</v>
      </c>
      <c r="N563" s="9">
        <v>10</v>
      </c>
      <c r="O563" s="9"/>
      <c r="P563" s="9"/>
      <c r="Q563" s="9"/>
    </row>
    <row r="564" spans="1:18" x14ac:dyDescent="0.2">
      <c r="B564" s="8"/>
      <c r="F564" s="11"/>
      <c r="G564" s="8"/>
      <c r="H564" s="8"/>
      <c r="I564" s="8"/>
      <c r="K564" s="8"/>
      <c r="O564" s="11"/>
      <c r="P564" s="8"/>
      <c r="Q564" s="8"/>
      <c r="R564" s="8"/>
    </row>
    <row r="565" spans="1:18" x14ac:dyDescent="0.2">
      <c r="A565" s="12"/>
      <c r="B565" s="238" t="s">
        <v>11</v>
      </c>
      <c r="C565" s="239"/>
      <c r="D565" s="239"/>
      <c r="E565" s="240"/>
      <c r="F565" s="244" t="s">
        <v>12</v>
      </c>
      <c r="G565" s="244" t="s">
        <v>13</v>
      </c>
      <c r="H565" s="244" t="s">
        <v>14</v>
      </c>
      <c r="I565" s="246" t="s">
        <v>15</v>
      </c>
      <c r="J565" s="12"/>
      <c r="K565" s="238" t="s">
        <v>11</v>
      </c>
      <c r="L565" s="239"/>
      <c r="M565" s="239"/>
      <c r="N565" s="240"/>
      <c r="O565" s="244" t="s">
        <v>12</v>
      </c>
      <c r="P565" s="244" t="s">
        <v>13</v>
      </c>
      <c r="Q565" s="244" t="s">
        <v>14</v>
      </c>
      <c r="R565" s="246" t="s">
        <v>15</v>
      </c>
    </row>
    <row r="566" spans="1:18" x14ac:dyDescent="0.2">
      <c r="A566" s="13"/>
      <c r="B566" s="241"/>
      <c r="C566" s="242"/>
      <c r="D566" s="242"/>
      <c r="E566" s="243"/>
      <c r="F566" s="245"/>
      <c r="G566" s="245"/>
      <c r="H566" s="245"/>
      <c r="I566" s="247"/>
      <c r="J566" s="13"/>
      <c r="K566" s="241"/>
      <c r="L566" s="242"/>
      <c r="M566" s="242"/>
      <c r="N566" s="243"/>
      <c r="O566" s="245"/>
      <c r="P566" s="245"/>
      <c r="Q566" s="245"/>
      <c r="R566" s="247"/>
    </row>
    <row r="567" spans="1:18" x14ac:dyDescent="0.2">
      <c r="A567" s="13" t="s">
        <v>16</v>
      </c>
      <c r="B567" s="14" t="s">
        <v>17</v>
      </c>
      <c r="C567" s="15"/>
      <c r="D567" s="15"/>
      <c r="E567" s="16"/>
      <c r="F567" s="17"/>
      <c r="G567" s="17"/>
      <c r="H567" s="17"/>
      <c r="I567" s="17"/>
      <c r="J567" s="13" t="s">
        <v>16</v>
      </c>
      <c r="K567" s="14" t="s">
        <v>17</v>
      </c>
      <c r="L567" s="15"/>
      <c r="M567" s="15"/>
      <c r="N567" s="16"/>
      <c r="O567" s="17"/>
      <c r="P567" s="17"/>
      <c r="Q567" s="17"/>
      <c r="R567" s="17"/>
    </row>
    <row r="568" spans="1:18" x14ac:dyDescent="0.2">
      <c r="A568" s="13"/>
      <c r="B568" s="18"/>
      <c r="C568" s="19"/>
      <c r="D568" s="19"/>
      <c r="E568" s="20"/>
      <c r="F568" s="21"/>
      <c r="G568" s="22"/>
      <c r="H568" s="21"/>
      <c r="I568" s="21"/>
      <c r="J568" s="13"/>
      <c r="K568" s="18"/>
      <c r="L568" s="19"/>
      <c r="M568" s="19"/>
      <c r="N568" s="20"/>
      <c r="O568" s="21"/>
      <c r="P568" s="22"/>
      <c r="Q568" s="21"/>
      <c r="R568" s="21"/>
    </row>
    <row r="569" spans="1:18" x14ac:dyDescent="0.2">
      <c r="A569" s="13"/>
      <c r="B569" s="24" t="s">
        <v>18</v>
      </c>
      <c r="C569" s="25"/>
      <c r="D569" s="25"/>
      <c r="E569" s="26"/>
      <c r="F569" s="22">
        <v>1</v>
      </c>
      <c r="G569" s="23">
        <v>1</v>
      </c>
      <c r="H569" s="23">
        <v>69.42</v>
      </c>
      <c r="I569" s="23">
        <f>G569*H569*F569</f>
        <v>69.42</v>
      </c>
      <c r="J569" s="13"/>
      <c r="K569" s="24" t="s">
        <v>18</v>
      </c>
      <c r="L569" s="25"/>
      <c r="M569" s="25"/>
      <c r="N569" s="26"/>
      <c r="O569" s="22">
        <v>1</v>
      </c>
      <c r="P569" s="23">
        <v>1</v>
      </c>
      <c r="Q569" s="23">
        <v>69.42</v>
      </c>
      <c r="R569" s="23">
        <f>P569*Q569*O569</f>
        <v>69.42</v>
      </c>
    </row>
    <row r="570" spans="1:18" x14ac:dyDescent="0.2">
      <c r="A570" s="13"/>
      <c r="B570" s="257" t="s">
        <v>1178</v>
      </c>
      <c r="C570" s="258"/>
      <c r="D570" s="25"/>
      <c r="E570" s="26"/>
      <c r="F570" s="22">
        <v>1</v>
      </c>
      <c r="G570" s="23">
        <v>1</v>
      </c>
      <c r="H570" s="23">
        <v>50.18</v>
      </c>
      <c r="I570" s="23">
        <f>G570*H570*F570</f>
        <v>50.18</v>
      </c>
      <c r="J570" s="13"/>
      <c r="K570" s="257" t="s">
        <v>1179</v>
      </c>
      <c r="L570" s="258"/>
      <c r="M570" s="19"/>
      <c r="N570" s="20"/>
      <c r="O570" s="22">
        <v>3</v>
      </c>
      <c r="P570" s="23">
        <v>1</v>
      </c>
      <c r="Q570" s="23">
        <v>38.97</v>
      </c>
      <c r="R570" s="23">
        <f>P570*Q570*O570</f>
        <v>116.91</v>
      </c>
    </row>
    <row r="571" spans="1:18" x14ac:dyDescent="0.2">
      <c r="A571" s="13"/>
      <c r="B571" s="257" t="s">
        <v>1177</v>
      </c>
      <c r="C571" s="258"/>
      <c r="D571" s="19"/>
      <c r="E571" s="20"/>
      <c r="F571" s="22">
        <v>2</v>
      </c>
      <c r="G571" s="23">
        <v>1</v>
      </c>
      <c r="H571" s="23">
        <v>38.97</v>
      </c>
      <c r="I571" s="23">
        <f>G571*H571*F571</f>
        <v>77.94</v>
      </c>
      <c r="J571" s="13"/>
      <c r="K571" s="257"/>
      <c r="L571" s="258"/>
      <c r="M571" s="19"/>
      <c r="N571" s="20"/>
      <c r="O571" s="22"/>
      <c r="P571" s="22"/>
      <c r="Q571" s="23"/>
      <c r="R571" s="23"/>
    </row>
    <row r="572" spans="1:18" ht="15" customHeight="1" x14ac:dyDescent="0.2">
      <c r="A572" s="13"/>
      <c r="B572" s="159"/>
      <c r="C572" s="160"/>
      <c r="D572" s="19"/>
      <c r="E572" s="20"/>
      <c r="F572" s="22"/>
      <c r="G572" s="22"/>
      <c r="H572" s="29"/>
      <c r="I572" s="30"/>
      <c r="J572" s="13"/>
      <c r="K572" s="159"/>
      <c r="L572" s="19"/>
      <c r="M572" s="19"/>
      <c r="N572" s="20"/>
      <c r="O572" s="22"/>
      <c r="P572" s="22"/>
      <c r="Q572" s="29"/>
      <c r="R572" s="30"/>
    </row>
    <row r="573" spans="1:18" x14ac:dyDescent="0.2">
      <c r="A573" s="13"/>
      <c r="B573" s="159"/>
      <c r="C573" s="160"/>
      <c r="D573" s="19"/>
      <c r="E573" s="20"/>
      <c r="F573" s="22"/>
      <c r="G573" s="22"/>
      <c r="H573" s="29"/>
      <c r="I573" s="30"/>
      <c r="J573" s="13"/>
      <c r="K573" s="159"/>
      <c r="L573" s="19"/>
      <c r="M573" s="19"/>
      <c r="N573" s="20"/>
      <c r="O573" s="22"/>
      <c r="P573" s="22"/>
      <c r="Q573" s="29"/>
      <c r="R573" s="30"/>
    </row>
    <row r="574" spans="1:18" x14ac:dyDescent="0.2">
      <c r="A574" s="13"/>
      <c r="B574" s="257"/>
      <c r="C574" s="258"/>
      <c r="D574" s="19"/>
      <c r="E574" s="20"/>
      <c r="F574" s="22"/>
      <c r="G574" s="22"/>
      <c r="H574" s="23"/>
      <c r="I574" s="23"/>
      <c r="J574" s="13"/>
      <c r="K574" s="18"/>
      <c r="L574" s="19"/>
      <c r="M574" s="19"/>
      <c r="N574" s="20"/>
      <c r="O574" s="22"/>
      <c r="P574" s="22"/>
      <c r="Q574" s="28"/>
      <c r="R574" s="23"/>
    </row>
    <row r="575" spans="1:18" x14ac:dyDescent="0.2">
      <c r="A575" s="13"/>
      <c r="B575" s="257"/>
      <c r="C575" s="258"/>
      <c r="D575" s="19"/>
      <c r="E575" s="20"/>
      <c r="F575" s="22"/>
      <c r="G575" s="22"/>
      <c r="H575" s="23"/>
      <c r="I575" s="23"/>
      <c r="J575" s="13"/>
      <c r="K575" s="18"/>
      <c r="L575" s="19"/>
      <c r="M575" s="19"/>
      <c r="N575" s="20"/>
      <c r="O575" s="22"/>
      <c r="P575" s="22"/>
      <c r="Q575" s="23"/>
      <c r="R575" s="23"/>
    </row>
    <row r="576" spans="1:18" x14ac:dyDescent="0.2">
      <c r="A576" s="13"/>
      <c r="B576" s="248" t="s">
        <v>20</v>
      </c>
      <c r="C576" s="249"/>
      <c r="D576" s="249"/>
      <c r="E576" s="250"/>
      <c r="F576" s="31"/>
      <c r="G576" s="31"/>
      <c r="H576" s="32"/>
      <c r="I576" s="32">
        <f>SUM(I569:I575)</f>
        <v>197.54</v>
      </c>
      <c r="J576" s="13"/>
      <c r="K576" s="248" t="s">
        <v>20</v>
      </c>
      <c r="L576" s="249"/>
      <c r="M576" s="249"/>
      <c r="N576" s="250"/>
      <c r="O576" s="31"/>
      <c r="P576" s="31"/>
      <c r="Q576" s="32"/>
      <c r="R576" s="32">
        <f>SUM(R569:R575)</f>
        <v>186.32999999999998</v>
      </c>
    </row>
    <row r="577" spans="1:18" x14ac:dyDescent="0.2">
      <c r="A577" s="12"/>
      <c r="B577" s="251" t="s">
        <v>21</v>
      </c>
      <c r="C577" s="252"/>
      <c r="D577" s="252"/>
      <c r="E577" s="253"/>
      <c r="F577" s="244" t="s">
        <v>22</v>
      </c>
      <c r="G577" s="244" t="s">
        <v>13</v>
      </c>
      <c r="H577" s="244" t="s">
        <v>14</v>
      </c>
      <c r="I577" s="246" t="s">
        <v>15</v>
      </c>
      <c r="J577" s="12"/>
      <c r="K577" s="251" t="s">
        <v>21</v>
      </c>
      <c r="L577" s="252"/>
      <c r="M577" s="252"/>
      <c r="N577" s="253"/>
      <c r="O577" s="244" t="s">
        <v>22</v>
      </c>
      <c r="P577" s="244" t="s">
        <v>13</v>
      </c>
      <c r="Q577" s="244" t="s">
        <v>14</v>
      </c>
      <c r="R577" s="246" t="s">
        <v>15</v>
      </c>
    </row>
    <row r="578" spans="1:18" x14ac:dyDescent="0.2">
      <c r="A578" s="13"/>
      <c r="B578" s="254"/>
      <c r="C578" s="255"/>
      <c r="D578" s="255"/>
      <c r="E578" s="256"/>
      <c r="F578" s="245"/>
      <c r="G578" s="245"/>
      <c r="H578" s="245"/>
      <c r="I578" s="247"/>
      <c r="J578" s="13"/>
      <c r="K578" s="254"/>
      <c r="L578" s="255"/>
      <c r="M578" s="255"/>
      <c r="N578" s="256"/>
      <c r="O578" s="245"/>
      <c r="P578" s="245"/>
      <c r="Q578" s="245"/>
      <c r="R578" s="247"/>
    </row>
    <row r="579" spans="1:18" x14ac:dyDescent="0.2">
      <c r="A579" s="13" t="s">
        <v>23</v>
      </c>
      <c r="B579" s="33" t="s">
        <v>24</v>
      </c>
      <c r="C579" s="15"/>
      <c r="D579" s="15"/>
      <c r="E579" s="16"/>
      <c r="F579" s="34"/>
      <c r="G579" s="34"/>
      <c r="H579" s="35"/>
      <c r="I579" s="35"/>
      <c r="J579" s="13" t="s">
        <v>23</v>
      </c>
      <c r="K579" s="33" t="s">
        <v>24</v>
      </c>
      <c r="L579" s="15"/>
      <c r="M579" s="15"/>
      <c r="N579" s="16"/>
      <c r="O579" s="34"/>
      <c r="P579" s="34"/>
      <c r="Q579" s="35"/>
      <c r="R579" s="35"/>
    </row>
    <row r="580" spans="1:18" x14ac:dyDescent="0.2">
      <c r="A580" s="13"/>
      <c r="B580" s="18"/>
      <c r="C580" s="19"/>
      <c r="D580" s="19"/>
      <c r="E580" s="20"/>
      <c r="F580" s="22"/>
      <c r="G580" s="22"/>
      <c r="H580" s="23"/>
      <c r="I580" s="23"/>
      <c r="J580" s="13"/>
      <c r="K580" s="18"/>
      <c r="L580" s="19"/>
      <c r="M580" s="19"/>
      <c r="N580" s="20"/>
      <c r="O580" s="22"/>
      <c r="P580" s="22"/>
      <c r="Q580" s="23"/>
      <c r="R580" s="23"/>
    </row>
    <row r="581" spans="1:18" ht="17.25" customHeight="1" x14ac:dyDescent="0.2">
      <c r="A581" s="13"/>
      <c r="B581" s="18" t="s">
        <v>1292</v>
      </c>
      <c r="C581" s="66"/>
      <c r="D581" s="19"/>
      <c r="E581" s="20"/>
      <c r="F581" s="22">
        <v>1</v>
      </c>
      <c r="G581" s="23">
        <v>0.05</v>
      </c>
      <c r="H581" s="37">
        <v>1212</v>
      </c>
      <c r="I581" s="37">
        <f>F581*G581*H581</f>
        <v>60.6</v>
      </c>
      <c r="J581" s="13"/>
      <c r="K581" s="18" t="s">
        <v>1309</v>
      </c>
      <c r="L581" s="19"/>
      <c r="M581" s="19"/>
      <c r="N581" s="20"/>
      <c r="O581" s="22">
        <v>1</v>
      </c>
      <c r="P581" s="23">
        <v>1</v>
      </c>
      <c r="Q581" s="23">
        <v>201.25</v>
      </c>
      <c r="R581" s="37">
        <f>P581*Q581*O581</f>
        <v>201.25</v>
      </c>
    </row>
    <row r="582" spans="1:18" ht="17.25" customHeight="1" x14ac:dyDescent="0.2">
      <c r="A582" s="13"/>
      <c r="B582" s="18" t="s">
        <v>92</v>
      </c>
      <c r="F582" s="22"/>
      <c r="G582" s="23"/>
      <c r="I582" s="37">
        <f>I576*0.1</f>
        <v>19.754000000000001</v>
      </c>
      <c r="J582" s="13"/>
      <c r="K582" s="18" t="s">
        <v>1151</v>
      </c>
      <c r="L582" s="19"/>
      <c r="M582" s="19"/>
      <c r="N582" s="20"/>
      <c r="O582" s="22">
        <v>1</v>
      </c>
      <c r="P582" s="23">
        <v>0.25</v>
      </c>
      <c r="Q582" s="23">
        <v>783</v>
      </c>
      <c r="R582" s="37">
        <f>P582*Q582*O582</f>
        <v>195.75</v>
      </c>
    </row>
    <row r="583" spans="1:18" x14ac:dyDescent="0.2">
      <c r="A583" s="13"/>
      <c r="B583" s="18"/>
      <c r="F583" s="22"/>
      <c r="G583" s="23"/>
      <c r="H583" s="37"/>
      <c r="I583" s="37"/>
      <c r="J583" s="13"/>
      <c r="K583" s="18" t="s">
        <v>1310</v>
      </c>
      <c r="L583" s="19"/>
      <c r="M583" s="19"/>
      <c r="N583" s="20"/>
      <c r="O583" s="22">
        <v>1</v>
      </c>
      <c r="P583" s="23">
        <v>1</v>
      </c>
      <c r="Q583" s="23">
        <v>205</v>
      </c>
      <c r="R583" s="37">
        <f>P583*Q583*O583</f>
        <v>205</v>
      </c>
    </row>
    <row r="584" spans="1:18" x14ac:dyDescent="0.2">
      <c r="A584" s="13"/>
      <c r="B584" s="18"/>
      <c r="F584" s="22"/>
      <c r="G584" s="23"/>
      <c r="H584" s="37"/>
      <c r="I584" s="37"/>
      <c r="J584" s="13"/>
      <c r="K584" s="18" t="s">
        <v>260</v>
      </c>
      <c r="L584" s="19"/>
      <c r="M584" s="19"/>
      <c r="N584" s="20"/>
      <c r="O584" s="22"/>
      <c r="P584" s="36"/>
      <c r="R584" s="37">
        <f>R576*0.05</f>
        <v>9.3164999999999996</v>
      </c>
    </row>
    <row r="585" spans="1:18" x14ac:dyDescent="0.2">
      <c r="A585" s="13"/>
      <c r="B585" s="18"/>
      <c r="C585" s="19"/>
      <c r="D585" s="19"/>
      <c r="E585" s="20"/>
      <c r="F585" s="22"/>
      <c r="G585" s="36"/>
      <c r="H585" s="37"/>
      <c r="I585" s="37"/>
      <c r="J585" s="13"/>
      <c r="K585" s="18"/>
      <c r="L585" s="19"/>
      <c r="M585" s="19"/>
      <c r="N585" s="20"/>
      <c r="O585" s="22"/>
      <c r="P585" s="36"/>
      <c r="Q585" s="37"/>
      <c r="R585" s="37"/>
    </row>
    <row r="586" spans="1:18" x14ac:dyDescent="0.2">
      <c r="A586" s="13"/>
      <c r="B586" s="18"/>
      <c r="C586" s="19"/>
      <c r="D586" s="19"/>
      <c r="E586" s="20"/>
      <c r="F586" s="22"/>
      <c r="G586" s="36"/>
      <c r="H586" s="37"/>
      <c r="I586" s="38"/>
      <c r="J586" s="13"/>
      <c r="K586" s="18"/>
      <c r="L586" s="19"/>
      <c r="M586" s="19"/>
      <c r="N586" s="20"/>
      <c r="O586" s="22"/>
      <c r="P586" s="36"/>
      <c r="Q586" s="38"/>
      <c r="R586" s="38"/>
    </row>
    <row r="587" spans="1:18" x14ac:dyDescent="0.2">
      <c r="A587" s="13"/>
      <c r="B587" s="18"/>
      <c r="C587" s="19"/>
      <c r="D587" s="19"/>
      <c r="E587" s="20"/>
      <c r="F587" s="22"/>
      <c r="G587" s="36"/>
      <c r="H587" s="37"/>
      <c r="I587" s="38"/>
      <c r="J587" s="13"/>
      <c r="K587" s="18"/>
      <c r="L587" s="19"/>
      <c r="M587" s="19"/>
      <c r="N587" s="20"/>
      <c r="O587" s="22"/>
      <c r="P587" s="36"/>
      <c r="Q587" s="38"/>
      <c r="R587" s="38"/>
    </row>
    <row r="588" spans="1:18" x14ac:dyDescent="0.2">
      <c r="A588" s="13"/>
      <c r="B588" s="18"/>
      <c r="C588" s="19"/>
      <c r="D588" s="19"/>
      <c r="E588" s="20"/>
      <c r="F588" s="22"/>
      <c r="G588" s="23"/>
      <c r="H588" s="37"/>
      <c r="I588" s="38"/>
      <c r="J588" s="13"/>
      <c r="K588" s="18"/>
      <c r="L588" s="19"/>
      <c r="M588" s="19"/>
      <c r="N588" s="20"/>
      <c r="O588" s="22"/>
      <c r="P588" s="36"/>
      <c r="Q588" s="38"/>
      <c r="R588" s="38"/>
    </row>
    <row r="589" spans="1:18" x14ac:dyDescent="0.2">
      <c r="A589" s="13"/>
      <c r="B589" s="18"/>
      <c r="C589" s="19"/>
      <c r="D589" s="19"/>
      <c r="E589" s="20"/>
      <c r="F589" s="22"/>
      <c r="G589" s="23"/>
      <c r="H589" s="37"/>
      <c r="I589" s="38"/>
      <c r="J589" s="13"/>
      <c r="K589" s="18"/>
      <c r="L589" s="19"/>
      <c r="M589" s="19"/>
      <c r="N589" s="20"/>
      <c r="O589" s="22"/>
      <c r="P589" s="36"/>
      <c r="Q589" s="38"/>
      <c r="R589" s="38"/>
    </row>
    <row r="590" spans="1:18" x14ac:dyDescent="0.2">
      <c r="A590" s="13"/>
      <c r="B590" s="7"/>
      <c r="C590" s="7"/>
      <c r="D590" s="7"/>
      <c r="E590" s="7"/>
      <c r="F590" s="72"/>
      <c r="G590" s="72"/>
      <c r="H590" s="72"/>
      <c r="I590" s="37"/>
      <c r="J590" s="13"/>
      <c r="K590" s="18"/>
      <c r="L590" s="19"/>
      <c r="M590" s="19"/>
      <c r="N590" s="20"/>
      <c r="O590" s="22"/>
      <c r="P590" s="36"/>
      <c r="Q590" s="37"/>
      <c r="R590" s="37"/>
    </row>
    <row r="591" spans="1:18" x14ac:dyDescent="0.2">
      <c r="A591" s="13"/>
      <c r="B591" s="18"/>
      <c r="C591" s="19"/>
      <c r="D591" s="19"/>
      <c r="E591" s="20"/>
      <c r="F591" s="22"/>
      <c r="G591" s="36"/>
      <c r="H591" s="37"/>
      <c r="I591" s="37"/>
      <c r="J591" s="13"/>
      <c r="K591" s="18"/>
      <c r="L591" s="19"/>
      <c r="M591" s="19"/>
      <c r="N591" s="20"/>
      <c r="O591" s="22"/>
      <c r="P591" s="36"/>
      <c r="Q591" s="37"/>
      <c r="R591" s="37"/>
    </row>
    <row r="592" spans="1:18" ht="15" customHeight="1" x14ac:dyDescent="0.2">
      <c r="A592" s="13"/>
      <c r="B592" s="18"/>
      <c r="C592" s="19"/>
      <c r="D592" s="19"/>
      <c r="E592" s="20"/>
      <c r="F592" s="22"/>
      <c r="G592" s="36"/>
      <c r="H592" s="37"/>
      <c r="I592" s="37"/>
      <c r="J592" s="13"/>
      <c r="K592" s="18"/>
      <c r="L592" s="19"/>
      <c r="M592" s="19"/>
      <c r="N592" s="20"/>
      <c r="O592" s="22"/>
      <c r="P592" s="36"/>
      <c r="Q592" s="37"/>
      <c r="R592" s="37"/>
    </row>
    <row r="593" spans="1:18" x14ac:dyDescent="0.2">
      <c r="A593" s="13"/>
      <c r="B593" s="18"/>
      <c r="C593" s="19"/>
      <c r="D593" s="19"/>
      <c r="E593" s="20"/>
      <c r="F593" s="22"/>
      <c r="G593" s="22"/>
      <c r="H593" s="23"/>
      <c r="I593" s="23"/>
      <c r="J593" s="13"/>
      <c r="K593" s="18"/>
      <c r="L593" s="19"/>
      <c r="M593" s="19"/>
      <c r="N593" s="20"/>
      <c r="O593" s="22"/>
      <c r="P593" s="22"/>
      <c r="Q593" s="23"/>
      <c r="R593" s="23"/>
    </row>
    <row r="594" spans="1:18" x14ac:dyDescent="0.2">
      <c r="A594" s="13"/>
      <c r="B594" s="248" t="s">
        <v>30</v>
      </c>
      <c r="C594" s="249"/>
      <c r="D594" s="249"/>
      <c r="E594" s="250"/>
      <c r="F594" s="22"/>
      <c r="G594" s="22"/>
      <c r="H594" s="23"/>
      <c r="I594" s="23">
        <f>SUM(I581:I593)</f>
        <v>80.353999999999999</v>
      </c>
      <c r="J594" s="13"/>
      <c r="K594" s="248" t="s">
        <v>30</v>
      </c>
      <c r="L594" s="249"/>
      <c r="M594" s="249"/>
      <c r="N594" s="250"/>
      <c r="O594" s="22"/>
      <c r="P594" s="22"/>
      <c r="Q594" s="23"/>
      <c r="R594" s="23">
        <f>SUM(R581:R593)</f>
        <v>611.31650000000002</v>
      </c>
    </row>
    <row r="595" spans="1:18" x14ac:dyDescent="0.2">
      <c r="A595" s="12" t="s">
        <v>31</v>
      </c>
      <c r="B595" s="260" t="s">
        <v>32</v>
      </c>
      <c r="C595" s="261"/>
      <c r="D595" s="261"/>
      <c r="E595" s="261"/>
      <c r="F595" s="161"/>
      <c r="G595" s="161"/>
      <c r="H595" s="40"/>
      <c r="I595" s="41">
        <f>SUM(I594+I576)</f>
        <v>277.89400000000001</v>
      </c>
      <c r="J595" s="12" t="s">
        <v>31</v>
      </c>
      <c r="K595" s="260" t="s">
        <v>32</v>
      </c>
      <c r="L595" s="261"/>
      <c r="M595" s="261"/>
      <c r="N595" s="261"/>
      <c r="O595" s="161"/>
      <c r="P595" s="161"/>
      <c r="Q595" s="40"/>
      <c r="R595" s="41">
        <f>SUM(R594+R576)</f>
        <v>797.64650000000006</v>
      </c>
    </row>
    <row r="596" spans="1:18" x14ac:dyDescent="0.2">
      <c r="A596" s="13" t="s">
        <v>33</v>
      </c>
      <c r="B596" s="269">
        <f>E563</f>
        <v>4</v>
      </c>
      <c r="C596" s="270"/>
      <c r="D596" s="270"/>
      <c r="E596" s="270"/>
      <c r="F596" s="270"/>
      <c r="G596" s="270"/>
      <c r="H596" s="40"/>
      <c r="I596" s="41"/>
      <c r="J596" s="13" t="s">
        <v>33</v>
      </c>
      <c r="K596" s="345">
        <f>N563</f>
        <v>10</v>
      </c>
      <c r="L596" s="346"/>
      <c r="M596" s="346"/>
      <c r="N596" s="346"/>
      <c r="O596" s="346"/>
      <c r="P596" s="346"/>
      <c r="Q596" s="40"/>
      <c r="R596" s="41"/>
    </row>
    <row r="597" spans="1:18" x14ac:dyDescent="0.2">
      <c r="A597" s="13" t="s">
        <v>34</v>
      </c>
      <c r="B597" s="162" t="s">
        <v>35</v>
      </c>
      <c r="C597" s="43"/>
      <c r="D597" s="43"/>
      <c r="E597" s="161"/>
      <c r="F597" s="163"/>
      <c r="G597" s="163"/>
      <c r="H597" s="40"/>
      <c r="I597" s="41">
        <f>I595/E563</f>
        <v>69.473500000000001</v>
      </c>
      <c r="J597" s="13" t="s">
        <v>34</v>
      </c>
      <c r="K597" s="162" t="s">
        <v>35</v>
      </c>
      <c r="L597" s="43"/>
      <c r="M597" s="43"/>
      <c r="N597" s="161"/>
      <c r="O597" s="163"/>
      <c r="P597" s="163"/>
      <c r="Q597" s="40"/>
      <c r="R597" s="41">
        <f>R595/N563</f>
        <v>79.764650000000003</v>
      </c>
    </row>
    <row r="598" spans="1:18" x14ac:dyDescent="0.2">
      <c r="A598" s="12"/>
      <c r="B598" s="251" t="s">
        <v>36</v>
      </c>
      <c r="C598" s="252"/>
      <c r="D598" s="252"/>
      <c r="E598" s="253"/>
      <c r="F598" s="244" t="s">
        <v>37</v>
      </c>
      <c r="G598" s="244" t="s">
        <v>38</v>
      </c>
      <c r="H598" s="244" t="s">
        <v>39</v>
      </c>
      <c r="I598" s="246" t="s">
        <v>15</v>
      </c>
      <c r="J598" s="12"/>
      <c r="K598" s="251" t="s">
        <v>36</v>
      </c>
      <c r="L598" s="252"/>
      <c r="M598" s="252"/>
      <c r="N598" s="253"/>
      <c r="O598" s="244" t="s">
        <v>37</v>
      </c>
      <c r="P598" s="244" t="s">
        <v>38</v>
      </c>
      <c r="Q598" s="244" t="s">
        <v>39</v>
      </c>
      <c r="R598" s="246" t="s">
        <v>15</v>
      </c>
    </row>
    <row r="599" spans="1:18" x14ac:dyDescent="0.2">
      <c r="A599" s="13"/>
      <c r="B599" s="254"/>
      <c r="C599" s="255"/>
      <c r="D599" s="255"/>
      <c r="E599" s="256"/>
      <c r="F599" s="245"/>
      <c r="G599" s="245"/>
      <c r="H599" s="245"/>
      <c r="I599" s="247"/>
      <c r="J599" s="13"/>
      <c r="K599" s="254"/>
      <c r="L599" s="255"/>
      <c r="M599" s="255"/>
      <c r="N599" s="256"/>
      <c r="O599" s="245"/>
      <c r="P599" s="245"/>
      <c r="Q599" s="245"/>
      <c r="R599" s="247"/>
    </row>
    <row r="600" spans="1:18" x14ac:dyDescent="0.2">
      <c r="A600" s="13" t="s">
        <v>40</v>
      </c>
      <c r="B600" s="18" t="s">
        <v>41</v>
      </c>
      <c r="C600" s="19"/>
      <c r="D600" s="19"/>
      <c r="E600" s="20"/>
      <c r="F600" s="22"/>
      <c r="G600" s="22"/>
      <c r="H600" s="23"/>
      <c r="I600" s="23"/>
      <c r="J600" s="13" t="s">
        <v>40</v>
      </c>
      <c r="K600" s="18" t="s">
        <v>41</v>
      </c>
      <c r="L600" s="19"/>
      <c r="M600" s="19"/>
      <c r="N600" s="20"/>
      <c r="O600" s="22"/>
      <c r="P600" s="22"/>
      <c r="Q600" s="23"/>
      <c r="R600" s="23"/>
    </row>
    <row r="601" spans="1:18" x14ac:dyDescent="0.2">
      <c r="A601" s="13"/>
      <c r="B601" s="18"/>
      <c r="C601" s="19"/>
      <c r="D601" s="19"/>
      <c r="E601" s="20"/>
      <c r="F601" s="22"/>
      <c r="G601" s="22"/>
      <c r="H601" s="23"/>
      <c r="I601" s="23"/>
      <c r="J601" s="13"/>
      <c r="K601" s="18"/>
      <c r="L601" s="19"/>
      <c r="M601" s="19"/>
      <c r="N601" s="20"/>
      <c r="O601" s="22"/>
      <c r="P601" s="22"/>
      <c r="Q601" s="23"/>
      <c r="R601" s="23"/>
    </row>
    <row r="602" spans="1:18" x14ac:dyDescent="0.2">
      <c r="A602" s="13"/>
      <c r="B602" s="18" t="s">
        <v>683</v>
      </c>
      <c r="C602" s="66"/>
      <c r="D602" s="19"/>
      <c r="E602" s="20"/>
      <c r="F602" s="64" t="s">
        <v>59</v>
      </c>
      <c r="G602" s="62">
        <v>1</v>
      </c>
      <c r="H602" s="107">
        <v>3320</v>
      </c>
      <c r="I602" s="23">
        <f>G602*H602</f>
        <v>3320</v>
      </c>
      <c r="J602" s="13"/>
      <c r="K602" s="18" t="s">
        <v>1318</v>
      </c>
      <c r="L602" s="19"/>
      <c r="M602" s="19"/>
      <c r="N602" s="20"/>
      <c r="O602" s="22" t="s">
        <v>80</v>
      </c>
      <c r="P602" s="62">
        <v>1</v>
      </c>
      <c r="Q602" s="107">
        <v>3465</v>
      </c>
      <c r="R602" s="23">
        <f>Q602*P602</f>
        <v>3465</v>
      </c>
    </row>
    <row r="603" spans="1:18" x14ac:dyDescent="0.2">
      <c r="A603" s="13"/>
      <c r="B603" s="18" t="s">
        <v>685</v>
      </c>
      <c r="C603" s="66"/>
      <c r="D603" s="19"/>
      <c r="E603" s="20"/>
      <c r="F603" s="62"/>
      <c r="G603" s="62"/>
      <c r="H603" s="23"/>
      <c r="I603" s="23"/>
      <c r="J603" s="13"/>
      <c r="K603" s="18" t="s">
        <v>1317</v>
      </c>
      <c r="L603" s="19"/>
      <c r="M603" s="19"/>
      <c r="N603" s="20"/>
      <c r="O603" s="22"/>
      <c r="P603" s="70"/>
      <c r="Q603" s="107"/>
      <c r="R603" s="23"/>
    </row>
    <row r="604" spans="1:18" x14ac:dyDescent="0.2">
      <c r="A604" s="13"/>
      <c r="B604" s="18"/>
      <c r="C604" s="19"/>
      <c r="D604" s="19"/>
      <c r="E604" s="20"/>
      <c r="F604" s="62"/>
      <c r="G604" s="62"/>
      <c r="H604" s="23"/>
      <c r="I604" s="23"/>
      <c r="J604" s="13"/>
      <c r="K604" s="18" t="s">
        <v>687</v>
      </c>
      <c r="L604" s="19"/>
      <c r="M604" s="19"/>
      <c r="N604" s="20"/>
      <c r="O604" s="22" t="s">
        <v>1216</v>
      </c>
      <c r="P604" s="70">
        <v>1.2E-2</v>
      </c>
      <c r="Q604" s="107">
        <v>1200</v>
      </c>
      <c r="R604" s="23">
        <f>Q604*P604</f>
        <v>14.4</v>
      </c>
    </row>
    <row r="605" spans="1:18" x14ac:dyDescent="0.2">
      <c r="A605" s="13"/>
      <c r="B605" s="18"/>
      <c r="C605" s="19"/>
      <c r="D605" s="19"/>
      <c r="E605" s="20"/>
      <c r="F605" s="22"/>
      <c r="G605" s="62"/>
      <c r="H605" s="23"/>
      <c r="I605" s="23"/>
      <c r="J605" s="13"/>
      <c r="K605" s="18"/>
      <c r="L605" s="19"/>
      <c r="M605" s="19"/>
      <c r="N605" s="20"/>
      <c r="O605" s="22"/>
      <c r="P605" s="22"/>
      <c r="Q605" s="23"/>
      <c r="R605" s="23"/>
    </row>
    <row r="606" spans="1:18" x14ac:dyDescent="0.2">
      <c r="A606" s="13"/>
      <c r="B606" s="18"/>
      <c r="C606" s="19"/>
      <c r="D606" s="19"/>
      <c r="E606" s="20"/>
      <c r="F606" s="22"/>
      <c r="G606" s="62"/>
      <c r="H606" s="23"/>
      <c r="I606" s="23"/>
      <c r="J606" s="13"/>
      <c r="K606" s="18"/>
      <c r="L606" s="19"/>
      <c r="M606" s="19"/>
      <c r="N606" s="20"/>
      <c r="O606" s="22"/>
      <c r="P606" s="22"/>
      <c r="Q606" s="45"/>
      <c r="R606" s="45"/>
    </row>
    <row r="607" spans="1:18" x14ac:dyDescent="0.2">
      <c r="A607" s="13"/>
      <c r="B607" s="18"/>
      <c r="C607" s="19"/>
      <c r="D607" s="19"/>
      <c r="E607" s="20"/>
      <c r="F607" s="22"/>
      <c r="G607" s="62"/>
      <c r="H607" s="23"/>
      <c r="I607" s="23"/>
      <c r="J607" s="13"/>
      <c r="K607" s="18"/>
      <c r="L607" s="19"/>
      <c r="M607" s="19"/>
      <c r="N607" s="20"/>
      <c r="O607" s="22"/>
      <c r="P607" s="22"/>
      <c r="Q607" s="45"/>
      <c r="R607" s="45"/>
    </row>
    <row r="608" spans="1:18" ht="15" customHeight="1" x14ac:dyDescent="0.2">
      <c r="A608" s="13"/>
      <c r="B608" s="18"/>
      <c r="C608" s="19"/>
      <c r="D608" s="19"/>
      <c r="E608" s="20"/>
      <c r="F608" s="22"/>
      <c r="G608" s="22"/>
      <c r="H608" s="23"/>
      <c r="I608" s="23"/>
      <c r="J608" s="13"/>
      <c r="K608" s="18"/>
      <c r="L608" s="19"/>
      <c r="M608" s="19"/>
      <c r="N608" s="20"/>
      <c r="O608" s="22"/>
      <c r="P608" s="22"/>
      <c r="Q608" s="23"/>
      <c r="R608" s="23"/>
    </row>
    <row r="609" spans="1:18" x14ac:dyDescent="0.2">
      <c r="A609" s="13"/>
      <c r="B609" s="18"/>
      <c r="C609" s="19"/>
      <c r="D609" s="19"/>
      <c r="E609" s="20"/>
      <c r="F609" s="22"/>
      <c r="G609" s="22"/>
      <c r="H609" s="23"/>
      <c r="I609" s="23"/>
      <c r="J609" s="13"/>
      <c r="K609" s="18"/>
      <c r="L609" s="19"/>
      <c r="M609" s="19"/>
      <c r="N609" s="20"/>
      <c r="O609" s="22"/>
      <c r="P609" s="22"/>
      <c r="Q609" s="23"/>
      <c r="R609" s="23"/>
    </row>
    <row r="610" spans="1:18" x14ac:dyDescent="0.2">
      <c r="A610" s="13"/>
      <c r="B610" s="18"/>
      <c r="C610" s="19"/>
      <c r="D610" s="19"/>
      <c r="E610" s="20"/>
      <c r="F610" s="22"/>
      <c r="G610" s="22"/>
      <c r="H610" s="23"/>
      <c r="I610" s="23"/>
      <c r="J610" s="13"/>
      <c r="K610" s="18"/>
      <c r="L610" s="19"/>
      <c r="M610" s="19"/>
      <c r="N610" s="20"/>
      <c r="O610" s="22"/>
      <c r="P610" s="22"/>
      <c r="Q610" s="23"/>
      <c r="R610" s="23"/>
    </row>
    <row r="611" spans="1:18" x14ac:dyDescent="0.2">
      <c r="A611" s="13"/>
      <c r="B611" s="18"/>
      <c r="C611" s="19"/>
      <c r="D611" s="19"/>
      <c r="E611" s="20"/>
      <c r="F611" s="22"/>
      <c r="G611" s="22"/>
      <c r="H611" s="23"/>
      <c r="I611" s="23"/>
      <c r="J611" s="13"/>
      <c r="K611" s="18"/>
      <c r="L611" s="19"/>
      <c r="M611" s="19"/>
      <c r="N611" s="20"/>
      <c r="O611" s="22"/>
      <c r="P611" s="22"/>
      <c r="Q611" s="23"/>
      <c r="R611" s="23"/>
    </row>
    <row r="612" spans="1:18" x14ac:dyDescent="0.2">
      <c r="A612" s="13"/>
      <c r="B612" s="18"/>
      <c r="C612" s="19"/>
      <c r="D612" s="19"/>
      <c r="E612" s="20"/>
      <c r="F612" s="22"/>
      <c r="G612" s="22"/>
      <c r="H612" s="23"/>
      <c r="I612" s="23"/>
      <c r="J612" s="13"/>
      <c r="K612" s="18"/>
      <c r="L612" s="19"/>
      <c r="M612" s="19"/>
      <c r="N612" s="20"/>
      <c r="O612" s="22"/>
      <c r="P612" s="22"/>
      <c r="Q612" s="23"/>
      <c r="R612" s="23"/>
    </row>
    <row r="613" spans="1:18" x14ac:dyDescent="0.2">
      <c r="A613" s="13"/>
      <c r="B613" s="18"/>
      <c r="C613" s="19"/>
      <c r="D613" s="19"/>
      <c r="E613" s="20"/>
      <c r="F613" s="22"/>
      <c r="G613" s="22"/>
      <c r="H613" s="23"/>
      <c r="I613" s="23"/>
      <c r="J613" s="13"/>
      <c r="K613" s="18"/>
      <c r="L613" s="19"/>
      <c r="M613" s="19"/>
      <c r="N613" s="20"/>
      <c r="O613" s="22"/>
      <c r="P613" s="22"/>
      <c r="Q613" s="23"/>
      <c r="R613" s="23"/>
    </row>
    <row r="614" spans="1:18" x14ac:dyDescent="0.2">
      <c r="A614" s="13"/>
      <c r="B614" s="18"/>
      <c r="C614" s="19"/>
      <c r="D614" s="19"/>
      <c r="E614" s="20"/>
      <c r="F614" s="22"/>
      <c r="G614" s="36"/>
      <c r="H614" s="37"/>
      <c r="I614" s="37"/>
      <c r="J614" s="13"/>
      <c r="K614" s="18"/>
      <c r="L614" s="19"/>
      <c r="M614" s="19"/>
      <c r="N614" s="20"/>
      <c r="O614" s="22"/>
      <c r="P614" s="36"/>
      <c r="Q614" s="37"/>
      <c r="R614" s="37"/>
    </row>
    <row r="615" spans="1:18" x14ac:dyDescent="0.2">
      <c r="A615" s="13"/>
      <c r="B615" s="248" t="s">
        <v>42</v>
      </c>
      <c r="C615" s="249"/>
      <c r="D615" s="249"/>
      <c r="E615" s="250"/>
      <c r="F615" s="46"/>
      <c r="G615" s="46"/>
      <c r="H615" s="47"/>
      <c r="I615" s="47">
        <f>SUM(I602:I614)</f>
        <v>3320</v>
      </c>
      <c r="J615" s="13"/>
      <c r="K615" s="248" t="s">
        <v>42</v>
      </c>
      <c r="L615" s="249"/>
      <c r="M615" s="249"/>
      <c r="N615" s="250"/>
      <c r="O615" s="46"/>
      <c r="P615" s="46"/>
      <c r="Q615" s="47"/>
      <c r="R615" s="47">
        <f>SUM(R602:R614)</f>
        <v>3479.4</v>
      </c>
    </row>
    <row r="616" spans="1:18" x14ac:dyDescent="0.2">
      <c r="A616" s="12" t="s">
        <v>43</v>
      </c>
      <c r="B616" s="48" t="s">
        <v>44</v>
      </c>
      <c r="C616" s="43"/>
      <c r="D616" s="43"/>
      <c r="E616" s="161"/>
      <c r="F616" s="49"/>
      <c r="G616" s="49"/>
      <c r="H616" s="50"/>
      <c r="I616" s="51">
        <f>SUM(I597+I615)</f>
        <v>3389.4735000000001</v>
      </c>
      <c r="J616" s="12" t="s">
        <v>43</v>
      </c>
      <c r="K616" s="48" t="s">
        <v>44</v>
      </c>
      <c r="L616" s="43"/>
      <c r="M616" s="43"/>
      <c r="N616" s="161"/>
      <c r="O616" s="49"/>
      <c r="P616" s="49"/>
      <c r="Q616" s="50"/>
      <c r="R616" s="51">
        <f>SUM(R597+R615)</f>
        <v>3559.1646500000002</v>
      </c>
    </row>
    <row r="617" spans="1:18" x14ac:dyDescent="0.2">
      <c r="A617" s="13" t="s">
        <v>45</v>
      </c>
      <c r="B617" s="48" t="s">
        <v>46</v>
      </c>
      <c r="C617" s="43"/>
      <c r="D617" s="43"/>
      <c r="E617" s="161"/>
      <c r="F617" s="49"/>
      <c r="G617" s="52">
        <v>0.09</v>
      </c>
      <c r="H617" s="53" t="s">
        <v>47</v>
      </c>
      <c r="I617" s="51">
        <f>G617*I616</f>
        <v>305.052615</v>
      </c>
      <c r="J617" s="13" t="s">
        <v>45</v>
      </c>
      <c r="K617" s="48" t="s">
        <v>46</v>
      </c>
      <c r="L617" s="43"/>
      <c r="M617" s="43"/>
      <c r="N617" s="161"/>
      <c r="O617" s="49"/>
      <c r="P617" s="52">
        <v>0.09</v>
      </c>
      <c r="Q617" s="53" t="s">
        <v>47</v>
      </c>
      <c r="R617" s="51">
        <f>P617*R616</f>
        <v>320.32481849999999</v>
      </c>
    </row>
    <row r="618" spans="1:18" x14ac:dyDescent="0.2">
      <c r="A618" s="13" t="s">
        <v>48</v>
      </c>
      <c r="B618" s="48" t="s">
        <v>49</v>
      </c>
      <c r="C618" s="43"/>
      <c r="D618" s="43"/>
      <c r="E618" s="161"/>
      <c r="F618" s="49"/>
      <c r="G618" s="52">
        <v>0.08</v>
      </c>
      <c r="H618" s="53" t="s">
        <v>47</v>
      </c>
      <c r="I618" s="51">
        <f>G618*I616</f>
        <v>271.15788000000003</v>
      </c>
      <c r="J618" s="13" t="s">
        <v>48</v>
      </c>
      <c r="K618" s="48" t="s">
        <v>49</v>
      </c>
      <c r="L618" s="43"/>
      <c r="M618" s="43"/>
      <c r="N618" s="161"/>
      <c r="O618" s="49"/>
      <c r="P618" s="52">
        <v>0.08</v>
      </c>
      <c r="Q618" s="53" t="s">
        <v>47</v>
      </c>
      <c r="R618" s="51">
        <f>P618*R616</f>
        <v>284.73317200000002</v>
      </c>
    </row>
    <row r="619" spans="1:18" x14ac:dyDescent="0.2">
      <c r="A619" s="13" t="s">
        <v>50</v>
      </c>
      <c r="B619" s="48" t="s">
        <v>51</v>
      </c>
      <c r="C619" s="43"/>
      <c r="D619" s="43"/>
      <c r="E619" s="161"/>
      <c r="F619" s="49"/>
      <c r="G619" s="52">
        <v>0.05</v>
      </c>
      <c r="H619" s="53" t="s">
        <v>52</v>
      </c>
      <c r="I619" s="51">
        <f>G619*(I616+I617+I618)</f>
        <v>198.28419975000003</v>
      </c>
      <c r="J619" s="13" t="s">
        <v>50</v>
      </c>
      <c r="K619" s="48" t="s">
        <v>51</v>
      </c>
      <c r="L619" s="43"/>
      <c r="M619" s="43"/>
      <c r="N619" s="161"/>
      <c r="O619" s="49"/>
      <c r="P619" s="52">
        <v>0.05</v>
      </c>
      <c r="Q619" s="53" t="s">
        <v>52</v>
      </c>
      <c r="R619" s="51">
        <f>P619*(R616+R617+R618)</f>
        <v>208.21113202500001</v>
      </c>
    </row>
    <row r="620" spans="1:18" x14ac:dyDescent="0.2">
      <c r="A620" s="54" t="s">
        <v>53</v>
      </c>
      <c r="B620" s="48" t="s">
        <v>54</v>
      </c>
      <c r="C620" s="43"/>
      <c r="D620" s="43"/>
      <c r="E620" s="161"/>
      <c r="F620" s="49"/>
      <c r="G620" s="49"/>
      <c r="H620" s="55" t="s">
        <v>55</v>
      </c>
      <c r="I620" s="51">
        <f>SUM(I616+I617+I618+I619)</f>
        <v>4163.9681947500003</v>
      </c>
      <c r="J620" s="54" t="s">
        <v>53</v>
      </c>
      <c r="K620" s="48" t="s">
        <v>54</v>
      </c>
      <c r="L620" s="43"/>
      <c r="M620" s="43"/>
      <c r="N620" s="161"/>
      <c r="O620" s="49"/>
      <c r="P620" s="49"/>
      <c r="Q620" s="55" t="s">
        <v>55</v>
      </c>
      <c r="R620" s="51">
        <f>SUM(R616+R617+R618+R619)</f>
        <v>4372.4337725249998</v>
      </c>
    </row>
    <row r="621" spans="1:18" s="1" customFormat="1" x14ac:dyDescent="0.2">
      <c r="A621" s="236" t="s">
        <v>0</v>
      </c>
      <c r="B621" s="236"/>
      <c r="C621" s="236"/>
      <c r="D621" s="236"/>
      <c r="E621" s="236"/>
      <c r="F621" s="236"/>
      <c r="G621" s="236"/>
      <c r="H621" s="236"/>
      <c r="I621" s="236"/>
      <c r="J621" s="236" t="s">
        <v>0</v>
      </c>
      <c r="K621" s="236"/>
      <c r="L621" s="236"/>
      <c r="M621" s="236"/>
      <c r="N621" s="236"/>
      <c r="O621" s="236"/>
      <c r="P621" s="236"/>
      <c r="Q621" s="236"/>
      <c r="R621" s="236"/>
    </row>
    <row r="623" spans="1:18" x14ac:dyDescent="0.2">
      <c r="A623" s="158" t="s">
        <v>1</v>
      </c>
      <c r="C623" s="4" t="s">
        <v>2</v>
      </c>
      <c r="D623" s="5" t="s">
        <v>688</v>
      </c>
      <c r="E623" s="8" t="s">
        <v>689</v>
      </c>
      <c r="F623" s="8"/>
      <c r="G623" s="8"/>
      <c r="H623" s="8"/>
      <c r="I623" s="8"/>
      <c r="J623" s="173" t="s">
        <v>1</v>
      </c>
      <c r="L623" s="4" t="s">
        <v>2</v>
      </c>
      <c r="M623" s="5" t="s">
        <v>945</v>
      </c>
      <c r="N623" s="173" t="s">
        <v>682</v>
      </c>
      <c r="O623" s="173"/>
      <c r="P623" s="173"/>
      <c r="Q623" s="173"/>
    </row>
    <row r="624" spans="1:18" x14ac:dyDescent="0.2">
      <c r="A624" s="158" t="s">
        <v>7</v>
      </c>
      <c r="C624" s="4" t="s">
        <v>2</v>
      </c>
      <c r="E624" s="158" t="s">
        <v>59</v>
      </c>
      <c r="F624" s="8"/>
      <c r="G624" s="8"/>
      <c r="H624" s="8"/>
      <c r="J624" s="173" t="s">
        <v>7</v>
      </c>
      <c r="L624" s="4" t="s">
        <v>2</v>
      </c>
      <c r="N624" s="173" t="s">
        <v>59</v>
      </c>
      <c r="O624" s="173"/>
      <c r="P624" s="173"/>
      <c r="Q624" s="173"/>
    </row>
    <row r="625" spans="1:18" x14ac:dyDescent="0.2">
      <c r="A625" s="158" t="s">
        <v>10</v>
      </c>
      <c r="C625" s="4" t="s">
        <v>2</v>
      </c>
      <c r="E625" s="9">
        <v>2</v>
      </c>
      <c r="F625" s="8"/>
      <c r="G625" s="8"/>
      <c r="H625" s="8"/>
      <c r="J625" s="173" t="s">
        <v>10</v>
      </c>
      <c r="L625" s="4" t="s">
        <v>2</v>
      </c>
      <c r="N625" s="9">
        <v>10</v>
      </c>
      <c r="O625" s="9"/>
      <c r="P625" s="9"/>
      <c r="Q625" s="9"/>
    </row>
    <row r="626" spans="1:18" x14ac:dyDescent="0.2">
      <c r="B626" s="8"/>
      <c r="F626" s="11"/>
      <c r="G626" s="8"/>
      <c r="H626" s="8"/>
      <c r="I626" s="8"/>
      <c r="K626" s="8"/>
      <c r="O626" s="11"/>
      <c r="P626" s="8"/>
      <c r="Q626" s="8"/>
      <c r="R626" s="8"/>
    </row>
    <row r="627" spans="1:18" x14ac:dyDescent="0.2">
      <c r="A627" s="12"/>
      <c r="B627" s="238" t="s">
        <v>11</v>
      </c>
      <c r="C627" s="239"/>
      <c r="D627" s="239"/>
      <c r="E627" s="240"/>
      <c r="F627" s="244" t="s">
        <v>12</v>
      </c>
      <c r="G627" s="244" t="s">
        <v>13</v>
      </c>
      <c r="H627" s="244" t="s">
        <v>14</v>
      </c>
      <c r="I627" s="246" t="s">
        <v>15</v>
      </c>
      <c r="J627" s="12"/>
      <c r="K627" s="238" t="s">
        <v>11</v>
      </c>
      <c r="L627" s="239"/>
      <c r="M627" s="239"/>
      <c r="N627" s="240"/>
      <c r="O627" s="244" t="s">
        <v>12</v>
      </c>
      <c r="P627" s="244" t="s">
        <v>13</v>
      </c>
      <c r="Q627" s="244" t="s">
        <v>14</v>
      </c>
      <c r="R627" s="246" t="s">
        <v>15</v>
      </c>
    </row>
    <row r="628" spans="1:18" x14ac:dyDescent="0.2">
      <c r="A628" s="13"/>
      <c r="B628" s="241"/>
      <c r="C628" s="242"/>
      <c r="D628" s="242"/>
      <c r="E628" s="243"/>
      <c r="F628" s="245"/>
      <c r="G628" s="245"/>
      <c r="H628" s="245"/>
      <c r="I628" s="247"/>
      <c r="J628" s="13"/>
      <c r="K628" s="241"/>
      <c r="L628" s="242"/>
      <c r="M628" s="242"/>
      <c r="N628" s="243"/>
      <c r="O628" s="245"/>
      <c r="P628" s="245"/>
      <c r="Q628" s="245"/>
      <c r="R628" s="247"/>
    </row>
    <row r="629" spans="1:18" x14ac:dyDescent="0.2">
      <c r="A629" s="13" t="s">
        <v>16</v>
      </c>
      <c r="B629" s="14" t="s">
        <v>17</v>
      </c>
      <c r="C629" s="15"/>
      <c r="D629" s="15"/>
      <c r="E629" s="16"/>
      <c r="F629" s="17"/>
      <c r="G629" s="17"/>
      <c r="H629" s="17"/>
      <c r="I629" s="17"/>
      <c r="J629" s="13" t="s">
        <v>16</v>
      </c>
      <c r="K629" s="14" t="s">
        <v>17</v>
      </c>
      <c r="L629" s="15"/>
      <c r="M629" s="15"/>
      <c r="N629" s="16"/>
      <c r="O629" s="17"/>
      <c r="P629" s="17"/>
      <c r="Q629" s="17"/>
      <c r="R629" s="17"/>
    </row>
    <row r="630" spans="1:18" x14ac:dyDescent="0.2">
      <c r="A630" s="13"/>
      <c r="B630" s="18"/>
      <c r="C630" s="19"/>
      <c r="D630" s="19"/>
      <c r="E630" s="20"/>
      <c r="F630" s="21"/>
      <c r="G630" s="22"/>
      <c r="H630" s="21"/>
      <c r="I630" s="21"/>
      <c r="J630" s="13"/>
      <c r="K630" s="18"/>
      <c r="L630" s="19"/>
      <c r="M630" s="19"/>
      <c r="N630" s="20"/>
      <c r="O630" s="21"/>
      <c r="P630" s="22"/>
      <c r="Q630" s="21"/>
      <c r="R630" s="21"/>
    </row>
    <row r="631" spans="1:18" x14ac:dyDescent="0.2">
      <c r="A631" s="13"/>
      <c r="B631" s="24" t="s">
        <v>18</v>
      </c>
      <c r="C631" s="25"/>
      <c r="D631" s="25"/>
      <c r="E631" s="26"/>
      <c r="F631" s="22">
        <v>1</v>
      </c>
      <c r="G631" s="23">
        <v>1</v>
      </c>
      <c r="H631" s="23">
        <v>69.42</v>
      </c>
      <c r="I631" s="23">
        <f>G631*H631*F631</f>
        <v>69.42</v>
      </c>
      <c r="J631" s="13"/>
      <c r="K631" s="24" t="s">
        <v>18</v>
      </c>
      <c r="L631" s="25"/>
      <c r="M631" s="25"/>
      <c r="N631" s="26"/>
      <c r="O631" s="22">
        <v>1</v>
      </c>
      <c r="P631" s="23">
        <v>1</v>
      </c>
      <c r="Q631" s="23">
        <v>69.42</v>
      </c>
      <c r="R631" s="23">
        <f>P631*Q631*O631</f>
        <v>69.42</v>
      </c>
    </row>
    <row r="632" spans="1:18" x14ac:dyDescent="0.2">
      <c r="A632" s="13"/>
      <c r="B632" s="257" t="s">
        <v>1178</v>
      </c>
      <c r="C632" s="258"/>
      <c r="D632" s="25"/>
      <c r="E632" s="26"/>
      <c r="F632" s="22">
        <v>1</v>
      </c>
      <c r="G632" s="23">
        <v>1</v>
      </c>
      <c r="H632" s="23">
        <v>50.18</v>
      </c>
      <c r="I632" s="23">
        <f>G632*H632*F632</f>
        <v>50.18</v>
      </c>
      <c r="J632" s="13"/>
      <c r="K632" s="257" t="s">
        <v>1179</v>
      </c>
      <c r="L632" s="258"/>
      <c r="M632" s="19"/>
      <c r="N632" s="20"/>
      <c r="O632" s="22">
        <v>3</v>
      </c>
      <c r="P632" s="23">
        <v>1</v>
      </c>
      <c r="Q632" s="23">
        <v>38.97</v>
      </c>
      <c r="R632" s="23">
        <f>P632*Q632*O632</f>
        <v>116.91</v>
      </c>
    </row>
    <row r="633" spans="1:18" x14ac:dyDescent="0.2">
      <c r="A633" s="13"/>
      <c r="B633" s="257" t="s">
        <v>1177</v>
      </c>
      <c r="C633" s="258"/>
      <c r="D633" s="19"/>
      <c r="E633" s="20"/>
      <c r="F633" s="22">
        <v>2</v>
      </c>
      <c r="G633" s="23">
        <v>1</v>
      </c>
      <c r="H633" s="23">
        <v>38.97</v>
      </c>
      <c r="I633" s="23">
        <f>G633*H633*F633</f>
        <v>77.94</v>
      </c>
      <c r="J633" s="13"/>
      <c r="K633" s="257"/>
      <c r="L633" s="258"/>
      <c r="M633" s="19"/>
      <c r="N633" s="20"/>
      <c r="O633" s="22"/>
      <c r="P633" s="22"/>
      <c r="Q633" s="23"/>
      <c r="R633" s="23"/>
    </row>
    <row r="634" spans="1:18" ht="15" customHeight="1" x14ac:dyDescent="0.2">
      <c r="A634" s="13"/>
      <c r="B634" s="159"/>
      <c r="C634" s="160"/>
      <c r="D634" s="19"/>
      <c r="E634" s="20"/>
      <c r="F634" s="22"/>
      <c r="G634" s="22"/>
      <c r="H634" s="29"/>
      <c r="I634" s="30"/>
      <c r="J634" s="13"/>
      <c r="K634" s="174"/>
      <c r="L634" s="19"/>
      <c r="M634" s="19"/>
      <c r="N634" s="20"/>
      <c r="O634" s="22"/>
      <c r="P634" s="22"/>
      <c r="Q634" s="29"/>
      <c r="R634" s="30"/>
    </row>
    <row r="635" spans="1:18" x14ac:dyDescent="0.2">
      <c r="A635" s="13"/>
      <c r="B635" s="159"/>
      <c r="C635" s="160"/>
      <c r="D635" s="19"/>
      <c r="E635" s="20"/>
      <c r="F635" s="22"/>
      <c r="G635" s="22"/>
      <c r="H635" s="29"/>
      <c r="I635" s="30"/>
      <c r="J635" s="13"/>
      <c r="K635" s="174"/>
      <c r="L635" s="19"/>
      <c r="M635" s="19"/>
      <c r="N635" s="20"/>
      <c r="O635" s="22"/>
      <c r="P635" s="22"/>
      <c r="Q635" s="29"/>
      <c r="R635" s="30"/>
    </row>
    <row r="636" spans="1:18" x14ac:dyDescent="0.2">
      <c r="A636" s="13"/>
      <c r="B636" s="257"/>
      <c r="C636" s="258"/>
      <c r="D636" s="19"/>
      <c r="E636" s="20"/>
      <c r="F636" s="22"/>
      <c r="G636" s="22"/>
      <c r="H636" s="23"/>
      <c r="I636" s="23"/>
      <c r="J636" s="13"/>
      <c r="K636" s="18"/>
      <c r="L636" s="19"/>
      <c r="M636" s="19"/>
      <c r="N636" s="20"/>
      <c r="O636" s="22"/>
      <c r="P636" s="22"/>
      <c r="Q636" s="28"/>
      <c r="R636" s="23"/>
    </row>
    <row r="637" spans="1:18" x14ac:dyDescent="0.2">
      <c r="A637" s="13"/>
      <c r="B637" s="257"/>
      <c r="C637" s="258"/>
      <c r="D637" s="19"/>
      <c r="E637" s="20"/>
      <c r="F637" s="22"/>
      <c r="G637" s="22"/>
      <c r="H637" s="23"/>
      <c r="I637" s="23"/>
      <c r="J637" s="13"/>
      <c r="K637" s="18"/>
      <c r="L637" s="19"/>
      <c r="M637" s="19"/>
      <c r="N637" s="20"/>
      <c r="O637" s="22"/>
      <c r="P637" s="22"/>
      <c r="Q637" s="23"/>
      <c r="R637" s="23"/>
    </row>
    <row r="638" spans="1:18" x14ac:dyDescent="0.2">
      <c r="A638" s="13"/>
      <c r="B638" s="248" t="s">
        <v>20</v>
      </c>
      <c r="C638" s="249"/>
      <c r="D638" s="249"/>
      <c r="E638" s="250"/>
      <c r="F638" s="31"/>
      <c r="G638" s="31"/>
      <c r="H638" s="32"/>
      <c r="I638" s="32">
        <f>SUM(I631:I637)</f>
        <v>197.54</v>
      </c>
      <c r="J638" s="13"/>
      <c r="K638" s="248" t="s">
        <v>20</v>
      </c>
      <c r="L638" s="249"/>
      <c r="M638" s="249"/>
      <c r="N638" s="250"/>
      <c r="O638" s="31"/>
      <c r="P638" s="31"/>
      <c r="Q638" s="32"/>
      <c r="R638" s="32">
        <f>SUM(R631:R637)</f>
        <v>186.32999999999998</v>
      </c>
    </row>
    <row r="639" spans="1:18" x14ac:dyDescent="0.2">
      <c r="A639" s="12"/>
      <c r="B639" s="251" t="s">
        <v>21</v>
      </c>
      <c r="C639" s="252"/>
      <c r="D639" s="252"/>
      <c r="E639" s="253"/>
      <c r="F639" s="244" t="s">
        <v>22</v>
      </c>
      <c r="G639" s="244" t="s">
        <v>13</v>
      </c>
      <c r="H639" s="244" t="s">
        <v>14</v>
      </c>
      <c r="I639" s="246" t="s">
        <v>15</v>
      </c>
      <c r="J639" s="12"/>
      <c r="K639" s="251" t="s">
        <v>21</v>
      </c>
      <c r="L639" s="252"/>
      <c r="M639" s="252"/>
      <c r="N639" s="253"/>
      <c r="O639" s="244" t="s">
        <v>22</v>
      </c>
      <c r="P639" s="244" t="s">
        <v>13</v>
      </c>
      <c r="Q639" s="244" t="s">
        <v>14</v>
      </c>
      <c r="R639" s="246" t="s">
        <v>15</v>
      </c>
    </row>
    <row r="640" spans="1:18" x14ac:dyDescent="0.2">
      <c r="A640" s="13"/>
      <c r="B640" s="254"/>
      <c r="C640" s="255"/>
      <c r="D640" s="255"/>
      <c r="E640" s="256"/>
      <c r="F640" s="245"/>
      <c r="G640" s="245"/>
      <c r="H640" s="245"/>
      <c r="I640" s="247"/>
      <c r="J640" s="13"/>
      <c r="K640" s="254"/>
      <c r="L640" s="255"/>
      <c r="M640" s="255"/>
      <c r="N640" s="256"/>
      <c r="O640" s="245"/>
      <c r="P640" s="245"/>
      <c r="Q640" s="245"/>
      <c r="R640" s="247"/>
    </row>
    <row r="641" spans="1:18" x14ac:dyDescent="0.2">
      <c r="A641" s="13" t="s">
        <v>23</v>
      </c>
      <c r="B641" s="33" t="s">
        <v>24</v>
      </c>
      <c r="C641" s="15"/>
      <c r="D641" s="15"/>
      <c r="E641" s="16"/>
      <c r="F641" s="34"/>
      <c r="G641" s="34"/>
      <c r="H641" s="35"/>
      <c r="I641" s="35"/>
      <c r="J641" s="13" t="s">
        <v>23</v>
      </c>
      <c r="K641" s="33" t="s">
        <v>24</v>
      </c>
      <c r="L641" s="15"/>
      <c r="M641" s="15"/>
      <c r="N641" s="16"/>
      <c r="O641" s="34"/>
      <c r="P641" s="34"/>
      <c r="Q641" s="35"/>
      <c r="R641" s="35"/>
    </row>
    <row r="642" spans="1:18" x14ac:dyDescent="0.2">
      <c r="A642" s="13"/>
      <c r="B642" s="18"/>
      <c r="C642" s="19"/>
      <c r="D642" s="19"/>
      <c r="E642" s="20"/>
      <c r="F642" s="22"/>
      <c r="G642" s="22"/>
      <c r="H642" s="23"/>
      <c r="I642" s="23"/>
      <c r="J642" s="13"/>
      <c r="K642" s="18"/>
      <c r="L642" s="19"/>
      <c r="M642" s="19"/>
      <c r="N642" s="20"/>
      <c r="O642" s="22"/>
      <c r="P642" s="22"/>
      <c r="Q642" s="23"/>
      <c r="R642" s="23"/>
    </row>
    <row r="643" spans="1:18" ht="17.25" customHeight="1" x14ac:dyDescent="0.2">
      <c r="A643" s="13"/>
      <c r="B643" s="18" t="s">
        <v>621</v>
      </c>
      <c r="C643" s="19"/>
      <c r="D643" s="19"/>
      <c r="E643" s="20"/>
      <c r="F643" s="22">
        <v>1</v>
      </c>
      <c r="G643" s="23">
        <v>0.2</v>
      </c>
      <c r="H643" s="37">
        <v>91.25</v>
      </c>
      <c r="I643" s="37">
        <f>F643*G643*H643</f>
        <v>18.25</v>
      </c>
      <c r="J643" s="13"/>
      <c r="K643" s="18" t="s">
        <v>1309</v>
      </c>
      <c r="L643" s="19"/>
      <c r="M643" s="19"/>
      <c r="N643" s="20"/>
      <c r="O643" s="22">
        <v>1</v>
      </c>
      <c r="P643" s="23">
        <v>1</v>
      </c>
      <c r="Q643" s="23">
        <v>201.25</v>
      </c>
      <c r="R643" s="37">
        <f>P643*Q643*O643</f>
        <v>201.25</v>
      </c>
    </row>
    <row r="644" spans="1:18" ht="17.25" customHeight="1" x14ac:dyDescent="0.2">
      <c r="A644" s="13"/>
      <c r="B644" s="18" t="s">
        <v>1292</v>
      </c>
      <c r="C644" s="66"/>
      <c r="D644" s="19"/>
      <c r="E644" s="20"/>
      <c r="F644" s="22">
        <v>1</v>
      </c>
      <c r="G644" s="23">
        <v>0.05</v>
      </c>
      <c r="H644" s="37">
        <v>1212</v>
      </c>
      <c r="I644" s="37">
        <f>F644*G644*H644</f>
        <v>60.6</v>
      </c>
      <c r="J644" s="13"/>
      <c r="K644" s="18" t="s">
        <v>1151</v>
      </c>
      <c r="L644" s="19"/>
      <c r="M644" s="19"/>
      <c r="N644" s="20"/>
      <c r="O644" s="22">
        <v>1</v>
      </c>
      <c r="P644" s="23">
        <v>0.25</v>
      </c>
      <c r="Q644" s="23">
        <v>783</v>
      </c>
      <c r="R644" s="37">
        <f>P644*Q644*O644</f>
        <v>195.75</v>
      </c>
    </row>
    <row r="645" spans="1:18" x14ac:dyDescent="0.2">
      <c r="A645" s="13"/>
      <c r="B645" s="18" t="s">
        <v>92</v>
      </c>
      <c r="F645" s="22"/>
      <c r="G645" s="23"/>
      <c r="I645" s="37">
        <f>I638*0.1</f>
        <v>19.754000000000001</v>
      </c>
      <c r="J645" s="13"/>
      <c r="K645" s="18" t="s">
        <v>1310</v>
      </c>
      <c r="L645" s="19"/>
      <c r="M645" s="19"/>
      <c r="N645" s="20"/>
      <c r="O645" s="22">
        <v>1</v>
      </c>
      <c r="P645" s="23">
        <v>1</v>
      </c>
      <c r="Q645" s="23">
        <v>205</v>
      </c>
      <c r="R645" s="37">
        <f>P645*Q645*O645</f>
        <v>205</v>
      </c>
    </row>
    <row r="646" spans="1:18" x14ac:dyDescent="0.2">
      <c r="A646" s="13"/>
      <c r="B646" s="18"/>
      <c r="F646" s="22"/>
      <c r="G646" s="23"/>
      <c r="H646" s="37"/>
      <c r="I646" s="37"/>
      <c r="J646" s="13"/>
      <c r="K646" s="18" t="s">
        <v>260</v>
      </c>
      <c r="L646" s="19"/>
      <c r="M646" s="19"/>
      <c r="N646" s="20"/>
      <c r="O646" s="22"/>
      <c r="P646" s="36"/>
      <c r="R646" s="37">
        <f>R638*0.05</f>
        <v>9.3164999999999996</v>
      </c>
    </row>
    <row r="647" spans="1:18" x14ac:dyDescent="0.2">
      <c r="A647" s="13"/>
      <c r="B647" s="18"/>
      <c r="C647" s="19"/>
      <c r="D647" s="19"/>
      <c r="E647" s="20"/>
      <c r="F647" s="22"/>
      <c r="G647" s="36"/>
      <c r="H647" s="37"/>
      <c r="I647" s="37"/>
      <c r="J647" s="13"/>
      <c r="K647" s="18"/>
      <c r="L647" s="19"/>
      <c r="M647" s="19"/>
      <c r="N647" s="20"/>
      <c r="O647" s="22"/>
      <c r="P647" s="36"/>
      <c r="Q647" s="37"/>
      <c r="R647" s="37"/>
    </row>
    <row r="648" spans="1:18" x14ac:dyDescent="0.2">
      <c r="A648" s="13"/>
      <c r="B648" s="18"/>
      <c r="C648" s="19"/>
      <c r="D648" s="19"/>
      <c r="E648" s="20"/>
      <c r="F648" s="22"/>
      <c r="G648" s="36"/>
      <c r="H648" s="37"/>
      <c r="I648" s="38"/>
      <c r="J648" s="13"/>
      <c r="K648" s="18"/>
      <c r="L648" s="19"/>
      <c r="M648" s="19"/>
      <c r="N648" s="20"/>
      <c r="O648" s="22"/>
      <c r="P648" s="36"/>
      <c r="Q648" s="38"/>
      <c r="R648" s="38"/>
    </row>
    <row r="649" spans="1:18" x14ac:dyDescent="0.2">
      <c r="A649" s="13"/>
      <c r="B649" s="18"/>
      <c r="C649" s="19"/>
      <c r="D649" s="19"/>
      <c r="E649" s="20"/>
      <c r="F649" s="22"/>
      <c r="G649" s="36"/>
      <c r="H649" s="37"/>
      <c r="I649" s="38"/>
      <c r="J649" s="13"/>
      <c r="K649" s="18"/>
      <c r="L649" s="19"/>
      <c r="M649" s="19"/>
      <c r="N649" s="20"/>
      <c r="O649" s="22"/>
      <c r="P649" s="36"/>
      <c r="Q649" s="38"/>
      <c r="R649" s="38"/>
    </row>
    <row r="650" spans="1:18" x14ac:dyDescent="0.2">
      <c r="A650" s="13"/>
      <c r="B650" s="18"/>
      <c r="C650" s="19"/>
      <c r="D650" s="19"/>
      <c r="E650" s="20"/>
      <c r="F650" s="22"/>
      <c r="G650" s="23"/>
      <c r="H650" s="37"/>
      <c r="I650" s="38"/>
      <c r="J650" s="13"/>
      <c r="K650" s="18"/>
      <c r="L650" s="19"/>
      <c r="M650" s="19"/>
      <c r="N650" s="20"/>
      <c r="O650" s="22"/>
      <c r="P650" s="36"/>
      <c r="Q650" s="38"/>
      <c r="R650" s="38"/>
    </row>
    <row r="651" spans="1:18" x14ac:dyDescent="0.2">
      <c r="A651" s="13"/>
      <c r="B651" s="18"/>
      <c r="C651" s="19"/>
      <c r="D651" s="19"/>
      <c r="E651" s="20"/>
      <c r="F651" s="22"/>
      <c r="G651" s="23"/>
      <c r="H651" s="37"/>
      <c r="I651" s="38"/>
      <c r="J651" s="13"/>
      <c r="K651" s="18"/>
      <c r="L651" s="19"/>
      <c r="M651" s="19"/>
      <c r="N651" s="20"/>
      <c r="O651" s="22"/>
      <c r="P651" s="36"/>
      <c r="Q651" s="38"/>
      <c r="R651" s="38"/>
    </row>
    <row r="652" spans="1:18" x14ac:dyDescent="0.2">
      <c r="A652" s="13"/>
      <c r="B652" s="7"/>
      <c r="C652" s="7"/>
      <c r="D652" s="7"/>
      <c r="E652" s="7"/>
      <c r="F652" s="72"/>
      <c r="G652" s="72"/>
      <c r="H652" s="72"/>
      <c r="I652" s="37"/>
      <c r="J652" s="13"/>
      <c r="K652" s="18"/>
      <c r="L652" s="19"/>
      <c r="M652" s="19"/>
      <c r="N652" s="20"/>
      <c r="O652" s="22"/>
      <c r="P652" s="36"/>
      <c r="Q652" s="37"/>
      <c r="R652" s="37"/>
    </row>
    <row r="653" spans="1:18" x14ac:dyDescent="0.2">
      <c r="A653" s="13"/>
      <c r="B653" s="18"/>
      <c r="C653" s="19"/>
      <c r="D653" s="19"/>
      <c r="E653" s="20"/>
      <c r="F653" s="22"/>
      <c r="G653" s="36"/>
      <c r="H653" s="37"/>
      <c r="I653" s="37"/>
      <c r="J653" s="13"/>
      <c r="K653" s="18"/>
      <c r="L653" s="19"/>
      <c r="M653" s="19"/>
      <c r="N653" s="20"/>
      <c r="O653" s="22"/>
      <c r="P653" s="36"/>
      <c r="Q653" s="37"/>
      <c r="R653" s="37"/>
    </row>
    <row r="654" spans="1:18" ht="15" customHeight="1" x14ac:dyDescent="0.2">
      <c r="A654" s="13"/>
      <c r="B654" s="18"/>
      <c r="C654" s="19"/>
      <c r="D654" s="19"/>
      <c r="E654" s="20"/>
      <c r="F654" s="22"/>
      <c r="G654" s="36"/>
      <c r="H654" s="37"/>
      <c r="I654" s="37"/>
      <c r="J654" s="13"/>
      <c r="K654" s="18"/>
      <c r="L654" s="19"/>
      <c r="M654" s="19"/>
      <c r="N654" s="20"/>
      <c r="O654" s="22"/>
      <c r="P654" s="36"/>
      <c r="Q654" s="37"/>
      <c r="R654" s="37"/>
    </row>
    <row r="655" spans="1:18" x14ac:dyDescent="0.2">
      <c r="A655" s="13"/>
      <c r="B655" s="18"/>
      <c r="C655" s="19"/>
      <c r="D655" s="19"/>
      <c r="E655" s="20"/>
      <c r="F655" s="22"/>
      <c r="G655" s="22"/>
      <c r="H655" s="23"/>
      <c r="I655" s="23"/>
      <c r="J655" s="13"/>
      <c r="K655" s="18"/>
      <c r="L655" s="19"/>
      <c r="M655" s="19"/>
      <c r="N655" s="20"/>
      <c r="O655" s="22"/>
      <c r="P655" s="22"/>
      <c r="Q655" s="23"/>
      <c r="R655" s="23"/>
    </row>
    <row r="656" spans="1:18" x14ac:dyDescent="0.2">
      <c r="A656" s="13"/>
      <c r="B656" s="248" t="s">
        <v>30</v>
      </c>
      <c r="C656" s="249"/>
      <c r="D656" s="249"/>
      <c r="E656" s="250"/>
      <c r="F656" s="22"/>
      <c r="G656" s="22"/>
      <c r="H656" s="23"/>
      <c r="I656" s="23">
        <f>SUM(I643:I655)</f>
        <v>98.603999999999999</v>
      </c>
      <c r="J656" s="13"/>
      <c r="K656" s="248" t="s">
        <v>30</v>
      </c>
      <c r="L656" s="249"/>
      <c r="M656" s="249"/>
      <c r="N656" s="250"/>
      <c r="O656" s="22"/>
      <c r="P656" s="22"/>
      <c r="Q656" s="23"/>
      <c r="R656" s="23">
        <f>SUM(R643:R655)</f>
        <v>611.31650000000002</v>
      </c>
    </row>
    <row r="657" spans="1:18" x14ac:dyDescent="0.2">
      <c r="A657" s="12" t="s">
        <v>31</v>
      </c>
      <c r="B657" s="260" t="s">
        <v>32</v>
      </c>
      <c r="C657" s="261"/>
      <c r="D657" s="261"/>
      <c r="E657" s="261"/>
      <c r="F657" s="161"/>
      <c r="G657" s="161"/>
      <c r="H657" s="40"/>
      <c r="I657" s="41">
        <f>SUM(I656+I638)</f>
        <v>296.14400000000001</v>
      </c>
      <c r="J657" s="12" t="s">
        <v>31</v>
      </c>
      <c r="K657" s="260" t="s">
        <v>32</v>
      </c>
      <c r="L657" s="261"/>
      <c r="M657" s="261"/>
      <c r="N657" s="261"/>
      <c r="O657" s="172"/>
      <c r="P657" s="172"/>
      <c r="Q657" s="40"/>
      <c r="R657" s="41">
        <f>SUM(R656+R638)</f>
        <v>797.64650000000006</v>
      </c>
    </row>
    <row r="658" spans="1:18" x14ac:dyDescent="0.2">
      <c r="A658" s="13" t="s">
        <v>33</v>
      </c>
      <c r="B658" s="269">
        <f>E625</f>
        <v>2</v>
      </c>
      <c r="C658" s="270"/>
      <c r="D658" s="270"/>
      <c r="E658" s="270"/>
      <c r="F658" s="270"/>
      <c r="G658" s="270"/>
      <c r="H658" s="40"/>
      <c r="I658" s="41"/>
      <c r="J658" s="13" t="s">
        <v>33</v>
      </c>
      <c r="K658" s="345">
        <f>N625</f>
        <v>10</v>
      </c>
      <c r="L658" s="346"/>
      <c r="M658" s="346"/>
      <c r="N658" s="346"/>
      <c r="O658" s="346"/>
      <c r="P658" s="346"/>
      <c r="Q658" s="40"/>
      <c r="R658" s="41"/>
    </row>
    <row r="659" spans="1:18" x14ac:dyDescent="0.2">
      <c r="A659" s="13" t="s">
        <v>34</v>
      </c>
      <c r="B659" s="162" t="s">
        <v>35</v>
      </c>
      <c r="C659" s="43"/>
      <c r="D659" s="43"/>
      <c r="E659" s="161"/>
      <c r="F659" s="163"/>
      <c r="G659" s="163"/>
      <c r="H659" s="40"/>
      <c r="I659" s="41">
        <f>I657/E625</f>
        <v>148.072</v>
      </c>
      <c r="J659" s="13" t="s">
        <v>34</v>
      </c>
      <c r="K659" s="175" t="s">
        <v>35</v>
      </c>
      <c r="L659" s="43"/>
      <c r="M659" s="43"/>
      <c r="N659" s="172"/>
      <c r="O659" s="176"/>
      <c r="P659" s="176"/>
      <c r="Q659" s="40"/>
      <c r="R659" s="41">
        <f>R657/N625</f>
        <v>79.764650000000003</v>
      </c>
    </row>
    <row r="660" spans="1:18" x14ac:dyDescent="0.2">
      <c r="A660" s="12"/>
      <c r="B660" s="251" t="s">
        <v>36</v>
      </c>
      <c r="C660" s="252"/>
      <c r="D660" s="252"/>
      <c r="E660" s="253"/>
      <c r="F660" s="244" t="s">
        <v>37</v>
      </c>
      <c r="G660" s="244" t="s">
        <v>38</v>
      </c>
      <c r="H660" s="244" t="s">
        <v>39</v>
      </c>
      <c r="I660" s="246" t="s">
        <v>15</v>
      </c>
      <c r="J660" s="12"/>
      <c r="K660" s="251" t="s">
        <v>36</v>
      </c>
      <c r="L660" s="252"/>
      <c r="M660" s="252"/>
      <c r="N660" s="253"/>
      <c r="O660" s="244" t="s">
        <v>37</v>
      </c>
      <c r="P660" s="244" t="s">
        <v>38</v>
      </c>
      <c r="Q660" s="244" t="s">
        <v>39</v>
      </c>
      <c r="R660" s="246" t="s">
        <v>15</v>
      </c>
    </row>
    <row r="661" spans="1:18" x14ac:dyDescent="0.2">
      <c r="A661" s="13"/>
      <c r="B661" s="254"/>
      <c r="C661" s="255"/>
      <c r="D661" s="255"/>
      <c r="E661" s="256"/>
      <c r="F661" s="245"/>
      <c r="G661" s="245"/>
      <c r="H661" s="245"/>
      <c r="I661" s="247"/>
      <c r="J661" s="13"/>
      <c r="K661" s="254"/>
      <c r="L661" s="255"/>
      <c r="M661" s="255"/>
      <c r="N661" s="256"/>
      <c r="O661" s="245"/>
      <c r="P661" s="245"/>
      <c r="Q661" s="245"/>
      <c r="R661" s="247"/>
    </row>
    <row r="662" spans="1:18" x14ac:dyDescent="0.2">
      <c r="A662" s="13" t="s">
        <v>40</v>
      </c>
      <c r="B662" s="18" t="s">
        <v>41</v>
      </c>
      <c r="C662" s="19"/>
      <c r="D662" s="19"/>
      <c r="E662" s="20"/>
      <c r="F662" s="22"/>
      <c r="G662" s="22"/>
      <c r="H662" s="23"/>
      <c r="I662" s="23"/>
      <c r="J662" s="13" t="s">
        <v>40</v>
      </c>
      <c r="K662" s="18" t="s">
        <v>41</v>
      </c>
      <c r="L662" s="19"/>
      <c r="M662" s="19"/>
      <c r="N662" s="20"/>
      <c r="O662" s="22"/>
      <c r="P662" s="22"/>
      <c r="Q662" s="23"/>
      <c r="R662" s="23"/>
    </row>
    <row r="663" spans="1:18" x14ac:dyDescent="0.2">
      <c r="A663" s="13"/>
      <c r="B663" s="18"/>
      <c r="C663" s="19"/>
      <c r="D663" s="19"/>
      <c r="E663" s="20"/>
      <c r="F663" s="22"/>
      <c r="G663" s="22"/>
      <c r="H663" s="23"/>
      <c r="I663" s="23"/>
      <c r="J663" s="13"/>
      <c r="K663" s="18"/>
      <c r="L663" s="19"/>
      <c r="M663" s="19"/>
      <c r="N663" s="20"/>
      <c r="O663" s="22"/>
      <c r="P663" s="22"/>
      <c r="Q663" s="23"/>
      <c r="R663" s="23"/>
    </row>
    <row r="664" spans="1:18" x14ac:dyDescent="0.2">
      <c r="A664" s="13"/>
      <c r="B664" s="18" t="s">
        <v>674</v>
      </c>
      <c r="C664" s="66"/>
      <c r="D664" s="19"/>
      <c r="E664" s="20"/>
      <c r="F664" s="62" t="s">
        <v>9</v>
      </c>
      <c r="G664" s="62">
        <v>0.03</v>
      </c>
      <c r="H664" s="107">
        <v>3400</v>
      </c>
      <c r="I664" s="23">
        <f t="shared" ref="I664:I669" si="4">G664*H664</f>
        <v>102</v>
      </c>
      <c r="J664" s="13"/>
      <c r="K664" s="18" t="s">
        <v>684</v>
      </c>
      <c r="L664" s="19"/>
      <c r="M664" s="19"/>
      <c r="N664" s="20"/>
      <c r="O664" s="22" t="s">
        <v>80</v>
      </c>
      <c r="P664" s="62">
        <v>1</v>
      </c>
      <c r="Q664" s="107">
        <v>3465</v>
      </c>
      <c r="R664" s="23">
        <f>Q664*P664</f>
        <v>3465</v>
      </c>
    </row>
    <row r="665" spans="1:18" x14ac:dyDescent="0.2">
      <c r="A665" s="13"/>
      <c r="B665" s="18" t="s">
        <v>409</v>
      </c>
      <c r="C665" s="66"/>
      <c r="D665" s="19"/>
      <c r="E665" s="20"/>
      <c r="F665" s="62" t="s">
        <v>77</v>
      </c>
      <c r="G665" s="62">
        <v>7.15</v>
      </c>
      <c r="H665" s="107">
        <v>40</v>
      </c>
      <c r="I665" s="23">
        <f t="shared" si="4"/>
        <v>286</v>
      </c>
      <c r="J665" s="13"/>
      <c r="K665" s="18" t="s">
        <v>686</v>
      </c>
      <c r="L665" s="19"/>
      <c r="M665" s="19"/>
      <c r="N665" s="20"/>
      <c r="O665" s="22"/>
      <c r="P665" s="70"/>
      <c r="Q665" s="107"/>
      <c r="R665" s="23"/>
    </row>
    <row r="666" spans="1:18" x14ac:dyDescent="0.2">
      <c r="A666" s="13"/>
      <c r="B666" s="18" t="s">
        <v>676</v>
      </c>
      <c r="C666" s="19"/>
      <c r="D666" s="19"/>
      <c r="E666" s="20"/>
      <c r="F666" s="62" t="s">
        <v>80</v>
      </c>
      <c r="G666" s="62">
        <v>0.22</v>
      </c>
      <c r="H666" s="107">
        <v>700</v>
      </c>
      <c r="I666" s="23">
        <f>G666*H666/4</f>
        <v>38.5</v>
      </c>
      <c r="J666" s="13"/>
      <c r="K666" s="18" t="s">
        <v>687</v>
      </c>
      <c r="L666" s="19"/>
      <c r="M666" s="19"/>
      <c r="N666" s="20"/>
      <c r="O666" s="22" t="s">
        <v>1216</v>
      </c>
      <c r="P666" s="70">
        <v>1.2E-2</v>
      </c>
      <c r="Q666" s="107">
        <v>1200</v>
      </c>
      <c r="R666" s="23">
        <f>Q666*P666</f>
        <v>14.4</v>
      </c>
    </row>
    <row r="667" spans="1:18" x14ac:dyDescent="0.2">
      <c r="A667" s="13"/>
      <c r="B667" s="18" t="s">
        <v>624</v>
      </c>
      <c r="C667" s="19"/>
      <c r="D667" s="19"/>
      <c r="E667" s="20"/>
      <c r="F667" s="22" t="s">
        <v>413</v>
      </c>
      <c r="G667" s="62">
        <v>13.53</v>
      </c>
      <c r="H667" s="107">
        <v>40</v>
      </c>
      <c r="I667" s="23">
        <f>G667*H667/4</f>
        <v>135.29999999999998</v>
      </c>
      <c r="J667" s="13"/>
      <c r="K667" s="18"/>
      <c r="L667" s="19"/>
      <c r="M667" s="19"/>
      <c r="N667" s="20"/>
      <c r="O667" s="22"/>
      <c r="P667" s="22"/>
      <c r="Q667" s="23"/>
      <c r="R667" s="23"/>
    </row>
    <row r="668" spans="1:18" x14ac:dyDescent="0.2">
      <c r="A668" s="13"/>
      <c r="B668" s="18" t="s">
        <v>677</v>
      </c>
      <c r="C668" s="19"/>
      <c r="D668" s="19"/>
      <c r="E668" s="20"/>
      <c r="F668" s="22" t="s">
        <v>1216</v>
      </c>
      <c r="G668" s="62">
        <v>0.1</v>
      </c>
      <c r="H668" s="107">
        <v>475</v>
      </c>
      <c r="I668" s="23">
        <f t="shared" si="4"/>
        <v>47.5</v>
      </c>
      <c r="J668" s="13"/>
      <c r="K668" s="18"/>
      <c r="L668" s="19"/>
      <c r="M668" s="19"/>
      <c r="N668" s="20"/>
      <c r="O668" s="22"/>
      <c r="P668" s="22"/>
      <c r="Q668" s="45"/>
      <c r="R668" s="45"/>
    </row>
    <row r="669" spans="1:18" x14ac:dyDescent="0.2">
      <c r="A669" s="13"/>
      <c r="B669" s="18" t="s">
        <v>678</v>
      </c>
      <c r="C669" s="19"/>
      <c r="D669" s="19"/>
      <c r="E669" s="20"/>
      <c r="F669" s="22" t="s">
        <v>77</v>
      </c>
      <c r="G669" s="22">
        <f>ROUND(G665*0.02,2)</f>
        <v>0.14000000000000001</v>
      </c>
      <c r="H669" s="107">
        <v>47</v>
      </c>
      <c r="I669" s="23">
        <f t="shared" si="4"/>
        <v>6.580000000000001</v>
      </c>
      <c r="J669" s="13"/>
      <c r="K669" s="18"/>
      <c r="L669" s="19"/>
      <c r="M669" s="19"/>
      <c r="N669" s="20"/>
      <c r="O669" s="22"/>
      <c r="P669" s="22"/>
      <c r="Q669" s="45"/>
      <c r="R669" s="45"/>
    </row>
    <row r="670" spans="1:18" ht="15" customHeight="1" x14ac:dyDescent="0.2">
      <c r="A670" s="13"/>
      <c r="B670" s="18" t="s">
        <v>679</v>
      </c>
      <c r="C670" s="19"/>
      <c r="D670" s="19"/>
      <c r="E670" s="20"/>
      <c r="F670" s="22" t="s">
        <v>77</v>
      </c>
      <c r="G670" s="22">
        <f>ROUND(G667/100,2)</f>
        <v>0.14000000000000001</v>
      </c>
      <c r="H670" s="107">
        <v>68</v>
      </c>
      <c r="I670" s="23">
        <f>H670*G670</f>
        <v>9.5200000000000014</v>
      </c>
      <c r="J670" s="13"/>
      <c r="K670" s="18"/>
      <c r="L670" s="19"/>
      <c r="M670" s="19"/>
      <c r="N670" s="20"/>
      <c r="O670" s="22"/>
      <c r="P670" s="22"/>
      <c r="Q670" s="23"/>
      <c r="R670" s="23"/>
    </row>
    <row r="671" spans="1:18" x14ac:dyDescent="0.2">
      <c r="A671" s="13"/>
      <c r="B671" s="18"/>
      <c r="C671" s="19"/>
      <c r="D671" s="19"/>
      <c r="E671" s="20"/>
      <c r="F671" s="22"/>
      <c r="G671" s="22"/>
      <c r="H671" s="23"/>
      <c r="I671" s="23"/>
      <c r="J671" s="13"/>
      <c r="K671" s="18"/>
      <c r="L671" s="19"/>
      <c r="M671" s="19"/>
      <c r="N671" s="20"/>
      <c r="O671" s="22"/>
      <c r="P671" s="22"/>
      <c r="Q671" s="23"/>
      <c r="R671" s="23"/>
    </row>
    <row r="672" spans="1:18" x14ac:dyDescent="0.2">
      <c r="A672" s="13"/>
      <c r="B672" s="18"/>
      <c r="C672" s="19"/>
      <c r="D672" s="19"/>
      <c r="E672" s="20"/>
      <c r="F672" s="22"/>
      <c r="G672" s="22"/>
      <c r="H672" s="23"/>
      <c r="I672" s="23"/>
      <c r="J672" s="13"/>
      <c r="K672" s="18"/>
      <c r="L672" s="19"/>
      <c r="M672" s="19"/>
      <c r="N672" s="20"/>
      <c r="O672" s="22"/>
      <c r="P672" s="22"/>
      <c r="Q672" s="23"/>
      <c r="R672" s="23"/>
    </row>
    <row r="673" spans="1:18" x14ac:dyDescent="0.2">
      <c r="A673" s="13"/>
      <c r="B673" s="18"/>
      <c r="C673" s="19"/>
      <c r="D673" s="19"/>
      <c r="E673" s="20"/>
      <c r="F673" s="22"/>
      <c r="G673" s="22"/>
      <c r="H673" s="23"/>
      <c r="I673" s="23"/>
      <c r="J673" s="13"/>
      <c r="K673" s="18"/>
      <c r="L673" s="19"/>
      <c r="M673" s="19"/>
      <c r="N673" s="20"/>
      <c r="O673" s="22"/>
      <c r="P673" s="22"/>
      <c r="Q673" s="23"/>
      <c r="R673" s="23"/>
    </row>
    <row r="674" spans="1:18" x14ac:dyDescent="0.2">
      <c r="A674" s="13"/>
      <c r="B674" s="18"/>
      <c r="C674" s="19"/>
      <c r="D674" s="19"/>
      <c r="E674" s="20"/>
      <c r="F674" s="22"/>
      <c r="G674" s="22"/>
      <c r="H674" s="23"/>
      <c r="I674" s="23"/>
      <c r="J674" s="13"/>
      <c r="K674" s="18"/>
      <c r="L674" s="19"/>
      <c r="M674" s="19"/>
      <c r="N674" s="20"/>
      <c r="O674" s="22"/>
      <c r="P674" s="22"/>
      <c r="Q674" s="23"/>
      <c r="R674" s="23"/>
    </row>
    <row r="675" spans="1:18" x14ac:dyDescent="0.2">
      <c r="A675" s="13"/>
      <c r="B675" s="18"/>
      <c r="C675" s="19"/>
      <c r="D675" s="19"/>
      <c r="E675" s="20"/>
      <c r="F675" s="22"/>
      <c r="G675" s="22"/>
      <c r="H675" s="23"/>
      <c r="I675" s="23"/>
      <c r="J675" s="13"/>
      <c r="K675" s="18"/>
      <c r="L675" s="19"/>
      <c r="M675" s="19"/>
      <c r="N675" s="20"/>
      <c r="O675" s="22"/>
      <c r="P675" s="22"/>
      <c r="Q675" s="23"/>
      <c r="R675" s="23"/>
    </row>
    <row r="676" spans="1:18" x14ac:dyDescent="0.2">
      <c r="A676" s="13"/>
      <c r="B676" s="18"/>
      <c r="C676" s="19"/>
      <c r="D676" s="19"/>
      <c r="E676" s="20"/>
      <c r="F676" s="22"/>
      <c r="G676" s="36"/>
      <c r="H676" s="37"/>
      <c r="I676" s="37"/>
      <c r="J676" s="13"/>
      <c r="K676" s="18"/>
      <c r="L676" s="19"/>
      <c r="M676" s="19"/>
      <c r="N676" s="20"/>
      <c r="O676" s="22"/>
      <c r="P676" s="36"/>
      <c r="Q676" s="37"/>
      <c r="R676" s="37"/>
    </row>
    <row r="677" spans="1:18" x14ac:dyDescent="0.2">
      <c r="A677" s="13"/>
      <c r="B677" s="248" t="s">
        <v>42</v>
      </c>
      <c r="C677" s="249"/>
      <c r="D677" s="249"/>
      <c r="E677" s="250"/>
      <c r="F677" s="46"/>
      <c r="G677" s="46"/>
      <c r="H677" s="47"/>
      <c r="I677" s="47">
        <f>SUM(I664:I676)</f>
        <v>625.4</v>
      </c>
      <c r="J677" s="13"/>
      <c r="K677" s="248" t="s">
        <v>42</v>
      </c>
      <c r="L677" s="249"/>
      <c r="M677" s="249"/>
      <c r="N677" s="250"/>
      <c r="O677" s="46"/>
      <c r="P677" s="46"/>
      <c r="Q677" s="47"/>
      <c r="R677" s="47">
        <f>SUM(R664:R676)</f>
        <v>3479.4</v>
      </c>
    </row>
    <row r="678" spans="1:18" x14ac:dyDescent="0.2">
      <c r="A678" s="12" t="s">
        <v>43</v>
      </c>
      <c r="B678" s="48" t="s">
        <v>44</v>
      </c>
      <c r="C678" s="43"/>
      <c r="D678" s="43"/>
      <c r="E678" s="161"/>
      <c r="F678" s="49"/>
      <c r="G678" s="49"/>
      <c r="H678" s="50"/>
      <c r="I678" s="51">
        <f>SUM(I659+I677)</f>
        <v>773.47199999999998</v>
      </c>
      <c r="J678" s="12" t="s">
        <v>43</v>
      </c>
      <c r="K678" s="48" t="s">
        <v>44</v>
      </c>
      <c r="L678" s="43"/>
      <c r="M678" s="43"/>
      <c r="N678" s="172"/>
      <c r="O678" s="49"/>
      <c r="P678" s="49"/>
      <c r="Q678" s="50"/>
      <c r="R678" s="51">
        <f>SUM(R659+R677)</f>
        <v>3559.1646500000002</v>
      </c>
    </row>
    <row r="679" spans="1:18" x14ac:dyDescent="0.2">
      <c r="A679" s="13" t="s">
        <v>45</v>
      </c>
      <c r="B679" s="48" t="s">
        <v>46</v>
      </c>
      <c r="C679" s="43"/>
      <c r="D679" s="43"/>
      <c r="E679" s="161"/>
      <c r="F679" s="49"/>
      <c r="G679" s="52">
        <v>0.09</v>
      </c>
      <c r="H679" s="53" t="s">
        <v>47</v>
      </c>
      <c r="I679" s="51">
        <f>G679*I678</f>
        <v>69.612479999999991</v>
      </c>
      <c r="J679" s="13" t="s">
        <v>45</v>
      </c>
      <c r="K679" s="48" t="s">
        <v>46</v>
      </c>
      <c r="L679" s="43"/>
      <c r="M679" s="43"/>
      <c r="N679" s="172"/>
      <c r="O679" s="49"/>
      <c r="P679" s="52">
        <v>0.09</v>
      </c>
      <c r="Q679" s="53" t="s">
        <v>47</v>
      </c>
      <c r="R679" s="51">
        <f>P679*R678</f>
        <v>320.32481849999999</v>
      </c>
    </row>
    <row r="680" spans="1:18" x14ac:dyDescent="0.2">
      <c r="A680" s="13" t="s">
        <v>48</v>
      </c>
      <c r="B680" s="48" t="s">
        <v>49</v>
      </c>
      <c r="C680" s="43"/>
      <c r="D680" s="43"/>
      <c r="E680" s="161"/>
      <c r="F680" s="49"/>
      <c r="G680" s="52">
        <v>0.08</v>
      </c>
      <c r="H680" s="53" t="s">
        <v>47</v>
      </c>
      <c r="I680" s="51">
        <f>G680*I678</f>
        <v>61.877760000000002</v>
      </c>
      <c r="J680" s="13" t="s">
        <v>48</v>
      </c>
      <c r="K680" s="48" t="s">
        <v>49</v>
      </c>
      <c r="L680" s="43"/>
      <c r="M680" s="43"/>
      <c r="N680" s="172"/>
      <c r="O680" s="49"/>
      <c r="P680" s="52">
        <v>0.08</v>
      </c>
      <c r="Q680" s="53" t="s">
        <v>47</v>
      </c>
      <c r="R680" s="51">
        <f>P680*R678</f>
        <v>284.73317200000002</v>
      </c>
    </row>
    <row r="681" spans="1:18" x14ac:dyDescent="0.2">
      <c r="A681" s="13" t="s">
        <v>50</v>
      </c>
      <c r="B681" s="48" t="s">
        <v>51</v>
      </c>
      <c r="C681" s="43"/>
      <c r="D681" s="43"/>
      <c r="E681" s="161"/>
      <c r="F681" s="49"/>
      <c r="G681" s="52">
        <v>0.05</v>
      </c>
      <c r="H681" s="53" t="s">
        <v>52</v>
      </c>
      <c r="I681" s="51">
        <f>G681*(I678+I679+I680)</f>
        <v>45.248111999999999</v>
      </c>
      <c r="J681" s="13" t="s">
        <v>50</v>
      </c>
      <c r="K681" s="48" t="s">
        <v>51</v>
      </c>
      <c r="L681" s="43"/>
      <c r="M681" s="43"/>
      <c r="N681" s="172"/>
      <c r="O681" s="49"/>
      <c r="P681" s="52">
        <v>0.05</v>
      </c>
      <c r="Q681" s="53" t="s">
        <v>52</v>
      </c>
      <c r="R681" s="51">
        <f>P681*(R678+R679+R680)</f>
        <v>208.21113202500001</v>
      </c>
    </row>
    <row r="682" spans="1:18" x14ac:dyDescent="0.2">
      <c r="A682" s="54" t="s">
        <v>53</v>
      </c>
      <c r="B682" s="48" t="s">
        <v>54</v>
      </c>
      <c r="C682" s="43"/>
      <c r="D682" s="43"/>
      <c r="E682" s="161"/>
      <c r="F682" s="49"/>
      <c r="G682" s="49"/>
      <c r="H682" s="55" t="s">
        <v>55</v>
      </c>
      <c r="I682" s="51">
        <f>SUM(I678+I679+I680+I681)</f>
        <v>950.21035199999994</v>
      </c>
      <c r="J682" s="54" t="s">
        <v>53</v>
      </c>
      <c r="K682" s="48" t="s">
        <v>54</v>
      </c>
      <c r="L682" s="43"/>
      <c r="M682" s="43"/>
      <c r="N682" s="172"/>
      <c r="O682" s="49"/>
      <c r="P682" s="49"/>
      <c r="Q682" s="55" t="s">
        <v>55</v>
      </c>
      <c r="R682" s="51">
        <f>SUM(R678+R679+R680+R681)</f>
        <v>4372.4337725249998</v>
      </c>
    </row>
    <row r="683" spans="1:18" s="1" customFormat="1" x14ac:dyDescent="0.2">
      <c r="A683" s="236" t="s">
        <v>0</v>
      </c>
      <c r="B683" s="236"/>
      <c r="C683" s="236"/>
      <c r="D683" s="236"/>
      <c r="E683" s="236"/>
      <c r="F683" s="236"/>
      <c r="G683" s="236"/>
      <c r="H683" s="236"/>
      <c r="I683" s="236"/>
      <c r="J683" s="236" t="s">
        <v>0</v>
      </c>
      <c r="K683" s="236"/>
      <c r="L683" s="236"/>
      <c r="M683" s="236"/>
      <c r="N683" s="236"/>
      <c r="O683" s="236"/>
      <c r="P683" s="236"/>
      <c r="Q683" s="236"/>
      <c r="R683" s="236"/>
    </row>
    <row r="685" spans="1:18" x14ac:dyDescent="0.2">
      <c r="A685" s="158" t="s">
        <v>1</v>
      </c>
      <c r="C685" s="4" t="s">
        <v>2</v>
      </c>
      <c r="D685" s="5" t="s">
        <v>693</v>
      </c>
      <c r="E685" s="8" t="s">
        <v>694</v>
      </c>
      <c r="F685" s="8"/>
      <c r="G685" s="8"/>
      <c r="H685" s="8"/>
      <c r="I685" s="8"/>
      <c r="J685" s="158" t="s">
        <v>1</v>
      </c>
      <c r="L685" s="4" t="s">
        <v>2</v>
      </c>
      <c r="M685" s="5" t="s">
        <v>690</v>
      </c>
      <c r="N685" s="158" t="s">
        <v>691</v>
      </c>
      <c r="O685" s="158"/>
      <c r="P685" s="158"/>
      <c r="Q685" s="158"/>
    </row>
    <row r="686" spans="1:18" x14ac:dyDescent="0.2">
      <c r="A686" s="158" t="s">
        <v>7</v>
      </c>
      <c r="C686" s="4" t="s">
        <v>2</v>
      </c>
      <c r="E686" s="158" t="s">
        <v>59</v>
      </c>
      <c r="F686" s="8"/>
      <c r="G686" s="8"/>
      <c r="H686" s="8"/>
      <c r="J686" s="158" t="s">
        <v>7</v>
      </c>
      <c r="L686" s="4" t="s">
        <v>2</v>
      </c>
      <c r="N686" s="158" t="s">
        <v>9</v>
      </c>
      <c r="O686" s="8"/>
      <c r="P686" s="8"/>
      <c r="Q686" s="8"/>
    </row>
    <row r="687" spans="1:18" x14ac:dyDescent="0.2">
      <c r="A687" s="158" t="s">
        <v>10</v>
      </c>
      <c r="C687" s="4" t="s">
        <v>2</v>
      </c>
      <c r="E687" s="9">
        <v>4</v>
      </c>
      <c r="F687" s="8"/>
      <c r="G687" s="8"/>
      <c r="H687" s="8"/>
      <c r="J687" s="158" t="s">
        <v>10</v>
      </c>
      <c r="L687" s="4" t="s">
        <v>2</v>
      </c>
      <c r="N687" s="9">
        <v>1.25</v>
      </c>
      <c r="O687" s="8"/>
      <c r="P687" s="8"/>
      <c r="Q687" s="8"/>
    </row>
    <row r="688" spans="1:18" x14ac:dyDescent="0.2">
      <c r="B688" s="8"/>
      <c r="F688" s="11"/>
      <c r="G688" s="8"/>
      <c r="H688" s="8"/>
      <c r="I688" s="8"/>
      <c r="K688" s="8"/>
      <c r="O688" s="11"/>
      <c r="P688" s="8"/>
      <c r="Q688" s="8"/>
      <c r="R688" s="8"/>
    </row>
    <row r="689" spans="1:18" x14ac:dyDescent="0.2">
      <c r="A689" s="12"/>
      <c r="B689" s="238" t="s">
        <v>11</v>
      </c>
      <c r="C689" s="239"/>
      <c r="D689" s="239"/>
      <c r="E689" s="240"/>
      <c r="F689" s="244" t="s">
        <v>12</v>
      </c>
      <c r="G689" s="244" t="s">
        <v>13</v>
      </c>
      <c r="H689" s="244" t="s">
        <v>14</v>
      </c>
      <c r="I689" s="246" t="s">
        <v>15</v>
      </c>
      <c r="J689" s="12"/>
      <c r="K689" s="238" t="s">
        <v>11</v>
      </c>
      <c r="L689" s="239"/>
      <c r="M689" s="239"/>
      <c r="N689" s="240"/>
      <c r="O689" s="244" t="s">
        <v>12</v>
      </c>
      <c r="P689" s="244" t="s">
        <v>13</v>
      </c>
      <c r="Q689" s="244" t="s">
        <v>14</v>
      </c>
      <c r="R689" s="246" t="s">
        <v>15</v>
      </c>
    </row>
    <row r="690" spans="1:18" x14ac:dyDescent="0.2">
      <c r="A690" s="13"/>
      <c r="B690" s="241"/>
      <c r="C690" s="242"/>
      <c r="D690" s="242"/>
      <c r="E690" s="243"/>
      <c r="F690" s="245"/>
      <c r="G690" s="245"/>
      <c r="H690" s="245"/>
      <c r="I690" s="247"/>
      <c r="J690" s="13"/>
      <c r="K690" s="241"/>
      <c r="L690" s="242"/>
      <c r="M690" s="242"/>
      <c r="N690" s="243"/>
      <c r="O690" s="245"/>
      <c r="P690" s="245"/>
      <c r="Q690" s="245"/>
      <c r="R690" s="247"/>
    </row>
    <row r="691" spans="1:18" x14ac:dyDescent="0.2">
      <c r="A691" s="13" t="s">
        <v>16</v>
      </c>
      <c r="B691" s="14" t="s">
        <v>17</v>
      </c>
      <c r="C691" s="15"/>
      <c r="D691" s="15"/>
      <c r="E691" s="16"/>
      <c r="F691" s="17"/>
      <c r="G691" s="17"/>
      <c r="H691" s="17"/>
      <c r="I691" s="17"/>
      <c r="J691" s="13" t="s">
        <v>16</v>
      </c>
      <c r="K691" s="14" t="s">
        <v>17</v>
      </c>
      <c r="L691" s="15"/>
      <c r="M691" s="15"/>
      <c r="N691" s="16"/>
      <c r="O691" s="17"/>
      <c r="P691" s="17"/>
      <c r="Q691" s="17"/>
      <c r="R691" s="17"/>
    </row>
    <row r="692" spans="1:18" x14ac:dyDescent="0.2">
      <c r="A692" s="13"/>
      <c r="B692" s="18"/>
      <c r="C692" s="19"/>
      <c r="D692" s="19"/>
      <c r="E692" s="20"/>
      <c r="F692" s="21"/>
      <c r="G692" s="22"/>
      <c r="H692" s="21"/>
      <c r="I692" s="21"/>
      <c r="J692" s="13"/>
      <c r="K692" s="18"/>
      <c r="L692" s="19"/>
      <c r="M692" s="19"/>
      <c r="N692" s="20"/>
      <c r="O692" s="21"/>
      <c r="P692" s="22"/>
      <c r="Q692" s="21"/>
      <c r="R692" s="21"/>
    </row>
    <row r="693" spans="1:18" x14ac:dyDescent="0.2">
      <c r="A693" s="13"/>
      <c r="B693" s="24" t="s">
        <v>18</v>
      </c>
      <c r="C693" s="25"/>
      <c r="D693" s="25"/>
      <c r="E693" s="26"/>
      <c r="F693" s="22">
        <v>1</v>
      </c>
      <c r="G693" s="23">
        <v>1</v>
      </c>
      <c r="H693" s="23">
        <v>69.42</v>
      </c>
      <c r="I693" s="23">
        <f>G693*H693*F693</f>
        <v>69.42</v>
      </c>
      <c r="J693" s="13"/>
      <c r="K693" s="24" t="s">
        <v>18</v>
      </c>
      <c r="L693" s="25"/>
      <c r="M693" s="25"/>
      <c r="N693" s="26"/>
      <c r="O693" s="22">
        <v>1</v>
      </c>
      <c r="P693" s="62">
        <f>16/16</f>
        <v>1</v>
      </c>
      <c r="Q693" s="23">
        <v>69.42</v>
      </c>
      <c r="R693" s="23">
        <f>P693*Q693*O693</f>
        <v>69.42</v>
      </c>
    </row>
    <row r="694" spans="1:18" x14ac:dyDescent="0.2">
      <c r="A694" s="13"/>
      <c r="B694" s="257" t="s">
        <v>1178</v>
      </c>
      <c r="C694" s="258"/>
      <c r="D694" s="25"/>
      <c r="E694" s="26"/>
      <c r="F694" s="22">
        <v>1</v>
      </c>
      <c r="G694" s="23">
        <v>1</v>
      </c>
      <c r="H694" s="23">
        <v>50.18</v>
      </c>
      <c r="I694" s="23">
        <f>G694*H694*F694</f>
        <v>50.18</v>
      </c>
      <c r="J694" s="13"/>
      <c r="K694" s="257" t="s">
        <v>1178</v>
      </c>
      <c r="L694" s="258"/>
      <c r="M694" s="25"/>
      <c r="N694" s="26"/>
      <c r="O694" s="22">
        <v>2</v>
      </c>
      <c r="P694" s="62">
        <f t="shared" ref="P694:P695" si="5">16/16</f>
        <v>1</v>
      </c>
      <c r="Q694" s="23">
        <v>50.18</v>
      </c>
      <c r="R694" s="23">
        <f>P694*Q694*O694</f>
        <v>100.36</v>
      </c>
    </row>
    <row r="695" spans="1:18" x14ac:dyDescent="0.2">
      <c r="A695" s="13"/>
      <c r="B695" s="257" t="s">
        <v>1177</v>
      </c>
      <c r="C695" s="258"/>
      <c r="D695" s="19"/>
      <c r="E695" s="20"/>
      <c r="F695" s="22">
        <v>2</v>
      </c>
      <c r="G695" s="23">
        <v>1</v>
      </c>
      <c r="H695" s="23">
        <v>38.97</v>
      </c>
      <c r="I695" s="23">
        <f>G695*H695*F695</f>
        <v>77.94</v>
      </c>
      <c r="J695" s="13"/>
      <c r="K695" s="257" t="s">
        <v>1177</v>
      </c>
      <c r="L695" s="258"/>
      <c r="M695" s="19"/>
      <c r="N695" s="20"/>
      <c r="O695" s="22">
        <v>2</v>
      </c>
      <c r="P695" s="62">
        <f t="shared" si="5"/>
        <v>1</v>
      </c>
      <c r="Q695" s="23">
        <v>38.97</v>
      </c>
      <c r="R695" s="23">
        <f>P695*Q695*O695</f>
        <v>77.94</v>
      </c>
    </row>
    <row r="696" spans="1:18" ht="15" customHeight="1" x14ac:dyDescent="0.2">
      <c r="A696" s="13"/>
      <c r="B696" s="159"/>
      <c r="C696" s="160"/>
      <c r="D696" s="19"/>
      <c r="E696" s="20"/>
      <c r="F696" s="22"/>
      <c r="G696" s="22"/>
      <c r="H696" s="29"/>
      <c r="I696" s="30"/>
      <c r="J696" s="13"/>
      <c r="K696" s="159"/>
      <c r="L696" s="19"/>
      <c r="M696" s="19"/>
      <c r="N696" s="20"/>
      <c r="O696" s="22"/>
      <c r="P696" s="22"/>
      <c r="Q696" s="29"/>
      <c r="R696" s="30"/>
    </row>
    <row r="697" spans="1:18" x14ac:dyDescent="0.2">
      <c r="A697" s="13"/>
      <c r="B697" s="159"/>
      <c r="C697" s="160"/>
      <c r="D697" s="19"/>
      <c r="E697" s="20"/>
      <c r="F697" s="22"/>
      <c r="G697" s="22"/>
      <c r="H697" s="29"/>
      <c r="I697" s="30"/>
      <c r="J697" s="13"/>
      <c r="K697" s="159"/>
      <c r="L697" s="19"/>
      <c r="M697" s="19"/>
      <c r="N697" s="20"/>
      <c r="O697" s="22"/>
      <c r="P697" s="22"/>
      <c r="Q697" s="29"/>
      <c r="R697" s="30"/>
    </row>
    <row r="698" spans="1:18" x14ac:dyDescent="0.2">
      <c r="A698" s="13"/>
      <c r="B698" s="257"/>
      <c r="C698" s="258"/>
      <c r="D698" s="19"/>
      <c r="E698" s="20"/>
      <c r="F698" s="22"/>
      <c r="G698" s="22"/>
      <c r="H698" s="23"/>
      <c r="I698" s="23"/>
      <c r="J698" s="13"/>
      <c r="K698" s="18"/>
      <c r="L698" s="19"/>
      <c r="M698" s="19"/>
      <c r="N698" s="20"/>
      <c r="O698" s="22"/>
      <c r="P698" s="22"/>
      <c r="Q698" s="28"/>
      <c r="R698" s="23"/>
    </row>
    <row r="699" spans="1:18" x14ac:dyDescent="0.2">
      <c r="A699" s="13"/>
      <c r="B699" s="257"/>
      <c r="C699" s="258"/>
      <c r="D699" s="19"/>
      <c r="E699" s="20"/>
      <c r="F699" s="22"/>
      <c r="G699" s="22"/>
      <c r="H699" s="23"/>
      <c r="I699" s="23"/>
      <c r="J699" s="13"/>
      <c r="K699" s="18"/>
      <c r="L699" s="19"/>
      <c r="M699" s="19"/>
      <c r="N699" s="20"/>
      <c r="O699" s="22"/>
      <c r="P699" s="22"/>
      <c r="Q699" s="23"/>
      <c r="R699" s="23"/>
    </row>
    <row r="700" spans="1:18" x14ac:dyDescent="0.2">
      <c r="A700" s="13"/>
      <c r="B700" s="248" t="s">
        <v>20</v>
      </c>
      <c r="C700" s="249"/>
      <c r="D700" s="249"/>
      <c r="E700" s="250"/>
      <c r="F700" s="31"/>
      <c r="G700" s="31"/>
      <c r="H700" s="32"/>
      <c r="I700" s="32">
        <f>SUM(I693:I699)</f>
        <v>197.54</v>
      </c>
      <c r="J700" s="13"/>
      <c r="K700" s="248" t="s">
        <v>20</v>
      </c>
      <c r="L700" s="249"/>
      <c r="M700" s="249"/>
      <c r="N700" s="250"/>
      <c r="O700" s="31"/>
      <c r="P700" s="31"/>
      <c r="Q700" s="32"/>
      <c r="R700" s="32">
        <f>SUM(R693:R699)</f>
        <v>247.72</v>
      </c>
    </row>
    <row r="701" spans="1:18" x14ac:dyDescent="0.2">
      <c r="A701" s="12"/>
      <c r="B701" s="251" t="s">
        <v>21</v>
      </c>
      <c r="C701" s="252"/>
      <c r="D701" s="252"/>
      <c r="E701" s="253"/>
      <c r="F701" s="244" t="s">
        <v>22</v>
      </c>
      <c r="G701" s="244" t="s">
        <v>13</v>
      </c>
      <c r="H701" s="244" t="s">
        <v>14</v>
      </c>
      <c r="I701" s="246" t="s">
        <v>15</v>
      </c>
      <c r="J701" s="12"/>
      <c r="K701" s="251" t="s">
        <v>21</v>
      </c>
      <c r="L701" s="252"/>
      <c r="M701" s="252"/>
      <c r="N701" s="253"/>
      <c r="O701" s="244" t="s">
        <v>22</v>
      </c>
      <c r="P701" s="244" t="s">
        <v>13</v>
      </c>
      <c r="Q701" s="244" t="s">
        <v>14</v>
      </c>
      <c r="R701" s="246" t="s">
        <v>15</v>
      </c>
    </row>
    <row r="702" spans="1:18" x14ac:dyDescent="0.2">
      <c r="A702" s="13"/>
      <c r="B702" s="254"/>
      <c r="C702" s="255"/>
      <c r="D702" s="255"/>
      <c r="E702" s="256"/>
      <c r="F702" s="245"/>
      <c r="G702" s="245"/>
      <c r="H702" s="245"/>
      <c r="I702" s="247"/>
      <c r="J702" s="13"/>
      <c r="K702" s="254"/>
      <c r="L702" s="255"/>
      <c r="M702" s="255"/>
      <c r="N702" s="256"/>
      <c r="O702" s="245"/>
      <c r="P702" s="245"/>
      <c r="Q702" s="245"/>
      <c r="R702" s="247"/>
    </row>
    <row r="703" spans="1:18" x14ac:dyDescent="0.2">
      <c r="A703" s="13" t="s">
        <v>23</v>
      </c>
      <c r="B703" s="33" t="s">
        <v>24</v>
      </c>
      <c r="C703" s="15"/>
      <c r="D703" s="15"/>
      <c r="E703" s="16"/>
      <c r="F703" s="34"/>
      <c r="G703" s="34"/>
      <c r="H703" s="35"/>
      <c r="I703" s="35"/>
      <c r="J703" s="13" t="s">
        <v>23</v>
      </c>
      <c r="K703" s="33" t="s">
        <v>24</v>
      </c>
      <c r="L703" s="15"/>
      <c r="M703" s="15"/>
      <c r="N703" s="16"/>
      <c r="O703" s="34"/>
      <c r="P703" s="34"/>
      <c r="Q703" s="35"/>
      <c r="R703" s="35"/>
    </row>
    <row r="704" spans="1:18" x14ac:dyDescent="0.2">
      <c r="A704" s="13"/>
      <c r="B704" s="18"/>
      <c r="C704" s="19"/>
      <c r="D704" s="19"/>
      <c r="E704" s="20"/>
      <c r="F704" s="22"/>
      <c r="G704" s="22"/>
      <c r="H704" s="23"/>
      <c r="I704" s="23"/>
      <c r="J704" s="13"/>
      <c r="K704" s="18"/>
      <c r="L704" s="19"/>
      <c r="M704" s="19"/>
      <c r="N704" s="20"/>
      <c r="O704" s="22"/>
      <c r="P704" s="22"/>
      <c r="Q704" s="23"/>
      <c r="R704" s="23"/>
    </row>
    <row r="705" spans="1:18" ht="17.25" customHeight="1" x14ac:dyDescent="0.2">
      <c r="A705" s="13"/>
      <c r="B705" s="18" t="s">
        <v>1292</v>
      </c>
      <c r="C705" s="66"/>
      <c r="D705" s="19"/>
      <c r="E705" s="20"/>
      <c r="F705" s="22">
        <v>1</v>
      </c>
      <c r="G705" s="23">
        <v>0.05</v>
      </c>
      <c r="H705" s="37">
        <v>1212</v>
      </c>
      <c r="I705" s="37">
        <f>F705*G705*H705</f>
        <v>60.6</v>
      </c>
      <c r="J705" s="13"/>
      <c r="K705" s="18" t="s">
        <v>1311</v>
      </c>
      <c r="L705" s="19"/>
      <c r="M705" s="19"/>
      <c r="N705" s="20"/>
      <c r="O705" s="22">
        <v>1</v>
      </c>
      <c r="P705" s="23">
        <f>16/16</f>
        <v>1</v>
      </c>
      <c r="Q705" s="37">
        <v>123</v>
      </c>
      <c r="R705" s="37">
        <f>P705*Q705*O705</f>
        <v>123</v>
      </c>
    </row>
    <row r="706" spans="1:18" ht="17.25" customHeight="1" x14ac:dyDescent="0.2">
      <c r="A706" s="13"/>
      <c r="B706" s="18" t="s">
        <v>92</v>
      </c>
      <c r="F706" s="22"/>
      <c r="G706" s="23"/>
      <c r="I706" s="37">
        <f>I700*0.1</f>
        <v>19.754000000000001</v>
      </c>
      <c r="J706" s="13"/>
      <c r="K706" s="18" t="s">
        <v>92</v>
      </c>
      <c r="L706" s="19"/>
      <c r="M706" s="19"/>
      <c r="N706" s="20"/>
      <c r="O706" s="22"/>
      <c r="P706" s="36"/>
      <c r="R706" s="37">
        <f>R700*0.1</f>
        <v>24.772000000000002</v>
      </c>
    </row>
    <row r="707" spans="1:18" x14ac:dyDescent="0.2">
      <c r="A707" s="13"/>
      <c r="B707" s="18"/>
      <c r="F707" s="22"/>
      <c r="G707" s="23"/>
      <c r="H707" s="37"/>
      <c r="I707" s="37"/>
      <c r="J707" s="13"/>
      <c r="K707" s="18"/>
      <c r="L707" s="19"/>
      <c r="M707" s="19"/>
      <c r="N707" s="20"/>
      <c r="O707" s="22"/>
      <c r="P707" s="36"/>
      <c r="Q707" s="37"/>
      <c r="R707" s="37"/>
    </row>
    <row r="708" spans="1:18" x14ac:dyDescent="0.2">
      <c r="A708" s="13"/>
      <c r="B708" s="18"/>
      <c r="F708" s="22"/>
      <c r="G708" s="23"/>
      <c r="H708" s="37"/>
      <c r="I708" s="37"/>
      <c r="J708" s="13"/>
      <c r="O708" s="21"/>
      <c r="P708" s="21"/>
      <c r="Q708" s="21"/>
      <c r="R708" s="37"/>
    </row>
    <row r="709" spans="1:18" x14ac:dyDescent="0.2">
      <c r="A709" s="13"/>
      <c r="B709" s="18"/>
      <c r="C709" s="19"/>
      <c r="D709" s="19"/>
      <c r="E709" s="20"/>
      <c r="F709" s="22"/>
      <c r="G709" s="36"/>
      <c r="H709" s="37"/>
      <c r="I709" s="37"/>
      <c r="J709" s="13"/>
      <c r="K709" s="18"/>
      <c r="L709" s="19"/>
      <c r="M709" s="19"/>
      <c r="N709" s="20"/>
      <c r="O709" s="22"/>
      <c r="P709" s="36"/>
      <c r="Q709" s="37"/>
      <c r="R709" s="37"/>
    </row>
    <row r="710" spans="1:18" x14ac:dyDescent="0.2">
      <c r="A710" s="13"/>
      <c r="B710" s="18"/>
      <c r="C710" s="19"/>
      <c r="D710" s="19"/>
      <c r="E710" s="20"/>
      <c r="F710" s="22"/>
      <c r="G710" s="36"/>
      <c r="H710" s="37"/>
      <c r="I710" s="38"/>
      <c r="J710" s="13"/>
      <c r="K710" s="18"/>
      <c r="L710" s="19"/>
      <c r="M710" s="19"/>
      <c r="N710" s="20"/>
      <c r="O710" s="22"/>
      <c r="P710" s="36"/>
      <c r="Q710" s="38"/>
      <c r="R710" s="38"/>
    </row>
    <row r="711" spans="1:18" x14ac:dyDescent="0.2">
      <c r="A711" s="13"/>
      <c r="B711" s="18"/>
      <c r="C711" s="19"/>
      <c r="D711" s="19"/>
      <c r="E711" s="20"/>
      <c r="F711" s="22"/>
      <c r="G711" s="36"/>
      <c r="H711" s="37"/>
      <c r="I711" s="38"/>
      <c r="J711" s="13"/>
      <c r="K711" s="18"/>
      <c r="L711" s="19"/>
      <c r="M711" s="19"/>
      <c r="N711" s="20"/>
      <c r="O711" s="22"/>
      <c r="P711" s="36"/>
      <c r="Q711" s="38"/>
      <c r="R711" s="38"/>
    </row>
    <row r="712" spans="1:18" x14ac:dyDescent="0.2">
      <c r="A712" s="13"/>
      <c r="B712" s="18"/>
      <c r="C712" s="19"/>
      <c r="D712" s="19"/>
      <c r="E712" s="20"/>
      <c r="F712" s="22"/>
      <c r="G712" s="23"/>
      <c r="H712" s="37"/>
      <c r="I712" s="38"/>
      <c r="J712" s="13"/>
      <c r="K712" s="18"/>
      <c r="L712" s="19"/>
      <c r="M712" s="19"/>
      <c r="N712" s="20"/>
      <c r="O712" s="22"/>
      <c r="P712" s="36"/>
      <c r="Q712" s="38"/>
      <c r="R712" s="38"/>
    </row>
    <row r="713" spans="1:18" x14ac:dyDescent="0.2">
      <c r="A713" s="13"/>
      <c r="B713" s="18"/>
      <c r="C713" s="19"/>
      <c r="D713" s="19"/>
      <c r="E713" s="20"/>
      <c r="F713" s="22"/>
      <c r="G713" s="23"/>
      <c r="H713" s="37"/>
      <c r="I713" s="38"/>
      <c r="J713" s="13"/>
      <c r="K713" s="18"/>
      <c r="L713" s="19"/>
      <c r="M713" s="19"/>
      <c r="N713" s="20"/>
      <c r="O713" s="22"/>
      <c r="P713" s="36"/>
      <c r="Q713" s="38"/>
      <c r="R713" s="38"/>
    </row>
    <row r="714" spans="1:18" x14ac:dyDescent="0.2">
      <c r="A714" s="13"/>
      <c r="B714" s="7"/>
      <c r="C714" s="7"/>
      <c r="D714" s="7"/>
      <c r="E714" s="7"/>
      <c r="F714" s="72"/>
      <c r="G714" s="72"/>
      <c r="H714" s="72"/>
      <c r="I714" s="37"/>
      <c r="J714" s="13"/>
      <c r="K714" s="18"/>
      <c r="L714" s="19"/>
      <c r="M714" s="19"/>
      <c r="N714" s="20"/>
      <c r="O714" s="22"/>
      <c r="P714" s="36"/>
      <c r="Q714" s="37"/>
      <c r="R714" s="37"/>
    </row>
    <row r="715" spans="1:18" x14ac:dyDescent="0.2">
      <c r="A715" s="13"/>
      <c r="B715" s="18"/>
      <c r="C715" s="19"/>
      <c r="D715" s="19"/>
      <c r="E715" s="20"/>
      <c r="F715" s="22"/>
      <c r="G715" s="36"/>
      <c r="H715" s="37"/>
      <c r="I715" s="37"/>
      <c r="J715" s="13"/>
      <c r="K715" s="18"/>
      <c r="L715" s="19"/>
      <c r="M715" s="19"/>
      <c r="N715" s="20"/>
      <c r="O715" s="22"/>
      <c r="P715" s="36"/>
      <c r="Q715" s="37"/>
      <c r="R715" s="37"/>
    </row>
    <row r="716" spans="1:18" ht="15" customHeight="1" x14ac:dyDescent="0.2">
      <c r="A716" s="13"/>
      <c r="B716" s="18"/>
      <c r="C716" s="19"/>
      <c r="D716" s="19"/>
      <c r="E716" s="20"/>
      <c r="F716" s="22"/>
      <c r="G716" s="36"/>
      <c r="H716" s="37"/>
      <c r="I716" s="37"/>
      <c r="J716" s="13"/>
      <c r="K716" s="18"/>
      <c r="L716" s="19"/>
      <c r="M716" s="19"/>
      <c r="N716" s="20"/>
      <c r="O716" s="22"/>
      <c r="P716" s="36"/>
      <c r="Q716" s="37"/>
      <c r="R716" s="37"/>
    </row>
    <row r="717" spans="1:18" x14ac:dyDescent="0.2">
      <c r="A717" s="13"/>
      <c r="B717" s="18"/>
      <c r="C717" s="19"/>
      <c r="D717" s="19"/>
      <c r="E717" s="20"/>
      <c r="F717" s="22"/>
      <c r="G717" s="22"/>
      <c r="H717" s="23"/>
      <c r="I717" s="23"/>
      <c r="J717" s="13"/>
      <c r="K717" s="18"/>
      <c r="L717" s="19"/>
      <c r="M717" s="19"/>
      <c r="N717" s="20"/>
      <c r="O717" s="22"/>
      <c r="P717" s="22"/>
      <c r="Q717" s="23"/>
      <c r="R717" s="23"/>
    </row>
    <row r="718" spans="1:18" x14ac:dyDescent="0.2">
      <c r="A718" s="13"/>
      <c r="B718" s="248" t="s">
        <v>30</v>
      </c>
      <c r="C718" s="249"/>
      <c r="D718" s="249"/>
      <c r="E718" s="250"/>
      <c r="F718" s="22"/>
      <c r="G718" s="22"/>
      <c r="H718" s="23"/>
      <c r="I718" s="23">
        <f>SUM(I705:I717)</f>
        <v>80.353999999999999</v>
      </c>
      <c r="J718" s="13"/>
      <c r="K718" s="248" t="s">
        <v>30</v>
      </c>
      <c r="L718" s="249"/>
      <c r="M718" s="249"/>
      <c r="N718" s="250"/>
      <c r="O718" s="22"/>
      <c r="P718" s="22"/>
      <c r="Q718" s="23"/>
      <c r="R718" s="23">
        <f>SUM(R705:R717)</f>
        <v>147.77199999999999</v>
      </c>
    </row>
    <row r="719" spans="1:18" x14ac:dyDescent="0.2">
      <c r="A719" s="12" t="s">
        <v>31</v>
      </c>
      <c r="B719" s="260" t="s">
        <v>32</v>
      </c>
      <c r="C719" s="261"/>
      <c r="D719" s="261"/>
      <c r="E719" s="261"/>
      <c r="F719" s="161"/>
      <c r="G719" s="161"/>
      <c r="H719" s="40"/>
      <c r="I719" s="41">
        <f>SUM(I718+I700)</f>
        <v>277.89400000000001</v>
      </c>
      <c r="J719" s="12" t="s">
        <v>31</v>
      </c>
      <c r="K719" s="260" t="s">
        <v>32</v>
      </c>
      <c r="L719" s="261"/>
      <c r="M719" s="261"/>
      <c r="N719" s="261"/>
      <c r="O719" s="161"/>
      <c r="P719" s="161"/>
      <c r="Q719" s="40"/>
      <c r="R719" s="41">
        <f>SUM(R718+R700)</f>
        <v>395.49199999999996</v>
      </c>
    </row>
    <row r="720" spans="1:18" x14ac:dyDescent="0.2">
      <c r="A720" s="13" t="s">
        <v>33</v>
      </c>
      <c r="B720" s="269">
        <f>E687</f>
        <v>4</v>
      </c>
      <c r="C720" s="270"/>
      <c r="D720" s="270"/>
      <c r="E720" s="270"/>
      <c r="F720" s="270"/>
      <c r="G720" s="270"/>
      <c r="H720" s="40"/>
      <c r="I720" s="41"/>
      <c r="J720" s="13" t="s">
        <v>33</v>
      </c>
      <c r="K720" s="283">
        <f>N687</f>
        <v>1.25</v>
      </c>
      <c r="L720" s="284"/>
      <c r="M720" s="284"/>
      <c r="N720" s="284"/>
      <c r="O720" s="284"/>
      <c r="P720" s="284"/>
      <c r="Q720" s="40"/>
      <c r="R720" s="41"/>
    </row>
    <row r="721" spans="1:18" x14ac:dyDescent="0.2">
      <c r="A721" s="13" t="s">
        <v>34</v>
      </c>
      <c r="B721" s="162" t="s">
        <v>35</v>
      </c>
      <c r="C721" s="43"/>
      <c r="D721" s="43"/>
      <c r="E721" s="161"/>
      <c r="F721" s="163"/>
      <c r="G721" s="163"/>
      <c r="H721" s="40"/>
      <c r="I721" s="41">
        <f>I719/E687</f>
        <v>69.473500000000001</v>
      </c>
      <c r="J721" s="13" t="s">
        <v>34</v>
      </c>
      <c r="K721" s="162" t="s">
        <v>35</v>
      </c>
      <c r="L721" s="43"/>
      <c r="M721" s="43"/>
      <c r="N721" s="161"/>
      <c r="O721" s="163"/>
      <c r="P721" s="163"/>
      <c r="Q721" s="40"/>
      <c r="R721" s="41">
        <f>R719/N687</f>
        <v>316.39359999999999</v>
      </c>
    </row>
    <row r="722" spans="1:18" x14ac:dyDescent="0.2">
      <c r="A722" s="12"/>
      <c r="B722" s="251" t="s">
        <v>36</v>
      </c>
      <c r="C722" s="252"/>
      <c r="D722" s="252"/>
      <c r="E722" s="253"/>
      <c r="F722" s="244" t="s">
        <v>37</v>
      </c>
      <c r="G722" s="244" t="s">
        <v>38</v>
      </c>
      <c r="H722" s="244" t="s">
        <v>39</v>
      </c>
      <c r="I722" s="246" t="s">
        <v>15</v>
      </c>
      <c r="J722" s="12"/>
      <c r="K722" s="251" t="s">
        <v>36</v>
      </c>
      <c r="L722" s="252"/>
      <c r="M722" s="252"/>
      <c r="N722" s="253"/>
      <c r="O722" s="244" t="s">
        <v>37</v>
      </c>
      <c r="P722" s="244" t="s">
        <v>38</v>
      </c>
      <c r="Q722" s="244" t="s">
        <v>39</v>
      </c>
      <c r="R722" s="246" t="s">
        <v>15</v>
      </c>
    </row>
    <row r="723" spans="1:18" x14ac:dyDescent="0.2">
      <c r="A723" s="13"/>
      <c r="B723" s="254"/>
      <c r="C723" s="255"/>
      <c r="D723" s="255"/>
      <c r="E723" s="256"/>
      <c r="F723" s="245"/>
      <c r="G723" s="245"/>
      <c r="H723" s="245"/>
      <c r="I723" s="247"/>
      <c r="J723" s="13"/>
      <c r="K723" s="254"/>
      <c r="L723" s="255"/>
      <c r="M723" s="255"/>
      <c r="N723" s="256"/>
      <c r="O723" s="245"/>
      <c r="P723" s="245"/>
      <c r="Q723" s="245"/>
      <c r="R723" s="247"/>
    </row>
    <row r="724" spans="1:18" x14ac:dyDescent="0.2">
      <c r="A724" s="13" t="s">
        <v>40</v>
      </c>
      <c r="B724" s="18" t="s">
        <v>41</v>
      </c>
      <c r="C724" s="19"/>
      <c r="D724" s="19"/>
      <c r="E724" s="20"/>
      <c r="F724" s="22"/>
      <c r="G724" s="22"/>
      <c r="H724" s="23"/>
      <c r="I724" s="23"/>
      <c r="J724" s="13" t="s">
        <v>40</v>
      </c>
      <c r="K724" s="18" t="s">
        <v>41</v>
      </c>
      <c r="L724" s="19"/>
      <c r="M724" s="19"/>
      <c r="N724" s="20"/>
      <c r="O724" s="22"/>
      <c r="P724" s="22"/>
      <c r="Q724" s="23"/>
      <c r="R724" s="23"/>
    </row>
    <row r="725" spans="1:18" x14ac:dyDescent="0.2">
      <c r="A725" s="13"/>
      <c r="B725" s="18"/>
      <c r="C725" s="19"/>
      <c r="D725" s="19"/>
      <c r="E725" s="20"/>
      <c r="F725" s="22"/>
      <c r="G725" s="22"/>
      <c r="H725" s="23"/>
      <c r="I725" s="23"/>
      <c r="J725" s="13"/>
      <c r="K725" s="18"/>
      <c r="L725" s="19"/>
      <c r="M725" s="19"/>
      <c r="N725" s="20"/>
      <c r="O725" s="22"/>
      <c r="P725" s="22"/>
      <c r="Q725" s="23"/>
      <c r="R725" s="23"/>
    </row>
    <row r="726" spans="1:18" x14ac:dyDescent="0.2">
      <c r="A726" s="13"/>
      <c r="B726" s="18" t="s">
        <v>697</v>
      </c>
      <c r="C726" s="66"/>
      <c r="D726" s="19"/>
      <c r="E726" s="20"/>
      <c r="F726" s="62" t="s">
        <v>59</v>
      </c>
      <c r="G726" s="62">
        <v>1</v>
      </c>
      <c r="H726" s="107">
        <v>1650</v>
      </c>
      <c r="I726" s="23">
        <f>G726*H726</f>
        <v>1650</v>
      </c>
      <c r="J726" s="13"/>
      <c r="K726" s="18" t="s">
        <v>692</v>
      </c>
      <c r="L726" s="19"/>
      <c r="M726" s="19"/>
      <c r="N726" s="20"/>
      <c r="O726" s="22" t="s">
        <v>9</v>
      </c>
      <c r="P726" s="62">
        <v>1.05</v>
      </c>
      <c r="Q726" s="107">
        <v>490</v>
      </c>
      <c r="R726" s="23">
        <f>P726*Q726</f>
        <v>514.5</v>
      </c>
    </row>
    <row r="727" spans="1:18" x14ac:dyDescent="0.2">
      <c r="A727" s="13"/>
      <c r="B727" s="18" t="s">
        <v>685</v>
      </c>
      <c r="C727" s="66"/>
      <c r="D727" s="19"/>
      <c r="E727" s="20"/>
      <c r="F727" s="62"/>
      <c r="G727" s="62"/>
      <c r="H727" s="23"/>
      <c r="I727" s="23"/>
      <c r="J727" s="13"/>
      <c r="K727" s="18"/>
      <c r="L727" s="19"/>
      <c r="M727" s="19"/>
      <c r="N727" s="20"/>
      <c r="O727" s="22"/>
      <c r="P727" s="22"/>
      <c r="Q727" s="23"/>
      <c r="R727" s="23"/>
    </row>
    <row r="728" spans="1:18" x14ac:dyDescent="0.2">
      <c r="A728" s="13"/>
      <c r="B728" s="18"/>
      <c r="C728" s="19"/>
      <c r="D728" s="19"/>
      <c r="E728" s="20"/>
      <c r="F728" s="62"/>
      <c r="G728" s="62"/>
      <c r="H728" s="23"/>
      <c r="I728" s="23"/>
      <c r="J728" s="13"/>
      <c r="K728" s="18"/>
      <c r="L728" s="19"/>
      <c r="M728" s="19"/>
      <c r="N728" s="20"/>
      <c r="O728" s="22"/>
      <c r="P728" s="22"/>
      <c r="Q728" s="38"/>
      <c r="R728" s="38"/>
    </row>
    <row r="729" spans="1:18" x14ac:dyDescent="0.2">
      <c r="A729" s="13"/>
      <c r="B729" s="18"/>
      <c r="C729" s="19"/>
      <c r="D729" s="19"/>
      <c r="E729" s="20"/>
      <c r="F729" s="22"/>
      <c r="G729" s="62"/>
      <c r="H729" s="23"/>
      <c r="I729" s="23"/>
      <c r="J729" s="13"/>
      <c r="K729" s="18"/>
      <c r="L729" s="19"/>
      <c r="M729" s="19"/>
      <c r="N729" s="20"/>
      <c r="O729" s="22"/>
      <c r="P729" s="22"/>
      <c r="Q729" s="38"/>
      <c r="R729" s="38"/>
    </row>
    <row r="730" spans="1:18" x14ac:dyDescent="0.2">
      <c r="A730" s="13"/>
      <c r="B730" s="18"/>
      <c r="C730" s="19"/>
      <c r="D730" s="19"/>
      <c r="E730" s="20"/>
      <c r="F730" s="22"/>
      <c r="G730" s="62"/>
      <c r="H730" s="23"/>
      <c r="I730" s="23"/>
      <c r="J730" s="13"/>
      <c r="K730" s="18"/>
      <c r="L730" s="19"/>
      <c r="M730" s="19"/>
      <c r="N730" s="20"/>
      <c r="O730" s="22"/>
      <c r="P730" s="22"/>
      <c r="Q730" s="45"/>
      <c r="R730" s="45"/>
    </row>
    <row r="731" spans="1:18" x14ac:dyDescent="0.2">
      <c r="A731" s="13"/>
      <c r="B731" s="18"/>
      <c r="C731" s="19"/>
      <c r="D731" s="19"/>
      <c r="E731" s="20"/>
      <c r="F731" s="22"/>
      <c r="G731" s="22"/>
      <c r="H731" s="23"/>
      <c r="I731" s="23"/>
      <c r="J731" s="13"/>
      <c r="K731" s="18"/>
      <c r="L731" s="19"/>
      <c r="M731" s="19"/>
      <c r="N731" s="20"/>
      <c r="O731" s="22"/>
      <c r="P731" s="22"/>
      <c r="Q731" s="45"/>
      <c r="R731" s="45"/>
    </row>
    <row r="732" spans="1:18" ht="15" customHeight="1" x14ac:dyDescent="0.2">
      <c r="A732" s="13"/>
      <c r="B732" s="18"/>
      <c r="C732" s="19"/>
      <c r="D732" s="19"/>
      <c r="E732" s="20"/>
      <c r="F732" s="22"/>
      <c r="G732" s="22"/>
      <c r="H732" s="23"/>
      <c r="I732" s="23"/>
      <c r="J732" s="13"/>
      <c r="K732" s="18"/>
      <c r="L732" s="19"/>
      <c r="M732" s="19"/>
      <c r="N732" s="20"/>
      <c r="O732" s="22"/>
      <c r="P732" s="22"/>
      <c r="Q732" s="23"/>
      <c r="R732" s="23"/>
    </row>
    <row r="733" spans="1:18" x14ac:dyDescent="0.2">
      <c r="A733" s="13"/>
      <c r="B733" s="18"/>
      <c r="C733" s="19"/>
      <c r="D733" s="19"/>
      <c r="E733" s="20"/>
      <c r="F733" s="22"/>
      <c r="G733" s="22"/>
      <c r="H733" s="23"/>
      <c r="I733" s="23"/>
      <c r="J733" s="13"/>
      <c r="K733" s="18"/>
      <c r="L733" s="19"/>
      <c r="M733" s="19"/>
      <c r="N733" s="20"/>
      <c r="O733" s="22"/>
      <c r="P733" s="22"/>
      <c r="Q733" s="23"/>
      <c r="R733" s="23"/>
    </row>
    <row r="734" spans="1:18" x14ac:dyDescent="0.2">
      <c r="A734" s="13"/>
      <c r="B734" s="18"/>
      <c r="C734" s="19"/>
      <c r="D734" s="19"/>
      <c r="E734" s="20"/>
      <c r="F734" s="22"/>
      <c r="G734" s="22"/>
      <c r="H734" s="23"/>
      <c r="I734" s="23"/>
      <c r="J734" s="13"/>
      <c r="K734" s="18"/>
      <c r="L734" s="19"/>
      <c r="M734" s="19"/>
      <c r="N734" s="20"/>
      <c r="O734" s="22"/>
      <c r="P734" s="22"/>
      <c r="Q734" s="23"/>
      <c r="R734" s="23"/>
    </row>
    <row r="735" spans="1:18" x14ac:dyDescent="0.2">
      <c r="A735" s="13"/>
      <c r="B735" s="18"/>
      <c r="C735" s="19"/>
      <c r="D735" s="19"/>
      <c r="E735" s="20"/>
      <c r="F735" s="22"/>
      <c r="G735" s="22"/>
      <c r="H735" s="23"/>
      <c r="I735" s="23"/>
      <c r="J735" s="13"/>
      <c r="K735" s="18"/>
      <c r="L735" s="19"/>
      <c r="M735" s="19"/>
      <c r="N735" s="20"/>
      <c r="O735" s="22"/>
      <c r="P735" s="22"/>
      <c r="Q735" s="23"/>
      <c r="R735" s="23"/>
    </row>
    <row r="736" spans="1:18" x14ac:dyDescent="0.2">
      <c r="A736" s="13"/>
      <c r="B736" s="18"/>
      <c r="C736" s="19"/>
      <c r="D736" s="19"/>
      <c r="E736" s="20"/>
      <c r="F736" s="22"/>
      <c r="G736" s="22"/>
      <c r="H736" s="23"/>
      <c r="I736" s="23"/>
      <c r="J736" s="13"/>
      <c r="K736" s="18"/>
      <c r="L736" s="19"/>
      <c r="M736" s="19"/>
      <c r="N736" s="20"/>
      <c r="O736" s="22"/>
      <c r="P736" s="22"/>
      <c r="Q736" s="23"/>
      <c r="R736" s="23"/>
    </row>
    <row r="737" spans="1:18" x14ac:dyDescent="0.2">
      <c r="A737" s="13"/>
      <c r="B737" s="18"/>
      <c r="C737" s="19"/>
      <c r="D737" s="19"/>
      <c r="E737" s="20"/>
      <c r="F737" s="22"/>
      <c r="G737" s="22"/>
      <c r="H737" s="23"/>
      <c r="I737" s="23"/>
      <c r="J737" s="13"/>
      <c r="K737" s="18"/>
      <c r="L737" s="19"/>
      <c r="M737" s="19"/>
      <c r="N737" s="20"/>
      <c r="O737" s="22"/>
      <c r="P737" s="22"/>
      <c r="Q737" s="23"/>
      <c r="R737" s="23"/>
    </row>
    <row r="738" spans="1:18" x14ac:dyDescent="0.2">
      <c r="A738" s="13"/>
      <c r="B738" s="18"/>
      <c r="C738" s="19"/>
      <c r="D738" s="19"/>
      <c r="E738" s="20"/>
      <c r="F738" s="22"/>
      <c r="G738" s="36"/>
      <c r="H738" s="37"/>
      <c r="I738" s="37"/>
      <c r="J738" s="13"/>
      <c r="K738" s="18"/>
      <c r="L738" s="19"/>
      <c r="M738" s="19"/>
      <c r="N738" s="20"/>
      <c r="O738" s="22"/>
      <c r="P738" s="36"/>
      <c r="Q738" s="37"/>
      <c r="R738" s="37"/>
    </row>
    <row r="739" spans="1:18" x14ac:dyDescent="0.2">
      <c r="A739" s="13"/>
      <c r="B739" s="248" t="s">
        <v>42</v>
      </c>
      <c r="C739" s="249"/>
      <c r="D739" s="249"/>
      <c r="E739" s="250"/>
      <c r="F739" s="46"/>
      <c r="G739" s="46"/>
      <c r="H739" s="47"/>
      <c r="I739" s="47">
        <f>SUM(I726:I738)</f>
        <v>1650</v>
      </c>
      <c r="J739" s="13"/>
      <c r="K739" s="248" t="s">
        <v>42</v>
      </c>
      <c r="L739" s="249"/>
      <c r="M739" s="249"/>
      <c r="N739" s="250"/>
      <c r="O739" s="46"/>
      <c r="P739" s="46"/>
      <c r="Q739" s="47"/>
      <c r="R739" s="47">
        <f>SUM(R726:R738)</f>
        <v>514.5</v>
      </c>
    </row>
    <row r="740" spans="1:18" x14ac:dyDescent="0.2">
      <c r="A740" s="12" t="s">
        <v>43</v>
      </c>
      <c r="B740" s="48" t="s">
        <v>44</v>
      </c>
      <c r="C740" s="43"/>
      <c r="D740" s="43"/>
      <c r="E740" s="161"/>
      <c r="F740" s="49"/>
      <c r="G740" s="49"/>
      <c r="H740" s="50"/>
      <c r="I740" s="51">
        <f>SUM(I721+I739)</f>
        <v>1719.4735000000001</v>
      </c>
      <c r="J740" s="12" t="s">
        <v>43</v>
      </c>
      <c r="K740" s="48" t="s">
        <v>44</v>
      </c>
      <c r="L740" s="43"/>
      <c r="M740" s="43"/>
      <c r="N740" s="161"/>
      <c r="O740" s="49"/>
      <c r="P740" s="49"/>
      <c r="Q740" s="50"/>
      <c r="R740" s="51">
        <f>SUM(R721+R739)</f>
        <v>830.89359999999999</v>
      </c>
    </row>
    <row r="741" spans="1:18" x14ac:dyDescent="0.2">
      <c r="A741" s="13" t="s">
        <v>45</v>
      </c>
      <c r="B741" s="48" t="s">
        <v>46</v>
      </c>
      <c r="C741" s="43"/>
      <c r="D741" s="43"/>
      <c r="E741" s="161"/>
      <c r="F741" s="49"/>
      <c r="G741" s="52">
        <v>0.09</v>
      </c>
      <c r="H741" s="53" t="s">
        <v>47</v>
      </c>
      <c r="I741" s="51">
        <f>G741*I740</f>
        <v>154.75261499999999</v>
      </c>
      <c r="J741" s="13" t="s">
        <v>45</v>
      </c>
      <c r="K741" s="48" t="s">
        <v>46</v>
      </c>
      <c r="L741" s="43"/>
      <c r="M741" s="43"/>
      <c r="N741" s="161"/>
      <c r="O741" s="49"/>
      <c r="P741" s="52">
        <v>0.09</v>
      </c>
      <c r="Q741" s="53" t="s">
        <v>47</v>
      </c>
      <c r="R741" s="51">
        <f>P741*R740</f>
        <v>74.780423999999996</v>
      </c>
    </row>
    <row r="742" spans="1:18" x14ac:dyDescent="0.2">
      <c r="A742" s="13" t="s">
        <v>48</v>
      </c>
      <c r="B742" s="48" t="s">
        <v>49</v>
      </c>
      <c r="C742" s="43"/>
      <c r="D742" s="43"/>
      <c r="E742" s="161"/>
      <c r="F742" s="49"/>
      <c r="G742" s="52">
        <v>0.08</v>
      </c>
      <c r="H742" s="53" t="s">
        <v>47</v>
      </c>
      <c r="I742" s="51">
        <f>G742*I740</f>
        <v>137.55788000000001</v>
      </c>
      <c r="J742" s="13" t="s">
        <v>48</v>
      </c>
      <c r="K742" s="48" t="s">
        <v>49</v>
      </c>
      <c r="L742" s="43"/>
      <c r="M742" s="43"/>
      <c r="N742" s="161"/>
      <c r="O742" s="49"/>
      <c r="P742" s="52">
        <v>0.08</v>
      </c>
      <c r="Q742" s="53" t="s">
        <v>47</v>
      </c>
      <c r="R742" s="51">
        <f>P742*R740</f>
        <v>66.471487999999994</v>
      </c>
    </row>
    <row r="743" spans="1:18" x14ac:dyDescent="0.2">
      <c r="A743" s="13" t="s">
        <v>50</v>
      </c>
      <c r="B743" s="48" t="s">
        <v>51</v>
      </c>
      <c r="C743" s="43"/>
      <c r="D743" s="43"/>
      <c r="E743" s="161"/>
      <c r="F743" s="49"/>
      <c r="G743" s="52">
        <v>0.05</v>
      </c>
      <c r="H743" s="53" t="s">
        <v>52</v>
      </c>
      <c r="I743" s="51">
        <f>G743*(I740+I741+I742)</f>
        <v>100.58919975000001</v>
      </c>
      <c r="J743" s="13" t="s">
        <v>50</v>
      </c>
      <c r="K743" s="48" t="s">
        <v>51</v>
      </c>
      <c r="L743" s="43"/>
      <c r="M743" s="43"/>
      <c r="N743" s="161"/>
      <c r="O743" s="49"/>
      <c r="P743" s="52">
        <v>0.05</v>
      </c>
      <c r="Q743" s="53" t="s">
        <v>52</v>
      </c>
      <c r="R743" s="51">
        <f>P743*(R740+R741+R742)</f>
        <v>48.607275600000008</v>
      </c>
    </row>
    <row r="744" spans="1:18" x14ac:dyDescent="0.2">
      <c r="A744" s="54" t="s">
        <v>53</v>
      </c>
      <c r="B744" s="48" t="s">
        <v>54</v>
      </c>
      <c r="C744" s="43"/>
      <c r="D744" s="43"/>
      <c r="E744" s="161"/>
      <c r="F744" s="49"/>
      <c r="G744" s="49"/>
      <c r="H744" s="55" t="s">
        <v>55</v>
      </c>
      <c r="I744" s="51">
        <f>SUM(I740+I741+I742+I743)</f>
        <v>2112.37319475</v>
      </c>
      <c r="J744" s="54" t="s">
        <v>53</v>
      </c>
      <c r="K744" s="48" t="s">
        <v>54</v>
      </c>
      <c r="L744" s="43"/>
      <c r="M744" s="43"/>
      <c r="N744" s="161"/>
      <c r="O744" s="49"/>
      <c r="P744" s="49"/>
      <c r="Q744" s="55" t="s">
        <v>55</v>
      </c>
      <c r="R744" s="51">
        <f>SUM(R740+R741+R742+R743)</f>
        <v>1020.7527876</v>
      </c>
    </row>
    <row r="745" spans="1:18" s="1" customFormat="1" x14ac:dyDescent="0.2">
      <c r="A745" s="236" t="s">
        <v>0</v>
      </c>
      <c r="B745" s="236"/>
      <c r="C745" s="236"/>
      <c r="D745" s="236"/>
      <c r="E745" s="236"/>
      <c r="F745" s="236"/>
      <c r="G745" s="236"/>
      <c r="H745" s="236"/>
      <c r="I745" s="236"/>
      <c r="J745" s="236" t="s">
        <v>0</v>
      </c>
      <c r="K745" s="236"/>
      <c r="L745" s="236"/>
      <c r="M745" s="236"/>
      <c r="N745" s="236"/>
      <c r="O745" s="236"/>
      <c r="P745" s="236"/>
      <c r="Q745" s="236"/>
      <c r="R745" s="236"/>
    </row>
    <row r="747" spans="1:18" x14ac:dyDescent="0.2">
      <c r="A747" s="158" t="s">
        <v>1</v>
      </c>
      <c r="C747" s="4" t="s">
        <v>2</v>
      </c>
      <c r="D747" s="5" t="s">
        <v>698</v>
      </c>
      <c r="E747" s="8" t="s">
        <v>699</v>
      </c>
      <c r="F747" s="8"/>
      <c r="G747" s="8"/>
      <c r="H747" s="8"/>
      <c r="I747" s="8"/>
      <c r="J747" s="158" t="s">
        <v>1</v>
      </c>
      <c r="L747" s="4" t="s">
        <v>2</v>
      </c>
      <c r="M747" s="5" t="s">
        <v>695</v>
      </c>
      <c r="N747" s="158" t="s">
        <v>696</v>
      </c>
      <c r="O747" s="158"/>
      <c r="P747" s="158"/>
      <c r="Q747" s="158"/>
    </row>
    <row r="748" spans="1:18" x14ac:dyDescent="0.2">
      <c r="A748" s="158" t="s">
        <v>7</v>
      </c>
      <c r="C748" s="4" t="s">
        <v>2</v>
      </c>
      <c r="E748" s="158" t="s">
        <v>59</v>
      </c>
      <c r="F748" s="8"/>
      <c r="G748" s="8"/>
      <c r="H748" s="8"/>
      <c r="J748" s="158" t="s">
        <v>7</v>
      </c>
      <c r="L748" s="4" t="s">
        <v>2</v>
      </c>
      <c r="N748" s="158" t="s">
        <v>9</v>
      </c>
      <c r="O748" s="8"/>
      <c r="P748" s="8"/>
      <c r="Q748" s="8"/>
    </row>
    <row r="749" spans="1:18" x14ac:dyDescent="0.2">
      <c r="A749" s="158" t="s">
        <v>493</v>
      </c>
      <c r="C749" s="4" t="s">
        <v>2</v>
      </c>
      <c r="E749" s="9">
        <v>1</v>
      </c>
      <c r="F749" s="8"/>
      <c r="G749" s="8"/>
      <c r="H749" s="8"/>
      <c r="J749" s="158" t="s">
        <v>10</v>
      </c>
      <c r="L749" s="4" t="s">
        <v>2</v>
      </c>
      <c r="N749" s="9">
        <v>1.25</v>
      </c>
      <c r="O749" s="8"/>
      <c r="P749" s="8"/>
      <c r="Q749" s="8"/>
    </row>
    <row r="750" spans="1:18" x14ac:dyDescent="0.2">
      <c r="B750" s="8"/>
      <c r="F750" s="11"/>
      <c r="G750" s="8"/>
      <c r="H750" s="8"/>
      <c r="I750" s="8"/>
      <c r="K750" s="8"/>
      <c r="O750" s="11"/>
      <c r="P750" s="8"/>
      <c r="Q750" s="8"/>
      <c r="R750" s="8"/>
    </row>
    <row r="751" spans="1:18" x14ac:dyDescent="0.2">
      <c r="A751" s="12"/>
      <c r="B751" s="238" t="s">
        <v>11</v>
      </c>
      <c r="C751" s="239"/>
      <c r="D751" s="239"/>
      <c r="E751" s="240"/>
      <c r="F751" s="244" t="s">
        <v>12</v>
      </c>
      <c r="G751" s="244" t="s">
        <v>13</v>
      </c>
      <c r="H751" s="244" t="s">
        <v>14</v>
      </c>
      <c r="I751" s="246" t="s">
        <v>15</v>
      </c>
      <c r="J751" s="12"/>
      <c r="K751" s="238" t="s">
        <v>11</v>
      </c>
      <c r="L751" s="239"/>
      <c r="M751" s="239"/>
      <c r="N751" s="240"/>
      <c r="O751" s="244" t="s">
        <v>12</v>
      </c>
      <c r="P751" s="244" t="s">
        <v>13</v>
      </c>
      <c r="Q751" s="244" t="s">
        <v>14</v>
      </c>
      <c r="R751" s="246" t="s">
        <v>15</v>
      </c>
    </row>
    <row r="752" spans="1:18" x14ac:dyDescent="0.2">
      <c r="A752" s="13"/>
      <c r="B752" s="241"/>
      <c r="C752" s="242"/>
      <c r="D752" s="242"/>
      <c r="E752" s="243"/>
      <c r="F752" s="245"/>
      <c r="G752" s="245"/>
      <c r="H752" s="245"/>
      <c r="I752" s="247"/>
      <c r="J752" s="13"/>
      <c r="K752" s="241"/>
      <c r="L752" s="242"/>
      <c r="M752" s="242"/>
      <c r="N752" s="243"/>
      <c r="O752" s="245"/>
      <c r="P752" s="245"/>
      <c r="Q752" s="245"/>
      <c r="R752" s="247"/>
    </row>
    <row r="753" spans="1:18" x14ac:dyDescent="0.2">
      <c r="A753" s="13" t="s">
        <v>16</v>
      </c>
      <c r="B753" s="14" t="s">
        <v>17</v>
      </c>
      <c r="C753" s="15"/>
      <c r="D753" s="15"/>
      <c r="E753" s="16"/>
      <c r="F753" s="17"/>
      <c r="G753" s="17"/>
      <c r="H753" s="17"/>
      <c r="I753" s="17"/>
      <c r="J753" s="13" t="s">
        <v>16</v>
      </c>
      <c r="K753" s="14" t="s">
        <v>17</v>
      </c>
      <c r="L753" s="15"/>
      <c r="M753" s="15"/>
      <c r="N753" s="16"/>
      <c r="O753" s="17"/>
      <c r="P753" s="17"/>
      <c r="Q753" s="17"/>
      <c r="R753" s="17"/>
    </row>
    <row r="754" spans="1:18" x14ac:dyDescent="0.2">
      <c r="A754" s="13"/>
      <c r="B754" s="18"/>
      <c r="C754" s="19"/>
      <c r="D754" s="19"/>
      <c r="E754" s="20"/>
      <c r="F754" s="21"/>
      <c r="G754" s="22"/>
      <c r="H754" s="21"/>
      <c r="I754" s="21"/>
      <c r="J754" s="13"/>
      <c r="K754" s="18"/>
      <c r="L754" s="19"/>
      <c r="M754" s="19"/>
      <c r="N754" s="20"/>
      <c r="O754" s="21"/>
      <c r="P754" s="22"/>
      <c r="Q754" s="21"/>
      <c r="R754" s="21"/>
    </row>
    <row r="755" spans="1:18" x14ac:dyDescent="0.2">
      <c r="A755" s="13"/>
      <c r="B755" s="24" t="s">
        <v>18</v>
      </c>
      <c r="C755" s="25"/>
      <c r="D755" s="25"/>
      <c r="E755" s="26"/>
      <c r="F755" s="22">
        <v>1</v>
      </c>
      <c r="G755" s="23">
        <v>1.5</v>
      </c>
      <c r="H755" s="23">
        <v>69.42</v>
      </c>
      <c r="I755" s="23">
        <f>G755*H755*F755</f>
        <v>104.13</v>
      </c>
      <c r="J755" s="13"/>
      <c r="K755" s="24" t="s">
        <v>18</v>
      </c>
      <c r="L755" s="25"/>
      <c r="M755" s="25"/>
      <c r="N755" s="26"/>
      <c r="O755" s="22">
        <v>1</v>
      </c>
      <c r="P755" s="23">
        <v>1</v>
      </c>
      <c r="Q755" s="23">
        <v>69.42</v>
      </c>
      <c r="R755" s="23">
        <f>P755*Q755*O755</f>
        <v>69.42</v>
      </c>
    </row>
    <row r="756" spans="1:18" x14ac:dyDescent="0.2">
      <c r="A756" s="13"/>
      <c r="B756" s="257" t="s">
        <v>1178</v>
      </c>
      <c r="C756" s="258"/>
      <c r="D756" s="25"/>
      <c r="E756" s="26"/>
      <c r="F756" s="22">
        <v>1</v>
      </c>
      <c r="G756" s="23">
        <v>1.5</v>
      </c>
      <c r="H756" s="23">
        <v>50.18</v>
      </c>
      <c r="I756" s="23">
        <f>G756*H756*F756</f>
        <v>75.27</v>
      </c>
      <c r="J756" s="13"/>
      <c r="K756" s="257" t="s">
        <v>1178</v>
      </c>
      <c r="L756" s="258"/>
      <c r="M756" s="25"/>
      <c r="N756" s="26"/>
      <c r="O756" s="22">
        <v>2</v>
      </c>
      <c r="P756" s="23">
        <v>1</v>
      </c>
      <c r="Q756" s="23">
        <v>50.18</v>
      </c>
      <c r="R756" s="23">
        <f>P756*Q756*O756</f>
        <v>100.36</v>
      </c>
    </row>
    <row r="757" spans="1:18" x14ac:dyDescent="0.2">
      <c r="A757" s="13"/>
      <c r="B757" s="257" t="s">
        <v>1177</v>
      </c>
      <c r="C757" s="258"/>
      <c r="D757" s="19"/>
      <c r="E757" s="20"/>
      <c r="F757" s="22">
        <v>2</v>
      </c>
      <c r="G757" s="23">
        <v>1.5</v>
      </c>
      <c r="H757" s="23">
        <v>38.97</v>
      </c>
      <c r="I757" s="23">
        <f>G757*H757*F757</f>
        <v>116.91</v>
      </c>
      <c r="J757" s="13"/>
      <c r="K757" s="257" t="s">
        <v>1177</v>
      </c>
      <c r="L757" s="258"/>
      <c r="M757" s="19"/>
      <c r="N757" s="20"/>
      <c r="O757" s="22">
        <v>2</v>
      </c>
      <c r="P757" s="23">
        <v>1</v>
      </c>
      <c r="Q757" s="23">
        <v>38.97</v>
      </c>
      <c r="R757" s="23">
        <f>P757*Q757*O757</f>
        <v>77.94</v>
      </c>
    </row>
    <row r="758" spans="1:18" ht="15" customHeight="1" x14ac:dyDescent="0.2">
      <c r="A758" s="13"/>
      <c r="B758" s="159"/>
      <c r="C758" s="160"/>
      <c r="D758" s="19"/>
      <c r="E758" s="20"/>
      <c r="F758" s="22"/>
      <c r="G758" s="22"/>
      <c r="H758" s="29"/>
      <c r="I758" s="30"/>
      <c r="J758" s="13"/>
      <c r="K758" s="159"/>
      <c r="L758" s="19"/>
      <c r="M758" s="19"/>
      <c r="N758" s="20"/>
      <c r="O758" s="22"/>
      <c r="P758" s="22"/>
      <c r="Q758" s="29"/>
      <c r="R758" s="30"/>
    </row>
    <row r="759" spans="1:18" x14ac:dyDescent="0.2">
      <c r="A759" s="13"/>
      <c r="B759" s="159"/>
      <c r="C759" s="160"/>
      <c r="D759" s="19"/>
      <c r="E759" s="20"/>
      <c r="F759" s="22"/>
      <c r="G759" s="22"/>
      <c r="H759" s="29"/>
      <c r="I759" s="30"/>
      <c r="J759" s="13"/>
      <c r="K759" s="159"/>
      <c r="L759" s="19"/>
      <c r="M759" s="19"/>
      <c r="N759" s="20"/>
      <c r="O759" s="22"/>
      <c r="P759" s="22"/>
      <c r="Q759" s="29"/>
      <c r="R759" s="30"/>
    </row>
    <row r="760" spans="1:18" x14ac:dyDescent="0.2">
      <c r="A760" s="13"/>
      <c r="B760" s="257"/>
      <c r="C760" s="258"/>
      <c r="D760" s="19"/>
      <c r="E760" s="20"/>
      <c r="F760" s="22"/>
      <c r="G760" s="22"/>
      <c r="H760" s="23"/>
      <c r="I760" s="23"/>
      <c r="J760" s="13"/>
      <c r="K760" s="18"/>
      <c r="L760" s="19"/>
      <c r="M760" s="19"/>
      <c r="N760" s="20"/>
      <c r="O760" s="22"/>
      <c r="P760" s="22"/>
      <c r="Q760" s="28"/>
      <c r="R760" s="23"/>
    </row>
    <row r="761" spans="1:18" x14ac:dyDescent="0.2">
      <c r="A761" s="13"/>
      <c r="B761" s="257"/>
      <c r="C761" s="258"/>
      <c r="D761" s="19"/>
      <c r="E761" s="20"/>
      <c r="F761" s="22"/>
      <c r="G761" s="22"/>
      <c r="H761" s="23"/>
      <c r="I761" s="23"/>
      <c r="J761" s="13"/>
      <c r="K761" s="18"/>
      <c r="L761" s="19"/>
      <c r="M761" s="19"/>
      <c r="N761" s="20"/>
      <c r="O761" s="22"/>
      <c r="P761" s="22"/>
      <c r="Q761" s="23"/>
      <c r="R761" s="23"/>
    </row>
    <row r="762" spans="1:18" x14ac:dyDescent="0.2">
      <c r="A762" s="13"/>
      <c r="B762" s="248" t="s">
        <v>20</v>
      </c>
      <c r="C762" s="249"/>
      <c r="D762" s="249"/>
      <c r="E762" s="250"/>
      <c r="F762" s="31"/>
      <c r="G762" s="31"/>
      <c r="H762" s="32"/>
      <c r="I762" s="32">
        <f>SUM(I755:I761)</f>
        <v>296.30999999999995</v>
      </c>
      <c r="J762" s="13"/>
      <c r="K762" s="248" t="s">
        <v>20</v>
      </c>
      <c r="L762" s="249"/>
      <c r="M762" s="249"/>
      <c r="N762" s="250"/>
      <c r="O762" s="31"/>
      <c r="P762" s="31"/>
      <c r="Q762" s="32"/>
      <c r="R762" s="32">
        <f>SUM(R755:R761)</f>
        <v>247.72</v>
      </c>
    </row>
    <row r="763" spans="1:18" x14ac:dyDescent="0.2">
      <c r="A763" s="12"/>
      <c r="B763" s="251" t="s">
        <v>21</v>
      </c>
      <c r="C763" s="252"/>
      <c r="D763" s="252"/>
      <c r="E763" s="253"/>
      <c r="F763" s="244" t="s">
        <v>22</v>
      </c>
      <c r="G763" s="244" t="s">
        <v>13</v>
      </c>
      <c r="H763" s="244" t="s">
        <v>14</v>
      </c>
      <c r="I763" s="246" t="s">
        <v>15</v>
      </c>
      <c r="J763" s="12"/>
      <c r="K763" s="251" t="s">
        <v>21</v>
      </c>
      <c r="L763" s="252"/>
      <c r="M763" s="252"/>
      <c r="N763" s="253"/>
      <c r="O763" s="244" t="s">
        <v>22</v>
      </c>
      <c r="P763" s="244" t="s">
        <v>13</v>
      </c>
      <c r="Q763" s="244" t="s">
        <v>14</v>
      </c>
      <c r="R763" s="246" t="s">
        <v>15</v>
      </c>
    </row>
    <row r="764" spans="1:18" x14ac:dyDescent="0.2">
      <c r="A764" s="13"/>
      <c r="B764" s="254"/>
      <c r="C764" s="255"/>
      <c r="D764" s="255"/>
      <c r="E764" s="256"/>
      <c r="F764" s="245"/>
      <c r="G764" s="245"/>
      <c r="H764" s="245"/>
      <c r="I764" s="247"/>
      <c r="J764" s="13"/>
      <c r="K764" s="254"/>
      <c r="L764" s="255"/>
      <c r="M764" s="255"/>
      <c r="N764" s="256"/>
      <c r="O764" s="245"/>
      <c r="P764" s="245"/>
      <c r="Q764" s="245"/>
      <c r="R764" s="247"/>
    </row>
    <row r="765" spans="1:18" x14ac:dyDescent="0.2">
      <c r="A765" s="13" t="s">
        <v>23</v>
      </c>
      <c r="B765" s="33" t="s">
        <v>24</v>
      </c>
      <c r="C765" s="15"/>
      <c r="D765" s="15"/>
      <c r="E765" s="16"/>
      <c r="F765" s="34"/>
      <c r="G765" s="34"/>
      <c r="H765" s="35"/>
      <c r="I765" s="35"/>
      <c r="J765" s="13" t="s">
        <v>23</v>
      </c>
      <c r="K765" s="33" t="s">
        <v>24</v>
      </c>
      <c r="L765" s="15"/>
      <c r="M765" s="15"/>
      <c r="N765" s="16"/>
      <c r="O765" s="34"/>
      <c r="P765" s="34"/>
      <c r="Q765" s="35"/>
      <c r="R765" s="35"/>
    </row>
    <row r="766" spans="1:18" x14ac:dyDescent="0.2">
      <c r="A766" s="13"/>
      <c r="B766" s="18"/>
      <c r="C766" s="19"/>
      <c r="D766" s="19"/>
      <c r="E766" s="20"/>
      <c r="F766" s="22"/>
      <c r="G766" s="22"/>
      <c r="H766" s="23"/>
      <c r="I766" s="23"/>
      <c r="J766" s="13"/>
      <c r="K766" s="18"/>
      <c r="L766" s="19"/>
      <c r="M766" s="19"/>
      <c r="N766" s="20"/>
      <c r="O766" s="22"/>
      <c r="P766" s="22"/>
      <c r="Q766" s="23"/>
      <c r="R766" s="23"/>
    </row>
    <row r="767" spans="1:18" ht="17.25" customHeight="1" x14ac:dyDescent="0.2">
      <c r="A767" s="13"/>
      <c r="B767" s="18" t="s">
        <v>1234</v>
      </c>
      <c r="C767" s="19"/>
      <c r="D767" s="19"/>
      <c r="E767" s="20"/>
      <c r="F767" s="22">
        <v>1</v>
      </c>
      <c r="G767" s="23">
        <v>0.5</v>
      </c>
      <c r="H767" s="37">
        <v>1212</v>
      </c>
      <c r="I767" s="37">
        <f>G767*H767*F767</f>
        <v>606</v>
      </c>
      <c r="J767" s="13"/>
      <c r="K767" s="18" t="s">
        <v>1311</v>
      </c>
      <c r="L767" s="19"/>
      <c r="M767" s="19"/>
      <c r="N767" s="20"/>
      <c r="O767" s="22">
        <v>1</v>
      </c>
      <c r="P767" s="23">
        <f>16/16</f>
        <v>1</v>
      </c>
      <c r="Q767" s="37">
        <v>123</v>
      </c>
      <c r="R767" s="37">
        <f>P767*Q767*O767</f>
        <v>123</v>
      </c>
    </row>
    <row r="768" spans="1:18" ht="17.25" customHeight="1" x14ac:dyDescent="0.2">
      <c r="A768" s="13"/>
      <c r="B768" s="18" t="s">
        <v>341</v>
      </c>
      <c r="C768" s="66"/>
      <c r="D768" s="19"/>
      <c r="E768" s="20"/>
      <c r="F768" s="22">
        <v>1</v>
      </c>
      <c r="G768" s="23">
        <v>0.1</v>
      </c>
      <c r="H768" s="37">
        <v>91.25</v>
      </c>
      <c r="I768" s="37">
        <f>G768*H768*F768</f>
        <v>9.125</v>
      </c>
      <c r="J768" s="13"/>
      <c r="K768" s="18" t="s">
        <v>92</v>
      </c>
      <c r="L768" s="19"/>
      <c r="M768" s="19"/>
      <c r="N768" s="20"/>
      <c r="O768" s="22"/>
      <c r="P768" s="36"/>
      <c r="R768" s="37">
        <f>R762*0.1</f>
        <v>24.772000000000002</v>
      </c>
    </row>
    <row r="769" spans="1:18" x14ac:dyDescent="0.2">
      <c r="A769" s="13"/>
      <c r="B769" s="18" t="s">
        <v>92</v>
      </c>
      <c r="F769" s="22"/>
      <c r="G769" s="23"/>
      <c r="H769" s="37"/>
      <c r="I769" s="37">
        <f>I762*0.1</f>
        <v>29.630999999999997</v>
      </c>
      <c r="J769" s="13"/>
      <c r="K769" s="18"/>
      <c r="L769" s="19"/>
      <c r="M769" s="19"/>
      <c r="N769" s="20"/>
      <c r="O769" s="22"/>
      <c r="P769" s="36"/>
      <c r="Q769" s="37"/>
      <c r="R769" s="37"/>
    </row>
    <row r="770" spans="1:18" x14ac:dyDescent="0.2">
      <c r="A770" s="13"/>
      <c r="B770" s="18"/>
      <c r="F770" s="22"/>
      <c r="G770" s="23"/>
      <c r="H770" s="37"/>
      <c r="I770" s="37"/>
      <c r="J770" s="13"/>
      <c r="O770" s="21"/>
      <c r="P770" s="21"/>
      <c r="Q770" s="21"/>
      <c r="R770" s="37"/>
    </row>
    <row r="771" spans="1:18" x14ac:dyDescent="0.2">
      <c r="A771" s="13"/>
      <c r="B771" s="18"/>
      <c r="C771" s="19"/>
      <c r="D771" s="19"/>
      <c r="E771" s="20"/>
      <c r="F771" s="22"/>
      <c r="G771" s="36"/>
      <c r="H771" s="37"/>
      <c r="I771" s="37"/>
      <c r="J771" s="13"/>
      <c r="K771" s="18"/>
      <c r="L771" s="19"/>
      <c r="M771" s="19"/>
      <c r="N771" s="20"/>
      <c r="O771" s="22"/>
      <c r="P771" s="36"/>
      <c r="Q771" s="37"/>
      <c r="R771" s="37"/>
    </row>
    <row r="772" spans="1:18" x14ac:dyDescent="0.2">
      <c r="A772" s="13"/>
      <c r="B772" s="18"/>
      <c r="C772" s="19"/>
      <c r="D772" s="19"/>
      <c r="E772" s="20"/>
      <c r="F772" s="22"/>
      <c r="G772" s="36"/>
      <c r="H772" s="37"/>
      <c r="I772" s="38"/>
      <c r="J772" s="13"/>
      <c r="K772" s="18"/>
      <c r="L772" s="19"/>
      <c r="M772" s="19"/>
      <c r="N772" s="20"/>
      <c r="O772" s="22"/>
      <c r="P772" s="36"/>
      <c r="Q772" s="38"/>
      <c r="R772" s="38"/>
    </row>
    <row r="773" spans="1:18" x14ac:dyDescent="0.2">
      <c r="A773" s="13"/>
      <c r="B773" s="18"/>
      <c r="C773" s="19"/>
      <c r="D773" s="19"/>
      <c r="E773" s="20"/>
      <c r="F773" s="22"/>
      <c r="G773" s="36"/>
      <c r="H773" s="37"/>
      <c r="I773" s="38"/>
      <c r="J773" s="13"/>
      <c r="K773" s="18"/>
      <c r="L773" s="19"/>
      <c r="M773" s="19"/>
      <c r="N773" s="20"/>
      <c r="O773" s="22"/>
      <c r="P773" s="36"/>
      <c r="Q773" s="38"/>
      <c r="R773" s="38"/>
    </row>
    <row r="774" spans="1:18" x14ac:dyDescent="0.2">
      <c r="A774" s="13"/>
      <c r="B774" s="18"/>
      <c r="C774" s="19"/>
      <c r="D774" s="19"/>
      <c r="E774" s="20"/>
      <c r="F774" s="22"/>
      <c r="G774" s="23"/>
      <c r="H774" s="37"/>
      <c r="I774" s="38"/>
      <c r="J774" s="13"/>
      <c r="K774" s="18"/>
      <c r="L774" s="19"/>
      <c r="M774" s="19"/>
      <c r="N774" s="20"/>
      <c r="O774" s="22"/>
      <c r="P774" s="36"/>
      <c r="Q774" s="38"/>
      <c r="R774" s="38"/>
    </row>
    <row r="775" spans="1:18" x14ac:dyDescent="0.2">
      <c r="A775" s="13"/>
      <c r="B775" s="18"/>
      <c r="C775" s="19"/>
      <c r="D775" s="19"/>
      <c r="E775" s="20"/>
      <c r="F775" s="22"/>
      <c r="G775" s="23"/>
      <c r="H775" s="37"/>
      <c r="I775" s="38"/>
      <c r="J775" s="13"/>
      <c r="K775" s="18"/>
      <c r="L775" s="19"/>
      <c r="M775" s="19"/>
      <c r="N775" s="20"/>
      <c r="O775" s="22"/>
      <c r="P775" s="36"/>
      <c r="Q775" s="38"/>
      <c r="R775" s="38"/>
    </row>
    <row r="776" spans="1:18" x14ac:dyDescent="0.2">
      <c r="A776" s="13"/>
      <c r="B776" s="7"/>
      <c r="C776" s="7"/>
      <c r="D776" s="7"/>
      <c r="E776" s="7"/>
      <c r="F776" s="72"/>
      <c r="G776" s="72"/>
      <c r="H776" s="72"/>
      <c r="I776" s="37"/>
      <c r="J776" s="13"/>
      <c r="K776" s="18"/>
      <c r="L776" s="19"/>
      <c r="M776" s="19"/>
      <c r="N776" s="20"/>
      <c r="O776" s="22"/>
      <c r="P776" s="36"/>
      <c r="Q776" s="37"/>
      <c r="R776" s="37"/>
    </row>
    <row r="777" spans="1:18" x14ac:dyDescent="0.2">
      <c r="A777" s="13"/>
      <c r="B777" s="18"/>
      <c r="C777" s="19"/>
      <c r="D777" s="19"/>
      <c r="E777" s="20"/>
      <c r="F777" s="22"/>
      <c r="G777" s="36"/>
      <c r="H777" s="37"/>
      <c r="I777" s="37"/>
      <c r="J777" s="13"/>
      <c r="K777" s="18"/>
      <c r="L777" s="19"/>
      <c r="M777" s="19"/>
      <c r="N777" s="20"/>
      <c r="O777" s="22"/>
      <c r="P777" s="36"/>
      <c r="Q777" s="37"/>
      <c r="R777" s="37"/>
    </row>
    <row r="778" spans="1:18" ht="15" customHeight="1" x14ac:dyDescent="0.2">
      <c r="A778" s="13"/>
      <c r="B778" s="18"/>
      <c r="C778" s="19"/>
      <c r="D778" s="19"/>
      <c r="E778" s="20"/>
      <c r="F778" s="22"/>
      <c r="G778" s="36"/>
      <c r="H778" s="37"/>
      <c r="I778" s="37"/>
      <c r="J778" s="13"/>
      <c r="K778" s="18"/>
      <c r="L778" s="19"/>
      <c r="M778" s="19"/>
      <c r="N778" s="20"/>
      <c r="O778" s="22"/>
      <c r="P778" s="36"/>
      <c r="Q778" s="37"/>
      <c r="R778" s="37"/>
    </row>
    <row r="779" spans="1:18" x14ac:dyDescent="0.2">
      <c r="A779" s="13"/>
      <c r="B779" s="18"/>
      <c r="C779" s="19"/>
      <c r="D779" s="19"/>
      <c r="E779" s="20"/>
      <c r="F779" s="22"/>
      <c r="G779" s="22"/>
      <c r="H779" s="23"/>
      <c r="I779" s="23"/>
      <c r="J779" s="13"/>
      <c r="K779" s="18"/>
      <c r="L779" s="19"/>
      <c r="M779" s="19"/>
      <c r="N779" s="20"/>
      <c r="O779" s="22"/>
      <c r="P779" s="22"/>
      <c r="Q779" s="23"/>
      <c r="R779" s="23"/>
    </row>
    <row r="780" spans="1:18" x14ac:dyDescent="0.2">
      <c r="A780" s="13"/>
      <c r="B780" s="248" t="s">
        <v>30</v>
      </c>
      <c r="C780" s="249"/>
      <c r="D780" s="249"/>
      <c r="E780" s="250"/>
      <c r="F780" s="22"/>
      <c r="G780" s="22"/>
      <c r="H780" s="23"/>
      <c r="I780" s="23">
        <f>SUM(I767:I779)</f>
        <v>644.75599999999997</v>
      </c>
      <c r="J780" s="13"/>
      <c r="K780" s="248" t="s">
        <v>30</v>
      </c>
      <c r="L780" s="249"/>
      <c r="M780" s="249"/>
      <c r="N780" s="250"/>
      <c r="O780" s="22"/>
      <c r="P780" s="22"/>
      <c r="Q780" s="23"/>
      <c r="R780" s="23">
        <f>SUM(R767:R779)</f>
        <v>147.77199999999999</v>
      </c>
    </row>
    <row r="781" spans="1:18" x14ac:dyDescent="0.2">
      <c r="A781" s="12" t="s">
        <v>31</v>
      </c>
      <c r="B781" s="260" t="s">
        <v>32</v>
      </c>
      <c r="C781" s="261"/>
      <c r="D781" s="261"/>
      <c r="E781" s="261"/>
      <c r="F781" s="161"/>
      <c r="G781" s="161"/>
      <c r="H781" s="40"/>
      <c r="I781" s="41">
        <f>SUM(I780+I762)</f>
        <v>941.06599999999992</v>
      </c>
      <c r="J781" s="12" t="s">
        <v>31</v>
      </c>
      <c r="K781" s="260" t="s">
        <v>32</v>
      </c>
      <c r="L781" s="261"/>
      <c r="M781" s="261"/>
      <c r="N781" s="261"/>
      <c r="O781" s="161"/>
      <c r="P781" s="161"/>
      <c r="Q781" s="40"/>
      <c r="R781" s="41">
        <f>SUM(R780+R762)</f>
        <v>395.49199999999996</v>
      </c>
    </row>
    <row r="782" spans="1:18" x14ac:dyDescent="0.2">
      <c r="A782" s="13" t="s">
        <v>33</v>
      </c>
      <c r="B782" s="349">
        <f>E749</f>
        <v>1</v>
      </c>
      <c r="C782" s="350"/>
      <c r="D782" s="350"/>
      <c r="E782" s="350"/>
      <c r="F782" s="350"/>
      <c r="G782" s="350"/>
      <c r="H782" s="40"/>
      <c r="I782" s="41"/>
      <c r="J782" s="13" t="s">
        <v>33</v>
      </c>
      <c r="K782" s="283">
        <f>N749</f>
        <v>1.25</v>
      </c>
      <c r="L782" s="284"/>
      <c r="M782" s="284"/>
      <c r="N782" s="284"/>
      <c r="O782" s="284"/>
      <c r="P782" s="284"/>
      <c r="Q782" s="40"/>
      <c r="R782" s="41"/>
    </row>
    <row r="783" spans="1:18" x14ac:dyDescent="0.2">
      <c r="A783" s="13" t="s">
        <v>34</v>
      </c>
      <c r="B783" s="162" t="s">
        <v>35</v>
      </c>
      <c r="C783" s="43"/>
      <c r="D783" s="43"/>
      <c r="E783" s="161"/>
      <c r="F783" s="163"/>
      <c r="G783" s="163"/>
      <c r="H783" s="40"/>
      <c r="I783" s="41">
        <f>I781/E749</f>
        <v>941.06599999999992</v>
      </c>
      <c r="J783" s="13" t="s">
        <v>34</v>
      </c>
      <c r="K783" s="162" t="s">
        <v>35</v>
      </c>
      <c r="L783" s="43"/>
      <c r="M783" s="43"/>
      <c r="N783" s="161"/>
      <c r="O783" s="163"/>
      <c r="P783" s="163"/>
      <c r="Q783" s="40"/>
      <c r="R783" s="41">
        <f>R781/N749</f>
        <v>316.39359999999999</v>
      </c>
    </row>
    <row r="784" spans="1:18" x14ac:dyDescent="0.2">
      <c r="A784" s="12"/>
      <c r="B784" s="251" t="s">
        <v>36</v>
      </c>
      <c r="C784" s="252"/>
      <c r="D784" s="252"/>
      <c r="E784" s="253"/>
      <c r="F784" s="244" t="s">
        <v>37</v>
      </c>
      <c r="G784" s="244" t="s">
        <v>38</v>
      </c>
      <c r="H784" s="244" t="s">
        <v>39</v>
      </c>
      <c r="I784" s="246" t="s">
        <v>15</v>
      </c>
      <c r="J784" s="12"/>
      <c r="K784" s="251" t="s">
        <v>36</v>
      </c>
      <c r="L784" s="252"/>
      <c r="M784" s="252"/>
      <c r="N784" s="253"/>
      <c r="O784" s="244" t="s">
        <v>37</v>
      </c>
      <c r="P784" s="244" t="s">
        <v>38</v>
      </c>
      <c r="Q784" s="244" t="s">
        <v>39</v>
      </c>
      <c r="R784" s="246" t="s">
        <v>15</v>
      </c>
    </row>
    <row r="785" spans="1:18" x14ac:dyDescent="0.2">
      <c r="A785" s="13"/>
      <c r="B785" s="254"/>
      <c r="C785" s="255"/>
      <c r="D785" s="255"/>
      <c r="E785" s="256"/>
      <c r="F785" s="245"/>
      <c r="G785" s="245"/>
      <c r="H785" s="245"/>
      <c r="I785" s="247"/>
      <c r="J785" s="13"/>
      <c r="K785" s="254"/>
      <c r="L785" s="255"/>
      <c r="M785" s="255"/>
      <c r="N785" s="256"/>
      <c r="O785" s="245"/>
      <c r="P785" s="245"/>
      <c r="Q785" s="245"/>
      <c r="R785" s="247"/>
    </row>
    <row r="786" spans="1:18" x14ac:dyDescent="0.2">
      <c r="A786" s="13" t="s">
        <v>40</v>
      </c>
      <c r="B786" s="18" t="s">
        <v>41</v>
      </c>
      <c r="C786" s="19"/>
      <c r="D786" s="19"/>
      <c r="E786" s="20"/>
      <c r="F786" s="22"/>
      <c r="G786" s="22"/>
      <c r="H786" s="23"/>
      <c r="I786" s="23"/>
      <c r="J786" s="13" t="s">
        <v>40</v>
      </c>
      <c r="K786" s="18" t="s">
        <v>41</v>
      </c>
      <c r="L786" s="19"/>
      <c r="M786" s="19"/>
      <c r="N786" s="20"/>
      <c r="O786" s="22"/>
      <c r="P786" s="22"/>
      <c r="Q786" s="23"/>
      <c r="R786" s="23"/>
    </row>
    <row r="787" spans="1:18" x14ac:dyDescent="0.2">
      <c r="A787" s="13"/>
      <c r="B787" s="18"/>
      <c r="C787" s="19"/>
      <c r="D787" s="19"/>
      <c r="E787" s="20"/>
      <c r="F787" s="22"/>
      <c r="G787" s="22"/>
      <c r="H787" s="23"/>
      <c r="I787" s="23"/>
      <c r="J787" s="13"/>
      <c r="K787" s="18"/>
      <c r="L787" s="19"/>
      <c r="M787" s="19"/>
      <c r="N787" s="20"/>
      <c r="O787" s="22"/>
      <c r="P787" s="22"/>
      <c r="Q787" s="23"/>
      <c r="R787" s="23"/>
    </row>
    <row r="788" spans="1:18" x14ac:dyDescent="0.2">
      <c r="A788" s="13"/>
      <c r="B788" s="18" t="s">
        <v>674</v>
      </c>
      <c r="C788" s="66"/>
      <c r="D788" s="19"/>
      <c r="E788" s="20"/>
      <c r="F788" s="62" t="s">
        <v>9</v>
      </c>
      <c r="G788" s="70">
        <v>0.184</v>
      </c>
      <c r="H788" s="107">
        <v>3400</v>
      </c>
      <c r="I788" s="23">
        <f>G788*H788</f>
        <v>625.6</v>
      </c>
      <c r="J788" s="13"/>
      <c r="K788" s="18"/>
      <c r="L788" s="19"/>
      <c r="M788" s="19"/>
      <c r="N788" s="20"/>
      <c r="O788" s="22"/>
      <c r="P788" s="62"/>
      <c r="Q788" s="23"/>
      <c r="R788" s="23"/>
    </row>
    <row r="789" spans="1:18" x14ac:dyDescent="0.2">
      <c r="A789" s="13"/>
      <c r="B789" s="18" t="s">
        <v>702</v>
      </c>
      <c r="C789" s="66"/>
      <c r="D789" s="19"/>
      <c r="E789" s="20"/>
      <c r="F789" s="62" t="s">
        <v>77</v>
      </c>
      <c r="G789" s="62">
        <v>7.59</v>
      </c>
      <c r="H789" s="107">
        <v>40</v>
      </c>
      <c r="I789" s="23">
        <f>G789*H789</f>
        <v>303.60000000000002</v>
      </c>
      <c r="J789" s="13"/>
      <c r="K789" s="18"/>
      <c r="L789" s="19"/>
      <c r="M789" s="19"/>
      <c r="N789" s="20"/>
      <c r="O789" s="22"/>
      <c r="P789" s="22"/>
      <c r="Q789" s="23"/>
      <c r="R789" s="23"/>
    </row>
    <row r="790" spans="1:18" x14ac:dyDescent="0.2">
      <c r="A790" s="13"/>
      <c r="B790" s="18" t="s">
        <v>704</v>
      </c>
      <c r="C790" s="19"/>
      <c r="D790" s="19"/>
      <c r="E790" s="20"/>
      <c r="F790" s="62" t="s">
        <v>80</v>
      </c>
      <c r="G790" s="70">
        <v>0.60399999999999998</v>
      </c>
      <c r="H790" s="107">
        <v>700</v>
      </c>
      <c r="I790" s="23">
        <f>G790*H790/2</f>
        <v>211.4</v>
      </c>
      <c r="J790" s="13"/>
      <c r="K790" s="18"/>
      <c r="L790" s="19"/>
      <c r="M790" s="19"/>
      <c r="N790" s="20"/>
      <c r="O790" s="22"/>
      <c r="P790" s="22"/>
      <c r="Q790" s="38"/>
      <c r="R790" s="38"/>
    </row>
    <row r="791" spans="1:18" x14ac:dyDescent="0.2">
      <c r="A791" s="13"/>
      <c r="B791" s="18" t="s">
        <v>705</v>
      </c>
      <c r="C791" s="19"/>
      <c r="D791" s="19"/>
      <c r="E791" s="20"/>
      <c r="F791" s="22" t="s">
        <v>413</v>
      </c>
      <c r="G791" s="62">
        <v>7.15</v>
      </c>
      <c r="H791" s="107">
        <v>20</v>
      </c>
      <c r="I791" s="23">
        <f>G791*H791/2</f>
        <v>71.5</v>
      </c>
      <c r="J791" s="13"/>
      <c r="K791" s="18"/>
      <c r="L791" s="19"/>
      <c r="M791" s="19"/>
      <c r="N791" s="20"/>
      <c r="O791" s="22"/>
      <c r="P791" s="22"/>
      <c r="Q791" s="38"/>
      <c r="R791" s="38"/>
    </row>
    <row r="792" spans="1:18" x14ac:dyDescent="0.2">
      <c r="A792" s="13"/>
      <c r="B792" s="18" t="s">
        <v>706</v>
      </c>
      <c r="C792" s="19"/>
      <c r="D792" s="19"/>
      <c r="E792" s="20"/>
      <c r="F792" s="22" t="s">
        <v>227</v>
      </c>
      <c r="G792" s="70">
        <v>0.77500000000000002</v>
      </c>
      <c r="H792" s="107">
        <v>220</v>
      </c>
      <c r="I792" s="23">
        <f>G792*H792</f>
        <v>170.5</v>
      </c>
      <c r="J792" s="13"/>
      <c r="K792" s="18"/>
      <c r="L792" s="19"/>
      <c r="M792" s="19"/>
      <c r="N792" s="20"/>
      <c r="O792" s="22"/>
      <c r="P792" s="22"/>
      <c r="Q792" s="45"/>
      <c r="R792" s="45"/>
    </row>
    <row r="793" spans="1:18" x14ac:dyDescent="0.2">
      <c r="A793" s="13"/>
      <c r="B793" s="18" t="s">
        <v>707</v>
      </c>
      <c r="C793" s="19"/>
      <c r="D793" s="19"/>
      <c r="E793" s="20"/>
      <c r="F793" s="22" t="s">
        <v>9</v>
      </c>
      <c r="G793" s="22">
        <v>4.3999999999999997E-2</v>
      </c>
      <c r="H793" s="107">
        <v>900</v>
      </c>
      <c r="I793" s="23">
        <f>G793*H793</f>
        <v>39.599999999999994</v>
      </c>
      <c r="J793" s="13"/>
      <c r="K793" s="18"/>
      <c r="L793" s="19"/>
      <c r="M793" s="19"/>
      <c r="N793" s="20"/>
      <c r="O793" s="22"/>
      <c r="P793" s="22"/>
      <c r="Q793" s="45"/>
      <c r="R793" s="45"/>
    </row>
    <row r="794" spans="1:18" ht="15" customHeight="1" x14ac:dyDescent="0.2">
      <c r="A794" s="13"/>
      <c r="B794" s="18" t="s">
        <v>708</v>
      </c>
      <c r="C794" s="19"/>
      <c r="D794" s="19"/>
      <c r="E794" s="20"/>
      <c r="F794" s="22" t="s">
        <v>1216</v>
      </c>
      <c r="G794" s="62">
        <v>0.2</v>
      </c>
      <c r="H794" s="107">
        <v>475</v>
      </c>
      <c r="I794" s="23">
        <f>G794*H794</f>
        <v>95</v>
      </c>
      <c r="J794" s="13"/>
      <c r="K794" s="18"/>
      <c r="L794" s="19"/>
      <c r="M794" s="19"/>
      <c r="N794" s="20"/>
      <c r="O794" s="22"/>
      <c r="P794" s="22"/>
      <c r="Q794" s="23"/>
      <c r="R794" s="23"/>
    </row>
    <row r="795" spans="1:18" x14ac:dyDescent="0.2">
      <c r="A795" s="13"/>
      <c r="B795" s="18" t="s">
        <v>709</v>
      </c>
      <c r="C795" s="19"/>
      <c r="D795" s="19"/>
      <c r="E795" s="20"/>
      <c r="F795" s="22" t="s">
        <v>77</v>
      </c>
      <c r="G795" s="22">
        <f>ROUND(G791*0.02,2)</f>
        <v>0.14000000000000001</v>
      </c>
      <c r="H795" s="107">
        <v>47</v>
      </c>
      <c r="I795" s="23">
        <f>G795*H795</f>
        <v>6.580000000000001</v>
      </c>
      <c r="J795" s="13"/>
      <c r="K795" s="18"/>
      <c r="L795" s="19"/>
      <c r="M795" s="19"/>
      <c r="N795" s="20"/>
      <c r="O795" s="22"/>
      <c r="P795" s="22"/>
      <c r="Q795" s="23"/>
      <c r="R795" s="23"/>
    </row>
    <row r="796" spans="1:18" x14ac:dyDescent="0.2">
      <c r="A796" s="13"/>
      <c r="B796" s="18" t="s">
        <v>629</v>
      </c>
      <c r="C796" s="19"/>
      <c r="D796" s="19"/>
      <c r="E796" s="20"/>
      <c r="F796" s="22" t="s">
        <v>77</v>
      </c>
      <c r="G796" s="22">
        <f>ROUND(G791/100,2)</f>
        <v>7.0000000000000007E-2</v>
      </c>
      <c r="H796" s="107">
        <v>68</v>
      </c>
      <c r="I796" s="23">
        <f>H796*G796</f>
        <v>4.7600000000000007</v>
      </c>
      <c r="J796" s="13"/>
      <c r="K796" s="18"/>
      <c r="L796" s="19"/>
      <c r="M796" s="19"/>
      <c r="N796" s="20"/>
      <c r="O796" s="22"/>
      <c r="P796" s="22"/>
      <c r="Q796" s="23"/>
      <c r="R796" s="23"/>
    </row>
    <row r="797" spans="1:18" x14ac:dyDescent="0.2">
      <c r="A797" s="13"/>
      <c r="B797" s="18"/>
      <c r="C797" s="19"/>
      <c r="D797" s="19"/>
      <c r="E797" s="20"/>
      <c r="F797" s="22"/>
      <c r="G797" s="22"/>
      <c r="H797" s="23"/>
      <c r="I797" s="23"/>
      <c r="J797" s="13"/>
      <c r="K797" s="18"/>
      <c r="L797" s="19"/>
      <c r="M797" s="19"/>
      <c r="N797" s="20"/>
      <c r="O797" s="22"/>
      <c r="P797" s="22"/>
      <c r="Q797" s="23"/>
      <c r="R797" s="23"/>
    </row>
    <row r="798" spans="1:18" x14ac:dyDescent="0.2">
      <c r="A798" s="13"/>
      <c r="B798" s="18"/>
      <c r="C798" s="19"/>
      <c r="D798" s="19"/>
      <c r="E798" s="20"/>
      <c r="F798" s="22"/>
      <c r="G798" s="22"/>
      <c r="H798" s="23"/>
      <c r="I798" s="23"/>
      <c r="J798" s="13"/>
      <c r="K798" s="18"/>
      <c r="L798" s="19"/>
      <c r="M798" s="19"/>
      <c r="N798" s="20"/>
      <c r="O798" s="22"/>
      <c r="P798" s="22"/>
      <c r="Q798" s="23"/>
      <c r="R798" s="23"/>
    </row>
    <row r="799" spans="1:18" x14ac:dyDescent="0.2">
      <c r="A799" s="13"/>
      <c r="B799" s="18"/>
      <c r="C799" s="19"/>
      <c r="D799" s="19"/>
      <c r="E799" s="20"/>
      <c r="F799" s="22"/>
      <c r="G799" s="36"/>
      <c r="H799" s="37"/>
      <c r="I799" s="37"/>
      <c r="J799" s="13"/>
      <c r="K799" s="18"/>
      <c r="L799" s="19"/>
      <c r="M799" s="19"/>
      <c r="N799" s="20"/>
      <c r="O799" s="22"/>
      <c r="P799" s="22"/>
      <c r="Q799" s="23"/>
      <c r="R799" s="23"/>
    </row>
    <row r="800" spans="1:18" x14ac:dyDescent="0.2">
      <c r="A800" s="13"/>
      <c r="B800" s="18"/>
      <c r="C800" s="19"/>
      <c r="D800" s="19"/>
      <c r="E800" s="20"/>
      <c r="F800" s="22"/>
      <c r="G800" s="36"/>
      <c r="H800" s="37"/>
      <c r="I800" s="37"/>
      <c r="J800" s="13"/>
      <c r="K800" s="18"/>
      <c r="L800" s="19"/>
      <c r="M800" s="19"/>
      <c r="N800" s="20"/>
      <c r="O800" s="22"/>
      <c r="P800" s="36"/>
      <c r="Q800" s="37"/>
      <c r="R800" s="37"/>
    </row>
    <row r="801" spans="1:18" x14ac:dyDescent="0.2">
      <c r="A801" s="13"/>
      <c r="B801" s="248" t="s">
        <v>42</v>
      </c>
      <c r="C801" s="249"/>
      <c r="D801" s="249"/>
      <c r="E801" s="250"/>
      <c r="F801" s="46"/>
      <c r="G801" s="46"/>
      <c r="H801" s="47"/>
      <c r="I801" s="47">
        <f>SUM(I788:I799)</f>
        <v>1528.54</v>
      </c>
      <c r="J801" s="13"/>
      <c r="K801" s="248" t="s">
        <v>42</v>
      </c>
      <c r="L801" s="249"/>
      <c r="M801" s="249"/>
      <c r="N801" s="250"/>
      <c r="O801" s="46"/>
      <c r="P801" s="46"/>
      <c r="Q801" s="47"/>
      <c r="R801" s="47">
        <f>SUM(R788:R800)</f>
        <v>0</v>
      </c>
    </row>
    <row r="802" spans="1:18" x14ac:dyDescent="0.2">
      <c r="A802" s="12" t="s">
        <v>43</v>
      </c>
      <c r="B802" s="48" t="s">
        <v>44</v>
      </c>
      <c r="C802" s="43"/>
      <c r="D802" s="43"/>
      <c r="E802" s="161"/>
      <c r="F802" s="49"/>
      <c r="G802" s="49"/>
      <c r="H802" s="50"/>
      <c r="I802" s="51">
        <f>SUM(I783+I801)</f>
        <v>2469.6059999999998</v>
      </c>
      <c r="J802" s="12" t="s">
        <v>43</v>
      </c>
      <c r="K802" s="48" t="s">
        <v>44</v>
      </c>
      <c r="L802" s="43"/>
      <c r="M802" s="43"/>
      <c r="N802" s="161"/>
      <c r="O802" s="49"/>
      <c r="P802" s="49"/>
      <c r="Q802" s="50"/>
      <c r="R802" s="51">
        <f>SUM(R783+R801)</f>
        <v>316.39359999999999</v>
      </c>
    </row>
    <row r="803" spans="1:18" x14ac:dyDescent="0.2">
      <c r="A803" s="13" t="s">
        <v>45</v>
      </c>
      <c r="B803" s="48" t="s">
        <v>46</v>
      </c>
      <c r="C803" s="43"/>
      <c r="D803" s="43"/>
      <c r="E803" s="161"/>
      <c r="F803" s="49"/>
      <c r="G803" s="52">
        <v>0.09</v>
      </c>
      <c r="H803" s="53" t="s">
        <v>47</v>
      </c>
      <c r="I803" s="51">
        <f>G803*I802</f>
        <v>222.26453999999998</v>
      </c>
      <c r="J803" s="13" t="s">
        <v>45</v>
      </c>
      <c r="K803" s="48" t="s">
        <v>46</v>
      </c>
      <c r="L803" s="43"/>
      <c r="M803" s="43"/>
      <c r="N803" s="161"/>
      <c r="O803" s="49"/>
      <c r="P803" s="52">
        <v>0.09</v>
      </c>
      <c r="Q803" s="53" t="s">
        <v>47</v>
      </c>
      <c r="R803" s="51">
        <f>P803*R802</f>
        <v>28.475423999999997</v>
      </c>
    </row>
    <row r="804" spans="1:18" x14ac:dyDescent="0.2">
      <c r="A804" s="13" t="s">
        <v>48</v>
      </c>
      <c r="B804" s="48" t="s">
        <v>49</v>
      </c>
      <c r="C804" s="43"/>
      <c r="D804" s="43"/>
      <c r="E804" s="161"/>
      <c r="F804" s="49"/>
      <c r="G804" s="52">
        <v>0.08</v>
      </c>
      <c r="H804" s="53" t="s">
        <v>47</v>
      </c>
      <c r="I804" s="51">
        <f>G804*I802</f>
        <v>197.56847999999999</v>
      </c>
      <c r="J804" s="13" t="s">
        <v>48</v>
      </c>
      <c r="K804" s="48" t="s">
        <v>49</v>
      </c>
      <c r="L804" s="43"/>
      <c r="M804" s="43"/>
      <c r="N804" s="161"/>
      <c r="O804" s="49"/>
      <c r="P804" s="52">
        <v>0.08</v>
      </c>
      <c r="Q804" s="53" t="s">
        <v>47</v>
      </c>
      <c r="R804" s="51">
        <f>P804*R802</f>
        <v>25.311488000000001</v>
      </c>
    </row>
    <row r="805" spans="1:18" x14ac:dyDescent="0.2">
      <c r="A805" s="13" t="s">
        <v>50</v>
      </c>
      <c r="B805" s="48" t="s">
        <v>51</v>
      </c>
      <c r="C805" s="43"/>
      <c r="D805" s="43"/>
      <c r="E805" s="161"/>
      <c r="F805" s="49"/>
      <c r="G805" s="52">
        <v>0.05</v>
      </c>
      <c r="H805" s="53" t="s">
        <v>52</v>
      </c>
      <c r="I805" s="51">
        <f>G805*(I802+I803+I804)</f>
        <v>144.47195099999999</v>
      </c>
      <c r="J805" s="13" t="s">
        <v>50</v>
      </c>
      <c r="K805" s="48" t="s">
        <v>51</v>
      </c>
      <c r="L805" s="43"/>
      <c r="M805" s="43"/>
      <c r="N805" s="161"/>
      <c r="O805" s="49"/>
      <c r="P805" s="52">
        <v>0.05</v>
      </c>
      <c r="Q805" s="53" t="s">
        <v>52</v>
      </c>
      <c r="R805" s="51">
        <f>P805*(R802+R803+R804)</f>
        <v>18.509025599999998</v>
      </c>
    </row>
    <row r="806" spans="1:18" x14ac:dyDescent="0.2">
      <c r="A806" s="54" t="s">
        <v>53</v>
      </c>
      <c r="B806" s="48" t="s">
        <v>54</v>
      </c>
      <c r="C806" s="43"/>
      <c r="D806" s="43"/>
      <c r="E806" s="161"/>
      <c r="F806" s="49"/>
      <c r="G806" s="49"/>
      <c r="H806" s="55" t="s">
        <v>55</v>
      </c>
      <c r="I806" s="51">
        <f>SUM(I802+I803+I804+I805)</f>
        <v>3033.9109709999998</v>
      </c>
      <c r="J806" s="54" t="s">
        <v>53</v>
      </c>
      <c r="K806" s="48" t="s">
        <v>54</v>
      </c>
      <c r="L806" s="43"/>
      <c r="M806" s="43"/>
      <c r="N806" s="161"/>
      <c r="O806" s="49"/>
      <c r="P806" s="49"/>
      <c r="Q806" s="55" t="s">
        <v>55</v>
      </c>
      <c r="R806" s="51">
        <f>SUM(R802+R803+R804+R805)</f>
        <v>388.68953759999994</v>
      </c>
    </row>
    <row r="807" spans="1:18" s="1" customFormat="1" x14ac:dyDescent="0.2">
      <c r="A807" s="236" t="s">
        <v>0</v>
      </c>
      <c r="B807" s="236"/>
      <c r="C807" s="236"/>
      <c r="D807" s="236"/>
      <c r="E807" s="236"/>
      <c r="F807" s="236"/>
      <c r="G807" s="236"/>
      <c r="H807" s="236"/>
      <c r="I807" s="236"/>
      <c r="J807" s="236" t="s">
        <v>0</v>
      </c>
      <c r="K807" s="236"/>
      <c r="L807" s="236"/>
      <c r="M807" s="236"/>
      <c r="N807" s="236"/>
      <c r="O807" s="236"/>
      <c r="P807" s="236"/>
      <c r="Q807" s="236"/>
      <c r="R807" s="236"/>
    </row>
    <row r="809" spans="1:18" x14ac:dyDescent="0.2">
      <c r="A809" s="158" t="s">
        <v>1</v>
      </c>
      <c r="C809" s="4" t="s">
        <v>2</v>
      </c>
      <c r="D809" s="5" t="s">
        <v>710</v>
      </c>
      <c r="E809" s="8" t="s">
        <v>711</v>
      </c>
      <c r="F809" s="8"/>
      <c r="G809" s="8"/>
      <c r="H809" s="8"/>
      <c r="I809" s="8"/>
      <c r="J809" s="158" t="s">
        <v>1</v>
      </c>
      <c r="L809" s="4" t="s">
        <v>2</v>
      </c>
      <c r="M809" s="5">
        <v>609</v>
      </c>
      <c r="N809" s="158" t="s">
        <v>700</v>
      </c>
      <c r="O809" s="158"/>
      <c r="P809" s="158"/>
      <c r="Q809" s="158"/>
    </row>
    <row r="810" spans="1:18" x14ac:dyDescent="0.2">
      <c r="A810" s="158" t="s">
        <v>7</v>
      </c>
      <c r="C810" s="4" t="s">
        <v>2</v>
      </c>
      <c r="E810" s="158" t="s">
        <v>59</v>
      </c>
      <c r="F810" s="8"/>
      <c r="G810" s="8"/>
      <c r="H810" s="8"/>
      <c r="J810" s="158" t="s">
        <v>7</v>
      </c>
      <c r="L810" s="4" t="s">
        <v>2</v>
      </c>
      <c r="N810" s="158" t="s">
        <v>8</v>
      </c>
      <c r="O810" s="8"/>
      <c r="P810" s="8"/>
      <c r="Q810" s="8"/>
    </row>
    <row r="811" spans="1:18" x14ac:dyDescent="0.2">
      <c r="A811" s="158" t="s">
        <v>493</v>
      </c>
      <c r="C811" s="4" t="s">
        <v>2</v>
      </c>
      <c r="E811" s="9">
        <v>2</v>
      </c>
      <c r="F811" s="8"/>
      <c r="G811" s="8"/>
      <c r="H811" s="8"/>
      <c r="J811" s="158" t="s">
        <v>10</v>
      </c>
      <c r="L811" s="4" t="s">
        <v>2</v>
      </c>
      <c r="N811" s="9">
        <v>35</v>
      </c>
      <c r="O811" s="8"/>
      <c r="P811" s="8"/>
      <c r="Q811" s="8"/>
    </row>
    <row r="812" spans="1:18" x14ac:dyDescent="0.2">
      <c r="B812" s="8"/>
      <c r="F812" s="11"/>
      <c r="G812" s="8"/>
      <c r="H812" s="8"/>
      <c r="I812" s="8"/>
      <c r="K812" s="8"/>
      <c r="O812" s="11"/>
      <c r="P812" s="8"/>
      <c r="Q812" s="8"/>
      <c r="R812" s="8"/>
    </row>
    <row r="813" spans="1:18" x14ac:dyDescent="0.2">
      <c r="A813" s="12"/>
      <c r="B813" s="238" t="s">
        <v>11</v>
      </c>
      <c r="C813" s="239"/>
      <c r="D813" s="239"/>
      <c r="E813" s="240"/>
      <c r="F813" s="244" t="s">
        <v>12</v>
      </c>
      <c r="G813" s="244" t="s">
        <v>13</v>
      </c>
      <c r="H813" s="244" t="s">
        <v>14</v>
      </c>
      <c r="I813" s="246" t="s">
        <v>15</v>
      </c>
      <c r="J813" s="12"/>
      <c r="K813" s="238" t="s">
        <v>11</v>
      </c>
      <c r="L813" s="239"/>
      <c r="M813" s="239"/>
      <c r="N813" s="240"/>
      <c r="O813" s="244" t="s">
        <v>12</v>
      </c>
      <c r="P813" s="244" t="s">
        <v>13</v>
      </c>
      <c r="Q813" s="244" t="s">
        <v>14</v>
      </c>
      <c r="R813" s="246" t="s">
        <v>15</v>
      </c>
    </row>
    <row r="814" spans="1:18" x14ac:dyDescent="0.2">
      <c r="A814" s="13"/>
      <c r="B814" s="241"/>
      <c r="C814" s="242"/>
      <c r="D814" s="242"/>
      <c r="E814" s="243"/>
      <c r="F814" s="245"/>
      <c r="G814" s="245"/>
      <c r="H814" s="245"/>
      <c r="I814" s="247"/>
      <c r="J814" s="13"/>
      <c r="K814" s="241"/>
      <c r="L814" s="242"/>
      <c r="M814" s="242"/>
      <c r="N814" s="243"/>
      <c r="O814" s="245"/>
      <c r="P814" s="245"/>
      <c r="Q814" s="245"/>
      <c r="R814" s="247"/>
    </row>
    <row r="815" spans="1:18" x14ac:dyDescent="0.2">
      <c r="A815" s="13" t="s">
        <v>16</v>
      </c>
      <c r="B815" s="14" t="s">
        <v>17</v>
      </c>
      <c r="C815" s="15"/>
      <c r="D815" s="15"/>
      <c r="E815" s="16"/>
      <c r="F815" s="17"/>
      <c r="G815" s="17"/>
      <c r="H815" s="17"/>
      <c r="I815" s="17"/>
      <c r="J815" s="13" t="s">
        <v>16</v>
      </c>
      <c r="K815" s="14" t="s">
        <v>17</v>
      </c>
      <c r="L815" s="15"/>
      <c r="M815" s="15"/>
      <c r="N815" s="16"/>
      <c r="O815" s="17"/>
      <c r="P815" s="17"/>
      <c r="Q815" s="17"/>
      <c r="R815" s="17"/>
    </row>
    <row r="816" spans="1:18" x14ac:dyDescent="0.2">
      <c r="A816" s="13"/>
      <c r="B816" s="18"/>
      <c r="C816" s="19"/>
      <c r="D816" s="19"/>
      <c r="E816" s="20"/>
      <c r="F816" s="21"/>
      <c r="G816" s="22"/>
      <c r="H816" s="21"/>
      <c r="I816" s="21"/>
      <c r="J816" s="13"/>
      <c r="K816" s="18"/>
      <c r="L816" s="19"/>
      <c r="M816" s="19"/>
      <c r="N816" s="20"/>
      <c r="O816" s="21"/>
      <c r="P816" s="22"/>
      <c r="Q816" s="21"/>
      <c r="R816" s="21"/>
    </row>
    <row r="817" spans="1:18" x14ac:dyDescent="0.2">
      <c r="A817" s="13"/>
      <c r="B817" s="24" t="s">
        <v>18</v>
      </c>
      <c r="C817" s="25"/>
      <c r="D817" s="25"/>
      <c r="E817" s="26"/>
      <c r="F817" s="22">
        <v>1</v>
      </c>
      <c r="G817" s="23">
        <v>1.5</v>
      </c>
      <c r="H817" s="23">
        <v>69.42</v>
      </c>
      <c r="I817" s="23">
        <f>G817*H817*F817</f>
        <v>104.13</v>
      </c>
      <c r="J817" s="13"/>
      <c r="K817" s="24" t="s">
        <v>18</v>
      </c>
      <c r="L817" s="25"/>
      <c r="M817" s="25"/>
      <c r="N817" s="26"/>
      <c r="O817" s="22">
        <v>1</v>
      </c>
      <c r="P817" s="23">
        <v>1</v>
      </c>
      <c r="Q817" s="23">
        <v>69.42</v>
      </c>
      <c r="R817" s="23">
        <f>P817*Q817*O817</f>
        <v>69.42</v>
      </c>
    </row>
    <row r="818" spans="1:18" x14ac:dyDescent="0.2">
      <c r="A818" s="13"/>
      <c r="B818" s="257" t="s">
        <v>1178</v>
      </c>
      <c r="C818" s="258"/>
      <c r="D818" s="25"/>
      <c r="E818" s="26"/>
      <c r="F818" s="22">
        <v>1</v>
      </c>
      <c r="G818" s="23">
        <v>1.5</v>
      </c>
      <c r="H818" s="23">
        <v>50.18</v>
      </c>
      <c r="I818" s="23">
        <f>G818*H818*F818</f>
        <v>75.27</v>
      </c>
      <c r="J818" s="13"/>
      <c r="K818" s="257" t="s">
        <v>1178</v>
      </c>
      <c r="L818" s="258"/>
      <c r="M818" s="25"/>
      <c r="N818" s="26"/>
      <c r="O818" s="22">
        <v>2</v>
      </c>
      <c r="P818" s="23">
        <v>1</v>
      </c>
      <c r="Q818" s="23">
        <v>50.18</v>
      </c>
      <c r="R818" s="23">
        <f>P818*Q818*O818</f>
        <v>100.36</v>
      </c>
    </row>
    <row r="819" spans="1:18" x14ac:dyDescent="0.2">
      <c r="A819" s="13"/>
      <c r="B819" s="257" t="s">
        <v>1177</v>
      </c>
      <c r="C819" s="258"/>
      <c r="D819" s="19"/>
      <c r="E819" s="20"/>
      <c r="F819" s="22">
        <v>2</v>
      </c>
      <c r="G819" s="23">
        <v>1.5</v>
      </c>
      <c r="H819" s="23">
        <v>38.97</v>
      </c>
      <c r="I819" s="23">
        <f>G819*H819*F819</f>
        <v>116.91</v>
      </c>
      <c r="J819" s="13"/>
      <c r="K819" s="257" t="s">
        <v>1177</v>
      </c>
      <c r="L819" s="258"/>
      <c r="M819" s="19"/>
      <c r="N819" s="20"/>
      <c r="O819" s="22">
        <v>2</v>
      </c>
      <c r="P819" s="23">
        <v>1</v>
      </c>
      <c r="Q819" s="23">
        <v>38.97</v>
      </c>
      <c r="R819" s="23">
        <f>P819*Q819*O819</f>
        <v>77.94</v>
      </c>
    </row>
    <row r="820" spans="1:18" x14ac:dyDescent="0.2">
      <c r="A820" s="13"/>
      <c r="B820" s="159"/>
      <c r="C820" s="160"/>
      <c r="D820" s="19"/>
      <c r="E820" s="20"/>
      <c r="F820" s="22"/>
      <c r="G820" s="22"/>
      <c r="H820" s="29"/>
      <c r="I820" s="30"/>
      <c r="J820" s="13"/>
      <c r="K820" s="159"/>
      <c r="L820" s="19"/>
      <c r="M820" s="19"/>
      <c r="N820" s="20"/>
      <c r="O820" s="22"/>
      <c r="P820" s="22"/>
      <c r="Q820" s="29"/>
      <c r="R820" s="30"/>
    </row>
    <row r="821" spans="1:18" ht="15" customHeight="1" x14ac:dyDescent="0.2">
      <c r="A821" s="13"/>
      <c r="B821" s="159"/>
      <c r="C821" s="160"/>
      <c r="D821" s="19"/>
      <c r="E821" s="20"/>
      <c r="F821" s="22"/>
      <c r="G821" s="22"/>
      <c r="H821" s="29"/>
      <c r="I821" s="30"/>
      <c r="J821" s="13"/>
      <c r="K821" s="159"/>
      <c r="L821" s="19"/>
      <c r="M821" s="19"/>
      <c r="N821" s="20"/>
      <c r="O821" s="22"/>
      <c r="P821" s="22"/>
      <c r="Q821" s="29"/>
      <c r="R821" s="30"/>
    </row>
    <row r="822" spans="1:18" x14ac:dyDescent="0.2">
      <c r="A822" s="13"/>
      <c r="B822" s="257"/>
      <c r="C822" s="258"/>
      <c r="D822" s="19"/>
      <c r="E822" s="20"/>
      <c r="F822" s="22"/>
      <c r="G822" s="22"/>
      <c r="H822" s="23"/>
      <c r="I822" s="23"/>
      <c r="J822" s="13"/>
      <c r="K822" s="18"/>
      <c r="L822" s="19"/>
      <c r="M822" s="19"/>
      <c r="N822" s="20"/>
      <c r="O822" s="22"/>
      <c r="P822" s="22"/>
      <c r="Q822" s="28"/>
      <c r="R822" s="23"/>
    </row>
    <row r="823" spans="1:18" x14ac:dyDescent="0.2">
      <c r="A823" s="13"/>
      <c r="B823" s="257"/>
      <c r="C823" s="258"/>
      <c r="D823" s="19"/>
      <c r="E823" s="20"/>
      <c r="F823" s="22"/>
      <c r="G823" s="22"/>
      <c r="H823" s="23"/>
      <c r="I823" s="23"/>
      <c r="J823" s="13"/>
      <c r="K823" s="18"/>
      <c r="L823" s="19"/>
      <c r="M823" s="19"/>
      <c r="N823" s="20"/>
      <c r="O823" s="22"/>
      <c r="P823" s="22"/>
      <c r="Q823" s="23"/>
      <c r="R823" s="23"/>
    </row>
    <row r="824" spans="1:18" x14ac:dyDescent="0.2">
      <c r="A824" s="13"/>
      <c r="B824" s="248" t="s">
        <v>20</v>
      </c>
      <c r="C824" s="249"/>
      <c r="D824" s="249"/>
      <c r="E824" s="250"/>
      <c r="F824" s="31"/>
      <c r="G824" s="31"/>
      <c r="H824" s="32"/>
      <c r="I824" s="32">
        <f>SUM(I817:I823)</f>
        <v>296.30999999999995</v>
      </c>
      <c r="J824" s="13"/>
      <c r="K824" s="248" t="s">
        <v>20</v>
      </c>
      <c r="L824" s="249"/>
      <c r="M824" s="249"/>
      <c r="N824" s="250"/>
      <c r="O824" s="31"/>
      <c r="P824" s="31"/>
      <c r="Q824" s="32"/>
      <c r="R824" s="32">
        <f>SUM(R817:R823)</f>
        <v>247.72</v>
      </c>
    </row>
    <row r="825" spans="1:18" x14ac:dyDescent="0.2">
      <c r="A825" s="12"/>
      <c r="B825" s="251" t="s">
        <v>21</v>
      </c>
      <c r="C825" s="252"/>
      <c r="D825" s="252"/>
      <c r="E825" s="253"/>
      <c r="F825" s="244" t="s">
        <v>22</v>
      </c>
      <c r="G825" s="244" t="s">
        <v>13</v>
      </c>
      <c r="H825" s="244" t="s">
        <v>14</v>
      </c>
      <c r="I825" s="246" t="s">
        <v>15</v>
      </c>
      <c r="J825" s="12"/>
      <c r="K825" s="251" t="s">
        <v>21</v>
      </c>
      <c r="L825" s="252"/>
      <c r="M825" s="252"/>
      <c r="N825" s="253"/>
      <c r="O825" s="244" t="s">
        <v>22</v>
      </c>
      <c r="P825" s="244" t="s">
        <v>13</v>
      </c>
      <c r="Q825" s="244" t="s">
        <v>14</v>
      </c>
      <c r="R825" s="246" t="s">
        <v>15</v>
      </c>
    </row>
    <row r="826" spans="1:18" x14ac:dyDescent="0.2">
      <c r="A826" s="13"/>
      <c r="B826" s="254"/>
      <c r="C826" s="255"/>
      <c r="D826" s="255"/>
      <c r="E826" s="256"/>
      <c r="F826" s="245"/>
      <c r="G826" s="245"/>
      <c r="H826" s="245"/>
      <c r="I826" s="247"/>
      <c r="J826" s="13"/>
      <c r="K826" s="254"/>
      <c r="L826" s="255"/>
      <c r="M826" s="255"/>
      <c r="N826" s="256"/>
      <c r="O826" s="245"/>
      <c r="P826" s="245"/>
      <c r="Q826" s="245"/>
      <c r="R826" s="247"/>
    </row>
    <row r="827" spans="1:18" x14ac:dyDescent="0.2">
      <c r="A827" s="13" t="s">
        <v>23</v>
      </c>
      <c r="B827" s="33" t="s">
        <v>24</v>
      </c>
      <c r="C827" s="15"/>
      <c r="D827" s="15"/>
      <c r="E827" s="16"/>
      <c r="F827" s="34"/>
      <c r="G827" s="34"/>
      <c r="H827" s="35"/>
      <c r="I827" s="35"/>
      <c r="J827" s="13" t="s">
        <v>23</v>
      </c>
      <c r="K827" s="33" t="s">
        <v>24</v>
      </c>
      <c r="L827" s="15"/>
      <c r="M827" s="15"/>
      <c r="N827" s="16"/>
      <c r="O827" s="34"/>
      <c r="P827" s="34"/>
      <c r="Q827" s="35"/>
      <c r="R827" s="35"/>
    </row>
    <row r="828" spans="1:18" x14ac:dyDescent="0.2">
      <c r="A828" s="13"/>
      <c r="B828" s="18"/>
      <c r="C828" s="19"/>
      <c r="D828" s="19"/>
      <c r="E828" s="20"/>
      <c r="F828" s="22"/>
      <c r="G828" s="22"/>
      <c r="H828" s="23"/>
      <c r="I828" s="23"/>
      <c r="J828" s="13"/>
      <c r="K828" s="18"/>
      <c r="L828" s="19"/>
      <c r="M828" s="19"/>
      <c r="N828" s="20"/>
      <c r="O828" s="22"/>
      <c r="P828" s="22"/>
      <c r="Q828" s="23"/>
      <c r="R828" s="23"/>
    </row>
    <row r="829" spans="1:18" x14ac:dyDescent="0.2">
      <c r="A829" s="13"/>
      <c r="B829" s="18" t="s">
        <v>1234</v>
      </c>
      <c r="C829" s="19"/>
      <c r="D829" s="19"/>
      <c r="E829" s="20"/>
      <c r="F829" s="22">
        <v>1</v>
      </c>
      <c r="G829" s="23">
        <v>0.5</v>
      </c>
      <c r="H829" s="37">
        <v>1212</v>
      </c>
      <c r="I829" s="37">
        <f>G829*H829*F829</f>
        <v>606</v>
      </c>
      <c r="J829" s="13"/>
      <c r="K829" s="18" t="s">
        <v>1312</v>
      </c>
      <c r="L829" s="19"/>
      <c r="M829" s="19"/>
      <c r="N829" s="20"/>
      <c r="O829" s="22">
        <v>1</v>
      </c>
      <c r="P829" s="23">
        <v>0.25</v>
      </c>
      <c r="Q829" s="37">
        <v>2450</v>
      </c>
      <c r="R829" s="37">
        <f>P829*Q829*O829</f>
        <v>612.5</v>
      </c>
    </row>
    <row r="830" spans="1:18" x14ac:dyDescent="0.2">
      <c r="A830" s="13"/>
      <c r="B830" s="18" t="s">
        <v>341</v>
      </c>
      <c r="C830" s="66"/>
      <c r="D830" s="19"/>
      <c r="E830" s="20"/>
      <c r="F830" s="22">
        <v>1</v>
      </c>
      <c r="G830" s="23">
        <v>0.05</v>
      </c>
      <c r="H830" s="37">
        <v>91.25</v>
      </c>
      <c r="I830" s="37">
        <f>G830*H830*F830</f>
        <v>4.5625</v>
      </c>
      <c r="J830" s="13"/>
      <c r="K830" s="18" t="s">
        <v>92</v>
      </c>
      <c r="L830" s="19"/>
      <c r="M830" s="19"/>
      <c r="N830" s="20"/>
      <c r="O830" s="22"/>
      <c r="P830" s="36"/>
      <c r="R830" s="37">
        <f>R824*0.1</f>
        <v>24.772000000000002</v>
      </c>
    </row>
    <row r="831" spans="1:18" x14ac:dyDescent="0.2">
      <c r="A831" s="13"/>
      <c r="B831" s="18" t="s">
        <v>92</v>
      </c>
      <c r="F831" s="22"/>
      <c r="G831" s="23"/>
      <c r="I831" s="37">
        <f>I824*0.1</f>
        <v>29.630999999999997</v>
      </c>
      <c r="J831" s="13"/>
      <c r="K831" s="18"/>
      <c r="L831" s="19"/>
      <c r="M831" s="19"/>
      <c r="N831" s="20"/>
      <c r="O831" s="22"/>
      <c r="P831" s="36"/>
      <c r="Q831" s="37"/>
      <c r="R831" s="37"/>
    </row>
    <row r="832" spans="1:18" x14ac:dyDescent="0.2">
      <c r="A832" s="13"/>
      <c r="B832" s="18"/>
      <c r="F832" s="22"/>
      <c r="G832" s="23"/>
      <c r="H832" s="37"/>
      <c r="I832" s="37"/>
      <c r="J832" s="13"/>
      <c r="O832" s="21"/>
      <c r="P832" s="21"/>
      <c r="Q832" s="21"/>
      <c r="R832" s="37"/>
    </row>
    <row r="833" spans="1:18" x14ac:dyDescent="0.2">
      <c r="A833" s="13"/>
      <c r="B833" s="18"/>
      <c r="C833" s="19"/>
      <c r="D833" s="19"/>
      <c r="E833" s="20"/>
      <c r="F833" s="22"/>
      <c r="G833" s="36"/>
      <c r="H833" s="37"/>
      <c r="I833" s="37"/>
      <c r="J833" s="13"/>
      <c r="K833" s="18"/>
      <c r="L833" s="19"/>
      <c r="M833" s="19"/>
      <c r="N833" s="20"/>
      <c r="O833" s="22"/>
      <c r="P833" s="36"/>
      <c r="Q833" s="37"/>
      <c r="R833" s="37"/>
    </row>
    <row r="834" spans="1:18" x14ac:dyDescent="0.2">
      <c r="A834" s="13"/>
      <c r="B834" s="18"/>
      <c r="C834" s="19"/>
      <c r="D834" s="19"/>
      <c r="E834" s="20"/>
      <c r="F834" s="22"/>
      <c r="G834" s="36"/>
      <c r="H834" s="37"/>
      <c r="I834" s="38"/>
      <c r="J834" s="13"/>
      <c r="K834" s="18"/>
      <c r="L834" s="19"/>
      <c r="M834" s="19"/>
      <c r="N834" s="20"/>
      <c r="O834" s="22"/>
      <c r="P834" s="36"/>
      <c r="Q834" s="38"/>
      <c r="R834" s="38"/>
    </row>
    <row r="835" spans="1:18" x14ac:dyDescent="0.2">
      <c r="A835" s="13"/>
      <c r="B835" s="18"/>
      <c r="C835" s="19"/>
      <c r="D835" s="19"/>
      <c r="E835" s="20"/>
      <c r="F835" s="22"/>
      <c r="G835" s="36"/>
      <c r="H835" s="37"/>
      <c r="I835" s="38"/>
      <c r="J835" s="13"/>
      <c r="K835" s="18"/>
      <c r="L835" s="19"/>
      <c r="M835" s="19"/>
      <c r="N835" s="20"/>
      <c r="O835" s="22"/>
      <c r="P835" s="36"/>
      <c r="Q835" s="38"/>
      <c r="R835" s="38"/>
    </row>
    <row r="836" spans="1:18" x14ac:dyDescent="0.2">
      <c r="A836" s="13"/>
      <c r="B836" s="18"/>
      <c r="C836" s="19"/>
      <c r="D836" s="19"/>
      <c r="E836" s="20"/>
      <c r="F836" s="22"/>
      <c r="G836" s="23"/>
      <c r="H836" s="37"/>
      <c r="I836" s="38"/>
      <c r="J836" s="13"/>
      <c r="K836" s="18"/>
      <c r="L836" s="19"/>
      <c r="M836" s="19"/>
      <c r="N836" s="20"/>
      <c r="O836" s="22"/>
      <c r="P836" s="36"/>
      <c r="Q836" s="38"/>
      <c r="R836" s="38"/>
    </row>
    <row r="837" spans="1:18" x14ac:dyDescent="0.2">
      <c r="A837" s="13"/>
      <c r="B837" s="18"/>
      <c r="C837" s="19"/>
      <c r="D837" s="19"/>
      <c r="E837" s="20"/>
      <c r="F837" s="22"/>
      <c r="G837" s="23"/>
      <c r="H837" s="37"/>
      <c r="I837" s="38"/>
      <c r="J837" s="13"/>
      <c r="K837" s="18"/>
      <c r="L837" s="19"/>
      <c r="M837" s="19"/>
      <c r="N837" s="20"/>
      <c r="O837" s="22"/>
      <c r="P837" s="36"/>
      <c r="Q837" s="38"/>
      <c r="R837" s="38"/>
    </row>
    <row r="838" spans="1:18" x14ac:dyDescent="0.2">
      <c r="A838" s="13"/>
      <c r="B838" s="7"/>
      <c r="C838" s="7"/>
      <c r="D838" s="7"/>
      <c r="E838" s="7"/>
      <c r="F838" s="72"/>
      <c r="G838" s="72"/>
      <c r="H838" s="72"/>
      <c r="I838" s="37"/>
      <c r="J838" s="13"/>
      <c r="K838" s="18"/>
      <c r="L838" s="19"/>
      <c r="M838" s="19"/>
      <c r="N838" s="20"/>
      <c r="O838" s="22"/>
      <c r="P838" s="36"/>
      <c r="Q838" s="37"/>
      <c r="R838" s="37"/>
    </row>
    <row r="839" spans="1:18" x14ac:dyDescent="0.2">
      <c r="A839" s="13"/>
      <c r="B839" s="18"/>
      <c r="C839" s="19"/>
      <c r="D839" s="19"/>
      <c r="E839" s="20"/>
      <c r="F839" s="22"/>
      <c r="G839" s="36"/>
      <c r="H839" s="37"/>
      <c r="I839" s="37"/>
      <c r="J839" s="13"/>
      <c r="K839" s="18"/>
      <c r="L839" s="19"/>
      <c r="M839" s="19"/>
      <c r="N839" s="20"/>
      <c r="O839" s="22"/>
      <c r="P839" s="36"/>
      <c r="Q839" s="37"/>
      <c r="R839" s="37"/>
    </row>
    <row r="840" spans="1:18" x14ac:dyDescent="0.2">
      <c r="A840" s="13"/>
      <c r="B840" s="18"/>
      <c r="C840" s="19"/>
      <c r="D840" s="19"/>
      <c r="E840" s="20"/>
      <c r="F840" s="22"/>
      <c r="G840" s="36"/>
      <c r="H840" s="37"/>
      <c r="I840" s="37"/>
      <c r="J840" s="13"/>
      <c r="K840" s="18"/>
      <c r="L840" s="19"/>
      <c r="M840" s="19"/>
      <c r="N840" s="20"/>
      <c r="O840" s="22"/>
      <c r="P840" s="36"/>
      <c r="Q840" s="37"/>
      <c r="R840" s="37"/>
    </row>
    <row r="841" spans="1:18" x14ac:dyDescent="0.2">
      <c r="A841" s="13"/>
      <c r="B841" s="18"/>
      <c r="C841" s="19"/>
      <c r="D841" s="19"/>
      <c r="E841" s="20"/>
      <c r="F841" s="22"/>
      <c r="G841" s="22"/>
      <c r="H841" s="23"/>
      <c r="I841" s="23"/>
      <c r="J841" s="13"/>
      <c r="K841" s="18"/>
      <c r="L841" s="19"/>
      <c r="M841" s="19"/>
      <c r="N841" s="20"/>
      <c r="O841" s="22"/>
      <c r="P841" s="22"/>
      <c r="Q841" s="23"/>
      <c r="R841" s="23"/>
    </row>
    <row r="842" spans="1:18" x14ac:dyDescent="0.2">
      <c r="A842" s="13"/>
      <c r="B842" s="248" t="s">
        <v>30</v>
      </c>
      <c r="C842" s="249"/>
      <c r="D842" s="249"/>
      <c r="E842" s="250"/>
      <c r="F842" s="22"/>
      <c r="G842" s="22"/>
      <c r="H842" s="23"/>
      <c r="I842" s="23">
        <f>SUM(I829:I841)</f>
        <v>640.19349999999997</v>
      </c>
      <c r="J842" s="13"/>
      <c r="K842" s="248" t="s">
        <v>30</v>
      </c>
      <c r="L842" s="249"/>
      <c r="M842" s="249"/>
      <c r="N842" s="250"/>
      <c r="O842" s="22"/>
      <c r="P842" s="22"/>
      <c r="Q842" s="23"/>
      <c r="R842" s="23">
        <f>SUM(R829:R841)</f>
        <v>637.27200000000005</v>
      </c>
    </row>
    <row r="843" spans="1:18" x14ac:dyDescent="0.2">
      <c r="A843" s="12" t="s">
        <v>31</v>
      </c>
      <c r="B843" s="260" t="s">
        <v>32</v>
      </c>
      <c r="C843" s="261"/>
      <c r="D843" s="261"/>
      <c r="E843" s="261"/>
      <c r="F843" s="161"/>
      <c r="G843" s="161"/>
      <c r="H843" s="40"/>
      <c r="I843" s="41">
        <f>SUM(I842+I824)</f>
        <v>936.50349999999992</v>
      </c>
      <c r="J843" s="12" t="s">
        <v>31</v>
      </c>
      <c r="K843" s="260" t="s">
        <v>32</v>
      </c>
      <c r="L843" s="261"/>
      <c r="M843" s="261"/>
      <c r="N843" s="261"/>
      <c r="O843" s="161"/>
      <c r="P843" s="161"/>
      <c r="Q843" s="40"/>
      <c r="R843" s="41">
        <f>SUM(R842+R824)</f>
        <v>884.99200000000008</v>
      </c>
    </row>
    <row r="844" spans="1:18" x14ac:dyDescent="0.2">
      <c r="A844" s="13" t="s">
        <v>33</v>
      </c>
      <c r="B844" s="349">
        <f>E811</f>
        <v>2</v>
      </c>
      <c r="C844" s="350"/>
      <c r="D844" s="350"/>
      <c r="E844" s="350"/>
      <c r="F844" s="350"/>
      <c r="G844" s="350"/>
      <c r="H844" s="40"/>
      <c r="I844" s="41"/>
      <c r="J844" s="13" t="s">
        <v>33</v>
      </c>
      <c r="K844" s="295">
        <f>N811</f>
        <v>35</v>
      </c>
      <c r="L844" s="296"/>
      <c r="M844" s="296"/>
      <c r="N844" s="296"/>
      <c r="O844" s="296"/>
      <c r="P844" s="296"/>
      <c r="Q844" s="40"/>
      <c r="R844" s="41"/>
    </row>
    <row r="845" spans="1:18" x14ac:dyDescent="0.2">
      <c r="A845" s="13" t="s">
        <v>34</v>
      </c>
      <c r="B845" s="162" t="s">
        <v>35</v>
      </c>
      <c r="C845" s="43"/>
      <c r="D845" s="43"/>
      <c r="E845" s="161"/>
      <c r="F845" s="163"/>
      <c r="G845" s="163"/>
      <c r="H845" s="40"/>
      <c r="I845" s="41">
        <f>I843/E811</f>
        <v>468.25174999999996</v>
      </c>
      <c r="J845" s="13" t="s">
        <v>34</v>
      </c>
      <c r="K845" s="162" t="s">
        <v>35</v>
      </c>
      <c r="L845" s="43"/>
      <c r="M845" s="43"/>
      <c r="N845" s="161"/>
      <c r="O845" s="163"/>
      <c r="P845" s="163"/>
      <c r="Q845" s="40"/>
      <c r="R845" s="41">
        <f>R843/N811</f>
        <v>25.285485714285716</v>
      </c>
    </row>
    <row r="846" spans="1:18" x14ac:dyDescent="0.2">
      <c r="A846" s="12"/>
      <c r="B846" s="251" t="s">
        <v>36</v>
      </c>
      <c r="C846" s="252"/>
      <c r="D846" s="252"/>
      <c r="E846" s="253"/>
      <c r="F846" s="244" t="s">
        <v>37</v>
      </c>
      <c r="G846" s="244" t="s">
        <v>38</v>
      </c>
      <c r="H846" s="244" t="s">
        <v>39</v>
      </c>
      <c r="I846" s="246" t="s">
        <v>15</v>
      </c>
      <c r="J846" s="12"/>
      <c r="K846" s="251" t="s">
        <v>36</v>
      </c>
      <c r="L846" s="252"/>
      <c r="M846" s="252"/>
      <c r="N846" s="253"/>
      <c r="O846" s="244" t="s">
        <v>37</v>
      </c>
      <c r="P846" s="244" t="s">
        <v>38</v>
      </c>
      <c r="Q846" s="244" t="s">
        <v>39</v>
      </c>
      <c r="R846" s="246" t="s">
        <v>15</v>
      </c>
    </row>
    <row r="847" spans="1:18" x14ac:dyDescent="0.2">
      <c r="A847" s="13"/>
      <c r="B847" s="254"/>
      <c r="C847" s="255"/>
      <c r="D847" s="255"/>
      <c r="E847" s="256"/>
      <c r="F847" s="245"/>
      <c r="G847" s="245"/>
      <c r="H847" s="245"/>
      <c r="I847" s="247"/>
      <c r="J847" s="13"/>
      <c r="K847" s="254"/>
      <c r="L847" s="255"/>
      <c r="M847" s="255"/>
      <c r="N847" s="256"/>
      <c r="O847" s="245"/>
      <c r="P847" s="245"/>
      <c r="Q847" s="245"/>
      <c r="R847" s="247"/>
    </row>
    <row r="848" spans="1:18" x14ac:dyDescent="0.2">
      <c r="A848" s="13" t="s">
        <v>40</v>
      </c>
      <c r="B848" s="18" t="s">
        <v>41</v>
      </c>
      <c r="C848" s="19"/>
      <c r="D848" s="19"/>
      <c r="E848" s="20"/>
      <c r="F848" s="22"/>
      <c r="G848" s="22"/>
      <c r="H848" s="23"/>
      <c r="I848" s="23"/>
      <c r="J848" s="13" t="s">
        <v>40</v>
      </c>
      <c r="K848" s="18" t="s">
        <v>41</v>
      </c>
      <c r="L848" s="19"/>
      <c r="M848" s="19"/>
      <c r="N848" s="20"/>
      <c r="O848" s="22"/>
      <c r="P848" s="22"/>
      <c r="Q848" s="23"/>
      <c r="R848" s="23"/>
    </row>
    <row r="849" spans="1:18" x14ac:dyDescent="0.2">
      <c r="A849" s="13"/>
      <c r="B849" s="18"/>
      <c r="C849" s="19"/>
      <c r="D849" s="19"/>
      <c r="E849" s="20"/>
      <c r="F849" s="22"/>
      <c r="G849" s="22"/>
      <c r="H849" s="23"/>
      <c r="I849" s="23"/>
      <c r="J849" s="13"/>
      <c r="K849" s="18"/>
      <c r="L849" s="19"/>
      <c r="M849" s="19"/>
      <c r="N849" s="20"/>
      <c r="O849" s="22"/>
      <c r="P849" s="22"/>
      <c r="Q849" s="23"/>
      <c r="R849" s="23"/>
    </row>
    <row r="850" spans="1:18" x14ac:dyDescent="0.2">
      <c r="A850" s="13"/>
      <c r="B850" s="18" t="s">
        <v>713</v>
      </c>
      <c r="C850" s="66"/>
      <c r="D850" s="19"/>
      <c r="E850" s="20"/>
      <c r="F850" s="62" t="s">
        <v>59</v>
      </c>
      <c r="G850" s="62">
        <v>1</v>
      </c>
      <c r="H850" s="107">
        <v>4150</v>
      </c>
      <c r="I850" s="23">
        <f>G850*H850</f>
        <v>4150</v>
      </c>
      <c r="J850" s="13"/>
      <c r="K850" s="18" t="s">
        <v>701</v>
      </c>
      <c r="L850" s="19"/>
      <c r="M850" s="19"/>
      <c r="N850" s="20"/>
      <c r="O850" s="22" t="s">
        <v>8</v>
      </c>
      <c r="P850" s="22">
        <v>1.05</v>
      </c>
      <c r="Q850" s="107">
        <v>89</v>
      </c>
      <c r="R850" s="23">
        <f>P850*Q850</f>
        <v>93.45</v>
      </c>
    </row>
    <row r="851" spans="1:18" x14ac:dyDescent="0.2">
      <c r="A851" s="13"/>
      <c r="B851" s="18" t="s">
        <v>715</v>
      </c>
      <c r="C851" s="66"/>
      <c r="D851" s="19"/>
      <c r="E851" s="20"/>
      <c r="F851" s="62" t="s">
        <v>9</v>
      </c>
      <c r="G851" s="70">
        <v>9.5000000000000001E-2</v>
      </c>
      <c r="H851" s="107">
        <v>3400</v>
      </c>
      <c r="I851" s="23">
        <f>G851*H851</f>
        <v>323</v>
      </c>
      <c r="J851" s="13"/>
      <c r="K851" s="18" t="s">
        <v>703</v>
      </c>
      <c r="L851" s="19"/>
      <c r="M851" s="19"/>
      <c r="N851" s="20"/>
      <c r="O851" s="22" t="s">
        <v>77</v>
      </c>
      <c r="P851" s="62">
        <v>0.1</v>
      </c>
      <c r="Q851" s="107">
        <f>1300/50</f>
        <v>26</v>
      </c>
      <c r="R851" s="23">
        <f>P851*Q851</f>
        <v>2.6</v>
      </c>
    </row>
    <row r="852" spans="1:18" x14ac:dyDescent="0.2">
      <c r="A852" s="13"/>
      <c r="B852" s="18" t="s">
        <v>716</v>
      </c>
      <c r="C852" s="19"/>
      <c r="D852" s="19"/>
      <c r="E852" s="20"/>
      <c r="F852" s="22" t="s">
        <v>265</v>
      </c>
      <c r="G852" s="62">
        <v>0.2</v>
      </c>
      <c r="H852" s="107">
        <v>475</v>
      </c>
      <c r="I852" s="23">
        <f>G852*H852</f>
        <v>95</v>
      </c>
      <c r="J852" s="13"/>
      <c r="K852" s="18"/>
      <c r="L852" s="19"/>
      <c r="M852" s="19"/>
      <c r="N852" s="20"/>
      <c r="O852" s="22"/>
      <c r="P852" s="22"/>
      <c r="Q852" s="38"/>
      <c r="R852" s="38"/>
    </row>
    <row r="853" spans="1:18" x14ac:dyDescent="0.2">
      <c r="A853" s="13"/>
      <c r="B853" s="18"/>
      <c r="C853" s="19"/>
      <c r="D853" s="19"/>
      <c r="E853" s="20"/>
      <c r="F853" s="22"/>
      <c r="G853" s="62"/>
      <c r="H853" s="23"/>
      <c r="I853" s="23"/>
      <c r="J853" s="13"/>
      <c r="K853" s="18"/>
      <c r="L853" s="19"/>
      <c r="M853" s="19"/>
      <c r="N853" s="20"/>
      <c r="O853" s="22"/>
      <c r="P853" s="22"/>
      <c r="Q853" s="38"/>
      <c r="R853" s="38"/>
    </row>
    <row r="854" spans="1:18" x14ac:dyDescent="0.2">
      <c r="A854" s="13"/>
      <c r="B854" s="18"/>
      <c r="C854" s="19"/>
      <c r="D854" s="19"/>
      <c r="E854" s="20"/>
      <c r="F854" s="22"/>
      <c r="G854" s="62"/>
      <c r="H854" s="23"/>
      <c r="I854" s="23"/>
      <c r="J854" s="13"/>
      <c r="K854" s="18"/>
      <c r="L854" s="19"/>
      <c r="M854" s="19"/>
      <c r="N854" s="20"/>
      <c r="O854" s="22"/>
      <c r="P854" s="22"/>
      <c r="Q854" s="45"/>
      <c r="R854" s="45"/>
    </row>
    <row r="855" spans="1:18" x14ac:dyDescent="0.2">
      <c r="A855" s="13"/>
      <c r="B855" s="18"/>
      <c r="C855" s="19"/>
      <c r="D855" s="19"/>
      <c r="E855" s="20"/>
      <c r="F855" s="22"/>
      <c r="G855" s="22"/>
      <c r="H855" s="23"/>
      <c r="I855" s="23"/>
      <c r="J855" s="13"/>
      <c r="K855" s="18"/>
      <c r="L855" s="19"/>
      <c r="M855" s="19"/>
      <c r="N855" s="20"/>
      <c r="O855" s="22"/>
      <c r="P855" s="22"/>
      <c r="Q855" s="45"/>
      <c r="R855" s="45"/>
    </row>
    <row r="856" spans="1:18" x14ac:dyDescent="0.2">
      <c r="A856" s="13"/>
      <c r="B856" s="18"/>
      <c r="C856" s="19"/>
      <c r="D856" s="19"/>
      <c r="E856" s="20"/>
      <c r="F856" s="22"/>
      <c r="G856" s="22"/>
      <c r="H856" s="23"/>
      <c r="I856" s="23"/>
      <c r="J856" s="13"/>
      <c r="K856" s="18"/>
      <c r="L856" s="19"/>
      <c r="M856" s="19"/>
      <c r="N856" s="20"/>
      <c r="O856" s="22"/>
      <c r="P856" s="22"/>
      <c r="Q856" s="23"/>
      <c r="R856" s="23"/>
    </row>
    <row r="857" spans="1:18" x14ac:dyDescent="0.2">
      <c r="A857" s="13"/>
      <c r="B857" s="18"/>
      <c r="C857" s="19"/>
      <c r="D857" s="19"/>
      <c r="E857" s="20"/>
      <c r="F857" s="22"/>
      <c r="G857" s="22"/>
      <c r="H857" s="23"/>
      <c r="I857" s="23"/>
      <c r="J857" s="13"/>
      <c r="K857" s="18"/>
      <c r="L857" s="19"/>
      <c r="M857" s="19"/>
      <c r="N857" s="20"/>
      <c r="O857" s="22"/>
      <c r="P857" s="22"/>
      <c r="Q857" s="23"/>
      <c r="R857" s="23"/>
    </row>
    <row r="858" spans="1:18" x14ac:dyDescent="0.2">
      <c r="A858" s="13"/>
      <c r="B858" s="18"/>
      <c r="C858" s="19"/>
      <c r="D858" s="19"/>
      <c r="E858" s="20"/>
      <c r="F858" s="22"/>
      <c r="G858" s="22"/>
      <c r="H858" s="23"/>
      <c r="I858" s="23"/>
      <c r="J858" s="13"/>
      <c r="K858" s="18"/>
      <c r="L858" s="19"/>
      <c r="M858" s="19"/>
      <c r="N858" s="20"/>
      <c r="O858" s="22"/>
      <c r="P858" s="22"/>
      <c r="Q858" s="23"/>
      <c r="R858" s="23"/>
    </row>
    <row r="859" spans="1:18" x14ac:dyDescent="0.2">
      <c r="A859" s="13"/>
      <c r="B859" s="18"/>
      <c r="C859" s="19"/>
      <c r="D859" s="19"/>
      <c r="E859" s="20"/>
      <c r="F859" s="22"/>
      <c r="G859" s="22"/>
      <c r="H859" s="23"/>
      <c r="I859" s="23"/>
      <c r="J859" s="13"/>
      <c r="K859" s="18"/>
      <c r="L859" s="19"/>
      <c r="M859" s="19"/>
      <c r="N859" s="20"/>
      <c r="O859" s="22"/>
      <c r="P859" s="22"/>
      <c r="Q859" s="23"/>
      <c r="R859" s="23"/>
    </row>
    <row r="860" spans="1:18" x14ac:dyDescent="0.2">
      <c r="A860" s="13"/>
      <c r="B860" s="18"/>
      <c r="C860" s="19"/>
      <c r="D860" s="19"/>
      <c r="E860" s="20"/>
      <c r="F860" s="22"/>
      <c r="G860" s="22"/>
      <c r="H860" s="23"/>
      <c r="I860" s="23"/>
      <c r="J860" s="13"/>
      <c r="K860" s="18"/>
      <c r="L860" s="19"/>
      <c r="M860" s="19"/>
      <c r="N860" s="20"/>
      <c r="O860" s="22"/>
      <c r="P860" s="22"/>
      <c r="Q860" s="23"/>
      <c r="R860" s="23"/>
    </row>
    <row r="861" spans="1:18" x14ac:dyDescent="0.2">
      <c r="A861" s="13"/>
      <c r="B861" s="18"/>
      <c r="C861" s="19"/>
      <c r="D861" s="19"/>
      <c r="E861" s="20"/>
      <c r="F861" s="22"/>
      <c r="G861" s="22"/>
      <c r="H861" s="23"/>
      <c r="I861" s="23"/>
      <c r="J861" s="13"/>
      <c r="K861" s="18"/>
      <c r="L861" s="19"/>
      <c r="M861" s="19"/>
      <c r="N861" s="20"/>
      <c r="O861" s="22"/>
      <c r="P861" s="22"/>
      <c r="Q861" s="23"/>
      <c r="R861" s="23"/>
    </row>
    <row r="862" spans="1:18" x14ac:dyDescent="0.2">
      <c r="A862" s="13"/>
      <c r="B862" s="18"/>
      <c r="C862" s="19"/>
      <c r="D862" s="19"/>
      <c r="E862" s="20"/>
      <c r="F862" s="22"/>
      <c r="G862" s="36"/>
      <c r="H862" s="37"/>
      <c r="I862" s="37"/>
      <c r="J862" s="13"/>
      <c r="K862" s="18"/>
      <c r="L862" s="19"/>
      <c r="M862" s="19"/>
      <c r="N862" s="20"/>
      <c r="O862" s="22"/>
      <c r="P862" s="36"/>
      <c r="Q862" s="37"/>
      <c r="R862" s="37"/>
    </row>
    <row r="863" spans="1:18" x14ac:dyDescent="0.2">
      <c r="A863" s="13"/>
      <c r="B863" s="248" t="s">
        <v>42</v>
      </c>
      <c r="C863" s="249"/>
      <c r="D863" s="249"/>
      <c r="E863" s="250"/>
      <c r="F863" s="46"/>
      <c r="G863" s="46"/>
      <c r="H863" s="47"/>
      <c r="I863" s="47">
        <f>SUM(I850:I862)</f>
        <v>4568</v>
      </c>
      <c r="J863" s="13"/>
      <c r="K863" s="248" t="s">
        <v>42</v>
      </c>
      <c r="L863" s="249"/>
      <c r="M863" s="249"/>
      <c r="N863" s="250"/>
      <c r="O863" s="46"/>
      <c r="P863" s="46"/>
      <c r="Q863" s="47"/>
      <c r="R863" s="47">
        <f>SUM(R850:R862)</f>
        <v>96.05</v>
      </c>
    </row>
    <row r="864" spans="1:18" x14ac:dyDescent="0.2">
      <c r="A864" s="12" t="s">
        <v>43</v>
      </c>
      <c r="B864" s="48" t="s">
        <v>44</v>
      </c>
      <c r="C864" s="43"/>
      <c r="D864" s="43"/>
      <c r="E864" s="161"/>
      <c r="F864" s="49"/>
      <c r="G864" s="49"/>
      <c r="H864" s="50"/>
      <c r="I864" s="51">
        <f>SUM(I845+I863)</f>
        <v>5036.2517500000004</v>
      </c>
      <c r="J864" s="12" t="s">
        <v>43</v>
      </c>
      <c r="K864" s="48" t="s">
        <v>44</v>
      </c>
      <c r="L864" s="43"/>
      <c r="M864" s="43"/>
      <c r="N864" s="161"/>
      <c r="O864" s="49"/>
      <c r="P864" s="49"/>
      <c r="Q864" s="50"/>
      <c r="R864" s="51">
        <f>SUM(R845+R863)</f>
        <v>121.33548571428571</v>
      </c>
    </row>
    <row r="865" spans="1:18" x14ac:dyDescent="0.2">
      <c r="A865" s="13" t="s">
        <v>45</v>
      </c>
      <c r="B865" s="48" t="s">
        <v>46</v>
      </c>
      <c r="C865" s="43"/>
      <c r="D865" s="43"/>
      <c r="E865" s="161"/>
      <c r="F865" s="49"/>
      <c r="G865" s="52">
        <v>0.09</v>
      </c>
      <c r="H865" s="53" t="s">
        <v>47</v>
      </c>
      <c r="I865" s="51">
        <f>G865*I864</f>
        <v>453.26265749999999</v>
      </c>
      <c r="J865" s="13" t="s">
        <v>45</v>
      </c>
      <c r="K865" s="48" t="s">
        <v>46</v>
      </c>
      <c r="L865" s="43"/>
      <c r="M865" s="43"/>
      <c r="N865" s="161"/>
      <c r="O865" s="49"/>
      <c r="P865" s="52">
        <v>0.09</v>
      </c>
      <c r="Q865" s="53" t="s">
        <v>47</v>
      </c>
      <c r="R865" s="51">
        <f>P865*R864</f>
        <v>10.920193714285713</v>
      </c>
    </row>
    <row r="866" spans="1:18" x14ac:dyDescent="0.2">
      <c r="A866" s="13" t="s">
        <v>48</v>
      </c>
      <c r="B866" s="48" t="s">
        <v>49</v>
      </c>
      <c r="C866" s="43"/>
      <c r="D866" s="43"/>
      <c r="E866" s="161"/>
      <c r="F866" s="49"/>
      <c r="G866" s="52">
        <v>0.08</v>
      </c>
      <c r="H866" s="53" t="s">
        <v>47</v>
      </c>
      <c r="I866" s="51">
        <f>G866*I864</f>
        <v>402.90014000000002</v>
      </c>
      <c r="J866" s="13" t="s">
        <v>48</v>
      </c>
      <c r="K866" s="48" t="s">
        <v>49</v>
      </c>
      <c r="L866" s="43"/>
      <c r="M866" s="43"/>
      <c r="N866" s="161"/>
      <c r="O866" s="49"/>
      <c r="P866" s="52">
        <v>0.08</v>
      </c>
      <c r="Q866" s="53" t="s">
        <v>47</v>
      </c>
      <c r="R866" s="51">
        <f>P866*R864</f>
        <v>9.7068388571428574</v>
      </c>
    </row>
    <row r="867" spans="1:18" x14ac:dyDescent="0.2">
      <c r="A867" s="13" t="s">
        <v>50</v>
      </c>
      <c r="B867" s="48" t="s">
        <v>51</v>
      </c>
      <c r="C867" s="43"/>
      <c r="D867" s="43"/>
      <c r="E867" s="161"/>
      <c r="F867" s="49"/>
      <c r="G867" s="52">
        <v>0.05</v>
      </c>
      <c r="H867" s="53" t="s">
        <v>52</v>
      </c>
      <c r="I867" s="51">
        <f>G867*(I864+I865+I866)</f>
        <v>294.62072737500006</v>
      </c>
      <c r="J867" s="13" t="s">
        <v>50</v>
      </c>
      <c r="K867" s="48" t="s">
        <v>51</v>
      </c>
      <c r="L867" s="43"/>
      <c r="M867" s="43"/>
      <c r="N867" s="161"/>
      <c r="O867" s="49"/>
      <c r="P867" s="52">
        <v>0.05</v>
      </c>
      <c r="Q867" s="53" t="s">
        <v>52</v>
      </c>
      <c r="R867" s="51">
        <f>P867*(R864+R865+R866)</f>
        <v>7.0981259142857143</v>
      </c>
    </row>
    <row r="868" spans="1:18" x14ac:dyDescent="0.2">
      <c r="A868" s="54" t="s">
        <v>53</v>
      </c>
      <c r="B868" s="48" t="s">
        <v>54</v>
      </c>
      <c r="C868" s="43"/>
      <c r="D868" s="43"/>
      <c r="E868" s="161"/>
      <c r="F868" s="49"/>
      <c r="G868" s="49"/>
      <c r="H868" s="55" t="s">
        <v>55</v>
      </c>
      <c r="I868" s="51">
        <f>SUM(I864+I865+I866+I867)</f>
        <v>6187.0352748750001</v>
      </c>
      <c r="J868" s="54" t="s">
        <v>53</v>
      </c>
      <c r="K868" s="48" t="s">
        <v>54</v>
      </c>
      <c r="L868" s="43"/>
      <c r="M868" s="43"/>
      <c r="N868" s="161"/>
      <c r="O868" s="49"/>
      <c r="P868" s="49"/>
      <c r="Q868" s="55" t="s">
        <v>55</v>
      </c>
      <c r="R868" s="51">
        <f>SUM(R864+R865+R866+R867)</f>
        <v>149.06064419999998</v>
      </c>
    </row>
    <row r="869" spans="1:18" s="1" customFormat="1" x14ac:dyDescent="0.2">
      <c r="A869" s="236" t="s">
        <v>0</v>
      </c>
      <c r="B869" s="236"/>
      <c r="C869" s="236"/>
      <c r="D869" s="236"/>
      <c r="E869" s="236"/>
      <c r="F869" s="236"/>
      <c r="G869" s="236"/>
      <c r="H869" s="236"/>
      <c r="I869" s="236"/>
      <c r="J869" s="236" t="s">
        <v>0</v>
      </c>
      <c r="K869" s="236"/>
      <c r="L869" s="236"/>
      <c r="M869" s="236"/>
      <c r="N869" s="236"/>
      <c r="O869" s="236"/>
      <c r="P869" s="236"/>
      <c r="Q869" s="236"/>
      <c r="R869" s="236"/>
    </row>
    <row r="871" spans="1:18" x14ac:dyDescent="0.2">
      <c r="A871" s="158" t="s">
        <v>1</v>
      </c>
      <c r="C871" s="4" t="s">
        <v>2</v>
      </c>
      <c r="D871" s="5" t="s">
        <v>717</v>
      </c>
      <c r="E871" s="8" t="s">
        <v>718</v>
      </c>
      <c r="F871" s="8"/>
      <c r="G871" s="8"/>
      <c r="H871" s="8"/>
      <c r="I871" s="8"/>
      <c r="J871" s="158" t="s">
        <v>1</v>
      </c>
      <c r="L871" s="4" t="s">
        <v>2</v>
      </c>
      <c r="M871" s="5">
        <v>610</v>
      </c>
      <c r="N871" s="158" t="s">
        <v>712</v>
      </c>
      <c r="O871" s="158"/>
      <c r="P871" s="158"/>
      <c r="Q871" s="158"/>
    </row>
    <row r="872" spans="1:18" x14ac:dyDescent="0.2">
      <c r="A872" s="158" t="s">
        <v>7</v>
      </c>
      <c r="C872" s="4" t="s">
        <v>2</v>
      </c>
      <c r="E872" s="158" t="s">
        <v>59</v>
      </c>
      <c r="F872" s="8"/>
      <c r="G872" s="8"/>
      <c r="H872" s="8"/>
      <c r="J872" s="158" t="s">
        <v>7</v>
      </c>
      <c r="L872" s="4" t="s">
        <v>2</v>
      </c>
      <c r="N872" s="158" t="s">
        <v>8</v>
      </c>
      <c r="O872" s="8"/>
      <c r="P872" s="8"/>
      <c r="Q872" s="8"/>
    </row>
    <row r="873" spans="1:18" x14ac:dyDescent="0.2">
      <c r="A873" s="158" t="s">
        <v>10</v>
      </c>
      <c r="C873" s="4" t="s">
        <v>2</v>
      </c>
      <c r="E873" s="9">
        <v>50</v>
      </c>
      <c r="F873" s="8"/>
      <c r="G873" s="8"/>
      <c r="H873" s="8"/>
      <c r="J873" s="158" t="s">
        <v>10</v>
      </c>
      <c r="L873" s="4" t="s">
        <v>2</v>
      </c>
      <c r="N873" s="9">
        <v>25</v>
      </c>
      <c r="O873" s="8"/>
      <c r="P873" s="8"/>
      <c r="Q873" s="8"/>
    </row>
    <row r="874" spans="1:18" x14ac:dyDescent="0.2">
      <c r="B874" s="8"/>
      <c r="F874" s="11"/>
      <c r="G874" s="8"/>
      <c r="H874" s="8"/>
      <c r="I874" s="8"/>
      <c r="K874" s="8"/>
      <c r="O874" s="11"/>
      <c r="P874" s="8"/>
      <c r="Q874" s="8"/>
      <c r="R874" s="8"/>
    </row>
    <row r="875" spans="1:18" x14ac:dyDescent="0.2">
      <c r="A875" s="12"/>
      <c r="B875" s="238" t="s">
        <v>11</v>
      </c>
      <c r="C875" s="239"/>
      <c r="D875" s="239"/>
      <c r="E875" s="240"/>
      <c r="F875" s="244" t="s">
        <v>12</v>
      </c>
      <c r="G875" s="244" t="s">
        <v>13</v>
      </c>
      <c r="H875" s="244" t="s">
        <v>14</v>
      </c>
      <c r="I875" s="246" t="s">
        <v>15</v>
      </c>
      <c r="J875" s="12"/>
      <c r="K875" s="238" t="s">
        <v>11</v>
      </c>
      <c r="L875" s="239"/>
      <c r="M875" s="239"/>
      <c r="N875" s="240"/>
      <c r="O875" s="244" t="s">
        <v>12</v>
      </c>
      <c r="P875" s="244" t="s">
        <v>13</v>
      </c>
      <c r="Q875" s="244" t="s">
        <v>14</v>
      </c>
      <c r="R875" s="246" t="s">
        <v>15</v>
      </c>
    </row>
    <row r="876" spans="1:18" x14ac:dyDescent="0.2">
      <c r="A876" s="13"/>
      <c r="B876" s="241"/>
      <c r="C876" s="242"/>
      <c r="D876" s="242"/>
      <c r="E876" s="243"/>
      <c r="F876" s="245"/>
      <c r="G876" s="245"/>
      <c r="H876" s="245"/>
      <c r="I876" s="247"/>
      <c r="J876" s="13"/>
      <c r="K876" s="241"/>
      <c r="L876" s="242"/>
      <c r="M876" s="242"/>
      <c r="N876" s="243"/>
      <c r="O876" s="245"/>
      <c r="P876" s="245"/>
      <c r="Q876" s="245"/>
      <c r="R876" s="247"/>
    </row>
    <row r="877" spans="1:18" x14ac:dyDescent="0.2">
      <c r="A877" s="13" t="s">
        <v>16</v>
      </c>
      <c r="B877" s="14" t="s">
        <v>17</v>
      </c>
      <c r="C877" s="15"/>
      <c r="D877" s="15"/>
      <c r="E877" s="16"/>
      <c r="F877" s="17"/>
      <c r="G877" s="17"/>
      <c r="H877" s="17"/>
      <c r="I877" s="17"/>
      <c r="J877" s="13" t="s">
        <v>16</v>
      </c>
      <c r="K877" s="14" t="s">
        <v>17</v>
      </c>
      <c r="L877" s="15"/>
      <c r="M877" s="15"/>
      <c r="N877" s="16"/>
      <c r="O877" s="17"/>
      <c r="P877" s="17"/>
      <c r="Q877" s="17"/>
      <c r="R877" s="17"/>
    </row>
    <row r="878" spans="1:18" x14ac:dyDescent="0.2">
      <c r="A878" s="13"/>
      <c r="B878" s="18"/>
      <c r="C878" s="19"/>
      <c r="D878" s="19"/>
      <c r="E878" s="20"/>
      <c r="F878" s="21"/>
      <c r="G878" s="22"/>
      <c r="H878" s="21"/>
      <c r="I878" s="21"/>
      <c r="J878" s="13"/>
      <c r="K878" s="18"/>
      <c r="L878" s="19"/>
      <c r="M878" s="19"/>
      <c r="N878" s="20"/>
      <c r="O878" s="21"/>
      <c r="P878" s="22"/>
      <c r="Q878" s="21"/>
      <c r="R878" s="21"/>
    </row>
    <row r="879" spans="1:18" x14ac:dyDescent="0.2">
      <c r="A879" s="13"/>
      <c r="B879" s="24" t="s">
        <v>18</v>
      </c>
      <c r="C879" s="25"/>
      <c r="D879" s="25"/>
      <c r="E879" s="26"/>
      <c r="F879" s="22">
        <v>1</v>
      </c>
      <c r="G879" s="23">
        <v>1</v>
      </c>
      <c r="H879" s="23">
        <v>69.42</v>
      </c>
      <c r="I879" s="23">
        <f>G879*H879*F879</f>
        <v>69.42</v>
      </c>
      <c r="J879" s="13"/>
      <c r="K879" s="24" t="s">
        <v>18</v>
      </c>
      <c r="L879" s="25"/>
      <c r="M879" s="25"/>
      <c r="N879" s="26"/>
      <c r="O879" s="22">
        <v>1</v>
      </c>
      <c r="P879" s="23">
        <v>1</v>
      </c>
      <c r="Q879" s="23">
        <v>69.42</v>
      </c>
      <c r="R879" s="23">
        <f>P879*Q879*O879</f>
        <v>69.42</v>
      </c>
    </row>
    <row r="880" spans="1:18" x14ac:dyDescent="0.2">
      <c r="A880" s="13"/>
      <c r="B880" s="257" t="s">
        <v>1179</v>
      </c>
      <c r="C880" s="258"/>
      <c r="D880" s="19"/>
      <c r="E880" s="20"/>
      <c r="F880" s="22">
        <v>2</v>
      </c>
      <c r="G880" s="23">
        <v>1</v>
      </c>
      <c r="H880" s="23">
        <v>38.97</v>
      </c>
      <c r="I880" s="23">
        <f>G880*H880*F880</f>
        <v>77.94</v>
      </c>
      <c r="J880" s="13"/>
      <c r="K880" s="257" t="s">
        <v>1179</v>
      </c>
      <c r="L880" s="258"/>
      <c r="M880" s="19"/>
      <c r="N880" s="20"/>
      <c r="O880" s="22">
        <v>8</v>
      </c>
      <c r="P880" s="23">
        <v>1</v>
      </c>
      <c r="Q880" s="23">
        <v>38.97</v>
      </c>
      <c r="R880" s="23">
        <f>P880*Q880*O880</f>
        <v>311.76</v>
      </c>
    </row>
    <row r="881" spans="1:18" x14ac:dyDescent="0.2">
      <c r="A881" s="13"/>
      <c r="B881" s="257"/>
      <c r="C881" s="258"/>
      <c r="D881" s="19"/>
      <c r="E881" s="20"/>
      <c r="F881" s="22"/>
      <c r="G881" s="22"/>
      <c r="H881" s="23"/>
      <c r="I881" s="23"/>
      <c r="J881" s="13"/>
      <c r="K881" s="257"/>
      <c r="L881" s="258"/>
      <c r="M881" s="19"/>
      <c r="N881" s="20"/>
      <c r="O881" s="22"/>
      <c r="P881" s="22"/>
      <c r="Q881" s="23"/>
      <c r="R881" s="23"/>
    </row>
    <row r="882" spans="1:18" x14ac:dyDescent="0.2">
      <c r="A882" s="13"/>
      <c r="B882" s="159"/>
      <c r="C882" s="160"/>
      <c r="D882" s="19"/>
      <c r="E882" s="20"/>
      <c r="F882" s="22"/>
      <c r="G882" s="22"/>
      <c r="H882" s="29"/>
      <c r="I882" s="30"/>
      <c r="J882" s="13"/>
      <c r="K882" s="159"/>
      <c r="L882" s="19"/>
      <c r="M882" s="19"/>
      <c r="N882" s="20"/>
      <c r="O882" s="22"/>
      <c r="P882" s="22"/>
      <c r="Q882" s="29"/>
      <c r="R882" s="30"/>
    </row>
    <row r="883" spans="1:18" ht="15" customHeight="1" x14ac:dyDescent="0.2">
      <c r="A883" s="13"/>
      <c r="B883" s="159"/>
      <c r="C883" s="160"/>
      <c r="D883" s="19"/>
      <c r="E883" s="20"/>
      <c r="F883" s="22"/>
      <c r="G883" s="22"/>
      <c r="H883" s="29"/>
      <c r="I883" s="30"/>
      <c r="J883" s="13"/>
      <c r="K883" s="159"/>
      <c r="L883" s="19"/>
      <c r="M883" s="19"/>
      <c r="N883" s="20"/>
      <c r="O883" s="22"/>
      <c r="P883" s="22"/>
      <c r="Q883" s="29"/>
      <c r="R883" s="30"/>
    </row>
    <row r="884" spans="1:18" x14ac:dyDescent="0.2">
      <c r="A884" s="13"/>
      <c r="B884" s="257"/>
      <c r="C884" s="258"/>
      <c r="D884" s="19"/>
      <c r="E884" s="20"/>
      <c r="F884" s="22"/>
      <c r="G884" s="22"/>
      <c r="H884" s="23"/>
      <c r="I884" s="23"/>
      <c r="J884" s="13"/>
      <c r="K884" s="18"/>
      <c r="L884" s="19"/>
      <c r="M884" s="19"/>
      <c r="N884" s="20"/>
      <c r="O884" s="22"/>
      <c r="P884" s="22"/>
      <c r="Q884" s="28"/>
      <c r="R884" s="23"/>
    </row>
    <row r="885" spans="1:18" x14ac:dyDescent="0.2">
      <c r="A885" s="13"/>
      <c r="B885" s="257"/>
      <c r="C885" s="258"/>
      <c r="D885" s="19"/>
      <c r="E885" s="20"/>
      <c r="F885" s="22"/>
      <c r="G885" s="22"/>
      <c r="H885" s="23"/>
      <c r="I885" s="23"/>
      <c r="J885" s="13"/>
      <c r="K885" s="18"/>
      <c r="L885" s="19"/>
      <c r="M885" s="19"/>
      <c r="N885" s="20"/>
      <c r="O885" s="22"/>
      <c r="P885" s="22"/>
      <c r="Q885" s="23"/>
      <c r="R885" s="23"/>
    </row>
    <row r="886" spans="1:18" x14ac:dyDescent="0.2">
      <c r="A886" s="13"/>
      <c r="B886" s="248" t="s">
        <v>20</v>
      </c>
      <c r="C886" s="249"/>
      <c r="D886" s="249"/>
      <c r="E886" s="250"/>
      <c r="F886" s="31"/>
      <c r="G886" s="31"/>
      <c r="H886" s="32"/>
      <c r="I886" s="32">
        <f>SUM(I879:I885)</f>
        <v>147.36000000000001</v>
      </c>
      <c r="J886" s="13"/>
      <c r="K886" s="248" t="s">
        <v>20</v>
      </c>
      <c r="L886" s="249"/>
      <c r="M886" s="249"/>
      <c r="N886" s="250"/>
      <c r="O886" s="31"/>
      <c r="P886" s="31"/>
      <c r="Q886" s="32"/>
      <c r="R886" s="32">
        <f>SUM(R879:R885)</f>
        <v>381.18</v>
      </c>
    </row>
    <row r="887" spans="1:18" x14ac:dyDescent="0.2">
      <c r="A887" s="12"/>
      <c r="B887" s="251" t="s">
        <v>21</v>
      </c>
      <c r="C887" s="252"/>
      <c r="D887" s="252"/>
      <c r="E887" s="253"/>
      <c r="F887" s="244" t="s">
        <v>22</v>
      </c>
      <c r="G887" s="244" t="s">
        <v>13</v>
      </c>
      <c r="H887" s="244" t="s">
        <v>14</v>
      </c>
      <c r="I887" s="246" t="s">
        <v>15</v>
      </c>
      <c r="J887" s="12"/>
      <c r="K887" s="251" t="s">
        <v>21</v>
      </c>
      <c r="L887" s="252"/>
      <c r="M887" s="252"/>
      <c r="N887" s="253"/>
      <c r="O887" s="244" t="s">
        <v>22</v>
      </c>
      <c r="P887" s="244" t="s">
        <v>13</v>
      </c>
      <c r="Q887" s="244" t="s">
        <v>14</v>
      </c>
      <c r="R887" s="246" t="s">
        <v>15</v>
      </c>
    </row>
    <row r="888" spans="1:18" x14ac:dyDescent="0.2">
      <c r="A888" s="13"/>
      <c r="B888" s="254"/>
      <c r="C888" s="255"/>
      <c r="D888" s="255"/>
      <c r="E888" s="256"/>
      <c r="F888" s="245"/>
      <c r="G888" s="245"/>
      <c r="H888" s="245"/>
      <c r="I888" s="247"/>
      <c r="J888" s="13"/>
      <c r="K888" s="254"/>
      <c r="L888" s="255"/>
      <c r="M888" s="255"/>
      <c r="N888" s="256"/>
      <c r="O888" s="245"/>
      <c r="P888" s="245"/>
      <c r="Q888" s="245"/>
      <c r="R888" s="247"/>
    </row>
    <row r="889" spans="1:18" x14ac:dyDescent="0.2">
      <c r="A889" s="13" t="s">
        <v>23</v>
      </c>
      <c r="B889" s="33" t="s">
        <v>24</v>
      </c>
      <c r="C889" s="15"/>
      <c r="D889" s="15"/>
      <c r="E889" s="16"/>
      <c r="F889" s="34"/>
      <c r="G889" s="34"/>
      <c r="H889" s="35"/>
      <c r="I889" s="35"/>
      <c r="J889" s="13" t="s">
        <v>23</v>
      </c>
      <c r="K889" s="33" t="s">
        <v>24</v>
      </c>
      <c r="L889" s="15"/>
      <c r="M889" s="15"/>
      <c r="N889" s="16"/>
      <c r="O889" s="34"/>
      <c r="P889" s="34"/>
      <c r="Q889" s="35"/>
      <c r="R889" s="35"/>
    </row>
    <row r="890" spans="1:18" x14ac:dyDescent="0.2">
      <c r="A890" s="13"/>
      <c r="B890" s="18"/>
      <c r="C890" s="19"/>
      <c r="D890" s="19"/>
      <c r="E890" s="20"/>
      <c r="F890" s="22"/>
      <c r="G890" s="22"/>
      <c r="H890" s="23"/>
      <c r="I890" s="23"/>
      <c r="J890" s="13"/>
      <c r="K890" s="18"/>
      <c r="L890" s="19"/>
      <c r="M890" s="19"/>
      <c r="N890" s="20"/>
      <c r="O890" s="22"/>
      <c r="P890" s="22"/>
      <c r="Q890" s="23"/>
      <c r="R890" s="23"/>
    </row>
    <row r="891" spans="1:18" x14ac:dyDescent="0.2">
      <c r="A891" s="13"/>
      <c r="B891" s="18" t="s">
        <v>92</v>
      </c>
      <c r="F891" s="22"/>
      <c r="G891" s="23"/>
      <c r="I891" s="37">
        <f>I886*0.1</f>
        <v>14.736000000000002</v>
      </c>
      <c r="J891" s="13"/>
      <c r="K891" s="18" t="s">
        <v>1312</v>
      </c>
      <c r="L891" s="19"/>
      <c r="M891" s="19"/>
      <c r="N891" s="20"/>
      <c r="O891" s="22">
        <v>1</v>
      </c>
      <c r="P891" s="23">
        <v>0.5</v>
      </c>
      <c r="Q891" s="37">
        <v>2450</v>
      </c>
      <c r="R891" s="37">
        <f>P891*Q891*O891</f>
        <v>1225</v>
      </c>
    </row>
    <row r="892" spans="1:18" x14ac:dyDescent="0.2">
      <c r="A892" s="13"/>
      <c r="B892" s="18"/>
      <c r="C892" s="19"/>
      <c r="D892" s="19"/>
      <c r="E892" s="20"/>
      <c r="F892" s="22"/>
      <c r="G892" s="23"/>
      <c r="H892" s="37"/>
      <c r="I892" s="37"/>
      <c r="J892" s="13"/>
      <c r="K892" s="18" t="s">
        <v>92</v>
      </c>
      <c r="L892" s="19"/>
      <c r="M892" s="19"/>
      <c r="N892" s="20"/>
      <c r="O892" s="22"/>
      <c r="P892" s="36"/>
      <c r="R892" s="37">
        <f>R886*0.1</f>
        <v>38.118000000000002</v>
      </c>
    </row>
    <row r="893" spans="1:18" x14ac:dyDescent="0.2">
      <c r="A893" s="13"/>
      <c r="B893" s="18"/>
      <c r="F893" s="22"/>
      <c r="G893" s="23"/>
      <c r="H893" s="37"/>
      <c r="I893" s="37"/>
      <c r="J893" s="13"/>
      <c r="K893" s="18"/>
      <c r="L893" s="19"/>
      <c r="M893" s="19"/>
      <c r="N893" s="20"/>
      <c r="O893" s="22"/>
      <c r="P893" s="36"/>
      <c r="Q893" s="37"/>
      <c r="R893" s="37"/>
    </row>
    <row r="894" spans="1:18" x14ac:dyDescent="0.2">
      <c r="A894" s="13"/>
      <c r="B894" s="18"/>
      <c r="F894" s="22"/>
      <c r="G894" s="23"/>
      <c r="H894" s="37"/>
      <c r="I894" s="37"/>
      <c r="J894" s="13"/>
      <c r="O894" s="21"/>
      <c r="P894" s="21"/>
      <c r="Q894" s="21"/>
      <c r="R894" s="37"/>
    </row>
    <row r="895" spans="1:18" x14ac:dyDescent="0.2">
      <c r="A895" s="13"/>
      <c r="B895" s="18"/>
      <c r="C895" s="19"/>
      <c r="D895" s="19"/>
      <c r="E895" s="20"/>
      <c r="F895" s="22"/>
      <c r="G895" s="36"/>
      <c r="H895" s="37"/>
      <c r="I895" s="37"/>
      <c r="J895" s="13"/>
      <c r="K895" s="18"/>
      <c r="L895" s="19"/>
      <c r="M895" s="19"/>
      <c r="N895" s="20"/>
      <c r="O895" s="22"/>
      <c r="P895" s="36"/>
      <c r="Q895" s="37"/>
      <c r="R895" s="37"/>
    </row>
    <row r="896" spans="1:18" x14ac:dyDescent="0.2">
      <c r="A896" s="13"/>
      <c r="B896" s="18"/>
      <c r="C896" s="19"/>
      <c r="D896" s="19"/>
      <c r="E896" s="20"/>
      <c r="F896" s="22"/>
      <c r="G896" s="36"/>
      <c r="H896" s="37"/>
      <c r="I896" s="38"/>
      <c r="J896" s="13"/>
      <c r="K896" s="18"/>
      <c r="L896" s="19"/>
      <c r="M896" s="19"/>
      <c r="N896" s="20"/>
      <c r="O896" s="22"/>
      <c r="P896" s="36"/>
      <c r="Q896" s="38"/>
      <c r="R896" s="38"/>
    </row>
    <row r="897" spans="1:18" x14ac:dyDescent="0.2">
      <c r="A897" s="13"/>
      <c r="B897" s="18"/>
      <c r="C897" s="19"/>
      <c r="D897" s="19"/>
      <c r="E897" s="20"/>
      <c r="F897" s="22"/>
      <c r="G897" s="36"/>
      <c r="H897" s="37"/>
      <c r="I897" s="38"/>
      <c r="J897" s="13"/>
      <c r="K897" s="18"/>
      <c r="L897" s="19"/>
      <c r="M897" s="19"/>
      <c r="N897" s="20"/>
      <c r="O897" s="22"/>
      <c r="P897" s="36"/>
      <c r="Q897" s="38"/>
      <c r="R897" s="38"/>
    </row>
    <row r="898" spans="1:18" x14ac:dyDescent="0.2">
      <c r="A898" s="13"/>
      <c r="B898" s="18"/>
      <c r="C898" s="19"/>
      <c r="D898" s="19"/>
      <c r="E898" s="20"/>
      <c r="F898" s="22"/>
      <c r="G898" s="23"/>
      <c r="H898" s="37"/>
      <c r="I898" s="38"/>
      <c r="J898" s="13"/>
      <c r="K898" s="18"/>
      <c r="L898" s="19"/>
      <c r="M898" s="19"/>
      <c r="N898" s="20"/>
      <c r="O898" s="22"/>
      <c r="P898" s="36"/>
      <c r="Q898" s="38"/>
      <c r="R898" s="38"/>
    </row>
    <row r="899" spans="1:18" x14ac:dyDescent="0.2">
      <c r="A899" s="13"/>
      <c r="B899" s="18"/>
      <c r="C899" s="19"/>
      <c r="D899" s="19"/>
      <c r="E899" s="20"/>
      <c r="F899" s="22"/>
      <c r="G899" s="23"/>
      <c r="H899" s="37"/>
      <c r="I899" s="38"/>
      <c r="J899" s="13"/>
      <c r="K899" s="18"/>
      <c r="L899" s="19"/>
      <c r="M899" s="19"/>
      <c r="N899" s="20"/>
      <c r="O899" s="22"/>
      <c r="P899" s="36"/>
      <c r="Q899" s="38"/>
      <c r="R899" s="38"/>
    </row>
    <row r="900" spans="1:18" x14ac:dyDescent="0.2">
      <c r="A900" s="13"/>
      <c r="B900" s="7"/>
      <c r="C900" s="7"/>
      <c r="D900" s="7"/>
      <c r="E900" s="7"/>
      <c r="F900" s="72"/>
      <c r="G900" s="72"/>
      <c r="H900" s="72"/>
      <c r="I900" s="37"/>
      <c r="J900" s="13"/>
      <c r="K900" s="18"/>
      <c r="L900" s="19"/>
      <c r="M900" s="19"/>
      <c r="N900" s="20"/>
      <c r="O900" s="22"/>
      <c r="P900" s="36"/>
      <c r="Q900" s="37"/>
      <c r="R900" s="37"/>
    </row>
    <row r="901" spans="1:18" x14ac:dyDescent="0.2">
      <c r="A901" s="13"/>
      <c r="B901" s="18"/>
      <c r="C901" s="19"/>
      <c r="D901" s="19"/>
      <c r="E901" s="20"/>
      <c r="F901" s="22"/>
      <c r="G901" s="36"/>
      <c r="H901" s="37"/>
      <c r="I901" s="37"/>
      <c r="J901" s="13"/>
      <c r="K901" s="18"/>
      <c r="L901" s="19"/>
      <c r="M901" s="19"/>
      <c r="N901" s="20"/>
      <c r="O901" s="22"/>
      <c r="P901" s="36"/>
      <c r="Q901" s="37"/>
      <c r="R901" s="37"/>
    </row>
    <row r="902" spans="1:18" x14ac:dyDescent="0.2">
      <c r="A902" s="13"/>
      <c r="B902" s="18"/>
      <c r="C902" s="19"/>
      <c r="D902" s="19"/>
      <c r="E902" s="20"/>
      <c r="F902" s="22"/>
      <c r="G902" s="36"/>
      <c r="H902" s="37"/>
      <c r="I902" s="37"/>
      <c r="J902" s="13"/>
      <c r="K902" s="18"/>
      <c r="L902" s="19"/>
      <c r="M902" s="19"/>
      <c r="N902" s="20"/>
      <c r="O902" s="22"/>
      <c r="P902" s="36"/>
      <c r="Q902" s="37"/>
      <c r="R902" s="37"/>
    </row>
    <row r="903" spans="1:18" x14ac:dyDescent="0.2">
      <c r="A903" s="13"/>
      <c r="B903" s="18"/>
      <c r="C903" s="19"/>
      <c r="D903" s="19"/>
      <c r="E903" s="20"/>
      <c r="F903" s="22"/>
      <c r="G903" s="22"/>
      <c r="H903" s="23"/>
      <c r="I903" s="23"/>
      <c r="J903" s="13"/>
      <c r="K903" s="18"/>
      <c r="L903" s="19"/>
      <c r="M903" s="19"/>
      <c r="N903" s="20"/>
      <c r="O903" s="22"/>
      <c r="P903" s="22"/>
      <c r="Q903" s="23"/>
      <c r="R903" s="23"/>
    </row>
    <row r="904" spans="1:18" x14ac:dyDescent="0.2">
      <c r="A904" s="13"/>
      <c r="B904" s="248" t="s">
        <v>30</v>
      </c>
      <c r="C904" s="249"/>
      <c r="D904" s="249"/>
      <c r="E904" s="250"/>
      <c r="F904" s="22"/>
      <c r="G904" s="22"/>
      <c r="H904" s="23"/>
      <c r="I904" s="23">
        <f>SUM(I891:I903)</f>
        <v>14.736000000000002</v>
      </c>
      <c r="J904" s="13"/>
      <c r="K904" s="248" t="s">
        <v>30</v>
      </c>
      <c r="L904" s="249"/>
      <c r="M904" s="249"/>
      <c r="N904" s="250"/>
      <c r="O904" s="22"/>
      <c r="P904" s="22"/>
      <c r="Q904" s="23"/>
      <c r="R904" s="23">
        <f>SUM(R891:R903)</f>
        <v>1263.1179999999999</v>
      </c>
    </row>
    <row r="905" spans="1:18" x14ac:dyDescent="0.2">
      <c r="A905" s="12" t="s">
        <v>31</v>
      </c>
      <c r="B905" s="260" t="s">
        <v>32</v>
      </c>
      <c r="C905" s="261"/>
      <c r="D905" s="261"/>
      <c r="E905" s="261"/>
      <c r="F905" s="161"/>
      <c r="G905" s="161"/>
      <c r="H905" s="40"/>
      <c r="I905" s="41">
        <f>SUM(I904+I886)</f>
        <v>162.096</v>
      </c>
      <c r="J905" s="12" t="s">
        <v>31</v>
      </c>
      <c r="K905" s="260" t="s">
        <v>32</v>
      </c>
      <c r="L905" s="261"/>
      <c r="M905" s="261"/>
      <c r="N905" s="261"/>
      <c r="O905" s="161"/>
      <c r="P905" s="161"/>
      <c r="Q905" s="40"/>
      <c r="R905" s="41">
        <f>SUM(R904+R886)</f>
        <v>1644.298</v>
      </c>
    </row>
    <row r="906" spans="1:18" x14ac:dyDescent="0.2">
      <c r="A906" s="13" t="s">
        <v>33</v>
      </c>
      <c r="B906" s="269">
        <f>E873</f>
        <v>50</v>
      </c>
      <c r="C906" s="270"/>
      <c r="D906" s="270"/>
      <c r="E906" s="270"/>
      <c r="F906" s="270"/>
      <c r="G906" s="270"/>
      <c r="H906" s="40"/>
      <c r="I906" s="41"/>
      <c r="J906" s="13" t="s">
        <v>33</v>
      </c>
      <c r="K906" s="295">
        <f>N873</f>
        <v>25</v>
      </c>
      <c r="L906" s="296"/>
      <c r="M906" s="296"/>
      <c r="N906" s="296"/>
      <c r="O906" s="296"/>
      <c r="P906" s="296"/>
      <c r="Q906" s="40"/>
      <c r="R906" s="41"/>
    </row>
    <row r="907" spans="1:18" x14ac:dyDescent="0.2">
      <c r="A907" s="13" t="s">
        <v>34</v>
      </c>
      <c r="B907" s="162" t="s">
        <v>35</v>
      </c>
      <c r="C907" s="43"/>
      <c r="D907" s="43"/>
      <c r="E907" s="161"/>
      <c r="F907" s="163"/>
      <c r="G907" s="163"/>
      <c r="H907" s="40"/>
      <c r="I907" s="41">
        <f>I905/E873</f>
        <v>3.2419199999999999</v>
      </c>
      <c r="J907" s="13" t="s">
        <v>34</v>
      </c>
      <c r="K907" s="162" t="s">
        <v>35</v>
      </c>
      <c r="L907" s="43"/>
      <c r="M907" s="43"/>
      <c r="N907" s="161"/>
      <c r="O907" s="163"/>
      <c r="P907" s="163"/>
      <c r="Q907" s="40"/>
      <c r="R907" s="41">
        <f>R905/N873</f>
        <v>65.771919999999994</v>
      </c>
    </row>
    <row r="908" spans="1:18" x14ac:dyDescent="0.2">
      <c r="A908" s="12"/>
      <c r="B908" s="251" t="s">
        <v>36</v>
      </c>
      <c r="C908" s="252"/>
      <c r="D908" s="252"/>
      <c r="E908" s="253"/>
      <c r="F908" s="244" t="s">
        <v>37</v>
      </c>
      <c r="G908" s="244" t="s">
        <v>38</v>
      </c>
      <c r="H908" s="244" t="s">
        <v>39</v>
      </c>
      <c r="I908" s="246" t="s">
        <v>15</v>
      </c>
      <c r="J908" s="12"/>
      <c r="K908" s="251" t="s">
        <v>36</v>
      </c>
      <c r="L908" s="252"/>
      <c r="M908" s="252"/>
      <c r="N908" s="253"/>
      <c r="O908" s="244" t="s">
        <v>37</v>
      </c>
      <c r="P908" s="244" t="s">
        <v>38</v>
      </c>
      <c r="Q908" s="244" t="s">
        <v>39</v>
      </c>
      <c r="R908" s="246" t="s">
        <v>15</v>
      </c>
    </row>
    <row r="909" spans="1:18" x14ac:dyDescent="0.2">
      <c r="A909" s="13"/>
      <c r="B909" s="254"/>
      <c r="C909" s="255"/>
      <c r="D909" s="255"/>
      <c r="E909" s="256"/>
      <c r="F909" s="245"/>
      <c r="G909" s="245"/>
      <c r="H909" s="245"/>
      <c r="I909" s="247"/>
      <c r="J909" s="13"/>
      <c r="K909" s="254"/>
      <c r="L909" s="255"/>
      <c r="M909" s="255"/>
      <c r="N909" s="256"/>
      <c r="O909" s="245"/>
      <c r="P909" s="245"/>
      <c r="Q909" s="245"/>
      <c r="R909" s="247"/>
    </row>
    <row r="910" spans="1:18" x14ac:dyDescent="0.2">
      <c r="A910" s="13" t="s">
        <v>40</v>
      </c>
      <c r="B910" s="18" t="s">
        <v>41</v>
      </c>
      <c r="C910" s="19"/>
      <c r="D910" s="19"/>
      <c r="E910" s="20"/>
      <c r="F910" s="22"/>
      <c r="G910" s="22"/>
      <c r="H910" s="23"/>
      <c r="I910" s="23"/>
      <c r="J910" s="13" t="s">
        <v>40</v>
      </c>
      <c r="K910" s="18" t="s">
        <v>41</v>
      </c>
      <c r="L910" s="19"/>
      <c r="M910" s="19"/>
      <c r="N910" s="20"/>
      <c r="O910" s="22"/>
      <c r="P910" s="22"/>
      <c r="Q910" s="23"/>
      <c r="R910" s="23"/>
    </row>
    <row r="911" spans="1:18" x14ac:dyDescent="0.2">
      <c r="A911" s="13"/>
      <c r="B911" s="18"/>
      <c r="C911" s="19"/>
      <c r="D911" s="19"/>
      <c r="E911" s="20"/>
      <c r="F911" s="22"/>
      <c r="G911" s="22"/>
      <c r="H911" s="23"/>
      <c r="I911" s="23"/>
      <c r="J911" s="13"/>
      <c r="K911" s="18"/>
      <c r="L911" s="19"/>
      <c r="M911" s="19"/>
      <c r="N911" s="20"/>
      <c r="O911" s="22"/>
      <c r="P911" s="22"/>
      <c r="Q911" s="23"/>
      <c r="R911" s="23"/>
    </row>
    <row r="912" spans="1:18" x14ac:dyDescent="0.2">
      <c r="A912" s="13"/>
      <c r="B912" s="18" t="s">
        <v>722</v>
      </c>
      <c r="C912" s="66"/>
      <c r="D912" s="19"/>
      <c r="E912" s="20"/>
      <c r="F912" s="62" t="s">
        <v>59</v>
      </c>
      <c r="G912" s="62">
        <v>1</v>
      </c>
      <c r="H912" s="107">
        <v>1240</v>
      </c>
      <c r="I912" s="23">
        <f>G912*H912</f>
        <v>1240</v>
      </c>
      <c r="J912" s="13"/>
      <c r="K912" s="18" t="s">
        <v>714</v>
      </c>
      <c r="L912" s="19"/>
      <c r="M912" s="19"/>
      <c r="N912" s="20"/>
      <c r="O912" s="22" t="s">
        <v>8</v>
      </c>
      <c r="P912" s="22">
        <v>1.05</v>
      </c>
      <c r="Q912" s="107">
        <v>89</v>
      </c>
      <c r="R912" s="23">
        <f>P912*Q912</f>
        <v>93.45</v>
      </c>
    </row>
    <row r="913" spans="1:18" x14ac:dyDescent="0.2">
      <c r="A913" s="13"/>
      <c r="B913" s="18" t="s">
        <v>724</v>
      </c>
      <c r="C913" s="66"/>
      <c r="D913" s="19"/>
      <c r="E913" s="20"/>
      <c r="F913" s="62" t="s">
        <v>59</v>
      </c>
      <c r="G913" s="62">
        <v>1</v>
      </c>
      <c r="H913" s="107">
        <v>85</v>
      </c>
      <c r="I913" s="23">
        <f>G913*H913</f>
        <v>85</v>
      </c>
      <c r="J913" s="13"/>
      <c r="K913" s="18"/>
      <c r="L913" s="19"/>
      <c r="M913" s="19"/>
      <c r="N913" s="20"/>
      <c r="O913" s="22"/>
      <c r="P913" s="22"/>
      <c r="Q913" s="23"/>
      <c r="R913" s="23"/>
    </row>
    <row r="914" spans="1:18" x14ac:dyDescent="0.2">
      <c r="A914" s="13"/>
      <c r="B914" s="18" t="s">
        <v>614</v>
      </c>
      <c r="C914" s="19"/>
      <c r="D914" s="19"/>
      <c r="E914" s="20"/>
      <c r="F914" s="62"/>
      <c r="G914" s="62"/>
      <c r="I914" s="23">
        <f>(I912+I913)*0.05</f>
        <v>66.25</v>
      </c>
      <c r="J914" s="13"/>
      <c r="K914" s="18"/>
      <c r="L914" s="19"/>
      <c r="M914" s="19"/>
      <c r="N914" s="20"/>
      <c r="O914" s="22"/>
      <c r="P914" s="22"/>
      <c r="Q914" s="38"/>
      <c r="R914" s="38"/>
    </row>
    <row r="915" spans="1:18" x14ac:dyDescent="0.2">
      <c r="A915" s="13"/>
      <c r="B915" s="18"/>
      <c r="C915" s="19"/>
      <c r="D915" s="19"/>
      <c r="E915" s="20"/>
      <c r="F915" s="22"/>
      <c r="G915" s="62"/>
      <c r="H915" s="23"/>
      <c r="I915" s="23"/>
      <c r="J915" s="13"/>
      <c r="K915" s="18"/>
      <c r="L915" s="19"/>
      <c r="M915" s="19"/>
      <c r="N915" s="20"/>
      <c r="O915" s="22"/>
      <c r="P915" s="22"/>
      <c r="Q915" s="38"/>
      <c r="R915" s="38"/>
    </row>
    <row r="916" spans="1:18" x14ac:dyDescent="0.2">
      <c r="A916" s="13"/>
      <c r="B916" s="18"/>
      <c r="C916" s="19"/>
      <c r="D916" s="19"/>
      <c r="E916" s="20"/>
      <c r="F916" s="22"/>
      <c r="G916" s="62"/>
      <c r="H916" s="23"/>
      <c r="I916" s="23"/>
      <c r="J916" s="13"/>
      <c r="K916" s="18"/>
      <c r="L916" s="19"/>
      <c r="M916" s="19"/>
      <c r="N916" s="20"/>
      <c r="O916" s="22"/>
      <c r="P916" s="22"/>
      <c r="Q916" s="45"/>
      <c r="R916" s="45"/>
    </row>
    <row r="917" spans="1:18" x14ac:dyDescent="0.2">
      <c r="A917" s="13"/>
      <c r="B917" s="18"/>
      <c r="C917" s="19"/>
      <c r="D917" s="19"/>
      <c r="E917" s="20"/>
      <c r="F917" s="22"/>
      <c r="G917" s="62"/>
      <c r="H917" s="23"/>
      <c r="I917" s="23"/>
      <c r="J917" s="13"/>
      <c r="K917" s="18"/>
      <c r="L917" s="19"/>
      <c r="M917" s="19"/>
      <c r="N917" s="20"/>
      <c r="O917" s="22"/>
      <c r="P917" s="22"/>
      <c r="Q917" s="45"/>
      <c r="R917" s="45"/>
    </row>
    <row r="918" spans="1:18" x14ac:dyDescent="0.2">
      <c r="A918" s="13"/>
      <c r="B918" s="18"/>
      <c r="C918" s="19"/>
      <c r="D918" s="19"/>
      <c r="E918" s="20"/>
      <c r="F918" s="22"/>
      <c r="G918" s="22"/>
      <c r="H918" s="23"/>
      <c r="I918" s="23"/>
      <c r="J918" s="13"/>
      <c r="K918" s="18"/>
      <c r="L918" s="19"/>
      <c r="M918" s="19"/>
      <c r="N918" s="20"/>
      <c r="O918" s="22"/>
      <c r="P918" s="22"/>
      <c r="Q918" s="23"/>
      <c r="R918" s="23"/>
    </row>
    <row r="919" spans="1:18" x14ac:dyDescent="0.2">
      <c r="A919" s="13"/>
      <c r="B919" s="18"/>
      <c r="C919" s="19"/>
      <c r="D919" s="19"/>
      <c r="E919" s="20"/>
      <c r="F919" s="22"/>
      <c r="G919" s="22"/>
      <c r="H919" s="23"/>
      <c r="I919" s="23"/>
      <c r="J919" s="13"/>
      <c r="K919" s="18"/>
      <c r="L919" s="19"/>
      <c r="M919" s="19"/>
      <c r="N919" s="20"/>
      <c r="O919" s="22"/>
      <c r="P919" s="22"/>
      <c r="Q919" s="23"/>
      <c r="R919" s="23"/>
    </row>
    <row r="920" spans="1:18" x14ac:dyDescent="0.2">
      <c r="A920" s="13"/>
      <c r="B920" s="18"/>
      <c r="C920" s="19"/>
      <c r="D920" s="19"/>
      <c r="E920" s="20"/>
      <c r="F920" s="22"/>
      <c r="G920" s="22"/>
      <c r="H920" s="23"/>
      <c r="I920" s="23"/>
      <c r="J920" s="13"/>
      <c r="K920" s="18"/>
      <c r="L920" s="19"/>
      <c r="M920" s="19"/>
      <c r="N920" s="20"/>
      <c r="O920" s="22"/>
      <c r="P920" s="22"/>
      <c r="Q920" s="23"/>
      <c r="R920" s="23"/>
    </row>
    <row r="921" spans="1:18" ht="15" customHeight="1" x14ac:dyDescent="0.2">
      <c r="A921" s="13"/>
      <c r="B921" s="18"/>
      <c r="C921" s="19"/>
      <c r="D921" s="19"/>
      <c r="E921" s="20"/>
      <c r="F921" s="22"/>
      <c r="G921" s="22"/>
      <c r="H921" s="23"/>
      <c r="I921" s="23"/>
      <c r="J921" s="13"/>
      <c r="K921" s="18"/>
      <c r="L921" s="19"/>
      <c r="M921" s="19"/>
      <c r="N921" s="20"/>
      <c r="O921" s="22"/>
      <c r="P921" s="22"/>
      <c r="Q921" s="23"/>
      <c r="R921" s="23"/>
    </row>
    <row r="922" spans="1:18" x14ac:dyDescent="0.2">
      <c r="A922" s="13"/>
      <c r="B922" s="18"/>
      <c r="C922" s="19"/>
      <c r="D922" s="19"/>
      <c r="E922" s="20"/>
      <c r="F922" s="22"/>
      <c r="G922" s="22"/>
      <c r="H922" s="23"/>
      <c r="I922" s="23"/>
      <c r="J922" s="13"/>
      <c r="K922" s="18"/>
      <c r="L922" s="19"/>
      <c r="M922" s="19"/>
      <c r="N922" s="20"/>
      <c r="O922" s="22"/>
      <c r="P922" s="22"/>
      <c r="Q922" s="23"/>
      <c r="R922" s="23"/>
    </row>
    <row r="923" spans="1:18" x14ac:dyDescent="0.2">
      <c r="A923" s="13"/>
      <c r="B923" s="18"/>
      <c r="C923" s="19"/>
      <c r="D923" s="19"/>
      <c r="E923" s="20"/>
      <c r="F923" s="22"/>
      <c r="G923" s="22"/>
      <c r="H923" s="23"/>
      <c r="I923" s="23"/>
      <c r="J923" s="13"/>
      <c r="K923" s="18"/>
      <c r="L923" s="19"/>
      <c r="M923" s="19"/>
      <c r="N923" s="20"/>
      <c r="O923" s="22"/>
      <c r="P923" s="22"/>
      <c r="Q923" s="23"/>
      <c r="R923" s="23"/>
    </row>
    <row r="924" spans="1:18" x14ac:dyDescent="0.2">
      <c r="A924" s="13"/>
      <c r="B924" s="18"/>
      <c r="C924" s="19"/>
      <c r="D924" s="19"/>
      <c r="E924" s="20"/>
      <c r="F924" s="22"/>
      <c r="G924" s="36"/>
      <c r="H924" s="37"/>
      <c r="I924" s="37"/>
      <c r="J924" s="13"/>
      <c r="K924" s="18"/>
      <c r="L924" s="19"/>
      <c r="M924" s="19"/>
      <c r="N924" s="20"/>
      <c r="O924" s="22"/>
      <c r="P924" s="36"/>
      <c r="Q924" s="37"/>
      <c r="R924" s="37"/>
    </row>
    <row r="925" spans="1:18" x14ac:dyDescent="0.2">
      <c r="A925" s="13"/>
      <c r="B925" s="248" t="s">
        <v>42</v>
      </c>
      <c r="C925" s="249"/>
      <c r="D925" s="249"/>
      <c r="E925" s="250"/>
      <c r="F925" s="46"/>
      <c r="G925" s="46"/>
      <c r="H925" s="47"/>
      <c r="I925" s="47">
        <f>SUM(I912:I924)</f>
        <v>1391.25</v>
      </c>
      <c r="J925" s="13"/>
      <c r="K925" s="248" t="s">
        <v>42</v>
      </c>
      <c r="L925" s="249"/>
      <c r="M925" s="249"/>
      <c r="N925" s="250"/>
      <c r="O925" s="46"/>
      <c r="P925" s="46"/>
      <c r="Q925" s="47"/>
      <c r="R925" s="47">
        <f>SUM(R912:R924)</f>
        <v>93.45</v>
      </c>
    </row>
    <row r="926" spans="1:18" x14ac:dyDescent="0.2">
      <c r="A926" s="12" t="s">
        <v>43</v>
      </c>
      <c r="B926" s="48" t="s">
        <v>44</v>
      </c>
      <c r="C926" s="43"/>
      <c r="D926" s="43"/>
      <c r="E926" s="161"/>
      <c r="F926" s="49"/>
      <c r="G926" s="49"/>
      <c r="H926" s="50"/>
      <c r="I926" s="51">
        <f>SUM(I907+I925)</f>
        <v>1394.4919199999999</v>
      </c>
      <c r="J926" s="12" t="s">
        <v>43</v>
      </c>
      <c r="K926" s="48" t="s">
        <v>44</v>
      </c>
      <c r="L926" s="43"/>
      <c r="M926" s="43"/>
      <c r="N926" s="161"/>
      <c r="O926" s="49"/>
      <c r="P926" s="49"/>
      <c r="Q926" s="50"/>
      <c r="R926" s="51">
        <f>SUM(R907+R925)</f>
        <v>159.22192000000001</v>
      </c>
    </row>
    <row r="927" spans="1:18" x14ac:dyDescent="0.2">
      <c r="A927" s="13" t="s">
        <v>45</v>
      </c>
      <c r="B927" s="48" t="s">
        <v>46</v>
      </c>
      <c r="C927" s="43"/>
      <c r="D927" s="43"/>
      <c r="E927" s="161"/>
      <c r="F927" s="49"/>
      <c r="G927" s="52">
        <v>0.09</v>
      </c>
      <c r="H927" s="53" t="s">
        <v>47</v>
      </c>
      <c r="I927" s="51">
        <f>G927*I926</f>
        <v>125.5042728</v>
      </c>
      <c r="J927" s="13" t="s">
        <v>45</v>
      </c>
      <c r="K927" s="48" t="s">
        <v>46</v>
      </c>
      <c r="L927" s="43"/>
      <c r="M927" s="43"/>
      <c r="N927" s="161"/>
      <c r="O927" s="49"/>
      <c r="P927" s="52">
        <v>0.09</v>
      </c>
      <c r="Q927" s="53" t="s">
        <v>47</v>
      </c>
      <c r="R927" s="51">
        <f>P927*R926</f>
        <v>14.3299728</v>
      </c>
    </row>
    <row r="928" spans="1:18" x14ac:dyDescent="0.2">
      <c r="A928" s="13" t="s">
        <v>48</v>
      </c>
      <c r="B928" s="48" t="s">
        <v>49</v>
      </c>
      <c r="C928" s="43"/>
      <c r="D928" s="43"/>
      <c r="E928" s="161"/>
      <c r="F928" s="49"/>
      <c r="G928" s="52">
        <v>0.08</v>
      </c>
      <c r="H928" s="53" t="s">
        <v>47</v>
      </c>
      <c r="I928" s="51">
        <f>G928*I926</f>
        <v>111.55935359999999</v>
      </c>
      <c r="J928" s="13" t="s">
        <v>48</v>
      </c>
      <c r="K928" s="48" t="s">
        <v>49</v>
      </c>
      <c r="L928" s="43"/>
      <c r="M928" s="43"/>
      <c r="N928" s="161"/>
      <c r="O928" s="49"/>
      <c r="P928" s="52">
        <v>0.08</v>
      </c>
      <c r="Q928" s="53" t="s">
        <v>47</v>
      </c>
      <c r="R928" s="51">
        <f>P928*R926</f>
        <v>12.737753600000001</v>
      </c>
    </row>
    <row r="929" spans="1:18" x14ac:dyDescent="0.2">
      <c r="A929" s="13" t="s">
        <v>50</v>
      </c>
      <c r="B929" s="48" t="s">
        <v>51</v>
      </c>
      <c r="C929" s="43"/>
      <c r="D929" s="43"/>
      <c r="E929" s="161"/>
      <c r="F929" s="49"/>
      <c r="G929" s="52">
        <v>0.05</v>
      </c>
      <c r="H929" s="53" t="s">
        <v>52</v>
      </c>
      <c r="I929" s="51">
        <f>G929*(I926+I927+I928)</f>
        <v>81.577777319999996</v>
      </c>
      <c r="J929" s="13" t="s">
        <v>50</v>
      </c>
      <c r="K929" s="48" t="s">
        <v>51</v>
      </c>
      <c r="L929" s="43"/>
      <c r="M929" s="43"/>
      <c r="N929" s="161"/>
      <c r="O929" s="49"/>
      <c r="P929" s="52">
        <v>0.05</v>
      </c>
      <c r="Q929" s="53" t="s">
        <v>52</v>
      </c>
      <c r="R929" s="51">
        <f>P929*(R926+R927+R928)</f>
        <v>9.3144823200000015</v>
      </c>
    </row>
    <row r="930" spans="1:18" x14ac:dyDescent="0.2">
      <c r="A930" s="54" t="s">
        <v>53</v>
      </c>
      <c r="B930" s="48" t="s">
        <v>54</v>
      </c>
      <c r="C930" s="43"/>
      <c r="D930" s="43"/>
      <c r="E930" s="161"/>
      <c r="F930" s="49"/>
      <c r="G930" s="49"/>
      <c r="H930" s="55" t="s">
        <v>55</v>
      </c>
      <c r="I930" s="51">
        <f>SUM(I926+I927+I928+I929)</f>
        <v>1713.1333237199999</v>
      </c>
      <c r="J930" s="54" t="s">
        <v>53</v>
      </c>
      <c r="K930" s="48" t="s">
        <v>54</v>
      </c>
      <c r="L930" s="43"/>
      <c r="M930" s="43"/>
      <c r="N930" s="161"/>
      <c r="O930" s="49"/>
      <c r="P930" s="49"/>
      <c r="Q930" s="55" t="s">
        <v>55</v>
      </c>
      <c r="R930" s="51">
        <f>SUM(R926+R927+R928+R929)</f>
        <v>195.60412872000001</v>
      </c>
    </row>
    <row r="931" spans="1:18" s="1" customFormat="1" x14ac:dyDescent="0.2">
      <c r="A931" s="236" t="s">
        <v>0</v>
      </c>
      <c r="B931" s="236"/>
      <c r="C931" s="236"/>
      <c r="D931" s="236"/>
      <c r="E931" s="236"/>
      <c r="F931" s="236"/>
      <c r="G931" s="236"/>
      <c r="H931" s="236"/>
      <c r="I931" s="236"/>
      <c r="J931" s="236" t="s">
        <v>0</v>
      </c>
      <c r="K931" s="236"/>
      <c r="L931" s="236"/>
      <c r="M931" s="236"/>
      <c r="N931" s="236"/>
      <c r="O931" s="236"/>
      <c r="P931" s="236"/>
      <c r="Q931" s="236"/>
      <c r="R931" s="236"/>
    </row>
    <row r="933" spans="1:18" x14ac:dyDescent="0.2">
      <c r="A933" s="158" t="s">
        <v>1</v>
      </c>
      <c r="C933" s="4" t="s">
        <v>2</v>
      </c>
      <c r="D933" s="5" t="s">
        <v>729</v>
      </c>
      <c r="E933" s="8" t="s">
        <v>730</v>
      </c>
      <c r="F933" s="8"/>
      <c r="G933" s="8"/>
      <c r="H933" s="8"/>
      <c r="I933" s="8"/>
      <c r="J933" s="158" t="s">
        <v>1</v>
      </c>
      <c r="L933" s="4" t="s">
        <v>2</v>
      </c>
      <c r="M933" s="5" t="s">
        <v>719</v>
      </c>
      <c r="N933" s="158" t="s">
        <v>720</v>
      </c>
      <c r="O933" s="158"/>
      <c r="P933" s="158"/>
      <c r="Q933" s="158"/>
    </row>
    <row r="934" spans="1:18" x14ac:dyDescent="0.2">
      <c r="A934" s="158" t="s">
        <v>7</v>
      </c>
      <c r="C934" s="4" t="s">
        <v>2</v>
      </c>
      <c r="E934" s="158" t="s">
        <v>1153</v>
      </c>
      <c r="F934" s="8"/>
      <c r="G934" s="8"/>
      <c r="H934" s="8"/>
      <c r="J934" s="158" t="s">
        <v>7</v>
      </c>
      <c r="L934" s="4" t="s">
        <v>2</v>
      </c>
      <c r="N934" s="158" t="s">
        <v>59</v>
      </c>
      <c r="O934" s="8"/>
      <c r="P934" s="8"/>
      <c r="Q934" s="8"/>
    </row>
    <row r="935" spans="1:18" x14ac:dyDescent="0.2">
      <c r="A935" s="158" t="s">
        <v>10</v>
      </c>
      <c r="C935" s="4" t="s">
        <v>2</v>
      </c>
      <c r="E935" s="9">
        <v>1.1499999999999999</v>
      </c>
      <c r="F935" s="8"/>
      <c r="G935" s="8"/>
      <c r="H935" s="8"/>
      <c r="J935" s="158" t="s">
        <v>10</v>
      </c>
      <c r="L935" s="4" t="s">
        <v>2</v>
      </c>
      <c r="N935" s="9">
        <v>1</v>
      </c>
      <c r="O935" s="8"/>
      <c r="P935" s="8"/>
      <c r="Q935" s="8"/>
    </row>
    <row r="936" spans="1:18" x14ac:dyDescent="0.2">
      <c r="B936" s="8"/>
      <c r="F936" s="11"/>
      <c r="G936" s="8"/>
      <c r="H936" s="8"/>
      <c r="I936" s="8"/>
      <c r="K936" s="8"/>
      <c r="O936" s="11"/>
      <c r="P936" s="8"/>
      <c r="Q936" s="8"/>
      <c r="R936" s="8"/>
    </row>
    <row r="937" spans="1:18" x14ac:dyDescent="0.2">
      <c r="A937" s="12"/>
      <c r="B937" s="238" t="s">
        <v>11</v>
      </c>
      <c r="C937" s="239"/>
      <c r="D937" s="239"/>
      <c r="E937" s="240"/>
      <c r="F937" s="244" t="s">
        <v>12</v>
      </c>
      <c r="G937" s="244" t="s">
        <v>13</v>
      </c>
      <c r="H937" s="244" t="s">
        <v>14</v>
      </c>
      <c r="I937" s="246" t="s">
        <v>15</v>
      </c>
      <c r="J937" s="12"/>
      <c r="K937" s="238" t="s">
        <v>11</v>
      </c>
      <c r="L937" s="239"/>
      <c r="M937" s="239"/>
      <c r="N937" s="240"/>
      <c r="O937" s="244" t="s">
        <v>12</v>
      </c>
      <c r="P937" s="244" t="s">
        <v>13</v>
      </c>
      <c r="Q937" s="244" t="s">
        <v>14</v>
      </c>
      <c r="R937" s="246" t="s">
        <v>15</v>
      </c>
    </row>
    <row r="938" spans="1:18" x14ac:dyDescent="0.2">
      <c r="A938" s="13"/>
      <c r="B938" s="241"/>
      <c r="C938" s="242"/>
      <c r="D938" s="242"/>
      <c r="E938" s="243"/>
      <c r="F938" s="245"/>
      <c r="G938" s="245"/>
      <c r="H938" s="245"/>
      <c r="I938" s="247"/>
      <c r="J938" s="13"/>
      <c r="K938" s="241"/>
      <c r="L938" s="242"/>
      <c r="M938" s="242"/>
      <c r="N938" s="243"/>
      <c r="O938" s="245"/>
      <c r="P938" s="245"/>
      <c r="Q938" s="245"/>
      <c r="R938" s="247"/>
    </row>
    <row r="939" spans="1:18" x14ac:dyDescent="0.2">
      <c r="A939" s="13" t="s">
        <v>16</v>
      </c>
      <c r="B939" s="14" t="s">
        <v>17</v>
      </c>
      <c r="C939" s="15"/>
      <c r="D939" s="15"/>
      <c r="E939" s="16"/>
      <c r="F939" s="17"/>
      <c r="G939" s="17"/>
      <c r="H939" s="17"/>
      <c r="I939" s="17"/>
      <c r="J939" s="13" t="s">
        <v>16</v>
      </c>
      <c r="K939" s="14" t="s">
        <v>17</v>
      </c>
      <c r="L939" s="15"/>
      <c r="M939" s="15"/>
      <c r="N939" s="16"/>
      <c r="O939" s="17"/>
      <c r="P939" s="17"/>
      <c r="Q939" s="17"/>
      <c r="R939" s="17"/>
    </row>
    <row r="940" spans="1:18" x14ac:dyDescent="0.2">
      <c r="A940" s="13"/>
      <c r="B940" s="18"/>
      <c r="C940" s="19"/>
      <c r="D940" s="19"/>
      <c r="E940" s="20"/>
      <c r="F940" s="21"/>
      <c r="G940" s="22"/>
      <c r="H940" s="21"/>
      <c r="I940" s="21"/>
      <c r="J940" s="13"/>
      <c r="K940" s="18"/>
      <c r="L940" s="19"/>
      <c r="M940" s="19"/>
      <c r="N940" s="20"/>
      <c r="O940" s="21"/>
      <c r="P940" s="22"/>
      <c r="Q940" s="21"/>
      <c r="R940" s="21"/>
    </row>
    <row r="941" spans="1:18" x14ac:dyDescent="0.2">
      <c r="A941" s="13"/>
      <c r="B941" s="24" t="s">
        <v>18</v>
      </c>
      <c r="C941" s="25"/>
      <c r="D941" s="25"/>
      <c r="E941" s="26"/>
      <c r="F941" s="22">
        <v>1</v>
      </c>
      <c r="G941" s="23">
        <v>1</v>
      </c>
      <c r="H941" s="23">
        <v>69.42</v>
      </c>
      <c r="I941" s="23">
        <f>F941*G941*H941</f>
        <v>69.42</v>
      </c>
      <c r="J941" s="13"/>
      <c r="K941" s="24" t="s">
        <v>18</v>
      </c>
      <c r="L941" s="25"/>
      <c r="M941" s="25"/>
      <c r="N941" s="26"/>
      <c r="O941" s="22">
        <v>1</v>
      </c>
      <c r="P941" s="23">
        <v>1</v>
      </c>
      <c r="Q941" s="23">
        <v>69.42</v>
      </c>
      <c r="R941" s="23">
        <f>P941*Q941*O941</f>
        <v>69.42</v>
      </c>
    </row>
    <row r="942" spans="1:18" x14ac:dyDescent="0.2">
      <c r="A942" s="13"/>
      <c r="B942" s="257" t="s">
        <v>1178</v>
      </c>
      <c r="C942" s="258"/>
      <c r="D942" s="25"/>
      <c r="E942" s="26"/>
      <c r="F942" s="22">
        <v>2</v>
      </c>
      <c r="G942" s="23">
        <v>1</v>
      </c>
      <c r="H942" s="23">
        <v>50.18</v>
      </c>
      <c r="I942" s="23">
        <f>F942*G942*H942</f>
        <v>100.36</v>
      </c>
      <c r="J942" s="13"/>
      <c r="K942" s="257" t="s">
        <v>1178</v>
      </c>
      <c r="L942" s="258"/>
      <c r="M942" s="25"/>
      <c r="N942" s="26"/>
      <c r="O942" s="22">
        <v>1</v>
      </c>
      <c r="P942" s="23">
        <v>1</v>
      </c>
      <c r="Q942" s="23">
        <v>50.18</v>
      </c>
      <c r="R942" s="23">
        <f>P942*Q942*O942</f>
        <v>50.18</v>
      </c>
    </row>
    <row r="943" spans="1:18" x14ac:dyDescent="0.2">
      <c r="A943" s="13"/>
      <c r="B943" s="257" t="s">
        <v>1177</v>
      </c>
      <c r="C943" s="258"/>
      <c r="D943" s="19"/>
      <c r="E943" s="20"/>
      <c r="F943" s="22">
        <v>8</v>
      </c>
      <c r="G943" s="23">
        <v>1</v>
      </c>
      <c r="H943" s="23">
        <v>38.97</v>
      </c>
      <c r="I943" s="23">
        <f>F943*G943*H943</f>
        <v>311.76</v>
      </c>
      <c r="J943" s="13"/>
      <c r="K943" s="257" t="s">
        <v>1177</v>
      </c>
      <c r="L943" s="258"/>
      <c r="M943" s="19"/>
      <c r="N943" s="20"/>
      <c r="O943" s="22">
        <v>2</v>
      </c>
      <c r="P943" s="23">
        <v>1</v>
      </c>
      <c r="Q943" s="23">
        <v>38.97</v>
      </c>
      <c r="R943" s="23">
        <f>P943*Q943*O943</f>
        <v>77.94</v>
      </c>
    </row>
    <row r="944" spans="1:18" x14ac:dyDescent="0.2">
      <c r="A944" s="13"/>
      <c r="B944" s="159"/>
      <c r="C944" s="160"/>
      <c r="D944" s="19"/>
      <c r="E944" s="20"/>
      <c r="F944" s="22"/>
      <c r="G944" s="22"/>
      <c r="H944" s="29"/>
      <c r="I944" s="30"/>
      <c r="J944" s="13"/>
      <c r="K944" s="159"/>
      <c r="L944" s="19"/>
      <c r="M944" s="19"/>
      <c r="N944" s="20"/>
      <c r="O944" s="22"/>
      <c r="P944" s="22"/>
      <c r="Q944" s="29"/>
      <c r="R944" s="30"/>
    </row>
    <row r="945" spans="1:18" x14ac:dyDescent="0.2">
      <c r="A945" s="13"/>
      <c r="B945" s="159"/>
      <c r="C945" s="160"/>
      <c r="D945" s="19"/>
      <c r="E945" s="20"/>
      <c r="F945" s="22"/>
      <c r="G945" s="22"/>
      <c r="H945" s="29"/>
      <c r="I945" s="30"/>
      <c r="J945" s="13"/>
      <c r="K945" s="159"/>
      <c r="L945" s="19"/>
      <c r="M945" s="19"/>
      <c r="N945" s="20"/>
      <c r="O945" s="22"/>
      <c r="P945" s="22"/>
      <c r="Q945" s="29"/>
      <c r="R945" s="30"/>
    </row>
    <row r="946" spans="1:18" ht="15" customHeight="1" x14ac:dyDescent="0.2">
      <c r="A946" s="13"/>
      <c r="B946" s="257"/>
      <c r="C946" s="258"/>
      <c r="D946" s="19"/>
      <c r="E946" s="20"/>
      <c r="F946" s="22"/>
      <c r="G946" s="22"/>
      <c r="H946" s="23"/>
      <c r="I946" s="23"/>
      <c r="J946" s="13"/>
      <c r="K946" s="18"/>
      <c r="L946" s="19"/>
      <c r="M946" s="19"/>
      <c r="N946" s="20"/>
      <c r="O946" s="22"/>
      <c r="P946" s="22"/>
      <c r="Q946" s="28"/>
      <c r="R946" s="23"/>
    </row>
    <row r="947" spans="1:18" x14ac:dyDescent="0.2">
      <c r="A947" s="13"/>
      <c r="B947" s="257"/>
      <c r="C947" s="258"/>
      <c r="D947" s="19"/>
      <c r="E947" s="20"/>
      <c r="F947" s="22"/>
      <c r="G947" s="22"/>
      <c r="H947" s="23"/>
      <c r="I947" s="23"/>
      <c r="J947" s="13"/>
      <c r="K947" s="18"/>
      <c r="L947" s="19"/>
      <c r="M947" s="19"/>
      <c r="N947" s="20"/>
      <c r="O947" s="22"/>
      <c r="P947" s="22"/>
      <c r="Q947" s="23"/>
      <c r="R947" s="23"/>
    </row>
    <row r="948" spans="1:18" x14ac:dyDescent="0.2">
      <c r="A948" s="13"/>
      <c r="B948" s="248" t="s">
        <v>20</v>
      </c>
      <c r="C948" s="249"/>
      <c r="D948" s="249"/>
      <c r="E948" s="250"/>
      <c r="F948" s="31"/>
      <c r="G948" s="31"/>
      <c r="H948" s="32"/>
      <c r="I948" s="32">
        <f>SUM(I941:I947)</f>
        <v>481.53999999999996</v>
      </c>
      <c r="J948" s="13"/>
      <c r="K948" s="248" t="s">
        <v>20</v>
      </c>
      <c r="L948" s="249"/>
      <c r="M948" s="249"/>
      <c r="N948" s="250"/>
      <c r="O948" s="31"/>
      <c r="P948" s="31"/>
      <c r="Q948" s="32"/>
      <c r="R948" s="32">
        <f>SUM(R941:R947)</f>
        <v>197.54</v>
      </c>
    </row>
    <row r="949" spans="1:18" x14ac:dyDescent="0.2">
      <c r="A949" s="12"/>
      <c r="B949" s="251" t="s">
        <v>21</v>
      </c>
      <c r="C949" s="252"/>
      <c r="D949" s="252"/>
      <c r="E949" s="253"/>
      <c r="F949" s="244" t="s">
        <v>22</v>
      </c>
      <c r="G949" s="244" t="s">
        <v>13</v>
      </c>
      <c r="H949" s="244" t="s">
        <v>14</v>
      </c>
      <c r="I949" s="246" t="s">
        <v>15</v>
      </c>
      <c r="J949" s="12"/>
      <c r="K949" s="251" t="s">
        <v>21</v>
      </c>
      <c r="L949" s="252"/>
      <c r="M949" s="252"/>
      <c r="N949" s="253"/>
      <c r="O949" s="244" t="s">
        <v>22</v>
      </c>
      <c r="P949" s="244" t="s">
        <v>13</v>
      </c>
      <c r="Q949" s="244" t="s">
        <v>14</v>
      </c>
      <c r="R949" s="246" t="s">
        <v>15</v>
      </c>
    </row>
    <row r="950" spans="1:18" x14ac:dyDescent="0.2">
      <c r="A950" s="13"/>
      <c r="B950" s="254"/>
      <c r="C950" s="255"/>
      <c r="D950" s="255"/>
      <c r="E950" s="256"/>
      <c r="F950" s="245"/>
      <c r="G950" s="245"/>
      <c r="H950" s="245"/>
      <c r="I950" s="247"/>
      <c r="J950" s="13"/>
      <c r="K950" s="254"/>
      <c r="L950" s="255"/>
      <c r="M950" s="255"/>
      <c r="N950" s="256"/>
      <c r="O950" s="245"/>
      <c r="P950" s="245"/>
      <c r="Q950" s="245"/>
      <c r="R950" s="247"/>
    </row>
    <row r="951" spans="1:18" x14ac:dyDescent="0.2">
      <c r="A951" s="13" t="s">
        <v>23</v>
      </c>
      <c r="B951" s="33" t="s">
        <v>24</v>
      </c>
      <c r="C951" s="15"/>
      <c r="D951" s="15"/>
      <c r="E951" s="16"/>
      <c r="F951" s="34"/>
      <c r="G951" s="34"/>
      <c r="H951" s="35"/>
      <c r="I951" s="35"/>
      <c r="J951" s="13" t="s">
        <v>23</v>
      </c>
      <c r="K951" s="33" t="s">
        <v>24</v>
      </c>
      <c r="L951" s="15"/>
      <c r="M951" s="15"/>
      <c r="N951" s="16"/>
      <c r="O951" s="34"/>
      <c r="P951" s="34"/>
      <c r="Q951" s="35"/>
      <c r="R951" s="35"/>
    </row>
    <row r="952" spans="1:18" x14ac:dyDescent="0.2">
      <c r="A952" s="13"/>
      <c r="B952" s="18"/>
      <c r="C952" s="19"/>
      <c r="D952" s="19"/>
      <c r="E952" s="20"/>
      <c r="F952" s="22"/>
      <c r="G952" s="22"/>
      <c r="H952" s="23"/>
      <c r="I952" s="23"/>
      <c r="J952" s="13"/>
      <c r="K952" s="18"/>
      <c r="L952" s="19"/>
      <c r="M952" s="19"/>
      <c r="N952" s="20"/>
      <c r="O952" s="22"/>
      <c r="P952" s="22"/>
      <c r="Q952" s="23"/>
      <c r="R952" s="23"/>
    </row>
    <row r="953" spans="1:18" x14ac:dyDescent="0.2">
      <c r="A953" s="13"/>
      <c r="B953" s="18" t="s">
        <v>403</v>
      </c>
      <c r="F953" s="22">
        <v>1</v>
      </c>
      <c r="G953" s="23">
        <v>1</v>
      </c>
      <c r="H953" s="37">
        <v>172</v>
      </c>
      <c r="I953" s="37">
        <f>F953*G953*H953</f>
        <v>172</v>
      </c>
      <c r="J953" s="13"/>
      <c r="K953" s="18" t="s">
        <v>1234</v>
      </c>
      <c r="L953" s="66"/>
      <c r="M953" s="19"/>
      <c r="N953" s="20"/>
      <c r="O953" s="22">
        <v>1</v>
      </c>
      <c r="P953" s="23">
        <v>1</v>
      </c>
      <c r="Q953" s="37">
        <v>1212</v>
      </c>
      <c r="R953" s="37">
        <f>P953*Q953*O953</f>
        <v>1212</v>
      </c>
    </row>
    <row r="954" spans="1:18" x14ac:dyDescent="0.2">
      <c r="A954" s="13"/>
      <c r="B954" s="18" t="s">
        <v>341</v>
      </c>
      <c r="C954" s="19"/>
      <c r="D954" s="19"/>
      <c r="E954" s="20"/>
      <c r="F954" s="22">
        <v>1</v>
      </c>
      <c r="G954" s="23">
        <v>0.25</v>
      </c>
      <c r="H954" s="37">
        <v>91.25</v>
      </c>
      <c r="I954" s="37">
        <f>F954*G954*H954</f>
        <v>22.8125</v>
      </c>
      <c r="J954" s="13"/>
      <c r="K954" s="18" t="s">
        <v>99</v>
      </c>
      <c r="L954" s="19"/>
      <c r="M954" s="19"/>
      <c r="N954" s="20"/>
      <c r="O954" s="22">
        <v>1</v>
      </c>
      <c r="P954" s="23">
        <v>1</v>
      </c>
      <c r="Q954" s="37">
        <v>1537</v>
      </c>
      <c r="R954" s="37">
        <f>P954*Q954*O954</f>
        <v>1537</v>
      </c>
    </row>
    <row r="955" spans="1:18" x14ac:dyDescent="0.2">
      <c r="A955" s="13"/>
      <c r="B955" s="18" t="s">
        <v>1174</v>
      </c>
      <c r="C955" s="19"/>
      <c r="D955" s="19"/>
      <c r="E955" s="20"/>
      <c r="F955" s="22">
        <v>1</v>
      </c>
      <c r="G955" s="23">
        <v>0.1</v>
      </c>
      <c r="H955" s="37">
        <v>2450</v>
      </c>
      <c r="I955" s="37">
        <f>F955*G955*H955</f>
        <v>245</v>
      </c>
      <c r="J955" s="13"/>
      <c r="K955" s="18" t="s">
        <v>1174</v>
      </c>
      <c r="L955" s="19"/>
      <c r="M955" s="19"/>
      <c r="N955" s="20"/>
      <c r="O955" s="22">
        <v>1</v>
      </c>
      <c r="P955" s="23">
        <v>0.5</v>
      </c>
      <c r="Q955" s="37">
        <v>2450</v>
      </c>
      <c r="R955" s="37">
        <f>P955*Q955*O955</f>
        <v>1225</v>
      </c>
    </row>
    <row r="956" spans="1:18" x14ac:dyDescent="0.2">
      <c r="A956" s="13"/>
      <c r="B956" s="18" t="s">
        <v>1293</v>
      </c>
      <c r="C956" s="19"/>
      <c r="D956" s="19"/>
      <c r="E956" s="20"/>
      <c r="F956" s="22">
        <v>1</v>
      </c>
      <c r="G956" s="23">
        <v>0.25</v>
      </c>
      <c r="H956" s="37">
        <v>783</v>
      </c>
      <c r="I956" s="37">
        <f>F956*G956*H956</f>
        <v>195.75</v>
      </c>
      <c r="J956" s="13"/>
      <c r="K956" s="3" t="s">
        <v>92</v>
      </c>
      <c r="O956" s="21"/>
      <c r="P956" s="21"/>
      <c r="R956" s="37">
        <f>R948*0.1</f>
        <v>19.754000000000001</v>
      </c>
    </row>
    <row r="957" spans="1:18" x14ac:dyDescent="0.2">
      <c r="A957" s="13"/>
      <c r="B957" s="18" t="s">
        <v>92</v>
      </c>
      <c r="C957" s="19"/>
      <c r="D957" s="19"/>
      <c r="E957" s="20"/>
      <c r="F957" s="22"/>
      <c r="G957" s="36"/>
      <c r="H957" s="37"/>
      <c r="I957" s="37">
        <f>I948*0.1</f>
        <v>48.153999999999996</v>
      </c>
      <c r="J957" s="13"/>
      <c r="K957" s="18"/>
      <c r="L957" s="19"/>
      <c r="M957" s="19"/>
      <c r="N957" s="20"/>
      <c r="O957" s="22"/>
      <c r="P957" s="36"/>
      <c r="Q957" s="37"/>
      <c r="R957" s="37"/>
    </row>
    <row r="958" spans="1:18" x14ac:dyDescent="0.2">
      <c r="A958" s="13"/>
      <c r="B958" s="18"/>
      <c r="C958" s="19"/>
      <c r="D958" s="19"/>
      <c r="E958" s="20"/>
      <c r="F958" s="22"/>
      <c r="G958" s="36"/>
      <c r="H958" s="37"/>
      <c r="I958" s="38"/>
      <c r="J958" s="13"/>
      <c r="K958" s="18" t="s">
        <v>721</v>
      </c>
      <c r="L958" s="19"/>
      <c r="M958" s="19"/>
      <c r="N958" s="20"/>
      <c r="O958" s="22"/>
      <c r="P958" s="36"/>
      <c r="Q958" s="38"/>
      <c r="R958" s="38"/>
    </row>
    <row r="959" spans="1:18" x14ac:dyDescent="0.2">
      <c r="A959" s="13"/>
      <c r="B959" s="18"/>
      <c r="C959" s="19"/>
      <c r="D959" s="19"/>
      <c r="E959" s="20"/>
      <c r="F959" s="22"/>
      <c r="G959" s="36"/>
      <c r="H959" s="37"/>
      <c r="I959" s="38"/>
      <c r="J959" s="13"/>
      <c r="K959" s="18"/>
      <c r="L959" s="19"/>
      <c r="M959" s="19"/>
      <c r="N959" s="20"/>
      <c r="O959" s="22"/>
      <c r="P959" s="36"/>
      <c r="Q959" s="38"/>
      <c r="R959" s="38"/>
    </row>
    <row r="960" spans="1:18" x14ac:dyDescent="0.2">
      <c r="A960" s="13"/>
      <c r="B960" s="18"/>
      <c r="C960" s="19"/>
      <c r="D960" s="19"/>
      <c r="E960" s="20"/>
      <c r="F960" s="22"/>
      <c r="G960" s="23"/>
      <c r="H960" s="37"/>
      <c r="I960" s="38"/>
      <c r="J960" s="13"/>
      <c r="K960" s="18"/>
      <c r="L960" s="19"/>
      <c r="M960" s="19"/>
      <c r="N960" s="20"/>
      <c r="O960" s="22"/>
      <c r="P960" s="36"/>
      <c r="Q960" s="38"/>
      <c r="R960" s="38"/>
    </row>
    <row r="961" spans="1:18" x14ac:dyDescent="0.2">
      <c r="A961" s="13"/>
      <c r="B961" s="18"/>
      <c r="C961" s="19"/>
      <c r="D961" s="19"/>
      <c r="E961" s="20"/>
      <c r="F961" s="22"/>
      <c r="G961" s="36"/>
      <c r="H961" s="37"/>
      <c r="I961" s="37"/>
      <c r="J961" s="13"/>
      <c r="K961" s="18"/>
      <c r="L961" s="19"/>
      <c r="M961" s="19"/>
      <c r="N961" s="20"/>
      <c r="O961" s="22"/>
      <c r="P961" s="36"/>
      <c r="Q961" s="38"/>
      <c r="R961" s="38"/>
    </row>
    <row r="962" spans="1:18" x14ac:dyDescent="0.2">
      <c r="A962" s="13"/>
      <c r="B962" s="18"/>
      <c r="C962" s="19"/>
      <c r="D962" s="19"/>
      <c r="E962" s="20"/>
      <c r="F962" s="22"/>
      <c r="G962" s="36"/>
      <c r="H962" s="37"/>
      <c r="I962" s="37"/>
      <c r="J962" s="13"/>
      <c r="K962" s="18"/>
      <c r="L962" s="19"/>
      <c r="M962" s="19"/>
      <c r="N962" s="20"/>
      <c r="O962" s="22"/>
      <c r="P962" s="36"/>
      <c r="Q962" s="37"/>
      <c r="R962" s="37"/>
    </row>
    <row r="963" spans="1:18" x14ac:dyDescent="0.2">
      <c r="A963" s="13"/>
      <c r="B963" s="18"/>
      <c r="C963" s="19"/>
      <c r="D963" s="19"/>
      <c r="E963" s="20"/>
      <c r="F963" s="22"/>
      <c r="G963" s="36"/>
      <c r="H963" s="37"/>
      <c r="I963" s="37"/>
      <c r="J963" s="13"/>
      <c r="K963" s="18"/>
      <c r="L963" s="19"/>
      <c r="M963" s="19"/>
      <c r="N963" s="20"/>
      <c r="O963" s="22"/>
      <c r="P963" s="36"/>
      <c r="Q963" s="37"/>
      <c r="R963" s="37"/>
    </row>
    <row r="964" spans="1:18" x14ac:dyDescent="0.2">
      <c r="A964" s="13"/>
      <c r="B964" s="18"/>
      <c r="C964" s="19"/>
      <c r="D964" s="19"/>
      <c r="E964" s="20"/>
      <c r="F964" s="22"/>
      <c r="G964" s="36"/>
      <c r="H964" s="37"/>
      <c r="I964" s="37"/>
      <c r="J964" s="13"/>
      <c r="K964" s="18"/>
      <c r="L964" s="19"/>
      <c r="M964" s="19"/>
      <c r="N964" s="20"/>
      <c r="O964" s="22"/>
      <c r="P964" s="36"/>
      <c r="Q964" s="37"/>
      <c r="R964" s="37"/>
    </row>
    <row r="965" spans="1:18" x14ac:dyDescent="0.2">
      <c r="A965" s="13"/>
      <c r="B965" s="18"/>
      <c r="C965" s="19"/>
      <c r="D965" s="19"/>
      <c r="E965" s="20"/>
      <c r="F965" s="22"/>
      <c r="G965" s="22"/>
      <c r="H965" s="23"/>
      <c r="I965" s="23"/>
      <c r="J965" s="13"/>
      <c r="K965" s="18"/>
      <c r="L965" s="19"/>
      <c r="M965" s="19"/>
      <c r="N965" s="20"/>
      <c r="O965" s="22"/>
      <c r="P965" s="22"/>
      <c r="Q965" s="23"/>
      <c r="R965" s="23"/>
    </row>
    <row r="966" spans="1:18" x14ac:dyDescent="0.2">
      <c r="A966" s="13"/>
      <c r="B966" s="248" t="s">
        <v>30</v>
      </c>
      <c r="C966" s="249"/>
      <c r="D966" s="249"/>
      <c r="E966" s="250"/>
      <c r="F966" s="22"/>
      <c r="G966" s="22"/>
      <c r="H966" s="23"/>
      <c r="I966" s="23">
        <f>SUM(I953:I965)</f>
        <v>683.7165</v>
      </c>
      <c r="J966" s="13"/>
      <c r="K966" s="248" t="s">
        <v>30</v>
      </c>
      <c r="L966" s="249"/>
      <c r="M966" s="249"/>
      <c r="N966" s="250"/>
      <c r="O966" s="22"/>
      <c r="P966" s="22"/>
      <c r="Q966" s="23"/>
      <c r="R966" s="23">
        <f>SUM(R953:R965)</f>
        <v>3993.7539999999999</v>
      </c>
    </row>
    <row r="967" spans="1:18" x14ac:dyDescent="0.2">
      <c r="A967" s="12" t="s">
        <v>31</v>
      </c>
      <c r="B967" s="260" t="s">
        <v>32</v>
      </c>
      <c r="C967" s="261"/>
      <c r="D967" s="261"/>
      <c r="E967" s="261"/>
      <c r="F967" s="161"/>
      <c r="G967" s="161"/>
      <c r="H967" s="40"/>
      <c r="I967" s="41">
        <f>SUM(I966+I948)</f>
        <v>1165.2565</v>
      </c>
      <c r="J967" s="12" t="s">
        <v>31</v>
      </c>
      <c r="K967" s="260" t="s">
        <v>32</v>
      </c>
      <c r="L967" s="261"/>
      <c r="M967" s="261"/>
      <c r="N967" s="261"/>
      <c r="O967" s="161"/>
      <c r="P967" s="161"/>
      <c r="Q967" s="40"/>
      <c r="R967" s="41">
        <f>SUM(R966+R948)</f>
        <v>4191.2939999999999</v>
      </c>
    </row>
    <row r="968" spans="1:18" x14ac:dyDescent="0.2">
      <c r="A968" s="13" t="s">
        <v>33</v>
      </c>
      <c r="B968" s="323">
        <f>E935</f>
        <v>1.1499999999999999</v>
      </c>
      <c r="C968" s="324"/>
      <c r="D968" s="324"/>
      <c r="E968" s="324"/>
      <c r="F968" s="324"/>
      <c r="G968" s="324"/>
      <c r="H968" s="40"/>
      <c r="I968" s="41"/>
      <c r="J968" s="13" t="s">
        <v>33</v>
      </c>
      <c r="K968" s="345">
        <f>N935</f>
        <v>1</v>
      </c>
      <c r="L968" s="346"/>
      <c r="M968" s="346"/>
      <c r="N968" s="346"/>
      <c r="O968" s="346"/>
      <c r="P968" s="346"/>
      <c r="Q968" s="40"/>
      <c r="R968" s="41"/>
    </row>
    <row r="969" spans="1:18" x14ac:dyDescent="0.2">
      <c r="A969" s="13" t="s">
        <v>34</v>
      </c>
      <c r="B969" s="162" t="s">
        <v>35</v>
      </c>
      <c r="C969" s="43"/>
      <c r="D969" s="43"/>
      <c r="E969" s="161"/>
      <c r="F969" s="163"/>
      <c r="G969" s="163"/>
      <c r="H969" s="40"/>
      <c r="I969" s="41">
        <f>I967/E935</f>
        <v>1013.2665217391304</v>
      </c>
      <c r="J969" s="13" t="s">
        <v>34</v>
      </c>
      <c r="K969" s="162" t="s">
        <v>35</v>
      </c>
      <c r="L969" s="43"/>
      <c r="M969" s="43"/>
      <c r="N969" s="161"/>
      <c r="O969" s="163"/>
      <c r="P969" s="163"/>
      <c r="Q969" s="40"/>
      <c r="R969" s="41">
        <f>R967/N935</f>
        <v>4191.2939999999999</v>
      </c>
    </row>
    <row r="970" spans="1:18" x14ac:dyDescent="0.2">
      <c r="A970" s="12"/>
      <c r="B970" s="251" t="s">
        <v>36</v>
      </c>
      <c r="C970" s="252"/>
      <c r="D970" s="252"/>
      <c r="E970" s="253"/>
      <c r="F970" s="244" t="s">
        <v>37</v>
      </c>
      <c r="G970" s="244" t="s">
        <v>38</v>
      </c>
      <c r="H970" s="244" t="s">
        <v>39</v>
      </c>
      <c r="I970" s="246" t="s">
        <v>15</v>
      </c>
      <c r="J970" s="12"/>
      <c r="K970" s="251" t="s">
        <v>36</v>
      </c>
      <c r="L970" s="252"/>
      <c r="M970" s="252"/>
      <c r="N970" s="253"/>
      <c r="O970" s="244" t="s">
        <v>37</v>
      </c>
      <c r="P970" s="244" t="s">
        <v>38</v>
      </c>
      <c r="Q970" s="244" t="s">
        <v>39</v>
      </c>
      <c r="R970" s="246" t="s">
        <v>15</v>
      </c>
    </row>
    <row r="971" spans="1:18" x14ac:dyDescent="0.2">
      <c r="A971" s="13"/>
      <c r="B971" s="254"/>
      <c r="C971" s="255"/>
      <c r="D971" s="255"/>
      <c r="E971" s="256"/>
      <c r="F971" s="245"/>
      <c r="G971" s="245"/>
      <c r="H971" s="245"/>
      <c r="I971" s="247"/>
      <c r="J971" s="13"/>
      <c r="K971" s="254"/>
      <c r="L971" s="255"/>
      <c r="M971" s="255"/>
      <c r="N971" s="256"/>
      <c r="O971" s="245"/>
      <c r="P971" s="245"/>
      <c r="Q971" s="245"/>
      <c r="R971" s="247"/>
    </row>
    <row r="972" spans="1:18" x14ac:dyDescent="0.2">
      <c r="A972" s="13" t="s">
        <v>40</v>
      </c>
      <c r="B972" s="18" t="s">
        <v>41</v>
      </c>
      <c r="C972" s="19"/>
      <c r="D972" s="19"/>
      <c r="E972" s="20"/>
      <c r="F972" s="22"/>
      <c r="G972" s="22"/>
      <c r="H972" s="23"/>
      <c r="I972" s="23"/>
      <c r="J972" s="13" t="s">
        <v>40</v>
      </c>
      <c r="K972" s="18" t="s">
        <v>41</v>
      </c>
      <c r="L972" s="19"/>
      <c r="M972" s="19"/>
      <c r="N972" s="20"/>
      <c r="O972" s="22"/>
      <c r="P972" s="22"/>
      <c r="Q972" s="23"/>
      <c r="R972" s="23"/>
    </row>
    <row r="973" spans="1:18" x14ac:dyDescent="0.2">
      <c r="A973" s="13"/>
      <c r="B973" s="18"/>
      <c r="C973" s="19"/>
      <c r="D973" s="19"/>
      <c r="E973" s="20"/>
      <c r="F973" s="22"/>
      <c r="G973" s="22"/>
      <c r="H973" s="23"/>
      <c r="I973" s="23"/>
      <c r="J973" s="13"/>
      <c r="K973" s="18"/>
      <c r="L973" s="19"/>
      <c r="M973" s="19"/>
      <c r="N973" s="20"/>
      <c r="O973" s="22"/>
      <c r="P973" s="22"/>
      <c r="Q973" s="107"/>
      <c r="R973" s="23"/>
    </row>
    <row r="974" spans="1:18" x14ac:dyDescent="0.2">
      <c r="A974" s="13"/>
      <c r="B974" s="18" t="s">
        <v>234</v>
      </c>
      <c r="C974" s="66"/>
      <c r="D974" s="19"/>
      <c r="E974" s="20"/>
      <c r="F974" s="62" t="s">
        <v>227</v>
      </c>
      <c r="G974" s="62">
        <f>ROUND(77/18.4,2)</f>
        <v>4.18</v>
      </c>
      <c r="H974" s="107">
        <v>220</v>
      </c>
      <c r="I974" s="23">
        <f>G974*H974</f>
        <v>919.59999999999991</v>
      </c>
      <c r="J974" s="13"/>
      <c r="K974" s="18" t="s">
        <v>723</v>
      </c>
      <c r="L974" s="19"/>
      <c r="M974" s="19"/>
      <c r="N974" s="20"/>
      <c r="O974" s="22" t="s">
        <v>80</v>
      </c>
      <c r="P974" s="62">
        <v>1</v>
      </c>
      <c r="Q974" s="107">
        <v>400</v>
      </c>
      <c r="R974" s="23">
        <f>P974*Q974</f>
        <v>400</v>
      </c>
    </row>
    <row r="975" spans="1:18" x14ac:dyDescent="0.2">
      <c r="A975" s="13"/>
      <c r="B975" s="18" t="s">
        <v>567</v>
      </c>
      <c r="C975" s="66"/>
      <c r="D975" s="19"/>
      <c r="E975" s="20"/>
      <c r="F975" s="62" t="s">
        <v>9</v>
      </c>
      <c r="G975" s="62">
        <f>ROUND(4/18.4,2)</f>
        <v>0.22</v>
      </c>
      <c r="H975" s="107">
        <v>850</v>
      </c>
      <c r="I975" s="23">
        <f t="shared" ref="I975:I983" si="6">G975*H975</f>
        <v>187</v>
      </c>
      <c r="J975" s="13"/>
      <c r="K975" s="18" t="s">
        <v>725</v>
      </c>
      <c r="L975" s="19"/>
      <c r="M975" s="19"/>
      <c r="N975" s="20"/>
      <c r="O975" s="22" t="s">
        <v>77</v>
      </c>
      <c r="P975" s="62">
        <v>3</v>
      </c>
      <c r="Q975" s="107">
        <v>26</v>
      </c>
      <c r="R975" s="23">
        <f>P975*Q975</f>
        <v>78</v>
      </c>
    </row>
    <row r="976" spans="1:18" x14ac:dyDescent="0.2">
      <c r="A976" s="13"/>
      <c r="B976" s="18" t="s">
        <v>496</v>
      </c>
      <c r="C976" s="19"/>
      <c r="D976" s="19"/>
      <c r="E976" s="20"/>
      <c r="F976" s="62" t="s">
        <v>9</v>
      </c>
      <c r="G976" s="62">
        <f>ROUND(8/18.4,2)</f>
        <v>0.43</v>
      </c>
      <c r="H976" s="107">
        <v>650</v>
      </c>
      <c r="I976" s="23">
        <f t="shared" si="6"/>
        <v>279.5</v>
      </c>
      <c r="J976" s="13"/>
      <c r="K976" s="18" t="s">
        <v>726</v>
      </c>
      <c r="L976" s="19"/>
      <c r="M976" s="19"/>
      <c r="N976" s="20"/>
      <c r="O976" s="22" t="s">
        <v>80</v>
      </c>
      <c r="P976" s="62">
        <v>3</v>
      </c>
      <c r="Q976" s="107">
        <v>50</v>
      </c>
      <c r="R976" s="23">
        <f>P976*Q976</f>
        <v>150</v>
      </c>
    </row>
    <row r="977" spans="1:18" x14ac:dyDescent="0.2">
      <c r="A977" s="13"/>
      <c r="B977" s="18" t="s">
        <v>736</v>
      </c>
      <c r="C977" s="19"/>
      <c r="D977" s="19"/>
      <c r="E977" s="20"/>
      <c r="F977" s="22" t="s">
        <v>103</v>
      </c>
      <c r="G977" s="62">
        <f>ROUND(5/18.4,2)</f>
        <v>0.27</v>
      </c>
      <c r="H977" s="168">
        <v>1800</v>
      </c>
      <c r="I977" s="23">
        <f t="shared" si="6"/>
        <v>486.00000000000006</v>
      </c>
      <c r="J977" s="13"/>
      <c r="K977" s="18" t="s">
        <v>727</v>
      </c>
      <c r="L977" s="19"/>
      <c r="M977" s="19"/>
      <c r="N977" s="20"/>
      <c r="O977" s="22" t="s">
        <v>8</v>
      </c>
      <c r="P977" s="62">
        <v>3</v>
      </c>
      <c r="Q977" s="107">
        <v>10</v>
      </c>
      <c r="R977" s="23">
        <f>P977*Q977</f>
        <v>30</v>
      </c>
    </row>
    <row r="978" spans="1:18" x14ac:dyDescent="0.2">
      <c r="A978" s="13"/>
      <c r="B978" s="18" t="s">
        <v>738</v>
      </c>
      <c r="C978" s="19"/>
      <c r="D978" s="19"/>
      <c r="E978" s="20"/>
      <c r="F978" s="22" t="s">
        <v>77</v>
      </c>
      <c r="G978" s="62">
        <f>ROUND(90.5/18.4,2)</f>
        <v>4.92</v>
      </c>
      <c r="H978" s="107">
        <v>186.44</v>
      </c>
      <c r="I978" s="23">
        <f t="shared" si="6"/>
        <v>917.28480000000002</v>
      </c>
      <c r="J978" s="13"/>
      <c r="K978" s="18" t="s">
        <v>728</v>
      </c>
      <c r="L978" s="19"/>
      <c r="M978" s="19"/>
      <c r="N978" s="20"/>
      <c r="O978" s="22" t="s">
        <v>77</v>
      </c>
      <c r="P978" s="23">
        <v>0.25</v>
      </c>
      <c r="Q978" s="107">
        <v>46.67</v>
      </c>
      <c r="R978" s="23">
        <f>P978*Q978</f>
        <v>11.6675</v>
      </c>
    </row>
    <row r="979" spans="1:18" x14ac:dyDescent="0.2">
      <c r="A979" s="13"/>
      <c r="B979" s="18" t="s">
        <v>739</v>
      </c>
      <c r="C979" s="19"/>
      <c r="D979" s="19"/>
      <c r="E979" s="20"/>
      <c r="F979" s="22" t="s">
        <v>103</v>
      </c>
      <c r="G979" s="62">
        <f>ROUND(4/18.4,2)</f>
        <v>0.22</v>
      </c>
      <c r="H979" s="168">
        <v>750</v>
      </c>
      <c r="I979" s="23">
        <f t="shared" si="6"/>
        <v>165</v>
      </c>
      <c r="J979" s="13"/>
      <c r="K979" s="18"/>
      <c r="L979" s="19"/>
      <c r="M979" s="19"/>
      <c r="N979" s="20"/>
      <c r="O979" s="22"/>
      <c r="P979" s="22"/>
      <c r="Q979" s="45"/>
      <c r="R979" s="45"/>
    </row>
    <row r="980" spans="1:18" x14ac:dyDescent="0.2">
      <c r="A980" s="13"/>
      <c r="B980" s="18" t="s">
        <v>740</v>
      </c>
      <c r="C980" s="19"/>
      <c r="D980" s="19"/>
      <c r="E980" s="20"/>
      <c r="F980" s="22" t="s">
        <v>59</v>
      </c>
      <c r="G980" s="62">
        <f>ROUND(6/18.4,2)</f>
        <v>0.33</v>
      </c>
      <c r="H980" s="168">
        <v>350</v>
      </c>
      <c r="I980" s="23">
        <f t="shared" si="6"/>
        <v>115.5</v>
      </c>
      <c r="J980" s="13"/>
      <c r="K980" s="18"/>
      <c r="L980" s="19"/>
      <c r="M980" s="19"/>
      <c r="N980" s="20"/>
      <c r="O980" s="22"/>
      <c r="P980" s="22"/>
      <c r="Q980" s="23"/>
      <c r="R980" s="23"/>
    </row>
    <row r="981" spans="1:18" x14ac:dyDescent="0.2">
      <c r="A981" s="13"/>
      <c r="B981" s="18" t="s">
        <v>741</v>
      </c>
      <c r="C981" s="19"/>
      <c r="D981" s="19"/>
      <c r="E981" s="20"/>
      <c r="F981" s="22" t="s">
        <v>742</v>
      </c>
      <c r="G981" s="62">
        <f>ROUND(2/18.4,2)</f>
        <v>0.11</v>
      </c>
      <c r="H981" s="168">
        <v>1200</v>
      </c>
      <c r="I981" s="23">
        <f t="shared" si="6"/>
        <v>132</v>
      </c>
      <c r="J981" s="13"/>
      <c r="K981" s="18"/>
      <c r="L981" s="19"/>
      <c r="M981" s="19"/>
      <c r="N981" s="20"/>
      <c r="O981" s="22"/>
      <c r="P981" s="22"/>
      <c r="Q981" s="23"/>
      <c r="R981" s="23"/>
    </row>
    <row r="982" spans="1:18" ht="15" customHeight="1" x14ac:dyDescent="0.2">
      <c r="A982" s="13"/>
      <c r="B982" s="18" t="s">
        <v>743</v>
      </c>
      <c r="C982" s="19"/>
      <c r="D982" s="19"/>
      <c r="E982" s="20"/>
      <c r="F982" s="22" t="s">
        <v>8</v>
      </c>
      <c r="G982" s="62">
        <f>ROUND(2/18.4,2)</f>
        <v>0.11</v>
      </c>
      <c r="H982" s="168">
        <v>295</v>
      </c>
      <c r="I982" s="23">
        <f t="shared" si="6"/>
        <v>32.450000000000003</v>
      </c>
      <c r="J982" s="13"/>
      <c r="K982" s="18"/>
      <c r="L982" s="19"/>
      <c r="M982" s="19"/>
      <c r="N982" s="20"/>
      <c r="O982" s="22"/>
      <c r="P982" s="22"/>
      <c r="Q982" s="23"/>
      <c r="R982" s="23"/>
    </row>
    <row r="983" spans="1:18" x14ac:dyDescent="0.2">
      <c r="A983" s="13"/>
      <c r="B983" s="18" t="s">
        <v>744</v>
      </c>
      <c r="C983" s="19"/>
      <c r="D983" s="19"/>
      <c r="E983" s="20"/>
      <c r="F983" s="22" t="s">
        <v>103</v>
      </c>
      <c r="G983" s="62">
        <f>ROUND(12/18.4,2)</f>
        <v>0.65</v>
      </c>
      <c r="H983" s="168">
        <v>1000</v>
      </c>
      <c r="I983" s="23">
        <f t="shared" si="6"/>
        <v>650</v>
      </c>
      <c r="J983" s="13"/>
      <c r="K983" s="18"/>
      <c r="L983" s="19"/>
      <c r="M983" s="19"/>
      <c r="N983" s="20"/>
      <c r="O983" s="22"/>
      <c r="P983" s="22"/>
      <c r="Q983" s="23"/>
      <c r="R983" s="23"/>
    </row>
    <row r="984" spans="1:18" x14ac:dyDescent="0.2">
      <c r="A984" s="13"/>
      <c r="B984" s="18" t="s">
        <v>614</v>
      </c>
      <c r="C984" s="19"/>
      <c r="D984" s="19"/>
      <c r="E984" s="20"/>
      <c r="F984" s="22"/>
      <c r="G984" s="22"/>
      <c r="H984" s="23"/>
      <c r="I984" s="23">
        <f>(I974+I975+I976+I977+I978+I979+I980+I981+I982+I983)*0.05</f>
        <v>194.21673999999999</v>
      </c>
      <c r="J984" s="13"/>
      <c r="K984" s="18"/>
      <c r="L984" s="19"/>
      <c r="M984" s="19"/>
      <c r="N984" s="20"/>
      <c r="O984" s="22"/>
      <c r="P984" s="22"/>
      <c r="Q984" s="23"/>
      <c r="R984" s="23"/>
    </row>
    <row r="985" spans="1:18" x14ac:dyDescent="0.2">
      <c r="A985" s="13"/>
      <c r="B985" s="18"/>
      <c r="C985" s="19"/>
      <c r="D985" s="19"/>
      <c r="E985" s="20"/>
      <c r="F985" s="22"/>
      <c r="G985" s="36"/>
      <c r="H985" s="37"/>
      <c r="I985" s="37"/>
      <c r="J985" s="13"/>
      <c r="K985" s="18"/>
      <c r="L985" s="19"/>
      <c r="M985" s="19"/>
      <c r="N985" s="20"/>
      <c r="O985" s="22"/>
      <c r="P985" s="22"/>
      <c r="Q985" s="23"/>
      <c r="R985" s="23"/>
    </row>
    <row r="986" spans="1:18" x14ac:dyDescent="0.2">
      <c r="A986" s="13"/>
      <c r="B986" s="248" t="s">
        <v>42</v>
      </c>
      <c r="C986" s="249"/>
      <c r="D986" s="249"/>
      <c r="E986" s="250"/>
      <c r="F986" s="46"/>
      <c r="G986" s="46"/>
      <c r="H986" s="47"/>
      <c r="I986" s="47">
        <f>SUM(I974:I985)</f>
        <v>4078.5515399999995</v>
      </c>
      <c r="J986" s="13"/>
      <c r="K986" s="18"/>
      <c r="L986" s="19"/>
      <c r="M986" s="19"/>
      <c r="N986" s="20"/>
      <c r="O986" s="22"/>
      <c r="P986" s="36"/>
      <c r="Q986" s="37"/>
      <c r="R986" s="37"/>
    </row>
    <row r="987" spans="1:18" x14ac:dyDescent="0.2">
      <c r="A987" s="12" t="s">
        <v>43</v>
      </c>
      <c r="B987" s="48" t="s">
        <v>44</v>
      </c>
      <c r="C987" s="43"/>
      <c r="D987" s="43"/>
      <c r="E987" s="161"/>
      <c r="F987" s="49"/>
      <c r="G987" s="49"/>
      <c r="H987" s="50"/>
      <c r="I987" s="51">
        <f>SUM(I969+I986)</f>
        <v>5091.8180617391299</v>
      </c>
      <c r="J987" s="13"/>
      <c r="K987" s="248" t="s">
        <v>42</v>
      </c>
      <c r="L987" s="249"/>
      <c r="M987" s="249"/>
      <c r="N987" s="250"/>
      <c r="O987" s="46"/>
      <c r="P987" s="46"/>
      <c r="Q987" s="47"/>
      <c r="R987" s="47">
        <f>SUM(R974:R986)</f>
        <v>669.66750000000002</v>
      </c>
    </row>
    <row r="988" spans="1:18" x14ac:dyDescent="0.2">
      <c r="A988" s="13" t="s">
        <v>45</v>
      </c>
      <c r="B988" s="48" t="s">
        <v>46</v>
      </c>
      <c r="C988" s="43"/>
      <c r="D988" s="43"/>
      <c r="E988" s="161"/>
      <c r="F988" s="49"/>
      <c r="G988" s="52">
        <v>0.09</v>
      </c>
      <c r="H988" s="53" t="s">
        <v>47</v>
      </c>
      <c r="I988" s="51">
        <f>G988*I987</f>
        <v>458.26362555652167</v>
      </c>
      <c r="J988" s="12" t="s">
        <v>43</v>
      </c>
      <c r="K988" s="48" t="s">
        <v>44</v>
      </c>
      <c r="L988" s="43"/>
      <c r="M988" s="43"/>
      <c r="N988" s="161"/>
      <c r="O988" s="49"/>
      <c r="P988" s="49"/>
      <c r="Q988" s="50"/>
      <c r="R988" s="51">
        <f>SUM(R969+R987)</f>
        <v>4860.9614999999994</v>
      </c>
    </row>
    <row r="989" spans="1:18" x14ac:dyDescent="0.2">
      <c r="A989" s="13" t="s">
        <v>48</v>
      </c>
      <c r="B989" s="48" t="s">
        <v>49</v>
      </c>
      <c r="C989" s="43"/>
      <c r="D989" s="43"/>
      <c r="E989" s="161"/>
      <c r="F989" s="49"/>
      <c r="G989" s="52">
        <v>0.08</v>
      </c>
      <c r="H989" s="53" t="s">
        <v>47</v>
      </c>
      <c r="I989" s="51">
        <f>G989*I987</f>
        <v>407.3454449391304</v>
      </c>
      <c r="J989" s="13" t="s">
        <v>45</v>
      </c>
      <c r="K989" s="48" t="s">
        <v>46</v>
      </c>
      <c r="L989" s="43"/>
      <c r="M989" s="43"/>
      <c r="N989" s="161"/>
      <c r="O989" s="49"/>
      <c r="P989" s="52">
        <v>0.09</v>
      </c>
      <c r="Q989" s="53" t="s">
        <v>47</v>
      </c>
      <c r="R989" s="51">
        <f>P989*R988</f>
        <v>437.48653499999995</v>
      </c>
    </row>
    <row r="990" spans="1:18" x14ac:dyDescent="0.2">
      <c r="A990" s="13" t="s">
        <v>50</v>
      </c>
      <c r="B990" s="48" t="s">
        <v>51</v>
      </c>
      <c r="C990" s="43"/>
      <c r="D990" s="43"/>
      <c r="E990" s="161"/>
      <c r="F990" s="49"/>
      <c r="G990" s="52">
        <v>0.05</v>
      </c>
      <c r="H990" s="53" t="s">
        <v>52</v>
      </c>
      <c r="I990" s="51">
        <f>G990*(I987+I988+I989)</f>
        <v>297.87135661173909</v>
      </c>
      <c r="J990" s="13" t="s">
        <v>48</v>
      </c>
      <c r="K990" s="48" t="s">
        <v>49</v>
      </c>
      <c r="L990" s="43"/>
      <c r="M990" s="43"/>
      <c r="N990" s="161"/>
      <c r="O990" s="49"/>
      <c r="P990" s="52">
        <v>0.08</v>
      </c>
      <c r="Q990" s="53" t="s">
        <v>47</v>
      </c>
      <c r="R990" s="51">
        <f>P990*R988</f>
        <v>388.87691999999998</v>
      </c>
    </row>
    <row r="991" spans="1:18" x14ac:dyDescent="0.2">
      <c r="A991" s="54" t="s">
        <v>53</v>
      </c>
      <c r="B991" s="48" t="s">
        <v>54</v>
      </c>
      <c r="C991" s="43"/>
      <c r="D991" s="43"/>
      <c r="E991" s="161"/>
      <c r="F991" s="49"/>
      <c r="G991" s="49"/>
      <c r="H991" s="55" t="s">
        <v>55</v>
      </c>
      <c r="I991" s="51">
        <f>SUM(I987+I988+I989+I990)</f>
        <v>6255.2984888465207</v>
      </c>
      <c r="J991" s="13" t="s">
        <v>50</v>
      </c>
      <c r="K991" s="48" t="s">
        <v>51</v>
      </c>
      <c r="L991" s="43"/>
      <c r="M991" s="43"/>
      <c r="N991" s="161"/>
      <c r="O991" s="49"/>
      <c r="P991" s="52">
        <v>0.05</v>
      </c>
      <c r="Q991" s="53" t="s">
        <v>52</v>
      </c>
      <c r="R991" s="51">
        <f>P991*(R988+R989+R990)</f>
        <v>284.36624774999996</v>
      </c>
    </row>
    <row r="992" spans="1:18" x14ac:dyDescent="0.2">
      <c r="A992" s="164"/>
      <c r="B992" s="66" t="s">
        <v>745</v>
      </c>
      <c r="C992" s="19"/>
      <c r="D992" s="19"/>
      <c r="E992" s="20"/>
      <c r="F992" s="66"/>
      <c r="G992" s="66"/>
      <c r="H992" s="182"/>
      <c r="I992" s="183"/>
      <c r="J992" s="54" t="s">
        <v>53</v>
      </c>
      <c r="K992" s="48" t="s">
        <v>54</v>
      </c>
      <c r="L992" s="43"/>
      <c r="M992" s="43"/>
      <c r="N992" s="161"/>
      <c r="O992" s="49"/>
      <c r="P992" s="49"/>
      <c r="Q992" s="55" t="s">
        <v>55</v>
      </c>
      <c r="R992" s="51">
        <f>SUM(R988+R989+R990+R991)</f>
        <v>5971.6912027499993</v>
      </c>
    </row>
    <row r="993" spans="1:18" s="1" customFormat="1" x14ac:dyDescent="0.2">
      <c r="A993" s="236" t="s">
        <v>0</v>
      </c>
      <c r="B993" s="236"/>
      <c r="C993" s="236"/>
      <c r="D993" s="236"/>
      <c r="E993" s="236"/>
      <c r="F993" s="236"/>
      <c r="G993" s="236"/>
      <c r="H993" s="236"/>
      <c r="I993" s="236"/>
      <c r="J993" s="236" t="s">
        <v>0</v>
      </c>
      <c r="K993" s="236"/>
      <c r="L993" s="236"/>
      <c r="M993" s="236"/>
      <c r="N993" s="236"/>
      <c r="O993" s="236"/>
      <c r="P993" s="236"/>
      <c r="Q993" s="236"/>
      <c r="R993" s="236"/>
    </row>
    <row r="995" spans="1:18" x14ac:dyDescent="0.2">
      <c r="A995" s="2" t="s">
        <v>1</v>
      </c>
      <c r="C995" s="4" t="s">
        <v>2</v>
      </c>
      <c r="D995" s="8" t="s">
        <v>746</v>
      </c>
      <c r="E995" s="237" t="s">
        <v>747</v>
      </c>
      <c r="F995" s="237"/>
      <c r="G995" s="237"/>
      <c r="H995" s="237"/>
      <c r="J995" s="158" t="s">
        <v>1</v>
      </c>
      <c r="L995" s="4" t="s">
        <v>2</v>
      </c>
      <c r="M995" s="5" t="s">
        <v>731</v>
      </c>
      <c r="N995" s="158" t="s">
        <v>732</v>
      </c>
      <c r="O995" s="158"/>
      <c r="P995" s="158"/>
      <c r="Q995" s="158"/>
    </row>
    <row r="996" spans="1:18" x14ac:dyDescent="0.2">
      <c r="A996" s="2" t="s">
        <v>7</v>
      </c>
      <c r="C996" s="4" t="s">
        <v>2</v>
      </c>
      <c r="E996" s="152" t="s">
        <v>1153</v>
      </c>
      <c r="F996" s="8"/>
      <c r="G996" s="8"/>
      <c r="H996" s="8"/>
      <c r="J996" s="158" t="s">
        <v>7</v>
      </c>
      <c r="L996" s="4" t="s">
        <v>2</v>
      </c>
      <c r="N996" s="158" t="s">
        <v>59</v>
      </c>
      <c r="O996" s="8"/>
      <c r="P996" s="8"/>
      <c r="Q996" s="8"/>
    </row>
    <row r="997" spans="1:18" x14ac:dyDescent="0.2">
      <c r="A997" s="2" t="s">
        <v>10</v>
      </c>
      <c r="C997" s="4" t="s">
        <v>2</v>
      </c>
      <c r="E997" s="9">
        <v>4.2</v>
      </c>
      <c r="F997" s="8"/>
      <c r="G997" s="8"/>
      <c r="H997" s="8"/>
      <c r="J997" s="158" t="s">
        <v>10</v>
      </c>
      <c r="L997" s="4" t="s">
        <v>2</v>
      </c>
      <c r="N997" s="9">
        <v>1</v>
      </c>
      <c r="O997" s="8"/>
      <c r="P997" s="8"/>
      <c r="Q997" s="8"/>
    </row>
    <row r="998" spans="1:18" x14ac:dyDescent="0.2">
      <c r="B998" s="8"/>
      <c r="F998" s="11"/>
      <c r="G998" s="8"/>
      <c r="H998" s="8"/>
      <c r="I998" s="8"/>
      <c r="K998" s="8"/>
      <c r="O998" s="11"/>
      <c r="P998" s="8"/>
      <c r="Q998" s="8"/>
      <c r="R998" s="8"/>
    </row>
    <row r="999" spans="1:18" x14ac:dyDescent="0.2">
      <c r="A999" s="12"/>
      <c r="B999" s="238" t="s">
        <v>11</v>
      </c>
      <c r="C999" s="239"/>
      <c r="D999" s="239"/>
      <c r="E999" s="240"/>
      <c r="F999" s="244" t="s">
        <v>12</v>
      </c>
      <c r="G999" s="244" t="s">
        <v>13</v>
      </c>
      <c r="H999" s="244" t="s">
        <v>14</v>
      </c>
      <c r="I999" s="246" t="s">
        <v>15</v>
      </c>
      <c r="J999" s="12"/>
      <c r="K999" s="238" t="s">
        <v>11</v>
      </c>
      <c r="L999" s="239"/>
      <c r="M999" s="239"/>
      <c r="N999" s="240"/>
      <c r="O999" s="244" t="s">
        <v>12</v>
      </c>
      <c r="P999" s="244" t="s">
        <v>13</v>
      </c>
      <c r="Q999" s="244" t="s">
        <v>14</v>
      </c>
      <c r="R999" s="246" t="s">
        <v>15</v>
      </c>
    </row>
    <row r="1000" spans="1:18" x14ac:dyDescent="0.2">
      <c r="A1000" s="13"/>
      <c r="B1000" s="241"/>
      <c r="C1000" s="242"/>
      <c r="D1000" s="242"/>
      <c r="E1000" s="243"/>
      <c r="F1000" s="245"/>
      <c r="G1000" s="245"/>
      <c r="H1000" s="245"/>
      <c r="I1000" s="247"/>
      <c r="J1000" s="13"/>
      <c r="K1000" s="241"/>
      <c r="L1000" s="242"/>
      <c r="M1000" s="242"/>
      <c r="N1000" s="243"/>
      <c r="O1000" s="245"/>
      <c r="P1000" s="245"/>
      <c r="Q1000" s="245"/>
      <c r="R1000" s="247"/>
    </row>
    <row r="1001" spans="1:18" x14ac:dyDescent="0.2">
      <c r="A1001" s="13" t="s">
        <v>16</v>
      </c>
      <c r="B1001" s="14" t="s">
        <v>17</v>
      </c>
      <c r="C1001" s="15"/>
      <c r="D1001" s="15"/>
      <c r="E1001" s="16"/>
      <c r="F1001" s="17"/>
      <c r="G1001" s="17"/>
      <c r="H1001" s="17"/>
      <c r="I1001" s="17"/>
      <c r="J1001" s="13" t="s">
        <v>16</v>
      </c>
      <c r="K1001" s="14" t="s">
        <v>17</v>
      </c>
      <c r="L1001" s="15"/>
      <c r="M1001" s="15"/>
      <c r="N1001" s="16"/>
      <c r="O1001" s="17"/>
      <c r="P1001" s="17"/>
      <c r="Q1001" s="17"/>
      <c r="R1001" s="17"/>
    </row>
    <row r="1002" spans="1:18" x14ac:dyDescent="0.2">
      <c r="A1002" s="13"/>
      <c r="B1002" s="18"/>
      <c r="C1002" s="19"/>
      <c r="D1002" s="19"/>
      <c r="E1002" s="20"/>
      <c r="F1002" s="21"/>
      <c r="G1002" s="22"/>
      <c r="H1002" s="21"/>
      <c r="I1002" s="21"/>
      <c r="J1002" s="13"/>
      <c r="K1002" s="18"/>
      <c r="L1002" s="19"/>
      <c r="M1002" s="19"/>
      <c r="N1002" s="20"/>
      <c r="O1002" s="21"/>
      <c r="P1002" s="22"/>
      <c r="Q1002" s="21"/>
      <c r="R1002" s="21"/>
    </row>
    <row r="1003" spans="1:18" x14ac:dyDescent="0.2">
      <c r="A1003" s="13"/>
      <c r="B1003" s="24" t="s">
        <v>18</v>
      </c>
      <c r="C1003" s="25"/>
      <c r="D1003" s="25"/>
      <c r="E1003" s="26"/>
      <c r="F1003" s="22">
        <v>1</v>
      </c>
      <c r="G1003" s="23">
        <v>1</v>
      </c>
      <c r="H1003" s="23">
        <v>69.42</v>
      </c>
      <c r="I1003" s="23">
        <f>G1003*H1003*F1003</f>
        <v>69.42</v>
      </c>
      <c r="J1003" s="13"/>
      <c r="K1003" s="24" t="s">
        <v>18</v>
      </c>
      <c r="L1003" s="25"/>
      <c r="M1003" s="25"/>
      <c r="N1003" s="26"/>
      <c r="O1003" s="22">
        <v>1</v>
      </c>
      <c r="P1003" s="23">
        <v>1</v>
      </c>
      <c r="Q1003" s="23">
        <v>69.42</v>
      </c>
      <c r="R1003" s="23">
        <f>P1003*Q1003*O1003</f>
        <v>69.42</v>
      </c>
    </row>
    <row r="1004" spans="1:18" x14ac:dyDescent="0.2">
      <c r="A1004" s="13"/>
      <c r="B1004" s="257" t="s">
        <v>1178</v>
      </c>
      <c r="C1004" s="258"/>
      <c r="D1004" s="25"/>
      <c r="E1004" s="26"/>
      <c r="F1004" s="22">
        <v>2</v>
      </c>
      <c r="G1004" s="23">
        <v>1</v>
      </c>
      <c r="H1004" s="23">
        <v>50.18</v>
      </c>
      <c r="I1004" s="23">
        <f>G1004*H1004*F1004</f>
        <v>100.36</v>
      </c>
      <c r="J1004" s="13"/>
      <c r="K1004" s="257" t="s">
        <v>1178</v>
      </c>
      <c r="L1004" s="258"/>
      <c r="M1004" s="25"/>
      <c r="N1004" s="26"/>
      <c r="O1004" s="22">
        <v>1</v>
      </c>
      <c r="P1004" s="23">
        <v>1</v>
      </c>
      <c r="Q1004" s="23">
        <v>50.18</v>
      </c>
      <c r="R1004" s="23">
        <f>P1004*Q1004*O1004</f>
        <v>50.18</v>
      </c>
    </row>
    <row r="1005" spans="1:18" x14ac:dyDescent="0.2">
      <c r="A1005" s="13"/>
      <c r="B1005" s="257" t="s">
        <v>1177</v>
      </c>
      <c r="C1005" s="258"/>
      <c r="D1005" s="19"/>
      <c r="E1005" s="20"/>
      <c r="F1005" s="22">
        <v>4</v>
      </c>
      <c r="G1005" s="23">
        <v>1</v>
      </c>
      <c r="H1005" s="23">
        <v>38.97</v>
      </c>
      <c r="I1005" s="23">
        <f>G1005*H1005*F1005</f>
        <v>155.88</v>
      </c>
      <c r="J1005" s="13"/>
      <c r="K1005" s="257" t="s">
        <v>1177</v>
      </c>
      <c r="L1005" s="258"/>
      <c r="M1005" s="19"/>
      <c r="N1005" s="20"/>
      <c r="O1005" s="22">
        <v>2</v>
      </c>
      <c r="P1005" s="23">
        <v>1</v>
      </c>
      <c r="Q1005" s="23">
        <v>38.97</v>
      </c>
      <c r="R1005" s="23">
        <f>P1005*Q1005*O1005</f>
        <v>77.94</v>
      </c>
    </row>
    <row r="1006" spans="1:18" x14ac:dyDescent="0.2">
      <c r="A1006" s="13"/>
      <c r="B1006" s="27"/>
      <c r="C1006" s="19"/>
      <c r="D1006" s="19"/>
      <c r="E1006" s="20"/>
      <c r="F1006" s="22"/>
      <c r="G1006" s="22"/>
      <c r="H1006" s="29"/>
      <c r="I1006" s="30"/>
      <c r="J1006" s="13"/>
      <c r="K1006" s="159"/>
      <c r="L1006" s="19"/>
      <c r="M1006" s="19"/>
      <c r="N1006" s="20"/>
      <c r="O1006" s="22"/>
      <c r="P1006" s="22"/>
      <c r="Q1006" s="29"/>
      <c r="R1006" s="30"/>
    </row>
    <row r="1007" spans="1:18" x14ac:dyDescent="0.2">
      <c r="A1007" s="13"/>
      <c r="B1007" s="27"/>
      <c r="C1007" s="19"/>
      <c r="D1007" s="19"/>
      <c r="E1007" s="20"/>
      <c r="F1007" s="22"/>
      <c r="G1007" s="22"/>
      <c r="H1007" s="29"/>
      <c r="I1007" s="30"/>
      <c r="J1007" s="13"/>
      <c r="K1007" s="159"/>
      <c r="L1007" s="19"/>
      <c r="M1007" s="19"/>
      <c r="N1007" s="20"/>
      <c r="O1007" s="22"/>
      <c r="P1007" s="22"/>
      <c r="Q1007" s="29"/>
      <c r="R1007" s="30"/>
    </row>
    <row r="1008" spans="1:18" x14ac:dyDescent="0.2">
      <c r="A1008" s="13"/>
      <c r="B1008" s="18"/>
      <c r="C1008" s="19"/>
      <c r="D1008" s="19"/>
      <c r="E1008" s="20"/>
      <c r="F1008" s="22"/>
      <c r="G1008" s="22"/>
      <c r="H1008" s="28"/>
      <c r="I1008" s="23"/>
      <c r="J1008" s="13"/>
      <c r="K1008" s="18"/>
      <c r="L1008" s="19"/>
      <c r="M1008" s="19"/>
      <c r="N1008" s="20"/>
      <c r="O1008" s="22"/>
      <c r="P1008" s="22"/>
      <c r="Q1008" s="28"/>
      <c r="R1008" s="23"/>
    </row>
    <row r="1009" spans="1:18" x14ac:dyDescent="0.2">
      <c r="A1009" s="13"/>
      <c r="B1009" s="18"/>
      <c r="C1009" s="19"/>
      <c r="D1009" s="19"/>
      <c r="E1009" s="20"/>
      <c r="F1009" s="22"/>
      <c r="G1009" s="22"/>
      <c r="H1009" s="23"/>
      <c r="I1009" s="23"/>
      <c r="J1009" s="13"/>
      <c r="K1009" s="18"/>
      <c r="L1009" s="19"/>
      <c r="M1009" s="19"/>
      <c r="N1009" s="20"/>
      <c r="O1009" s="22"/>
      <c r="P1009" s="22"/>
      <c r="Q1009" s="23"/>
      <c r="R1009" s="23"/>
    </row>
    <row r="1010" spans="1:18" x14ac:dyDescent="0.2">
      <c r="A1010" s="13"/>
      <c r="B1010" s="248" t="s">
        <v>20</v>
      </c>
      <c r="C1010" s="249"/>
      <c r="D1010" s="249"/>
      <c r="E1010" s="250"/>
      <c r="F1010" s="31"/>
      <c r="G1010" s="31"/>
      <c r="H1010" s="32"/>
      <c r="I1010" s="32">
        <f>SUM(I1003:I1009)</f>
        <v>325.65999999999997</v>
      </c>
      <c r="J1010" s="13"/>
      <c r="K1010" s="248" t="s">
        <v>20</v>
      </c>
      <c r="L1010" s="249"/>
      <c r="M1010" s="249"/>
      <c r="N1010" s="250"/>
      <c r="O1010" s="31"/>
      <c r="P1010" s="31"/>
      <c r="Q1010" s="32"/>
      <c r="R1010" s="32">
        <f>SUM(R1003:R1009)</f>
        <v>197.54</v>
      </c>
    </row>
    <row r="1011" spans="1:18" x14ac:dyDescent="0.2">
      <c r="A1011" s="12"/>
      <c r="B1011" s="251" t="s">
        <v>21</v>
      </c>
      <c r="C1011" s="252"/>
      <c r="D1011" s="252"/>
      <c r="E1011" s="253"/>
      <c r="F1011" s="244" t="s">
        <v>22</v>
      </c>
      <c r="G1011" s="244" t="s">
        <v>13</v>
      </c>
      <c r="H1011" s="244" t="s">
        <v>14</v>
      </c>
      <c r="I1011" s="246" t="s">
        <v>15</v>
      </c>
      <c r="J1011" s="12"/>
      <c r="K1011" s="251" t="s">
        <v>21</v>
      </c>
      <c r="L1011" s="252"/>
      <c r="M1011" s="252"/>
      <c r="N1011" s="253"/>
      <c r="O1011" s="244" t="s">
        <v>22</v>
      </c>
      <c r="P1011" s="244" t="s">
        <v>13</v>
      </c>
      <c r="Q1011" s="244" t="s">
        <v>14</v>
      </c>
      <c r="R1011" s="246" t="s">
        <v>15</v>
      </c>
    </row>
    <row r="1012" spans="1:18" x14ac:dyDescent="0.2">
      <c r="A1012" s="13"/>
      <c r="B1012" s="254"/>
      <c r="C1012" s="255"/>
      <c r="D1012" s="255"/>
      <c r="E1012" s="256"/>
      <c r="F1012" s="245"/>
      <c r="G1012" s="245"/>
      <c r="H1012" s="245"/>
      <c r="I1012" s="247"/>
      <c r="J1012" s="13"/>
      <c r="K1012" s="254"/>
      <c r="L1012" s="255"/>
      <c r="M1012" s="255"/>
      <c r="N1012" s="256"/>
      <c r="O1012" s="245"/>
      <c r="P1012" s="245"/>
      <c r="Q1012" s="245"/>
      <c r="R1012" s="247"/>
    </row>
    <row r="1013" spans="1:18" x14ac:dyDescent="0.2">
      <c r="A1013" s="13" t="s">
        <v>23</v>
      </c>
      <c r="B1013" s="33" t="s">
        <v>24</v>
      </c>
      <c r="C1013" s="15"/>
      <c r="D1013" s="15"/>
      <c r="E1013" s="16"/>
      <c r="F1013" s="34"/>
      <c r="G1013" s="34"/>
      <c r="H1013" s="35"/>
      <c r="I1013" s="35"/>
      <c r="J1013" s="13" t="s">
        <v>23</v>
      </c>
      <c r="K1013" s="33" t="s">
        <v>24</v>
      </c>
      <c r="L1013" s="15"/>
      <c r="M1013" s="15"/>
      <c r="N1013" s="16"/>
      <c r="O1013" s="34"/>
      <c r="P1013" s="34"/>
      <c r="Q1013" s="35"/>
      <c r="R1013" s="35"/>
    </row>
    <row r="1014" spans="1:18" x14ac:dyDescent="0.2">
      <c r="A1014" s="13"/>
      <c r="B1014" s="18"/>
      <c r="C1014" s="19"/>
      <c r="D1014" s="19"/>
      <c r="E1014" s="20"/>
      <c r="F1014" s="22"/>
      <c r="G1014" s="22"/>
      <c r="H1014" s="23"/>
      <c r="I1014" s="23"/>
      <c r="J1014" s="13"/>
      <c r="K1014" s="18"/>
      <c r="L1014" s="19"/>
      <c r="M1014" s="19"/>
      <c r="N1014" s="20"/>
      <c r="O1014" s="22"/>
      <c r="P1014" s="22"/>
      <c r="Q1014" s="23"/>
      <c r="R1014" s="23"/>
    </row>
    <row r="1015" spans="1:18" x14ac:dyDescent="0.2">
      <c r="A1015" s="13"/>
      <c r="B1015" s="18" t="s">
        <v>403</v>
      </c>
      <c r="C1015" s="19"/>
      <c r="D1015" s="19"/>
      <c r="E1015" s="20"/>
      <c r="F1015" s="22">
        <v>1</v>
      </c>
      <c r="G1015" s="23">
        <v>0.5</v>
      </c>
      <c r="H1015" s="37">
        <v>172</v>
      </c>
      <c r="I1015" s="37">
        <f>G1015*H1015*F1015</f>
        <v>86</v>
      </c>
      <c r="J1015" s="13"/>
      <c r="K1015" s="18" t="s">
        <v>1234</v>
      </c>
      <c r="L1015" s="66"/>
      <c r="M1015" s="19"/>
      <c r="N1015" s="20"/>
      <c r="O1015" s="22">
        <v>1</v>
      </c>
      <c r="P1015" s="23">
        <v>1</v>
      </c>
      <c r="Q1015" s="37">
        <v>1212</v>
      </c>
      <c r="R1015" s="37">
        <f>P1015*Q1015*O1015</f>
        <v>1212</v>
      </c>
    </row>
    <row r="1016" spans="1:18" x14ac:dyDescent="0.2">
      <c r="A1016" s="13"/>
      <c r="B1016" s="18" t="s">
        <v>341</v>
      </c>
      <c r="C1016" s="19"/>
      <c r="D1016" s="19"/>
      <c r="E1016" s="20"/>
      <c r="F1016" s="22">
        <v>1</v>
      </c>
      <c r="G1016" s="23">
        <v>0.5</v>
      </c>
      <c r="H1016" s="37">
        <v>91.25</v>
      </c>
      <c r="I1016" s="37">
        <f>G1016*H1016*F1016</f>
        <v>45.625</v>
      </c>
      <c r="J1016" s="13"/>
      <c r="K1016" s="18" t="s">
        <v>99</v>
      </c>
      <c r="L1016" s="19"/>
      <c r="M1016" s="19"/>
      <c r="N1016" s="20"/>
      <c r="O1016" s="22">
        <v>1</v>
      </c>
      <c r="P1016" s="23">
        <v>1</v>
      </c>
      <c r="Q1016" s="37">
        <v>1537</v>
      </c>
      <c r="R1016" s="37">
        <f>P1016*Q1016*O1016</f>
        <v>1537</v>
      </c>
    </row>
    <row r="1017" spans="1:18" x14ac:dyDescent="0.2">
      <c r="A1017" s="13"/>
      <c r="B1017" s="18" t="s">
        <v>1174</v>
      </c>
      <c r="C1017" s="19"/>
      <c r="D1017" s="19"/>
      <c r="E1017" s="20"/>
      <c r="F1017" s="22">
        <v>1</v>
      </c>
      <c r="G1017" s="23">
        <v>0.05</v>
      </c>
      <c r="H1017" s="37">
        <v>2450</v>
      </c>
      <c r="I1017" s="37">
        <f>F1017*G1017*H1017</f>
        <v>122.5</v>
      </c>
      <c r="J1017" s="13"/>
      <c r="K1017" s="18" t="s">
        <v>1174</v>
      </c>
      <c r="L1017" s="19"/>
      <c r="M1017" s="19"/>
      <c r="N1017" s="20"/>
      <c r="O1017" s="22">
        <v>1</v>
      </c>
      <c r="P1017" s="23">
        <v>0.5</v>
      </c>
      <c r="Q1017" s="37">
        <v>2450</v>
      </c>
      <c r="R1017" s="37">
        <f>P1017*Q1017*O1017</f>
        <v>1225</v>
      </c>
    </row>
    <row r="1018" spans="1:18" x14ac:dyDescent="0.2">
      <c r="A1018" s="13"/>
      <c r="B1018" s="18" t="s">
        <v>1237</v>
      </c>
      <c r="C1018" s="66"/>
      <c r="D1018" s="19"/>
      <c r="E1018" s="20"/>
      <c r="F1018" s="22">
        <v>1</v>
      </c>
      <c r="G1018" s="23">
        <v>0.25</v>
      </c>
      <c r="H1018" s="37">
        <v>1212</v>
      </c>
      <c r="I1018" s="37">
        <f>F1018*G1018*H1018</f>
        <v>303</v>
      </c>
      <c r="J1018" s="13"/>
      <c r="K1018" s="3" t="s">
        <v>92</v>
      </c>
      <c r="O1018" s="21"/>
      <c r="P1018" s="21"/>
      <c r="R1018" s="37">
        <f>R1010*0.1</f>
        <v>19.754000000000001</v>
      </c>
    </row>
    <row r="1019" spans="1:18" x14ac:dyDescent="0.2">
      <c r="A1019" s="13"/>
      <c r="B1019" s="18" t="s">
        <v>1238</v>
      </c>
      <c r="C1019" s="19"/>
      <c r="D1019" s="19"/>
      <c r="E1019" s="20"/>
      <c r="F1019" s="22"/>
      <c r="G1019" s="71"/>
      <c r="I1019" s="37">
        <f>0.05*I1010</f>
        <v>16.282999999999998</v>
      </c>
      <c r="J1019" s="13"/>
      <c r="K1019" s="18"/>
      <c r="L1019" s="19"/>
      <c r="M1019" s="19"/>
      <c r="N1019" s="20"/>
      <c r="O1019" s="22"/>
      <c r="P1019" s="36"/>
      <c r="Q1019" s="37"/>
      <c r="R1019" s="37"/>
    </row>
    <row r="1020" spans="1:18" x14ac:dyDescent="0.2">
      <c r="A1020" s="13"/>
      <c r="B1020" s="18"/>
      <c r="C1020" s="19"/>
      <c r="D1020" s="19"/>
      <c r="E1020" s="20"/>
      <c r="F1020" s="22"/>
      <c r="G1020" s="36"/>
      <c r="H1020" s="38"/>
      <c r="I1020" s="38"/>
      <c r="J1020" s="13"/>
      <c r="K1020" s="18"/>
      <c r="L1020" s="19"/>
      <c r="M1020" s="19"/>
      <c r="N1020" s="20"/>
      <c r="O1020" s="22"/>
      <c r="P1020" s="36"/>
      <c r="Q1020" s="38"/>
      <c r="R1020" s="38"/>
    </row>
    <row r="1021" spans="1:18" x14ac:dyDescent="0.2">
      <c r="A1021" s="13"/>
      <c r="B1021" s="18"/>
      <c r="C1021" s="19"/>
      <c r="D1021" s="19"/>
      <c r="E1021" s="20"/>
      <c r="F1021" s="22"/>
      <c r="G1021" s="36"/>
      <c r="H1021" s="38"/>
      <c r="I1021" s="38"/>
      <c r="J1021" s="13"/>
      <c r="K1021" s="18"/>
      <c r="L1021" s="19"/>
      <c r="M1021" s="19"/>
      <c r="N1021" s="20"/>
      <c r="O1021" s="22"/>
      <c r="P1021" s="36"/>
      <c r="Q1021" s="38"/>
      <c r="R1021" s="38"/>
    </row>
    <row r="1022" spans="1:18" x14ac:dyDescent="0.2">
      <c r="A1022" s="13"/>
      <c r="B1022" s="18"/>
      <c r="C1022" s="19"/>
      <c r="D1022" s="19"/>
      <c r="E1022" s="20"/>
      <c r="F1022" s="22"/>
      <c r="G1022" s="36"/>
      <c r="H1022" s="38"/>
      <c r="I1022" s="38"/>
      <c r="J1022" s="13"/>
      <c r="K1022" s="18"/>
      <c r="L1022" s="19"/>
      <c r="M1022" s="19"/>
      <c r="N1022" s="20"/>
      <c r="O1022" s="22"/>
      <c r="P1022" s="36"/>
      <c r="Q1022" s="38"/>
      <c r="R1022" s="38"/>
    </row>
    <row r="1023" spans="1:18" x14ac:dyDescent="0.2">
      <c r="A1023" s="13"/>
      <c r="B1023" s="18"/>
      <c r="C1023" s="19"/>
      <c r="D1023" s="19"/>
      <c r="E1023" s="20"/>
      <c r="F1023" s="22"/>
      <c r="G1023" s="36"/>
      <c r="H1023" s="38"/>
      <c r="I1023" s="38"/>
      <c r="J1023" s="13"/>
      <c r="K1023" s="18"/>
      <c r="L1023" s="19"/>
      <c r="M1023" s="19"/>
      <c r="N1023" s="20"/>
      <c r="O1023" s="22"/>
      <c r="P1023" s="36"/>
      <c r="Q1023" s="38"/>
      <c r="R1023" s="38"/>
    </row>
    <row r="1024" spans="1:18" x14ac:dyDescent="0.2">
      <c r="A1024" s="13"/>
      <c r="B1024" s="18"/>
      <c r="C1024" s="19"/>
      <c r="D1024" s="19"/>
      <c r="E1024" s="20"/>
      <c r="F1024" s="22"/>
      <c r="G1024" s="36"/>
      <c r="H1024" s="37"/>
      <c r="I1024" s="37"/>
      <c r="J1024" s="13"/>
      <c r="K1024" s="18"/>
      <c r="L1024" s="19"/>
      <c r="M1024" s="19"/>
      <c r="N1024" s="20"/>
      <c r="O1024" s="22"/>
      <c r="P1024" s="36"/>
      <c r="Q1024" s="37"/>
      <c r="R1024" s="37"/>
    </row>
    <row r="1025" spans="1:18" x14ac:dyDescent="0.2">
      <c r="A1025" s="13"/>
      <c r="B1025" s="18"/>
      <c r="C1025" s="19"/>
      <c r="D1025" s="19"/>
      <c r="E1025" s="20"/>
      <c r="F1025" s="22"/>
      <c r="G1025" s="36"/>
      <c r="H1025" s="37"/>
      <c r="I1025" s="37"/>
      <c r="J1025" s="13"/>
      <c r="K1025" s="18"/>
      <c r="L1025" s="19"/>
      <c r="M1025" s="19"/>
      <c r="N1025" s="20"/>
      <c r="O1025" s="22"/>
      <c r="P1025" s="36"/>
      <c r="Q1025" s="37"/>
      <c r="R1025" s="37"/>
    </row>
    <row r="1026" spans="1:18" x14ac:dyDescent="0.2">
      <c r="A1026" s="13"/>
      <c r="B1026" s="18"/>
      <c r="C1026" s="19"/>
      <c r="D1026" s="19"/>
      <c r="E1026" s="20"/>
      <c r="F1026" s="22"/>
      <c r="G1026" s="36"/>
      <c r="H1026" s="37"/>
      <c r="I1026" s="37"/>
      <c r="J1026" s="13"/>
      <c r="K1026" s="18"/>
      <c r="L1026" s="19"/>
      <c r="M1026" s="19"/>
      <c r="N1026" s="20"/>
      <c r="O1026" s="22"/>
      <c r="P1026" s="36"/>
      <c r="Q1026" s="37"/>
      <c r="R1026" s="37"/>
    </row>
    <row r="1027" spans="1:18" x14ac:dyDescent="0.2">
      <c r="A1027" s="13"/>
      <c r="B1027" s="18"/>
      <c r="C1027" s="19"/>
      <c r="D1027" s="19"/>
      <c r="E1027" s="20"/>
      <c r="F1027" s="22"/>
      <c r="G1027" s="22"/>
      <c r="H1027" s="23"/>
      <c r="I1027" s="23"/>
      <c r="J1027" s="13"/>
      <c r="K1027" s="18"/>
      <c r="L1027" s="19"/>
      <c r="M1027" s="19"/>
      <c r="N1027" s="20"/>
      <c r="O1027" s="22"/>
      <c r="P1027" s="22"/>
      <c r="Q1027" s="23"/>
      <c r="R1027" s="23"/>
    </row>
    <row r="1028" spans="1:18" x14ac:dyDescent="0.2">
      <c r="A1028" s="13"/>
      <c r="B1028" s="248" t="s">
        <v>30</v>
      </c>
      <c r="C1028" s="249"/>
      <c r="D1028" s="249"/>
      <c r="E1028" s="250"/>
      <c r="F1028" s="22"/>
      <c r="G1028" s="22"/>
      <c r="H1028" s="23"/>
      <c r="I1028" s="23">
        <f>SUM(I1015:I1027)</f>
        <v>573.40800000000002</v>
      </c>
      <c r="J1028" s="13"/>
      <c r="K1028" s="248" t="s">
        <v>30</v>
      </c>
      <c r="L1028" s="249"/>
      <c r="M1028" s="249"/>
      <c r="N1028" s="250"/>
      <c r="O1028" s="22"/>
      <c r="P1028" s="22"/>
      <c r="Q1028" s="23"/>
      <c r="R1028" s="23">
        <f>SUM(R1015:R1027)</f>
        <v>3993.7539999999999</v>
      </c>
    </row>
    <row r="1029" spans="1:18" x14ac:dyDescent="0.2">
      <c r="A1029" s="12" t="s">
        <v>31</v>
      </c>
      <c r="B1029" s="260" t="s">
        <v>32</v>
      </c>
      <c r="C1029" s="261"/>
      <c r="D1029" s="261"/>
      <c r="E1029" s="261"/>
      <c r="F1029" s="39"/>
      <c r="G1029" s="39"/>
      <c r="H1029" s="40"/>
      <c r="I1029" s="41">
        <f>SUM(I1028+I1010)</f>
        <v>899.06799999999998</v>
      </c>
      <c r="J1029" s="12" t="s">
        <v>31</v>
      </c>
      <c r="K1029" s="260" t="s">
        <v>32</v>
      </c>
      <c r="L1029" s="261"/>
      <c r="M1029" s="261"/>
      <c r="N1029" s="261"/>
      <c r="O1029" s="161"/>
      <c r="P1029" s="161"/>
      <c r="Q1029" s="40"/>
      <c r="R1029" s="41">
        <f>SUM(R1028+R1010)</f>
        <v>4191.2939999999999</v>
      </c>
    </row>
    <row r="1030" spans="1:18" x14ac:dyDescent="0.2">
      <c r="A1030" s="13" t="s">
        <v>33</v>
      </c>
      <c r="B1030" s="351">
        <f>E997</f>
        <v>4.2</v>
      </c>
      <c r="C1030" s="352"/>
      <c r="D1030" s="352"/>
      <c r="E1030" s="352"/>
      <c r="F1030" s="352"/>
      <c r="G1030" s="352"/>
      <c r="H1030" s="40"/>
      <c r="I1030" s="41"/>
      <c r="J1030" s="13" t="s">
        <v>33</v>
      </c>
      <c r="K1030" s="345">
        <f>N997</f>
        <v>1</v>
      </c>
      <c r="L1030" s="346"/>
      <c r="M1030" s="346"/>
      <c r="N1030" s="346"/>
      <c r="O1030" s="346"/>
      <c r="P1030" s="346"/>
      <c r="Q1030" s="40"/>
      <c r="R1030" s="41"/>
    </row>
    <row r="1031" spans="1:18" x14ac:dyDescent="0.2">
      <c r="A1031" s="13" t="s">
        <v>34</v>
      </c>
      <c r="B1031" s="42" t="s">
        <v>35</v>
      </c>
      <c r="C1031" s="43"/>
      <c r="D1031" s="43"/>
      <c r="E1031" s="39"/>
      <c r="F1031" s="44"/>
      <c r="G1031" s="44"/>
      <c r="H1031" s="40"/>
      <c r="I1031" s="41">
        <f>I1029/E997</f>
        <v>214.06380952380951</v>
      </c>
      <c r="J1031" s="13" t="s">
        <v>34</v>
      </c>
      <c r="K1031" s="162" t="s">
        <v>35</v>
      </c>
      <c r="L1031" s="43"/>
      <c r="M1031" s="43"/>
      <c r="N1031" s="161"/>
      <c r="O1031" s="163"/>
      <c r="P1031" s="163"/>
      <c r="Q1031" s="40"/>
      <c r="R1031" s="41">
        <f>R1029/N997</f>
        <v>4191.2939999999999</v>
      </c>
    </row>
    <row r="1032" spans="1:18" x14ac:dyDescent="0.2">
      <c r="A1032" s="12"/>
      <c r="B1032" s="251" t="s">
        <v>36</v>
      </c>
      <c r="C1032" s="252"/>
      <c r="D1032" s="252"/>
      <c r="E1032" s="253"/>
      <c r="F1032" s="244" t="s">
        <v>37</v>
      </c>
      <c r="G1032" s="244" t="s">
        <v>38</v>
      </c>
      <c r="H1032" s="244" t="s">
        <v>39</v>
      </c>
      <c r="I1032" s="246" t="s">
        <v>15</v>
      </c>
      <c r="J1032" s="12"/>
      <c r="K1032" s="251" t="s">
        <v>36</v>
      </c>
      <c r="L1032" s="252"/>
      <c r="M1032" s="252"/>
      <c r="N1032" s="253"/>
      <c r="O1032" s="244" t="s">
        <v>37</v>
      </c>
      <c r="P1032" s="244" t="s">
        <v>38</v>
      </c>
      <c r="Q1032" s="244" t="s">
        <v>39</v>
      </c>
      <c r="R1032" s="246" t="s">
        <v>15</v>
      </c>
    </row>
    <row r="1033" spans="1:18" x14ac:dyDescent="0.2">
      <c r="A1033" s="13"/>
      <c r="B1033" s="254"/>
      <c r="C1033" s="255"/>
      <c r="D1033" s="255"/>
      <c r="E1033" s="256"/>
      <c r="F1033" s="245"/>
      <c r="G1033" s="245"/>
      <c r="H1033" s="245"/>
      <c r="I1033" s="247"/>
      <c r="J1033" s="13"/>
      <c r="K1033" s="254"/>
      <c r="L1033" s="255"/>
      <c r="M1033" s="255"/>
      <c r="N1033" s="256"/>
      <c r="O1033" s="245"/>
      <c r="P1033" s="245"/>
      <c r="Q1033" s="245"/>
      <c r="R1033" s="247"/>
    </row>
    <row r="1034" spans="1:18" x14ac:dyDescent="0.2">
      <c r="A1034" s="13" t="s">
        <v>40</v>
      </c>
      <c r="B1034" s="18" t="s">
        <v>41</v>
      </c>
      <c r="C1034" s="19"/>
      <c r="D1034" s="19"/>
      <c r="E1034" s="20"/>
      <c r="F1034" s="22"/>
      <c r="G1034" s="22"/>
      <c r="H1034" s="23"/>
      <c r="I1034" s="23"/>
      <c r="J1034" s="13" t="s">
        <v>40</v>
      </c>
      <c r="K1034" s="18" t="s">
        <v>41</v>
      </c>
      <c r="L1034" s="19"/>
      <c r="M1034" s="19"/>
      <c r="N1034" s="20"/>
      <c r="O1034" s="22"/>
      <c r="P1034" s="22"/>
      <c r="Q1034" s="23"/>
      <c r="R1034" s="23"/>
    </row>
    <row r="1035" spans="1:18" x14ac:dyDescent="0.2">
      <c r="A1035" s="13"/>
      <c r="B1035" s="18"/>
      <c r="C1035" s="19"/>
      <c r="D1035" s="19"/>
      <c r="E1035" s="20"/>
      <c r="F1035" s="22"/>
      <c r="G1035" s="22"/>
      <c r="H1035" s="23"/>
      <c r="I1035" s="23"/>
      <c r="J1035" s="13"/>
      <c r="K1035" s="18"/>
      <c r="L1035" s="19"/>
      <c r="M1035" s="19"/>
      <c r="N1035" s="20"/>
      <c r="O1035" s="22"/>
      <c r="P1035" s="23"/>
      <c r="Q1035" s="23"/>
      <c r="R1035" s="23"/>
    </row>
    <row r="1036" spans="1:18" x14ac:dyDescent="0.2">
      <c r="A1036" s="13"/>
      <c r="B1036" s="18" t="s">
        <v>234</v>
      </c>
      <c r="C1036" s="66"/>
      <c r="D1036" s="19"/>
      <c r="E1036" s="20"/>
      <c r="F1036" s="22" t="s">
        <v>227</v>
      </c>
      <c r="G1036" s="62">
        <v>0.33</v>
      </c>
      <c r="H1036" s="107">
        <v>220</v>
      </c>
      <c r="I1036" s="23">
        <f>H1036*G1036</f>
        <v>72.600000000000009</v>
      </c>
      <c r="J1036" s="13"/>
      <c r="K1036" s="18" t="s">
        <v>733</v>
      </c>
      <c r="L1036" s="19"/>
      <c r="M1036" s="19"/>
      <c r="N1036" s="20"/>
      <c r="O1036" s="22" t="s">
        <v>77</v>
      </c>
      <c r="P1036" s="23">
        <v>3</v>
      </c>
      <c r="Q1036" s="107">
        <v>26</v>
      </c>
      <c r="R1036" s="23">
        <f>P1036*Q1036</f>
        <v>78</v>
      </c>
    </row>
    <row r="1037" spans="1:18" x14ac:dyDescent="0.2">
      <c r="A1037" s="13"/>
      <c r="B1037" s="18" t="s">
        <v>426</v>
      </c>
      <c r="C1037" s="66"/>
      <c r="D1037" s="19"/>
      <c r="E1037" s="20"/>
      <c r="F1037" s="22" t="s">
        <v>9</v>
      </c>
      <c r="G1037" s="70">
        <v>1.7999999999999999E-2</v>
      </c>
      <c r="H1037" s="107">
        <v>850</v>
      </c>
      <c r="I1037" s="23">
        <f>H1037*G1037</f>
        <v>15.299999999999999</v>
      </c>
      <c r="J1037" s="13"/>
      <c r="K1037" s="18" t="s">
        <v>734</v>
      </c>
      <c r="L1037" s="19"/>
      <c r="M1037" s="19"/>
      <c r="N1037" s="20"/>
      <c r="O1037" s="22" t="s">
        <v>80</v>
      </c>
      <c r="P1037" s="23">
        <v>3</v>
      </c>
      <c r="Q1037" s="107">
        <v>50</v>
      </c>
      <c r="R1037" s="23">
        <f>P1037*Q1037</f>
        <v>150</v>
      </c>
    </row>
    <row r="1038" spans="1:18" x14ac:dyDescent="0.2">
      <c r="A1038" s="13"/>
      <c r="B1038" s="18" t="s">
        <v>496</v>
      </c>
      <c r="C1038" s="19"/>
      <c r="D1038" s="19"/>
      <c r="E1038" s="20"/>
      <c r="F1038" s="22" t="s">
        <v>9</v>
      </c>
      <c r="G1038" s="70">
        <v>3.5999999999999997E-2</v>
      </c>
      <c r="H1038" s="107">
        <v>650</v>
      </c>
      <c r="I1038" s="23">
        <f>H1038*G1038</f>
        <v>23.4</v>
      </c>
      <c r="J1038" s="13"/>
      <c r="K1038" s="18" t="s">
        <v>735</v>
      </c>
      <c r="L1038" s="19"/>
      <c r="M1038" s="19"/>
      <c r="N1038" s="20"/>
      <c r="O1038" s="22" t="s">
        <v>8</v>
      </c>
      <c r="P1038" s="23">
        <v>3</v>
      </c>
      <c r="Q1038" s="107">
        <v>10</v>
      </c>
      <c r="R1038" s="23">
        <f>P1038*Q1038</f>
        <v>30</v>
      </c>
    </row>
    <row r="1039" spans="1:18" x14ac:dyDescent="0.2">
      <c r="A1039" s="13"/>
      <c r="B1039" s="18" t="s">
        <v>755</v>
      </c>
      <c r="C1039" s="19"/>
      <c r="D1039" s="19"/>
      <c r="E1039" s="20"/>
      <c r="F1039" s="22" t="s">
        <v>1153</v>
      </c>
      <c r="G1039" s="62">
        <v>1</v>
      </c>
      <c r="H1039" s="107">
        <v>1950</v>
      </c>
      <c r="I1039" s="23">
        <f>H1039*G1039</f>
        <v>1950</v>
      </c>
      <c r="J1039" s="13"/>
      <c r="K1039" s="18" t="s">
        <v>737</v>
      </c>
      <c r="L1039" s="19"/>
      <c r="M1039" s="19"/>
      <c r="N1039" s="20"/>
      <c r="O1039" s="22" t="s">
        <v>77</v>
      </c>
      <c r="P1039" s="23">
        <v>0.25</v>
      </c>
      <c r="Q1039" s="107">
        <v>46.67</v>
      </c>
      <c r="R1039" s="23">
        <f>P1039*Q1039</f>
        <v>11.6675</v>
      </c>
    </row>
    <row r="1040" spans="1:18" x14ac:dyDescent="0.2">
      <c r="A1040" s="13"/>
      <c r="B1040" s="18" t="s">
        <v>758</v>
      </c>
      <c r="C1040" s="19"/>
      <c r="D1040" s="19"/>
      <c r="E1040" s="20"/>
      <c r="F1040" s="22" t="s">
        <v>80</v>
      </c>
      <c r="G1040" s="62">
        <v>0.25</v>
      </c>
      <c r="H1040" s="107">
        <v>700</v>
      </c>
      <c r="I1040" s="23">
        <f>(H1040*G1040)/4</f>
        <v>43.75</v>
      </c>
      <c r="J1040" s="13"/>
      <c r="K1040" s="18"/>
      <c r="L1040" s="19"/>
      <c r="M1040" s="19"/>
      <c r="N1040" s="20"/>
      <c r="O1040" s="22"/>
      <c r="P1040" s="22"/>
      <c r="Q1040" s="45"/>
      <c r="R1040" s="45"/>
    </row>
    <row r="1041" spans="1:18" x14ac:dyDescent="0.2">
      <c r="A1041" s="13"/>
      <c r="B1041" s="18" t="s">
        <v>760</v>
      </c>
      <c r="C1041" s="19"/>
      <c r="D1041" s="19"/>
      <c r="E1041" s="20"/>
      <c r="F1041" s="22" t="s">
        <v>413</v>
      </c>
      <c r="G1041" s="62">
        <v>8</v>
      </c>
      <c r="H1041" s="107">
        <v>40</v>
      </c>
      <c r="I1041" s="23">
        <f>(H1041*G1041)/4</f>
        <v>80</v>
      </c>
      <c r="J1041" s="13"/>
      <c r="K1041" s="18"/>
      <c r="L1041" s="19"/>
      <c r="M1041" s="19"/>
      <c r="N1041" s="20"/>
      <c r="O1041" s="22"/>
      <c r="P1041" s="22"/>
      <c r="Q1041" s="45"/>
      <c r="R1041" s="45"/>
    </row>
    <row r="1042" spans="1:18" x14ac:dyDescent="0.2">
      <c r="A1042" s="13"/>
      <c r="B1042" s="18" t="s">
        <v>762</v>
      </c>
      <c r="C1042" s="19"/>
      <c r="D1042" s="19"/>
      <c r="E1042" s="20"/>
      <c r="F1042" s="22" t="s">
        <v>77</v>
      </c>
      <c r="G1042" s="62">
        <v>4</v>
      </c>
      <c r="H1042" s="107">
        <v>40</v>
      </c>
      <c r="I1042" s="23">
        <f>H1042*G1042</f>
        <v>160</v>
      </c>
      <c r="J1042" s="13"/>
      <c r="K1042" s="18"/>
      <c r="L1042" s="19"/>
      <c r="M1042" s="19"/>
      <c r="N1042" s="20"/>
      <c r="O1042" s="22"/>
      <c r="P1042" s="22"/>
      <c r="Q1042" s="23"/>
      <c r="R1042" s="23"/>
    </row>
    <row r="1043" spans="1:18" x14ac:dyDescent="0.2">
      <c r="A1043" s="13"/>
      <c r="B1043" s="18" t="s">
        <v>763</v>
      </c>
      <c r="C1043" s="19"/>
      <c r="D1043" s="19"/>
      <c r="E1043" s="20"/>
      <c r="F1043" s="22" t="s">
        <v>77</v>
      </c>
      <c r="G1043" s="62">
        <f>ROUND(G1042*0.02,2)</f>
        <v>0.08</v>
      </c>
      <c r="H1043" s="107">
        <v>47</v>
      </c>
      <c r="I1043" s="23">
        <f>H1043*G1043</f>
        <v>3.7600000000000002</v>
      </c>
      <c r="J1043" s="13"/>
      <c r="K1043" s="18"/>
      <c r="L1043" s="19"/>
      <c r="M1043" s="19"/>
      <c r="N1043" s="20"/>
      <c r="O1043" s="22"/>
      <c r="P1043" s="22"/>
      <c r="Q1043" s="23"/>
      <c r="R1043" s="23"/>
    </row>
    <row r="1044" spans="1:18" x14ac:dyDescent="0.2">
      <c r="A1044" s="13"/>
      <c r="B1044" s="18" t="s">
        <v>629</v>
      </c>
      <c r="C1044" s="19"/>
      <c r="D1044" s="19"/>
      <c r="E1044" s="20"/>
      <c r="F1044" s="22" t="s">
        <v>77</v>
      </c>
      <c r="G1044" s="62">
        <f>ROUND(G1041/100,2)</f>
        <v>0.08</v>
      </c>
      <c r="H1044" s="107">
        <v>68</v>
      </c>
      <c r="I1044" s="23">
        <f>H1044*G1044</f>
        <v>5.44</v>
      </c>
      <c r="J1044" s="13"/>
      <c r="K1044" s="18"/>
      <c r="L1044" s="19"/>
      <c r="M1044" s="19"/>
      <c r="N1044" s="20"/>
      <c r="O1044" s="22"/>
      <c r="P1044" s="22"/>
      <c r="Q1044" s="23"/>
      <c r="R1044" s="23"/>
    </row>
    <row r="1045" spans="1:18" x14ac:dyDescent="0.2">
      <c r="A1045" s="13"/>
      <c r="B1045" s="18" t="s">
        <v>764</v>
      </c>
      <c r="C1045" s="19"/>
      <c r="D1045" s="19"/>
      <c r="E1045" s="20"/>
      <c r="F1045" s="22" t="s">
        <v>80</v>
      </c>
      <c r="G1045" s="62">
        <v>0.5</v>
      </c>
      <c r="H1045" s="107">
        <v>28</v>
      </c>
      <c r="I1045" s="23">
        <f>H1045*G1045</f>
        <v>14</v>
      </c>
      <c r="J1045" s="13"/>
      <c r="K1045" s="18"/>
      <c r="L1045" s="19"/>
      <c r="M1045" s="19"/>
      <c r="N1045" s="20"/>
      <c r="O1045" s="22"/>
      <c r="P1045" s="22"/>
      <c r="Q1045" s="23"/>
      <c r="R1045" s="23"/>
    </row>
    <row r="1046" spans="1:18" x14ac:dyDescent="0.2">
      <c r="A1046" s="13"/>
      <c r="B1046" s="18" t="s">
        <v>765</v>
      </c>
      <c r="C1046" s="19"/>
      <c r="D1046" s="19"/>
      <c r="E1046" s="20"/>
      <c r="F1046" s="22" t="s">
        <v>80</v>
      </c>
      <c r="G1046" s="62">
        <v>2</v>
      </c>
      <c r="H1046" s="107">
        <v>21</v>
      </c>
      <c r="I1046" s="23">
        <f>H1046*G1046</f>
        <v>42</v>
      </c>
      <c r="J1046" s="13"/>
      <c r="K1046" s="18"/>
      <c r="L1046" s="19"/>
      <c r="M1046" s="19"/>
      <c r="N1046" s="20"/>
      <c r="O1046" s="22"/>
      <c r="P1046" s="22"/>
      <c r="Q1046" s="23"/>
      <c r="R1046" s="23"/>
    </row>
    <row r="1047" spans="1:18" x14ac:dyDescent="0.2">
      <c r="A1047" s="13"/>
      <c r="B1047" s="18"/>
      <c r="C1047" s="19"/>
      <c r="D1047" s="19"/>
      <c r="E1047" s="20"/>
      <c r="F1047" s="22"/>
      <c r="G1047" s="64"/>
      <c r="H1047" s="23"/>
      <c r="I1047" s="23"/>
      <c r="J1047" s="13"/>
      <c r="K1047" s="18"/>
      <c r="L1047" s="19"/>
      <c r="M1047" s="19"/>
      <c r="N1047" s="20"/>
      <c r="O1047" s="22"/>
      <c r="P1047" s="22"/>
      <c r="Q1047" s="23"/>
      <c r="R1047" s="23"/>
    </row>
    <row r="1048" spans="1:18" x14ac:dyDescent="0.2">
      <c r="A1048" s="13"/>
      <c r="B1048" s="18"/>
      <c r="C1048" s="19"/>
      <c r="D1048" s="19"/>
      <c r="E1048" s="20"/>
      <c r="F1048" s="22"/>
      <c r="G1048" s="36"/>
      <c r="H1048" s="37"/>
      <c r="I1048" s="37"/>
      <c r="J1048" s="13"/>
      <c r="K1048" s="18"/>
      <c r="L1048" s="19"/>
      <c r="M1048" s="19"/>
      <c r="N1048" s="20"/>
      <c r="O1048" s="22"/>
      <c r="P1048" s="36"/>
      <c r="Q1048" s="37"/>
      <c r="R1048" s="37"/>
    </row>
    <row r="1049" spans="1:18" x14ac:dyDescent="0.2">
      <c r="A1049" s="13"/>
      <c r="B1049" s="248" t="s">
        <v>42</v>
      </c>
      <c r="C1049" s="249"/>
      <c r="D1049" s="249"/>
      <c r="E1049" s="250"/>
      <c r="F1049" s="46"/>
      <c r="G1049" s="46"/>
      <c r="H1049" s="47"/>
      <c r="I1049" s="47">
        <f>SUM(I1036:I1048)</f>
        <v>2410.2500000000005</v>
      </c>
      <c r="J1049" s="13"/>
      <c r="K1049" s="248" t="s">
        <v>42</v>
      </c>
      <c r="L1049" s="249"/>
      <c r="M1049" s="249"/>
      <c r="N1049" s="250"/>
      <c r="O1049" s="46"/>
      <c r="P1049" s="46"/>
      <c r="Q1049" s="47"/>
      <c r="R1049" s="47">
        <f>SUM(R1036:R1048)</f>
        <v>269.66750000000002</v>
      </c>
    </row>
    <row r="1050" spans="1:18" x14ac:dyDescent="0.2">
      <c r="A1050" s="12" t="s">
        <v>43</v>
      </c>
      <c r="B1050" s="48" t="s">
        <v>44</v>
      </c>
      <c r="C1050" s="43"/>
      <c r="D1050" s="43"/>
      <c r="E1050" s="39"/>
      <c r="F1050" s="49"/>
      <c r="G1050" s="49"/>
      <c r="H1050" s="50"/>
      <c r="I1050" s="51">
        <f>SUM(I1031+I1049)</f>
        <v>2624.3138095238101</v>
      </c>
      <c r="J1050" s="12" t="s">
        <v>43</v>
      </c>
      <c r="K1050" s="48" t="s">
        <v>44</v>
      </c>
      <c r="L1050" s="43"/>
      <c r="M1050" s="43"/>
      <c r="N1050" s="161"/>
      <c r="O1050" s="49"/>
      <c r="P1050" s="49"/>
      <c r="Q1050" s="50"/>
      <c r="R1050" s="51">
        <f>SUM(R1031+R1049)</f>
        <v>4460.9614999999994</v>
      </c>
    </row>
    <row r="1051" spans="1:18" x14ac:dyDescent="0.2">
      <c r="A1051" s="13" t="s">
        <v>45</v>
      </c>
      <c r="B1051" s="48" t="s">
        <v>46</v>
      </c>
      <c r="C1051" s="43"/>
      <c r="D1051" s="43"/>
      <c r="E1051" s="39"/>
      <c r="F1051" s="49"/>
      <c r="G1051" s="52">
        <v>0.09</v>
      </c>
      <c r="H1051" s="53" t="s">
        <v>47</v>
      </c>
      <c r="I1051" s="51">
        <f>G1051*I1050</f>
        <v>236.18824285714288</v>
      </c>
      <c r="J1051" s="13" t="s">
        <v>45</v>
      </c>
      <c r="K1051" s="48" t="s">
        <v>46</v>
      </c>
      <c r="L1051" s="43"/>
      <c r="M1051" s="43"/>
      <c r="N1051" s="161"/>
      <c r="O1051" s="49"/>
      <c r="P1051" s="52">
        <v>0.09</v>
      </c>
      <c r="Q1051" s="53" t="s">
        <v>47</v>
      </c>
      <c r="R1051" s="51">
        <f>P1051*R1050</f>
        <v>401.48653499999995</v>
      </c>
    </row>
    <row r="1052" spans="1:18" x14ac:dyDescent="0.2">
      <c r="A1052" s="13" t="s">
        <v>48</v>
      </c>
      <c r="B1052" s="48" t="s">
        <v>49</v>
      </c>
      <c r="C1052" s="43"/>
      <c r="D1052" s="43"/>
      <c r="E1052" s="39"/>
      <c r="F1052" s="49"/>
      <c r="G1052" s="52">
        <v>0.08</v>
      </c>
      <c r="H1052" s="53" t="s">
        <v>47</v>
      </c>
      <c r="I1052" s="51">
        <f>G1052*I1050</f>
        <v>209.94510476190482</v>
      </c>
      <c r="J1052" s="13" t="s">
        <v>48</v>
      </c>
      <c r="K1052" s="48" t="s">
        <v>49</v>
      </c>
      <c r="L1052" s="43"/>
      <c r="M1052" s="43"/>
      <c r="N1052" s="161"/>
      <c r="O1052" s="49"/>
      <c r="P1052" s="52">
        <v>0.08</v>
      </c>
      <c r="Q1052" s="53" t="s">
        <v>47</v>
      </c>
      <c r="R1052" s="51">
        <f>P1052*R1050</f>
        <v>356.87691999999998</v>
      </c>
    </row>
    <row r="1053" spans="1:18" x14ac:dyDescent="0.2">
      <c r="A1053" s="13" t="s">
        <v>50</v>
      </c>
      <c r="B1053" s="48" t="s">
        <v>51</v>
      </c>
      <c r="C1053" s="43"/>
      <c r="D1053" s="43"/>
      <c r="E1053" s="39"/>
      <c r="F1053" s="49"/>
      <c r="G1053" s="52">
        <v>0.05</v>
      </c>
      <c r="H1053" s="53" t="s">
        <v>52</v>
      </c>
      <c r="I1053" s="51">
        <f>G1053*(I1050+I1051+I1052)</f>
        <v>153.52235785714291</v>
      </c>
      <c r="J1053" s="13" t="s">
        <v>50</v>
      </c>
      <c r="K1053" s="48" t="s">
        <v>51</v>
      </c>
      <c r="L1053" s="43"/>
      <c r="M1053" s="43"/>
      <c r="N1053" s="161"/>
      <c r="O1053" s="49"/>
      <c r="P1053" s="52">
        <v>0.05</v>
      </c>
      <c r="Q1053" s="53" t="s">
        <v>52</v>
      </c>
      <c r="R1053" s="51">
        <f>P1053*(R1050+R1051+R1052)</f>
        <v>260.96624774999998</v>
      </c>
    </row>
    <row r="1054" spans="1:18" x14ac:dyDescent="0.2">
      <c r="A1054" s="54" t="s">
        <v>53</v>
      </c>
      <c r="B1054" s="48" t="s">
        <v>54</v>
      </c>
      <c r="C1054" s="43"/>
      <c r="D1054" s="43"/>
      <c r="E1054" s="39"/>
      <c r="F1054" s="49"/>
      <c r="G1054" s="49"/>
      <c r="H1054" s="55" t="s">
        <v>55</v>
      </c>
      <c r="I1054" s="51">
        <f>SUM(I1050+I1051+I1052+I1053)</f>
        <v>3223.9695150000011</v>
      </c>
      <c r="J1054" s="54" t="s">
        <v>53</v>
      </c>
      <c r="K1054" s="48" t="s">
        <v>54</v>
      </c>
      <c r="L1054" s="43"/>
      <c r="M1054" s="43"/>
      <c r="N1054" s="161"/>
      <c r="O1054" s="49"/>
      <c r="P1054" s="49"/>
      <c r="Q1054" s="55" t="s">
        <v>55</v>
      </c>
      <c r="R1054" s="51">
        <f>SUM(R1050+R1051+R1052+R1053)</f>
        <v>5480.2912027499988</v>
      </c>
    </row>
    <row r="1055" spans="1:18" s="1" customFormat="1" x14ac:dyDescent="0.2">
      <c r="A1055" s="236" t="s">
        <v>0</v>
      </c>
      <c r="B1055" s="236"/>
      <c r="C1055" s="236"/>
      <c r="D1055" s="236"/>
      <c r="E1055" s="236"/>
      <c r="F1055" s="236"/>
      <c r="G1055" s="236"/>
      <c r="H1055" s="236"/>
      <c r="I1055" s="236"/>
      <c r="J1055" s="236" t="s">
        <v>0</v>
      </c>
      <c r="K1055" s="236"/>
      <c r="L1055" s="236"/>
      <c r="M1055" s="236"/>
      <c r="N1055" s="236"/>
      <c r="O1055" s="236"/>
      <c r="P1055" s="236"/>
      <c r="Q1055" s="236"/>
      <c r="R1055" s="236"/>
    </row>
    <row r="1057" spans="1:18" x14ac:dyDescent="0.2">
      <c r="A1057" s="2" t="s">
        <v>1</v>
      </c>
      <c r="C1057" s="4" t="s">
        <v>2</v>
      </c>
      <c r="D1057" s="8" t="s">
        <v>766</v>
      </c>
      <c r="E1057" s="237" t="s">
        <v>767</v>
      </c>
      <c r="F1057" s="237"/>
      <c r="G1057" s="237"/>
      <c r="H1057" s="237"/>
      <c r="J1057" s="2" t="s">
        <v>1</v>
      </c>
      <c r="L1057" s="4" t="s">
        <v>2</v>
      </c>
      <c r="M1057" s="5" t="s">
        <v>748</v>
      </c>
      <c r="N1057" s="237" t="s">
        <v>749</v>
      </c>
      <c r="O1057" s="237"/>
      <c r="P1057" s="237"/>
      <c r="Q1057" s="237"/>
    </row>
    <row r="1058" spans="1:18" x14ac:dyDescent="0.2">
      <c r="A1058" s="2" t="s">
        <v>7</v>
      </c>
      <c r="C1058" s="4" t="s">
        <v>2</v>
      </c>
      <c r="D1058" s="8"/>
      <c r="E1058" s="2" t="s">
        <v>59</v>
      </c>
      <c r="F1058" s="8"/>
      <c r="G1058" s="8"/>
      <c r="H1058" s="8"/>
      <c r="J1058" s="2" t="s">
        <v>7</v>
      </c>
      <c r="L1058" s="4" t="s">
        <v>2</v>
      </c>
      <c r="N1058" s="2" t="s">
        <v>8</v>
      </c>
      <c r="O1058" s="8"/>
      <c r="P1058" s="8"/>
      <c r="Q1058" s="8"/>
    </row>
    <row r="1059" spans="1:18" x14ac:dyDescent="0.2">
      <c r="A1059" s="2" t="s">
        <v>10</v>
      </c>
      <c r="C1059" s="4" t="s">
        <v>2</v>
      </c>
      <c r="D1059" s="8"/>
      <c r="E1059" s="9">
        <v>6</v>
      </c>
      <c r="F1059" s="8"/>
      <c r="G1059" s="8"/>
      <c r="H1059" s="8"/>
      <c r="J1059" s="2" t="s">
        <v>10</v>
      </c>
      <c r="L1059" s="4" t="s">
        <v>2</v>
      </c>
      <c r="N1059" s="9">
        <v>25</v>
      </c>
      <c r="O1059" s="8"/>
      <c r="P1059" s="8"/>
      <c r="Q1059" s="8"/>
    </row>
    <row r="1060" spans="1:18" x14ac:dyDescent="0.2">
      <c r="B1060" s="8"/>
      <c r="F1060" s="11"/>
      <c r="G1060" s="8"/>
      <c r="H1060" s="8"/>
      <c r="I1060" s="8"/>
      <c r="K1060" s="8"/>
      <c r="O1060" s="11"/>
      <c r="P1060" s="8"/>
      <c r="Q1060" s="8"/>
      <c r="R1060" s="8"/>
    </row>
    <row r="1061" spans="1:18" x14ac:dyDescent="0.2">
      <c r="A1061" s="12"/>
      <c r="B1061" s="238" t="s">
        <v>11</v>
      </c>
      <c r="C1061" s="239"/>
      <c r="D1061" s="239"/>
      <c r="E1061" s="240"/>
      <c r="F1061" s="244" t="s">
        <v>12</v>
      </c>
      <c r="G1061" s="244" t="s">
        <v>13</v>
      </c>
      <c r="H1061" s="244" t="s">
        <v>14</v>
      </c>
      <c r="I1061" s="246" t="s">
        <v>15</v>
      </c>
      <c r="J1061" s="12"/>
      <c r="K1061" s="238" t="s">
        <v>11</v>
      </c>
      <c r="L1061" s="239"/>
      <c r="M1061" s="239"/>
      <c r="N1061" s="240"/>
      <c r="O1061" s="244" t="s">
        <v>12</v>
      </c>
      <c r="P1061" s="244" t="s">
        <v>13</v>
      </c>
      <c r="Q1061" s="244" t="s">
        <v>14</v>
      </c>
      <c r="R1061" s="246" t="s">
        <v>15</v>
      </c>
    </row>
    <row r="1062" spans="1:18" x14ac:dyDescent="0.2">
      <c r="A1062" s="13"/>
      <c r="B1062" s="241"/>
      <c r="C1062" s="242"/>
      <c r="D1062" s="242"/>
      <c r="E1062" s="243"/>
      <c r="F1062" s="245"/>
      <c r="G1062" s="245"/>
      <c r="H1062" s="245"/>
      <c r="I1062" s="247"/>
      <c r="J1062" s="13"/>
      <c r="K1062" s="241"/>
      <c r="L1062" s="242"/>
      <c r="M1062" s="242"/>
      <c r="N1062" s="243"/>
      <c r="O1062" s="245"/>
      <c r="P1062" s="245"/>
      <c r="Q1062" s="245"/>
      <c r="R1062" s="247"/>
    </row>
    <row r="1063" spans="1:18" x14ac:dyDescent="0.2">
      <c r="A1063" s="13" t="s">
        <v>16</v>
      </c>
      <c r="B1063" s="14" t="s">
        <v>17</v>
      </c>
      <c r="C1063" s="15"/>
      <c r="D1063" s="15"/>
      <c r="E1063" s="16"/>
      <c r="F1063" s="17"/>
      <c r="G1063" s="17"/>
      <c r="H1063" s="17"/>
      <c r="I1063" s="17"/>
      <c r="J1063" s="13" t="s">
        <v>16</v>
      </c>
      <c r="K1063" s="14" t="s">
        <v>17</v>
      </c>
      <c r="L1063" s="15"/>
      <c r="M1063" s="15"/>
      <c r="N1063" s="16"/>
      <c r="O1063" s="17"/>
      <c r="P1063" s="17"/>
      <c r="Q1063" s="17"/>
      <c r="R1063" s="17"/>
    </row>
    <row r="1064" spans="1:18" x14ac:dyDescent="0.2">
      <c r="A1064" s="13"/>
      <c r="B1064" s="18"/>
      <c r="C1064" s="19"/>
      <c r="D1064" s="19"/>
      <c r="E1064" s="20"/>
      <c r="F1064" s="21"/>
      <c r="G1064" s="22"/>
      <c r="H1064" s="21"/>
      <c r="I1064" s="21"/>
      <c r="J1064" s="13"/>
      <c r="K1064" s="18"/>
      <c r="L1064" s="19"/>
      <c r="M1064" s="19"/>
      <c r="N1064" s="20"/>
      <c r="O1064" s="21"/>
      <c r="P1064" s="22"/>
      <c r="Q1064" s="21"/>
      <c r="R1064" s="21"/>
    </row>
    <row r="1065" spans="1:18" x14ac:dyDescent="0.2">
      <c r="A1065" s="13"/>
      <c r="B1065" s="24" t="s">
        <v>18</v>
      </c>
      <c r="C1065" s="25"/>
      <c r="D1065" s="25"/>
      <c r="E1065" s="26"/>
      <c r="F1065" s="22">
        <v>1</v>
      </c>
      <c r="G1065" s="23">
        <v>1</v>
      </c>
      <c r="H1065" s="23">
        <v>69.42</v>
      </c>
      <c r="I1065" s="23">
        <f>F1065*G1065*H1065</f>
        <v>69.42</v>
      </c>
      <c r="J1065" s="13"/>
      <c r="K1065" s="24" t="s">
        <v>18</v>
      </c>
      <c r="L1065" s="25"/>
      <c r="M1065" s="25"/>
      <c r="N1065" s="26"/>
      <c r="O1065" s="22">
        <v>1</v>
      </c>
      <c r="P1065" s="23">
        <v>1</v>
      </c>
      <c r="Q1065" s="23">
        <v>69.42</v>
      </c>
      <c r="R1065" s="23">
        <f>P1065*Q1065*O1065</f>
        <v>69.42</v>
      </c>
    </row>
    <row r="1066" spans="1:18" x14ac:dyDescent="0.2">
      <c r="A1066" s="13"/>
      <c r="B1066" s="257" t="s">
        <v>1178</v>
      </c>
      <c r="C1066" s="258"/>
      <c r="D1066" s="25"/>
      <c r="E1066" s="26"/>
      <c r="F1066" s="22">
        <v>1</v>
      </c>
      <c r="G1066" s="23">
        <v>1</v>
      </c>
      <c r="H1066" s="23">
        <v>50.18</v>
      </c>
      <c r="I1066" s="23">
        <f>F1066*G1066*H1066</f>
        <v>50.18</v>
      </c>
      <c r="J1066" s="13"/>
      <c r="K1066" s="257" t="s">
        <v>1178</v>
      </c>
      <c r="L1066" s="258"/>
      <c r="M1066" s="25"/>
      <c r="N1066" s="26"/>
      <c r="O1066" s="22">
        <v>2</v>
      </c>
      <c r="P1066" s="23">
        <v>1</v>
      </c>
      <c r="Q1066" s="23">
        <v>50.18</v>
      </c>
      <c r="R1066" s="23">
        <f>P1066*Q1066*O1066</f>
        <v>100.36</v>
      </c>
    </row>
    <row r="1067" spans="1:18" x14ac:dyDescent="0.2">
      <c r="A1067" s="13"/>
      <c r="B1067" s="257" t="s">
        <v>1177</v>
      </c>
      <c r="C1067" s="258"/>
      <c r="D1067" s="19"/>
      <c r="E1067" s="20"/>
      <c r="F1067" s="22">
        <v>2</v>
      </c>
      <c r="G1067" s="23">
        <v>1</v>
      </c>
      <c r="H1067" s="23">
        <v>38.97</v>
      </c>
      <c r="I1067" s="23">
        <f>F1067*G1067*H1067</f>
        <v>77.94</v>
      </c>
      <c r="J1067" s="13"/>
      <c r="K1067" s="257" t="s">
        <v>1177</v>
      </c>
      <c r="L1067" s="258"/>
      <c r="M1067" s="19"/>
      <c r="N1067" s="20"/>
      <c r="O1067" s="22">
        <v>6</v>
      </c>
      <c r="P1067" s="23">
        <v>1</v>
      </c>
      <c r="Q1067" s="23">
        <v>38.97</v>
      </c>
      <c r="R1067" s="23">
        <f>P1067*Q1067*O1067</f>
        <v>233.82</v>
      </c>
    </row>
    <row r="1068" spans="1:18" x14ac:dyDescent="0.2">
      <c r="A1068" s="13"/>
      <c r="B1068" s="27"/>
      <c r="C1068" s="19"/>
      <c r="D1068" s="19"/>
      <c r="E1068" s="20"/>
      <c r="F1068" s="22"/>
      <c r="G1068" s="22"/>
      <c r="H1068" s="29"/>
      <c r="I1068" s="30"/>
      <c r="J1068" s="13"/>
      <c r="K1068" s="27"/>
      <c r="L1068" s="19"/>
      <c r="M1068" s="19"/>
      <c r="N1068" s="20"/>
      <c r="O1068" s="22"/>
      <c r="P1068" s="22"/>
      <c r="Q1068" s="29"/>
      <c r="R1068" s="30"/>
    </row>
    <row r="1069" spans="1:18" x14ac:dyDescent="0.2">
      <c r="A1069" s="13"/>
      <c r="B1069" s="27"/>
      <c r="C1069" s="19"/>
      <c r="D1069" s="19"/>
      <c r="E1069" s="20"/>
      <c r="F1069" s="22"/>
      <c r="G1069" s="22"/>
      <c r="H1069" s="29"/>
      <c r="I1069" s="30"/>
      <c r="J1069" s="13"/>
      <c r="K1069" s="27"/>
      <c r="L1069" s="19"/>
      <c r="M1069" s="19"/>
      <c r="N1069" s="20"/>
      <c r="O1069" s="22"/>
      <c r="P1069" s="22"/>
      <c r="Q1069" s="29"/>
      <c r="R1069" s="30"/>
    </row>
    <row r="1070" spans="1:18" x14ac:dyDescent="0.2">
      <c r="A1070" s="13"/>
      <c r="B1070" s="18"/>
      <c r="C1070" s="19"/>
      <c r="D1070" s="19"/>
      <c r="E1070" s="20"/>
      <c r="F1070" s="22"/>
      <c r="G1070" s="22"/>
      <c r="H1070" s="28"/>
      <c r="I1070" s="23"/>
      <c r="J1070" s="13"/>
      <c r="K1070" s="18"/>
      <c r="L1070" s="19"/>
      <c r="M1070" s="19"/>
      <c r="N1070" s="20"/>
      <c r="O1070" s="22"/>
      <c r="P1070" s="22"/>
      <c r="Q1070" s="28"/>
      <c r="R1070" s="23"/>
    </row>
    <row r="1071" spans="1:18" x14ac:dyDescent="0.2">
      <c r="A1071" s="13"/>
      <c r="B1071" s="18"/>
      <c r="C1071" s="19"/>
      <c r="D1071" s="19"/>
      <c r="E1071" s="20"/>
      <c r="F1071" s="22"/>
      <c r="G1071" s="22"/>
      <c r="H1071" s="23"/>
      <c r="I1071" s="23"/>
      <c r="J1071" s="13"/>
      <c r="K1071" s="18"/>
      <c r="L1071" s="19"/>
      <c r="M1071" s="19"/>
      <c r="N1071" s="20"/>
      <c r="O1071" s="22"/>
      <c r="P1071" s="22"/>
      <c r="Q1071" s="23"/>
      <c r="R1071" s="23"/>
    </row>
    <row r="1072" spans="1:18" x14ac:dyDescent="0.2">
      <c r="A1072" s="13"/>
      <c r="B1072" s="248" t="s">
        <v>20</v>
      </c>
      <c r="C1072" s="249"/>
      <c r="D1072" s="249"/>
      <c r="E1072" s="250"/>
      <c r="F1072" s="31"/>
      <c r="G1072" s="31"/>
      <c r="H1072" s="32"/>
      <c r="I1072" s="32">
        <f>SUM(I1065:I1071)</f>
        <v>197.54</v>
      </c>
      <c r="J1072" s="13"/>
      <c r="K1072" s="248" t="s">
        <v>20</v>
      </c>
      <c r="L1072" s="249"/>
      <c r="M1072" s="249"/>
      <c r="N1072" s="250"/>
      <c r="O1072" s="31"/>
      <c r="P1072" s="31"/>
      <c r="Q1072" s="32"/>
      <c r="R1072" s="32">
        <f>SUM(R1065:R1071)</f>
        <v>403.6</v>
      </c>
    </row>
    <row r="1073" spans="1:18" x14ac:dyDescent="0.2">
      <c r="A1073" s="12"/>
      <c r="B1073" s="251" t="s">
        <v>21</v>
      </c>
      <c r="C1073" s="252"/>
      <c r="D1073" s="252"/>
      <c r="E1073" s="253"/>
      <c r="F1073" s="244" t="s">
        <v>22</v>
      </c>
      <c r="G1073" s="244" t="s">
        <v>13</v>
      </c>
      <c r="H1073" s="244" t="s">
        <v>14</v>
      </c>
      <c r="I1073" s="246" t="s">
        <v>15</v>
      </c>
      <c r="J1073" s="12"/>
      <c r="K1073" s="251" t="s">
        <v>21</v>
      </c>
      <c r="L1073" s="252"/>
      <c r="M1073" s="252"/>
      <c r="N1073" s="253"/>
      <c r="O1073" s="244" t="s">
        <v>22</v>
      </c>
      <c r="P1073" s="244" t="s">
        <v>13</v>
      </c>
      <c r="Q1073" s="244" t="s">
        <v>14</v>
      </c>
      <c r="R1073" s="246" t="s">
        <v>15</v>
      </c>
    </row>
    <row r="1074" spans="1:18" x14ac:dyDescent="0.2">
      <c r="A1074" s="13"/>
      <c r="B1074" s="254"/>
      <c r="C1074" s="255"/>
      <c r="D1074" s="255"/>
      <c r="E1074" s="256"/>
      <c r="F1074" s="245"/>
      <c r="G1074" s="245"/>
      <c r="H1074" s="245"/>
      <c r="I1074" s="247"/>
      <c r="J1074" s="13"/>
      <c r="K1074" s="254"/>
      <c r="L1074" s="255"/>
      <c r="M1074" s="255"/>
      <c r="N1074" s="256"/>
      <c r="O1074" s="245"/>
      <c r="P1074" s="245"/>
      <c r="Q1074" s="245"/>
      <c r="R1074" s="247"/>
    </row>
    <row r="1075" spans="1:18" x14ac:dyDescent="0.2">
      <c r="A1075" s="13" t="s">
        <v>23</v>
      </c>
      <c r="B1075" s="33" t="s">
        <v>24</v>
      </c>
      <c r="C1075" s="15"/>
      <c r="D1075" s="15"/>
      <c r="E1075" s="16"/>
      <c r="F1075" s="34"/>
      <c r="G1075" s="34"/>
      <c r="H1075" s="35"/>
      <c r="I1075" s="35"/>
      <c r="J1075" s="13" t="s">
        <v>23</v>
      </c>
      <c r="K1075" s="33" t="s">
        <v>24</v>
      </c>
      <c r="L1075" s="15"/>
      <c r="M1075" s="15"/>
      <c r="N1075" s="16"/>
      <c r="O1075" s="34"/>
      <c r="P1075" s="34"/>
      <c r="Q1075" s="35"/>
      <c r="R1075" s="35"/>
    </row>
    <row r="1076" spans="1:18" x14ac:dyDescent="0.2">
      <c r="A1076" s="13"/>
      <c r="B1076" s="18"/>
      <c r="C1076" s="19"/>
      <c r="D1076" s="19"/>
      <c r="E1076" s="20"/>
      <c r="F1076" s="22"/>
      <c r="G1076" s="22"/>
      <c r="H1076" s="23"/>
      <c r="I1076" s="23"/>
      <c r="J1076" s="13"/>
      <c r="K1076" s="18"/>
      <c r="L1076" s="19"/>
      <c r="M1076" s="19"/>
      <c r="N1076" s="20"/>
      <c r="O1076" s="22"/>
      <c r="P1076" s="22"/>
      <c r="Q1076" s="23"/>
      <c r="R1076" s="23"/>
    </row>
    <row r="1077" spans="1:18" x14ac:dyDescent="0.2">
      <c r="A1077" s="13"/>
      <c r="B1077" s="18" t="s">
        <v>1234</v>
      </c>
      <c r="C1077" s="66"/>
      <c r="D1077" s="19"/>
      <c r="E1077" s="20"/>
      <c r="F1077" s="22">
        <v>1</v>
      </c>
      <c r="G1077" s="23">
        <v>1</v>
      </c>
      <c r="H1077" s="37">
        <v>1212</v>
      </c>
      <c r="I1077" s="23">
        <f>F1077*G1077*H1077</f>
        <v>1212</v>
      </c>
      <c r="J1077" s="13"/>
      <c r="K1077" s="18" t="s">
        <v>1239</v>
      </c>
      <c r="L1077" s="19"/>
      <c r="M1077" s="19"/>
      <c r="N1077" s="20"/>
      <c r="O1077" s="22">
        <v>1</v>
      </c>
      <c r="P1077" s="23">
        <v>1</v>
      </c>
      <c r="Q1077" s="37">
        <v>783</v>
      </c>
      <c r="R1077" s="37">
        <f>P1077*Q1077*O1077</f>
        <v>783</v>
      </c>
    </row>
    <row r="1078" spans="1:18" x14ac:dyDescent="0.2">
      <c r="A1078" s="13"/>
      <c r="B1078" s="18" t="s">
        <v>260</v>
      </c>
      <c r="C1078" s="19"/>
      <c r="D1078" s="19"/>
      <c r="E1078" s="20"/>
      <c r="F1078" s="22"/>
      <c r="G1078" s="23"/>
      <c r="I1078" s="37">
        <f>I1072*0.05</f>
        <v>9.8770000000000007</v>
      </c>
      <c r="J1078" s="13"/>
      <c r="K1078" s="18" t="s">
        <v>750</v>
      </c>
      <c r="L1078" s="19"/>
      <c r="M1078" s="19"/>
      <c r="N1078" s="20"/>
      <c r="O1078" s="22">
        <v>1</v>
      </c>
      <c r="P1078" s="23">
        <v>1</v>
      </c>
      <c r="Q1078" s="37">
        <v>93.75</v>
      </c>
      <c r="R1078" s="37">
        <f>P1078*Q1078*O1078</f>
        <v>93.75</v>
      </c>
    </row>
    <row r="1079" spans="1:18" x14ac:dyDescent="0.2">
      <c r="A1079" s="13"/>
      <c r="B1079" s="18"/>
      <c r="C1079" s="19"/>
      <c r="D1079" s="19"/>
      <c r="E1079" s="20"/>
      <c r="F1079" s="22"/>
      <c r="G1079" s="36"/>
      <c r="H1079" s="37"/>
      <c r="I1079" s="37"/>
      <c r="J1079" s="13"/>
      <c r="K1079" s="18" t="s">
        <v>751</v>
      </c>
      <c r="L1079" s="19"/>
      <c r="M1079" s="19"/>
      <c r="N1079" s="20"/>
      <c r="O1079" s="22">
        <v>1</v>
      </c>
      <c r="P1079" s="23">
        <v>1</v>
      </c>
      <c r="Q1079" s="37">
        <v>187.5</v>
      </c>
      <c r="R1079" s="37">
        <f>Q1079</f>
        <v>187.5</v>
      </c>
    </row>
    <row r="1080" spans="1:18" x14ac:dyDescent="0.2">
      <c r="A1080" s="13"/>
      <c r="B1080" s="18"/>
      <c r="F1080" s="22"/>
      <c r="G1080" s="36"/>
      <c r="H1080" s="37"/>
      <c r="I1080" s="37"/>
      <c r="J1080" s="13"/>
      <c r="K1080" s="18" t="s">
        <v>1194</v>
      </c>
      <c r="L1080" s="19"/>
      <c r="M1080" s="19"/>
      <c r="N1080" s="20"/>
      <c r="O1080" s="22"/>
      <c r="P1080" s="36"/>
      <c r="R1080" s="37">
        <f>R1072*0.1</f>
        <v>40.360000000000007</v>
      </c>
    </row>
    <row r="1081" spans="1:18" x14ac:dyDescent="0.2">
      <c r="A1081" s="13"/>
      <c r="B1081" s="18"/>
      <c r="C1081" s="19"/>
      <c r="D1081" s="19"/>
      <c r="E1081" s="20"/>
      <c r="F1081" s="22"/>
      <c r="G1081" s="36"/>
      <c r="H1081" s="37"/>
      <c r="I1081" s="37"/>
      <c r="J1081" s="13"/>
      <c r="K1081" s="18"/>
      <c r="L1081" s="19"/>
      <c r="M1081" s="19"/>
      <c r="N1081" s="20"/>
      <c r="O1081" s="22"/>
      <c r="P1081" s="36"/>
      <c r="Q1081" s="37"/>
      <c r="R1081" s="37"/>
    </row>
    <row r="1082" spans="1:18" x14ac:dyDescent="0.2">
      <c r="A1082" s="13"/>
      <c r="B1082" s="18"/>
      <c r="C1082" s="19"/>
      <c r="D1082" s="19"/>
      <c r="E1082" s="20"/>
      <c r="F1082" s="22"/>
      <c r="G1082" s="36"/>
      <c r="H1082" s="37"/>
      <c r="I1082" s="37"/>
      <c r="J1082" s="13"/>
      <c r="K1082" s="18"/>
      <c r="L1082" s="19"/>
      <c r="M1082" s="19"/>
      <c r="N1082" s="20"/>
      <c r="O1082" s="22"/>
      <c r="P1082" s="36"/>
      <c r="Q1082" s="38"/>
      <c r="R1082" s="38"/>
    </row>
    <row r="1083" spans="1:18" x14ac:dyDescent="0.2">
      <c r="A1083" s="13"/>
      <c r="B1083" s="18"/>
      <c r="C1083" s="19"/>
      <c r="D1083" s="19"/>
      <c r="E1083" s="20"/>
      <c r="F1083" s="22"/>
      <c r="G1083" s="36"/>
      <c r="H1083" s="37"/>
      <c r="I1083" s="37"/>
      <c r="J1083" s="13"/>
      <c r="K1083" s="18"/>
      <c r="L1083" s="19"/>
      <c r="M1083" s="19"/>
      <c r="N1083" s="20"/>
      <c r="O1083" s="22"/>
      <c r="P1083" s="36"/>
      <c r="Q1083" s="38"/>
      <c r="R1083" s="38"/>
    </row>
    <row r="1084" spans="1:18" x14ac:dyDescent="0.2">
      <c r="A1084" s="13"/>
      <c r="B1084" s="18"/>
      <c r="C1084" s="19"/>
      <c r="D1084" s="19"/>
      <c r="E1084" s="20"/>
      <c r="F1084" s="22"/>
      <c r="G1084" s="23"/>
      <c r="H1084" s="37"/>
      <c r="I1084" s="37"/>
      <c r="J1084" s="13"/>
      <c r="K1084" s="18"/>
      <c r="L1084" s="19"/>
      <c r="M1084" s="19"/>
      <c r="N1084" s="20"/>
      <c r="O1084" s="22"/>
      <c r="P1084" s="36"/>
      <c r="Q1084" s="38"/>
      <c r="R1084" s="38"/>
    </row>
    <row r="1085" spans="1:18" x14ac:dyDescent="0.2">
      <c r="A1085" s="13"/>
      <c r="B1085" s="18"/>
      <c r="C1085" s="19"/>
      <c r="D1085" s="19"/>
      <c r="E1085" s="20"/>
      <c r="F1085" s="22"/>
      <c r="G1085" s="36"/>
      <c r="H1085" s="38"/>
      <c r="I1085" s="38"/>
      <c r="J1085" s="13"/>
      <c r="K1085" s="18"/>
      <c r="L1085" s="19"/>
      <c r="M1085" s="19"/>
      <c r="N1085" s="20"/>
      <c r="O1085" s="22"/>
      <c r="P1085" s="36"/>
      <c r="Q1085" s="38"/>
      <c r="R1085" s="38"/>
    </row>
    <row r="1086" spans="1:18" x14ac:dyDescent="0.2">
      <c r="A1086" s="13"/>
      <c r="B1086" s="18"/>
      <c r="C1086" s="19"/>
      <c r="D1086" s="19"/>
      <c r="E1086" s="20"/>
      <c r="F1086" s="22"/>
      <c r="G1086" s="36"/>
      <c r="H1086" s="37"/>
      <c r="I1086" s="37"/>
      <c r="J1086" s="13"/>
      <c r="K1086" s="18"/>
      <c r="L1086" s="19"/>
      <c r="M1086" s="19"/>
      <c r="N1086" s="20"/>
      <c r="O1086" s="22"/>
      <c r="P1086" s="36"/>
      <c r="Q1086" s="37"/>
      <c r="R1086" s="37"/>
    </row>
    <row r="1087" spans="1:18" x14ac:dyDescent="0.2">
      <c r="A1087" s="13"/>
      <c r="B1087" s="18"/>
      <c r="C1087" s="19"/>
      <c r="D1087" s="19"/>
      <c r="E1087" s="20"/>
      <c r="F1087" s="22"/>
      <c r="G1087" s="36"/>
      <c r="H1087" s="37"/>
      <c r="I1087" s="37"/>
      <c r="J1087" s="13"/>
      <c r="K1087" s="18"/>
      <c r="L1087" s="19"/>
      <c r="M1087" s="19"/>
      <c r="N1087" s="20"/>
      <c r="O1087" s="22"/>
      <c r="P1087" s="36"/>
      <c r="Q1087" s="37"/>
      <c r="R1087" s="37"/>
    </row>
    <row r="1088" spans="1:18" x14ac:dyDescent="0.2">
      <c r="A1088" s="13"/>
      <c r="B1088" s="18"/>
      <c r="C1088" s="19"/>
      <c r="D1088" s="19"/>
      <c r="E1088" s="20"/>
      <c r="F1088" s="22"/>
      <c r="G1088" s="36"/>
      <c r="H1088" s="37"/>
      <c r="I1088" s="37"/>
      <c r="J1088" s="13"/>
      <c r="K1088" s="18"/>
      <c r="L1088" s="19"/>
      <c r="M1088" s="19"/>
      <c r="N1088" s="20"/>
      <c r="O1088" s="22"/>
      <c r="P1088" s="36"/>
      <c r="Q1088" s="37"/>
      <c r="R1088" s="37"/>
    </row>
    <row r="1089" spans="1:18" x14ac:dyDescent="0.2">
      <c r="A1089" s="13"/>
      <c r="B1089" s="18"/>
      <c r="C1089" s="19"/>
      <c r="D1089" s="19"/>
      <c r="E1089" s="20"/>
      <c r="F1089" s="22"/>
      <c r="G1089" s="22"/>
      <c r="H1089" s="23"/>
      <c r="I1089" s="23"/>
      <c r="J1089" s="13"/>
      <c r="K1089" s="18"/>
      <c r="L1089" s="19"/>
      <c r="M1089" s="19"/>
      <c r="N1089" s="20"/>
      <c r="O1089" s="22"/>
      <c r="P1089" s="22"/>
      <c r="Q1089" s="23"/>
      <c r="R1089" s="23"/>
    </row>
    <row r="1090" spans="1:18" x14ac:dyDescent="0.2">
      <c r="A1090" s="13"/>
      <c r="B1090" s="248" t="s">
        <v>30</v>
      </c>
      <c r="C1090" s="249"/>
      <c r="D1090" s="249"/>
      <c r="E1090" s="250"/>
      <c r="F1090" s="22"/>
      <c r="G1090" s="22"/>
      <c r="H1090" s="23"/>
      <c r="I1090" s="23">
        <f>SUM(I1077:I1089)</f>
        <v>1221.877</v>
      </c>
      <c r="J1090" s="13"/>
      <c r="K1090" s="248" t="s">
        <v>30</v>
      </c>
      <c r="L1090" s="249"/>
      <c r="M1090" s="249"/>
      <c r="N1090" s="250"/>
      <c r="O1090" s="22"/>
      <c r="P1090" s="22"/>
      <c r="Q1090" s="23"/>
      <c r="R1090" s="23">
        <f>SUM(R1077:R1089)</f>
        <v>1104.6099999999999</v>
      </c>
    </row>
    <row r="1091" spans="1:18" x14ac:dyDescent="0.2">
      <c r="A1091" s="12" t="s">
        <v>31</v>
      </c>
      <c r="B1091" s="260" t="s">
        <v>32</v>
      </c>
      <c r="C1091" s="261"/>
      <c r="D1091" s="261"/>
      <c r="E1091" s="261"/>
      <c r="F1091" s="39"/>
      <c r="G1091" s="39"/>
      <c r="H1091" s="40"/>
      <c r="I1091" s="41">
        <f>SUM(I1090+I1072)</f>
        <v>1419.4169999999999</v>
      </c>
      <c r="J1091" s="12" t="s">
        <v>31</v>
      </c>
      <c r="K1091" s="260" t="s">
        <v>32</v>
      </c>
      <c r="L1091" s="261"/>
      <c r="M1091" s="261"/>
      <c r="N1091" s="261"/>
      <c r="O1091" s="39"/>
      <c r="P1091" s="39"/>
      <c r="Q1091" s="40"/>
      <c r="R1091" s="41">
        <f>SUM(R1090+R1072)</f>
        <v>1508.21</v>
      </c>
    </row>
    <row r="1092" spans="1:18" x14ac:dyDescent="0.2">
      <c r="A1092" s="13" t="s">
        <v>33</v>
      </c>
      <c r="B1092" s="345">
        <f>E1059</f>
        <v>6</v>
      </c>
      <c r="C1092" s="346"/>
      <c r="D1092" s="346"/>
      <c r="E1092" s="346"/>
      <c r="F1092" s="346"/>
      <c r="G1092" s="346"/>
      <c r="H1092" s="40"/>
      <c r="I1092" s="41"/>
      <c r="J1092" s="13" t="s">
        <v>33</v>
      </c>
      <c r="K1092" s="295">
        <f>N1059</f>
        <v>25</v>
      </c>
      <c r="L1092" s="296"/>
      <c r="M1092" s="296"/>
      <c r="N1092" s="296"/>
      <c r="O1092" s="296"/>
      <c r="P1092" s="296"/>
      <c r="Q1092" s="40"/>
      <c r="R1092" s="41"/>
    </row>
    <row r="1093" spans="1:18" x14ac:dyDescent="0.2">
      <c r="A1093" s="13" t="s">
        <v>34</v>
      </c>
      <c r="B1093" s="42" t="s">
        <v>35</v>
      </c>
      <c r="C1093" s="43"/>
      <c r="D1093" s="43"/>
      <c r="E1093" s="39"/>
      <c r="F1093" s="44"/>
      <c r="G1093" s="44"/>
      <c r="H1093" s="40"/>
      <c r="I1093" s="41">
        <f>I1091/E1059</f>
        <v>236.56949999999998</v>
      </c>
      <c r="J1093" s="13" t="s">
        <v>34</v>
      </c>
      <c r="K1093" s="42" t="s">
        <v>35</v>
      </c>
      <c r="L1093" s="43"/>
      <c r="M1093" s="43"/>
      <c r="N1093" s="39"/>
      <c r="O1093" s="44"/>
      <c r="P1093" s="44"/>
      <c r="Q1093" s="40"/>
      <c r="R1093" s="41">
        <f>R1091/N1059</f>
        <v>60.328400000000002</v>
      </c>
    </row>
    <row r="1094" spans="1:18" x14ac:dyDescent="0.2">
      <c r="A1094" s="12"/>
      <c r="B1094" s="251" t="s">
        <v>36</v>
      </c>
      <c r="C1094" s="252"/>
      <c r="D1094" s="252"/>
      <c r="E1094" s="253"/>
      <c r="F1094" s="244" t="s">
        <v>37</v>
      </c>
      <c r="G1094" s="244" t="s">
        <v>38</v>
      </c>
      <c r="H1094" s="244" t="s">
        <v>39</v>
      </c>
      <c r="I1094" s="246" t="s">
        <v>15</v>
      </c>
      <c r="J1094" s="12"/>
      <c r="K1094" s="251" t="s">
        <v>36</v>
      </c>
      <c r="L1094" s="252"/>
      <c r="M1094" s="252"/>
      <c r="N1094" s="253"/>
      <c r="O1094" s="244" t="s">
        <v>37</v>
      </c>
      <c r="P1094" s="244" t="s">
        <v>38</v>
      </c>
      <c r="Q1094" s="244" t="s">
        <v>39</v>
      </c>
      <c r="R1094" s="246" t="s">
        <v>15</v>
      </c>
    </row>
    <row r="1095" spans="1:18" x14ac:dyDescent="0.2">
      <c r="A1095" s="13"/>
      <c r="B1095" s="254"/>
      <c r="C1095" s="255"/>
      <c r="D1095" s="255"/>
      <c r="E1095" s="256"/>
      <c r="F1095" s="245"/>
      <c r="G1095" s="245"/>
      <c r="H1095" s="245"/>
      <c r="I1095" s="247"/>
      <c r="J1095" s="13"/>
      <c r="K1095" s="254"/>
      <c r="L1095" s="255"/>
      <c r="M1095" s="255"/>
      <c r="N1095" s="256"/>
      <c r="O1095" s="245"/>
      <c r="P1095" s="245"/>
      <c r="Q1095" s="245"/>
      <c r="R1095" s="247"/>
    </row>
    <row r="1096" spans="1:18" x14ac:dyDescent="0.2">
      <c r="A1096" s="13" t="s">
        <v>40</v>
      </c>
      <c r="B1096" s="18" t="s">
        <v>41</v>
      </c>
      <c r="C1096" s="19"/>
      <c r="D1096" s="19"/>
      <c r="E1096" s="20"/>
      <c r="F1096" s="22"/>
      <c r="G1096" s="22"/>
      <c r="H1096" s="23"/>
      <c r="I1096" s="23"/>
      <c r="J1096" s="13" t="s">
        <v>40</v>
      </c>
      <c r="K1096" s="18" t="s">
        <v>41</v>
      </c>
      <c r="L1096" s="19"/>
      <c r="M1096" s="19"/>
      <c r="N1096" s="20"/>
      <c r="O1096" s="22"/>
      <c r="P1096" s="22"/>
      <c r="Q1096" s="23"/>
      <c r="R1096" s="23"/>
    </row>
    <row r="1097" spans="1:18" x14ac:dyDescent="0.2">
      <c r="A1097" s="13"/>
      <c r="B1097" s="18"/>
      <c r="C1097" s="19"/>
      <c r="D1097" s="19"/>
      <c r="E1097" s="20"/>
      <c r="F1097" s="22"/>
      <c r="G1097" s="22"/>
      <c r="H1097" s="23"/>
      <c r="I1097" s="23"/>
      <c r="J1097" s="13"/>
      <c r="K1097" s="18"/>
      <c r="L1097" s="19"/>
      <c r="M1097" s="19"/>
      <c r="N1097" s="20"/>
      <c r="O1097" s="22"/>
      <c r="P1097" s="22"/>
      <c r="Q1097" s="23"/>
      <c r="R1097" s="23"/>
    </row>
    <row r="1098" spans="1:18" x14ac:dyDescent="0.2">
      <c r="A1098" s="13"/>
      <c r="B1098" s="18" t="s">
        <v>770</v>
      </c>
      <c r="C1098" s="66"/>
      <c r="D1098" s="19"/>
      <c r="E1098" s="20"/>
      <c r="F1098" s="62" t="s">
        <v>59</v>
      </c>
      <c r="G1098" s="62">
        <v>1</v>
      </c>
      <c r="H1098" s="107">
        <v>1350</v>
      </c>
      <c r="I1098" s="23">
        <f>G1098*H1098</f>
        <v>1350</v>
      </c>
      <c r="J1098" s="13"/>
      <c r="K1098" s="18" t="s">
        <v>752</v>
      </c>
      <c r="L1098" s="19"/>
      <c r="M1098" s="19"/>
      <c r="N1098" s="20"/>
      <c r="O1098" s="22" t="s">
        <v>227</v>
      </c>
      <c r="P1098" s="70">
        <v>0.32500000000000001</v>
      </c>
      <c r="Q1098" s="107">
        <v>1565</v>
      </c>
      <c r="R1098" s="23">
        <f t="shared" ref="R1098:R1103" si="7">Q1098*P1098</f>
        <v>508.625</v>
      </c>
    </row>
    <row r="1099" spans="1:18" x14ac:dyDescent="0.2">
      <c r="A1099" s="13"/>
      <c r="B1099" s="18"/>
      <c r="C1099" s="66"/>
      <c r="D1099" s="19"/>
      <c r="E1099" s="20"/>
      <c r="F1099" s="22"/>
      <c r="G1099" s="22"/>
      <c r="H1099" s="23"/>
      <c r="I1099" s="23"/>
      <c r="J1099" s="13"/>
      <c r="K1099" s="18" t="s">
        <v>753</v>
      </c>
      <c r="L1099" s="19"/>
      <c r="M1099" s="19"/>
      <c r="N1099" s="20"/>
      <c r="O1099" s="22" t="s">
        <v>227</v>
      </c>
      <c r="P1099" s="70">
        <v>3.3000000000000002E-2</v>
      </c>
      <c r="Q1099" s="107">
        <v>650</v>
      </c>
      <c r="R1099" s="23">
        <f t="shared" si="7"/>
        <v>21.45</v>
      </c>
    </row>
    <row r="1100" spans="1:18" x14ac:dyDescent="0.2">
      <c r="A1100" s="13"/>
      <c r="B1100" s="18"/>
      <c r="C1100" s="19"/>
      <c r="D1100" s="19"/>
      <c r="E1100" s="20"/>
      <c r="F1100" s="22"/>
      <c r="G1100" s="22"/>
      <c r="H1100" s="23"/>
      <c r="I1100" s="23"/>
      <c r="J1100" s="13"/>
      <c r="K1100" s="18" t="s">
        <v>754</v>
      </c>
      <c r="L1100" s="19"/>
      <c r="M1100" s="19"/>
      <c r="N1100" s="20"/>
      <c r="O1100" s="22" t="s">
        <v>1216</v>
      </c>
      <c r="P1100" s="70">
        <v>0.12</v>
      </c>
      <c r="Q1100" s="107">
        <v>160</v>
      </c>
      <c r="R1100" s="23">
        <f t="shared" si="7"/>
        <v>19.2</v>
      </c>
    </row>
    <row r="1101" spans="1:18" x14ac:dyDescent="0.2">
      <c r="A1101" s="13"/>
      <c r="B1101" s="18"/>
      <c r="C1101" s="19"/>
      <c r="D1101" s="19"/>
      <c r="E1101" s="20"/>
      <c r="F1101" s="22"/>
      <c r="G1101" s="22"/>
      <c r="H1101" s="23"/>
      <c r="I1101" s="23"/>
      <c r="J1101" s="13"/>
      <c r="K1101" s="18" t="s">
        <v>756</v>
      </c>
      <c r="L1101" s="19"/>
      <c r="M1101" s="19"/>
      <c r="N1101" s="20"/>
      <c r="O1101" s="22" t="s">
        <v>757</v>
      </c>
      <c r="P1101" s="70">
        <v>4.0000000000000001E-3</v>
      </c>
      <c r="Q1101" s="107">
        <v>3800</v>
      </c>
      <c r="R1101" s="23">
        <f t="shared" si="7"/>
        <v>15.200000000000001</v>
      </c>
    </row>
    <row r="1102" spans="1:18" x14ac:dyDescent="0.2">
      <c r="A1102" s="13"/>
      <c r="B1102" s="18"/>
      <c r="C1102" s="19"/>
      <c r="D1102" s="19"/>
      <c r="E1102" s="20"/>
      <c r="F1102" s="22"/>
      <c r="G1102" s="22"/>
      <c r="H1102" s="23"/>
      <c r="I1102" s="23"/>
      <c r="J1102" s="13"/>
      <c r="K1102" s="18" t="s">
        <v>759</v>
      </c>
      <c r="L1102" s="19"/>
      <c r="M1102" s="19"/>
      <c r="N1102" s="20"/>
      <c r="O1102" s="22" t="s">
        <v>757</v>
      </c>
      <c r="P1102" s="70">
        <v>2E-3</v>
      </c>
      <c r="Q1102" s="169">
        <v>735</v>
      </c>
      <c r="R1102" s="23">
        <f t="shared" si="7"/>
        <v>1.47</v>
      </c>
    </row>
    <row r="1103" spans="1:18" x14ac:dyDescent="0.2">
      <c r="A1103" s="13"/>
      <c r="B1103" s="18"/>
      <c r="C1103" s="19"/>
      <c r="D1103" s="19"/>
      <c r="E1103" s="20"/>
      <c r="F1103" s="22"/>
      <c r="G1103" s="22"/>
      <c r="H1103" s="23"/>
      <c r="I1103" s="23"/>
      <c r="J1103" s="13"/>
      <c r="K1103" s="18" t="s">
        <v>761</v>
      </c>
      <c r="L1103" s="19"/>
      <c r="M1103" s="19"/>
      <c r="N1103" s="20"/>
      <c r="O1103" s="22" t="s">
        <v>77</v>
      </c>
      <c r="P1103" s="22">
        <v>0.125</v>
      </c>
      <c r="Q1103" s="169">
        <v>3</v>
      </c>
      <c r="R1103" s="23">
        <f t="shared" si="7"/>
        <v>0.375</v>
      </c>
    </row>
    <row r="1104" spans="1:18" x14ac:dyDescent="0.2">
      <c r="A1104" s="13"/>
      <c r="B1104" s="18"/>
      <c r="C1104" s="19"/>
      <c r="D1104" s="19"/>
      <c r="E1104" s="20"/>
      <c r="F1104" s="22"/>
      <c r="G1104" s="22"/>
      <c r="H1104" s="23"/>
      <c r="I1104" s="23"/>
      <c r="J1104" s="13"/>
      <c r="K1104" s="18" t="s">
        <v>614</v>
      </c>
      <c r="L1104" s="19"/>
      <c r="M1104" s="19"/>
      <c r="N1104" s="20"/>
      <c r="O1104" s="22"/>
      <c r="P1104" s="22"/>
      <c r="R1104" s="23">
        <f>(R1098+R1099+R1100+R1101+R1102+R1103)*0.05</f>
        <v>28.31600000000001</v>
      </c>
    </row>
    <row r="1105" spans="1:18" x14ac:dyDescent="0.2">
      <c r="A1105" s="13"/>
      <c r="B1105" s="18"/>
      <c r="C1105" s="19"/>
      <c r="D1105" s="19"/>
      <c r="E1105" s="20"/>
      <c r="F1105" s="22"/>
      <c r="G1105" s="22"/>
      <c r="H1105" s="23"/>
      <c r="I1105" s="23"/>
      <c r="J1105" s="13"/>
      <c r="K1105" s="18"/>
      <c r="L1105" s="19"/>
      <c r="M1105" s="19"/>
      <c r="N1105" s="20"/>
      <c r="O1105" s="22"/>
      <c r="P1105" s="22"/>
      <c r="Q1105" s="23"/>
      <c r="R1105" s="23"/>
    </row>
    <row r="1106" spans="1:18" x14ac:dyDescent="0.2">
      <c r="A1106" s="13"/>
      <c r="B1106" s="18"/>
      <c r="C1106" s="19"/>
      <c r="D1106" s="19"/>
      <c r="E1106" s="20"/>
      <c r="F1106" s="22"/>
      <c r="G1106" s="22"/>
      <c r="H1106" s="23"/>
      <c r="I1106" s="23"/>
      <c r="J1106" s="13"/>
      <c r="K1106" s="18"/>
      <c r="L1106" s="19"/>
      <c r="M1106" s="19"/>
      <c r="N1106" s="20"/>
      <c r="O1106" s="22"/>
      <c r="P1106" s="22"/>
      <c r="Q1106" s="23"/>
      <c r="R1106" s="23"/>
    </row>
    <row r="1107" spans="1:18" x14ac:dyDescent="0.2">
      <c r="A1107" s="13"/>
      <c r="B1107" s="18"/>
      <c r="C1107" s="19"/>
      <c r="D1107" s="19"/>
      <c r="E1107" s="20"/>
      <c r="F1107" s="22"/>
      <c r="G1107" s="22"/>
      <c r="H1107" s="23"/>
      <c r="I1107" s="23"/>
      <c r="J1107" s="13"/>
      <c r="K1107" s="18"/>
      <c r="L1107" s="19"/>
      <c r="M1107" s="19"/>
      <c r="N1107" s="20"/>
      <c r="O1107" s="22"/>
      <c r="P1107" s="22"/>
      <c r="Q1107" s="23"/>
      <c r="R1107" s="23"/>
    </row>
    <row r="1108" spans="1:18" x14ac:dyDescent="0.2">
      <c r="A1108" s="13"/>
      <c r="B1108" s="18"/>
      <c r="C1108" s="19"/>
      <c r="D1108" s="19"/>
      <c r="E1108" s="20"/>
      <c r="F1108" s="22"/>
      <c r="G1108" s="22"/>
      <c r="H1108" s="23"/>
      <c r="I1108" s="23"/>
      <c r="J1108" s="13"/>
      <c r="K1108" s="18"/>
      <c r="L1108" s="19"/>
      <c r="M1108" s="19"/>
      <c r="N1108" s="20"/>
      <c r="O1108" s="22"/>
      <c r="P1108" s="22"/>
      <c r="Q1108" s="23"/>
      <c r="R1108" s="23"/>
    </row>
    <row r="1109" spans="1:18" x14ac:dyDescent="0.2">
      <c r="A1109" s="13"/>
      <c r="B1109" s="18"/>
      <c r="C1109" s="19"/>
      <c r="D1109" s="19"/>
      <c r="E1109" s="20"/>
      <c r="F1109" s="22"/>
      <c r="G1109" s="22"/>
      <c r="H1109" s="23"/>
      <c r="I1109" s="23"/>
      <c r="J1109" s="13"/>
      <c r="K1109" s="18"/>
      <c r="L1109" s="19"/>
      <c r="M1109" s="19"/>
      <c r="N1109" s="20"/>
      <c r="O1109" s="22"/>
      <c r="P1109" s="22"/>
      <c r="Q1109" s="23"/>
      <c r="R1109" s="23"/>
    </row>
    <row r="1110" spans="1:18" x14ac:dyDescent="0.2">
      <c r="A1110" s="13"/>
      <c r="B1110" s="18"/>
      <c r="C1110" s="19"/>
      <c r="D1110" s="19"/>
      <c r="E1110" s="20"/>
      <c r="F1110" s="22"/>
      <c r="G1110" s="36"/>
      <c r="H1110" s="37"/>
      <c r="I1110" s="37"/>
      <c r="J1110" s="13"/>
      <c r="K1110" s="18"/>
      <c r="L1110" s="19"/>
      <c r="M1110" s="19"/>
      <c r="N1110" s="20"/>
      <c r="O1110" s="22"/>
      <c r="P1110" s="36"/>
      <c r="Q1110" s="37"/>
      <c r="R1110" s="37"/>
    </row>
    <row r="1111" spans="1:18" x14ac:dyDescent="0.2">
      <c r="A1111" s="13"/>
      <c r="B1111" s="248" t="s">
        <v>42</v>
      </c>
      <c r="C1111" s="249"/>
      <c r="D1111" s="249"/>
      <c r="E1111" s="250"/>
      <c r="F1111" s="46"/>
      <c r="G1111" s="46"/>
      <c r="H1111" s="47"/>
      <c r="I1111" s="47">
        <f>SUM(I1098:I1110)</f>
        <v>1350</v>
      </c>
      <c r="J1111" s="13"/>
      <c r="K1111" s="248" t="s">
        <v>42</v>
      </c>
      <c r="L1111" s="249"/>
      <c r="M1111" s="249"/>
      <c r="N1111" s="250"/>
      <c r="O1111" s="46"/>
      <c r="P1111" s="46"/>
      <c r="Q1111" s="47"/>
      <c r="R1111" s="47">
        <f>SUM(R1098:R1110)</f>
        <v>594.63600000000019</v>
      </c>
    </row>
    <row r="1112" spans="1:18" x14ac:dyDescent="0.2">
      <c r="A1112" s="12" t="s">
        <v>43</v>
      </c>
      <c r="B1112" s="48" t="s">
        <v>44</v>
      </c>
      <c r="C1112" s="43"/>
      <c r="D1112" s="43"/>
      <c r="E1112" s="39"/>
      <c r="F1112" s="49"/>
      <c r="G1112" s="49"/>
      <c r="H1112" s="50"/>
      <c r="I1112" s="51">
        <f>SUM(I1093+I1111)</f>
        <v>1586.5695000000001</v>
      </c>
      <c r="J1112" s="12" t="s">
        <v>43</v>
      </c>
      <c r="K1112" s="48" t="s">
        <v>44</v>
      </c>
      <c r="L1112" s="43"/>
      <c r="M1112" s="43"/>
      <c r="N1112" s="39"/>
      <c r="O1112" s="49"/>
      <c r="P1112" s="49"/>
      <c r="Q1112" s="50"/>
      <c r="R1112" s="51">
        <f>SUM(R1093+R1111)</f>
        <v>654.96440000000018</v>
      </c>
    </row>
    <row r="1113" spans="1:18" x14ac:dyDescent="0.2">
      <c r="A1113" s="13" t="s">
        <v>45</v>
      </c>
      <c r="B1113" s="48" t="s">
        <v>46</v>
      </c>
      <c r="C1113" s="43"/>
      <c r="D1113" s="43"/>
      <c r="E1113" s="39"/>
      <c r="F1113" s="49"/>
      <c r="G1113" s="52">
        <v>0.09</v>
      </c>
      <c r="H1113" s="53" t="s">
        <v>47</v>
      </c>
      <c r="I1113" s="51">
        <f>G1113*I1112</f>
        <v>142.79125500000001</v>
      </c>
      <c r="J1113" s="13" t="s">
        <v>45</v>
      </c>
      <c r="K1113" s="48" t="s">
        <v>46</v>
      </c>
      <c r="L1113" s="43"/>
      <c r="M1113" s="43"/>
      <c r="N1113" s="39"/>
      <c r="O1113" s="49"/>
      <c r="P1113" s="52">
        <v>0.09</v>
      </c>
      <c r="Q1113" s="53" t="s">
        <v>47</v>
      </c>
      <c r="R1113" s="51">
        <f>P1113*R1112</f>
        <v>58.946796000000013</v>
      </c>
    </row>
    <row r="1114" spans="1:18" x14ac:dyDescent="0.2">
      <c r="A1114" s="13" t="s">
        <v>48</v>
      </c>
      <c r="B1114" s="48" t="s">
        <v>49</v>
      </c>
      <c r="C1114" s="43"/>
      <c r="D1114" s="43"/>
      <c r="E1114" s="39"/>
      <c r="F1114" s="49"/>
      <c r="G1114" s="52">
        <v>0.08</v>
      </c>
      <c r="H1114" s="53" t="s">
        <v>47</v>
      </c>
      <c r="I1114" s="51">
        <f>G1114*I1112</f>
        <v>126.92556</v>
      </c>
      <c r="J1114" s="13" t="s">
        <v>48</v>
      </c>
      <c r="K1114" s="48" t="s">
        <v>49</v>
      </c>
      <c r="L1114" s="43"/>
      <c r="M1114" s="43"/>
      <c r="N1114" s="39"/>
      <c r="O1114" s="49"/>
      <c r="P1114" s="52">
        <v>0.08</v>
      </c>
      <c r="Q1114" s="53" t="s">
        <v>47</v>
      </c>
      <c r="R1114" s="51">
        <f>P1114*R1112</f>
        <v>52.397152000000013</v>
      </c>
    </row>
    <row r="1115" spans="1:18" x14ac:dyDescent="0.2">
      <c r="A1115" s="13" t="s">
        <v>50</v>
      </c>
      <c r="B1115" s="48" t="s">
        <v>51</v>
      </c>
      <c r="C1115" s="43"/>
      <c r="D1115" s="43"/>
      <c r="E1115" s="39"/>
      <c r="F1115" s="49"/>
      <c r="G1115" s="52">
        <v>0.05</v>
      </c>
      <c r="H1115" s="53" t="s">
        <v>52</v>
      </c>
      <c r="I1115" s="51">
        <f>G1115*(I1112+I1113+I1114)</f>
        <v>92.814315750000006</v>
      </c>
      <c r="J1115" s="13" t="s">
        <v>50</v>
      </c>
      <c r="K1115" s="48" t="s">
        <v>51</v>
      </c>
      <c r="L1115" s="43"/>
      <c r="M1115" s="43"/>
      <c r="N1115" s="39"/>
      <c r="O1115" s="49"/>
      <c r="P1115" s="52">
        <v>0.05</v>
      </c>
      <c r="Q1115" s="53" t="s">
        <v>52</v>
      </c>
      <c r="R1115" s="51">
        <f>P1115*(R1112+R1113+R1114)</f>
        <v>38.315417400000015</v>
      </c>
    </row>
    <row r="1116" spans="1:18" x14ac:dyDescent="0.2">
      <c r="A1116" s="54" t="s">
        <v>53</v>
      </c>
      <c r="B1116" s="48" t="s">
        <v>54</v>
      </c>
      <c r="C1116" s="43"/>
      <c r="D1116" s="43"/>
      <c r="E1116" s="39"/>
      <c r="F1116" s="49"/>
      <c r="G1116" s="49"/>
      <c r="H1116" s="55" t="s">
        <v>55</v>
      </c>
      <c r="I1116" s="51">
        <f>SUM(I1112+I1113+I1114+I1115)</f>
        <v>1949.1006307500002</v>
      </c>
      <c r="J1116" s="54" t="s">
        <v>53</v>
      </c>
      <c r="K1116" s="48" t="s">
        <v>54</v>
      </c>
      <c r="L1116" s="43"/>
      <c r="M1116" s="43"/>
      <c r="N1116" s="39"/>
      <c r="O1116" s="49"/>
      <c r="P1116" s="49"/>
      <c r="Q1116" s="55" t="s">
        <v>55</v>
      </c>
      <c r="R1116" s="51">
        <f>SUM(R1112+R1113+R1114+R1115)</f>
        <v>804.62376540000025</v>
      </c>
    </row>
    <row r="1117" spans="1:18" s="1" customFormat="1" x14ac:dyDescent="0.2">
      <c r="A1117" s="236" t="s">
        <v>0</v>
      </c>
      <c r="B1117" s="236"/>
      <c r="C1117" s="236"/>
      <c r="D1117" s="236"/>
      <c r="E1117" s="236"/>
      <c r="F1117" s="236"/>
      <c r="G1117" s="236"/>
      <c r="H1117" s="236"/>
      <c r="I1117" s="236"/>
      <c r="J1117" s="236" t="s">
        <v>0</v>
      </c>
      <c r="K1117" s="236"/>
      <c r="L1117" s="236"/>
      <c r="M1117" s="236"/>
      <c r="N1117" s="236"/>
      <c r="O1117" s="236"/>
      <c r="P1117" s="236"/>
      <c r="Q1117" s="236"/>
      <c r="R1117" s="236"/>
    </row>
    <row r="1119" spans="1:18" x14ac:dyDescent="0.2">
      <c r="A1119" s="158" t="s">
        <v>1</v>
      </c>
      <c r="C1119" s="4" t="s">
        <v>2</v>
      </c>
      <c r="D1119" s="5" t="s">
        <v>772</v>
      </c>
      <c r="E1119" s="8" t="s">
        <v>773</v>
      </c>
      <c r="F1119" s="8"/>
      <c r="G1119" s="8"/>
      <c r="H1119" s="8"/>
      <c r="I1119" s="8"/>
      <c r="J1119" s="2" t="s">
        <v>1</v>
      </c>
      <c r="L1119" s="4" t="s">
        <v>2</v>
      </c>
      <c r="M1119" s="5" t="s">
        <v>768</v>
      </c>
      <c r="N1119" s="237" t="s">
        <v>769</v>
      </c>
      <c r="O1119" s="237"/>
      <c r="P1119" s="237"/>
      <c r="Q1119" s="237"/>
    </row>
    <row r="1120" spans="1:18" x14ac:dyDescent="0.2">
      <c r="A1120" s="158" t="s">
        <v>7</v>
      </c>
      <c r="C1120" s="4" t="s">
        <v>2</v>
      </c>
      <c r="E1120" s="158" t="s">
        <v>1153</v>
      </c>
      <c r="F1120" s="8"/>
      <c r="G1120" s="8"/>
      <c r="H1120" s="8"/>
      <c r="J1120" s="2" t="s">
        <v>7</v>
      </c>
      <c r="L1120" s="4" t="s">
        <v>2</v>
      </c>
      <c r="N1120" s="2" t="s">
        <v>8</v>
      </c>
      <c r="O1120" s="8"/>
      <c r="P1120" s="8"/>
      <c r="Q1120" s="8"/>
    </row>
    <row r="1121" spans="1:18" x14ac:dyDescent="0.2">
      <c r="A1121" s="158" t="s">
        <v>10</v>
      </c>
      <c r="C1121" s="4" t="s">
        <v>2</v>
      </c>
      <c r="E1121" s="9">
        <v>5</v>
      </c>
      <c r="F1121" s="8"/>
      <c r="G1121" s="8"/>
      <c r="H1121" s="8"/>
      <c r="J1121" s="2" t="s">
        <v>10</v>
      </c>
      <c r="L1121" s="4" t="s">
        <v>2</v>
      </c>
      <c r="N1121" s="9">
        <v>25</v>
      </c>
      <c r="O1121" s="8"/>
      <c r="P1121" s="8"/>
      <c r="Q1121" s="8"/>
    </row>
    <row r="1122" spans="1:18" x14ac:dyDescent="0.2">
      <c r="B1122" s="8"/>
      <c r="F1122" s="11"/>
      <c r="G1122" s="8"/>
      <c r="H1122" s="8"/>
      <c r="I1122" s="8"/>
      <c r="K1122" s="8"/>
      <c r="O1122" s="11"/>
      <c r="P1122" s="8"/>
      <c r="Q1122" s="8"/>
      <c r="R1122" s="8"/>
    </row>
    <row r="1123" spans="1:18" x14ac:dyDescent="0.2">
      <c r="A1123" s="12"/>
      <c r="B1123" s="238" t="s">
        <v>11</v>
      </c>
      <c r="C1123" s="239"/>
      <c r="D1123" s="239"/>
      <c r="E1123" s="240"/>
      <c r="F1123" s="244" t="s">
        <v>12</v>
      </c>
      <c r="G1123" s="244" t="s">
        <v>13</v>
      </c>
      <c r="H1123" s="244" t="s">
        <v>14</v>
      </c>
      <c r="I1123" s="246" t="s">
        <v>15</v>
      </c>
      <c r="J1123" s="12"/>
      <c r="K1123" s="238" t="s">
        <v>11</v>
      </c>
      <c r="L1123" s="239"/>
      <c r="M1123" s="239"/>
      <c r="N1123" s="240"/>
      <c r="O1123" s="244" t="s">
        <v>12</v>
      </c>
      <c r="P1123" s="244" t="s">
        <v>13</v>
      </c>
      <c r="Q1123" s="244" t="s">
        <v>14</v>
      </c>
      <c r="R1123" s="246" t="s">
        <v>15</v>
      </c>
    </row>
    <row r="1124" spans="1:18" x14ac:dyDescent="0.2">
      <c r="A1124" s="13"/>
      <c r="B1124" s="241"/>
      <c r="C1124" s="242"/>
      <c r="D1124" s="242"/>
      <c r="E1124" s="243"/>
      <c r="F1124" s="245"/>
      <c r="G1124" s="245"/>
      <c r="H1124" s="245"/>
      <c r="I1124" s="247"/>
      <c r="J1124" s="13"/>
      <c r="K1124" s="241"/>
      <c r="L1124" s="242"/>
      <c r="M1124" s="242"/>
      <c r="N1124" s="243"/>
      <c r="O1124" s="245"/>
      <c r="P1124" s="245"/>
      <c r="Q1124" s="245"/>
      <c r="R1124" s="247"/>
    </row>
    <row r="1125" spans="1:18" x14ac:dyDescent="0.2">
      <c r="A1125" s="13" t="s">
        <v>16</v>
      </c>
      <c r="B1125" s="14" t="s">
        <v>17</v>
      </c>
      <c r="C1125" s="15"/>
      <c r="D1125" s="15"/>
      <c r="E1125" s="16"/>
      <c r="F1125" s="17"/>
      <c r="G1125" s="17"/>
      <c r="H1125" s="17"/>
      <c r="I1125" s="17"/>
      <c r="J1125" s="13" t="s">
        <v>16</v>
      </c>
      <c r="K1125" s="14" t="s">
        <v>17</v>
      </c>
      <c r="L1125" s="15"/>
      <c r="M1125" s="15"/>
      <c r="N1125" s="16"/>
      <c r="O1125" s="17"/>
      <c r="P1125" s="17"/>
      <c r="Q1125" s="17"/>
      <c r="R1125" s="17"/>
    </row>
    <row r="1126" spans="1:18" x14ac:dyDescent="0.2">
      <c r="A1126" s="13"/>
      <c r="B1126" s="18"/>
      <c r="C1126" s="19"/>
      <c r="D1126" s="19"/>
      <c r="E1126" s="20"/>
      <c r="F1126" s="21"/>
      <c r="G1126" s="22"/>
      <c r="H1126" s="21"/>
      <c r="I1126" s="21"/>
      <c r="J1126" s="13"/>
      <c r="K1126" s="18"/>
      <c r="L1126" s="19"/>
      <c r="M1126" s="19"/>
      <c r="N1126" s="20"/>
      <c r="O1126" s="21"/>
      <c r="P1126" s="22"/>
      <c r="Q1126" s="21"/>
      <c r="R1126" s="21"/>
    </row>
    <row r="1127" spans="1:18" x14ac:dyDescent="0.2">
      <c r="A1127" s="13"/>
      <c r="B1127" s="24" t="s">
        <v>18</v>
      </c>
      <c r="C1127" s="25"/>
      <c r="D1127" s="25"/>
      <c r="E1127" s="26"/>
      <c r="F1127" s="22">
        <v>1</v>
      </c>
      <c r="G1127" s="23">
        <v>1</v>
      </c>
      <c r="H1127" s="23">
        <v>69.42</v>
      </c>
      <c r="I1127" s="23">
        <f>G1127*H1127*F1127</f>
        <v>69.42</v>
      </c>
      <c r="J1127" s="13"/>
      <c r="K1127" s="24" t="s">
        <v>18</v>
      </c>
      <c r="L1127" s="25"/>
      <c r="M1127" s="25"/>
      <c r="N1127" s="26"/>
      <c r="O1127" s="22">
        <v>1</v>
      </c>
      <c r="P1127" s="23">
        <v>1</v>
      </c>
      <c r="Q1127" s="23">
        <v>69.42</v>
      </c>
      <c r="R1127" s="23">
        <f>P1127*Q1127*O1127</f>
        <v>69.42</v>
      </c>
    </row>
    <row r="1128" spans="1:18" x14ac:dyDescent="0.2">
      <c r="A1128" s="13"/>
      <c r="B1128" s="257" t="s">
        <v>1178</v>
      </c>
      <c r="C1128" s="258"/>
      <c r="D1128" s="25"/>
      <c r="E1128" s="26"/>
      <c r="F1128" s="22">
        <v>2</v>
      </c>
      <c r="G1128" s="23">
        <v>1</v>
      </c>
      <c r="H1128" s="23">
        <v>50.18</v>
      </c>
      <c r="I1128" s="23">
        <f>G1128*H1128*F1128</f>
        <v>100.36</v>
      </c>
      <c r="J1128" s="13"/>
      <c r="K1128" s="257" t="s">
        <v>1178</v>
      </c>
      <c r="L1128" s="258"/>
      <c r="M1128" s="25"/>
      <c r="N1128" s="26"/>
      <c r="O1128" s="22">
        <v>2</v>
      </c>
      <c r="P1128" s="23">
        <v>1</v>
      </c>
      <c r="Q1128" s="23">
        <v>50.18</v>
      </c>
      <c r="R1128" s="23">
        <f>P1128*Q1128*O1128</f>
        <v>100.36</v>
      </c>
    </row>
    <row r="1129" spans="1:18" x14ac:dyDescent="0.2">
      <c r="A1129" s="13"/>
      <c r="B1129" s="257" t="s">
        <v>1177</v>
      </c>
      <c r="C1129" s="258"/>
      <c r="D1129" s="19"/>
      <c r="E1129" s="20"/>
      <c r="F1129" s="22">
        <v>4</v>
      </c>
      <c r="G1129" s="23">
        <v>1</v>
      </c>
      <c r="H1129" s="23">
        <v>38.97</v>
      </c>
      <c r="I1129" s="23">
        <f>G1129*H1129*F1129</f>
        <v>155.88</v>
      </c>
      <c r="J1129" s="13"/>
      <c r="K1129" s="257" t="s">
        <v>1177</v>
      </c>
      <c r="L1129" s="258"/>
      <c r="M1129" s="19"/>
      <c r="N1129" s="20"/>
      <c r="O1129" s="22">
        <v>6</v>
      </c>
      <c r="P1129" s="23">
        <v>1</v>
      </c>
      <c r="Q1129" s="23">
        <v>38.97</v>
      </c>
      <c r="R1129" s="23">
        <f>P1129*Q1129*O1129</f>
        <v>233.82</v>
      </c>
    </row>
    <row r="1130" spans="1:18" x14ac:dyDescent="0.2">
      <c r="A1130" s="13"/>
      <c r="B1130" s="159"/>
      <c r="C1130" s="160"/>
      <c r="D1130" s="19"/>
      <c r="E1130" s="20"/>
      <c r="F1130" s="22"/>
      <c r="G1130" s="22"/>
      <c r="H1130" s="29"/>
      <c r="I1130" s="30"/>
      <c r="J1130" s="13"/>
      <c r="K1130" s="153"/>
      <c r="L1130" s="19"/>
      <c r="M1130" s="19"/>
      <c r="N1130" s="20"/>
      <c r="O1130" s="22"/>
      <c r="P1130" s="22"/>
      <c r="Q1130" s="29"/>
      <c r="R1130" s="30"/>
    </row>
    <row r="1131" spans="1:18" x14ac:dyDescent="0.2">
      <c r="A1131" s="13"/>
      <c r="B1131" s="159"/>
      <c r="C1131" s="160"/>
      <c r="D1131" s="19"/>
      <c r="E1131" s="20"/>
      <c r="F1131" s="22"/>
      <c r="G1131" s="22"/>
      <c r="H1131" s="29"/>
      <c r="I1131" s="30"/>
      <c r="J1131" s="13"/>
      <c r="K1131" s="153"/>
      <c r="L1131" s="19"/>
      <c r="M1131" s="19"/>
      <c r="N1131" s="20"/>
      <c r="O1131" s="22"/>
      <c r="P1131" s="22"/>
      <c r="Q1131" s="29"/>
      <c r="R1131" s="30"/>
    </row>
    <row r="1132" spans="1:18" x14ac:dyDescent="0.2">
      <c r="A1132" s="13"/>
      <c r="B1132" s="257"/>
      <c r="C1132" s="258"/>
      <c r="D1132" s="19"/>
      <c r="E1132" s="20"/>
      <c r="F1132" s="22"/>
      <c r="G1132" s="22"/>
      <c r="H1132" s="23"/>
      <c r="I1132" s="23"/>
      <c r="J1132" s="13"/>
      <c r="K1132" s="18"/>
      <c r="L1132" s="19"/>
      <c r="M1132" s="19"/>
      <c r="N1132" s="20"/>
      <c r="O1132" s="22"/>
      <c r="P1132" s="22"/>
      <c r="Q1132" s="28"/>
      <c r="R1132" s="23"/>
    </row>
    <row r="1133" spans="1:18" x14ac:dyDescent="0.2">
      <c r="A1133" s="13"/>
      <c r="B1133" s="257"/>
      <c r="C1133" s="258"/>
      <c r="D1133" s="19"/>
      <c r="E1133" s="20"/>
      <c r="F1133" s="22"/>
      <c r="G1133" s="22"/>
      <c r="H1133" s="23"/>
      <c r="I1133" s="23"/>
      <c r="J1133" s="13"/>
      <c r="K1133" s="18"/>
      <c r="L1133" s="19"/>
      <c r="M1133" s="19"/>
      <c r="N1133" s="20"/>
      <c r="O1133" s="22"/>
      <c r="P1133" s="22"/>
      <c r="Q1133" s="23"/>
      <c r="R1133" s="23"/>
    </row>
    <row r="1134" spans="1:18" x14ac:dyDescent="0.2">
      <c r="A1134" s="13"/>
      <c r="B1134" s="248" t="s">
        <v>20</v>
      </c>
      <c r="C1134" s="249"/>
      <c r="D1134" s="249"/>
      <c r="E1134" s="250"/>
      <c r="F1134" s="31"/>
      <c r="G1134" s="31"/>
      <c r="H1134" s="32"/>
      <c r="I1134" s="32">
        <f>SUM(I1127:I1133)</f>
        <v>325.65999999999997</v>
      </c>
      <c r="J1134" s="13"/>
      <c r="K1134" s="248" t="s">
        <v>20</v>
      </c>
      <c r="L1134" s="249"/>
      <c r="M1134" s="249"/>
      <c r="N1134" s="250"/>
      <c r="O1134" s="31"/>
      <c r="P1134" s="31"/>
      <c r="Q1134" s="32"/>
      <c r="R1134" s="32">
        <f>SUM(R1127:R1133)</f>
        <v>403.6</v>
      </c>
    </row>
    <row r="1135" spans="1:18" x14ac:dyDescent="0.2">
      <c r="A1135" s="12"/>
      <c r="B1135" s="251" t="s">
        <v>21</v>
      </c>
      <c r="C1135" s="252"/>
      <c r="D1135" s="252"/>
      <c r="E1135" s="253"/>
      <c r="F1135" s="244" t="s">
        <v>22</v>
      </c>
      <c r="G1135" s="244" t="s">
        <v>13</v>
      </c>
      <c r="H1135" s="244" t="s">
        <v>14</v>
      </c>
      <c r="I1135" s="246" t="s">
        <v>15</v>
      </c>
      <c r="J1135" s="12"/>
      <c r="K1135" s="251" t="s">
        <v>21</v>
      </c>
      <c r="L1135" s="252"/>
      <c r="M1135" s="252"/>
      <c r="N1135" s="253"/>
      <c r="O1135" s="244" t="s">
        <v>22</v>
      </c>
      <c r="P1135" s="244" t="s">
        <v>13</v>
      </c>
      <c r="Q1135" s="244" t="s">
        <v>14</v>
      </c>
      <c r="R1135" s="246" t="s">
        <v>15</v>
      </c>
    </row>
    <row r="1136" spans="1:18" x14ac:dyDescent="0.2">
      <c r="A1136" s="13"/>
      <c r="B1136" s="254"/>
      <c r="C1136" s="255"/>
      <c r="D1136" s="255"/>
      <c r="E1136" s="256"/>
      <c r="F1136" s="245"/>
      <c r="G1136" s="245"/>
      <c r="H1136" s="245"/>
      <c r="I1136" s="247"/>
      <c r="J1136" s="13"/>
      <c r="K1136" s="254"/>
      <c r="L1136" s="255"/>
      <c r="M1136" s="255"/>
      <c r="N1136" s="256"/>
      <c r="O1136" s="245"/>
      <c r="P1136" s="245"/>
      <c r="Q1136" s="245"/>
      <c r="R1136" s="247"/>
    </row>
    <row r="1137" spans="1:18" x14ac:dyDescent="0.2">
      <c r="A1137" s="13" t="s">
        <v>23</v>
      </c>
      <c r="B1137" s="33" t="s">
        <v>24</v>
      </c>
      <c r="C1137" s="15"/>
      <c r="D1137" s="15"/>
      <c r="E1137" s="16"/>
      <c r="F1137" s="34"/>
      <c r="G1137" s="34"/>
      <c r="H1137" s="35"/>
      <c r="I1137" s="35"/>
      <c r="J1137" s="13" t="s">
        <v>23</v>
      </c>
      <c r="K1137" s="33" t="s">
        <v>24</v>
      </c>
      <c r="L1137" s="15"/>
      <c r="M1137" s="15"/>
      <c r="N1137" s="16"/>
      <c r="O1137" s="34"/>
      <c r="P1137" s="34"/>
      <c r="Q1137" s="35"/>
      <c r="R1137" s="35"/>
    </row>
    <row r="1138" spans="1:18" x14ac:dyDescent="0.2">
      <c r="A1138" s="13"/>
      <c r="B1138" s="18"/>
      <c r="C1138" s="19"/>
      <c r="D1138" s="19"/>
      <c r="E1138" s="20"/>
      <c r="F1138" s="22"/>
      <c r="G1138" s="22"/>
      <c r="H1138" s="23"/>
      <c r="I1138" s="23"/>
      <c r="J1138" s="13"/>
      <c r="K1138" s="18"/>
      <c r="L1138" s="19"/>
      <c r="M1138" s="19"/>
      <c r="N1138" s="20"/>
      <c r="O1138" s="22"/>
      <c r="P1138" s="22"/>
      <c r="Q1138" s="23"/>
      <c r="R1138" s="23"/>
    </row>
    <row r="1139" spans="1:18" x14ac:dyDescent="0.2">
      <c r="A1139" s="13"/>
      <c r="B1139" s="18" t="s">
        <v>1234</v>
      </c>
      <c r="C1139" s="66"/>
      <c r="D1139" s="19"/>
      <c r="E1139" s="20"/>
      <c r="F1139" s="22">
        <v>1</v>
      </c>
      <c r="G1139" s="23">
        <v>0.5</v>
      </c>
      <c r="H1139" s="37">
        <v>1212</v>
      </c>
      <c r="I1139" s="37">
        <f>G1139*H1139*F1139</f>
        <v>606</v>
      </c>
      <c r="J1139" s="13"/>
      <c r="K1139" s="18" t="s">
        <v>1239</v>
      </c>
      <c r="L1139" s="19"/>
      <c r="M1139" s="19"/>
      <c r="N1139" s="20"/>
      <c r="O1139" s="22">
        <v>1</v>
      </c>
      <c r="P1139" s="23">
        <v>1</v>
      </c>
      <c r="Q1139" s="37">
        <v>783</v>
      </c>
      <c r="R1139" s="37">
        <f>P1139*Q1139*O1139</f>
        <v>783</v>
      </c>
    </row>
    <row r="1140" spans="1:18" x14ac:dyDescent="0.2">
      <c r="A1140" s="13"/>
      <c r="B1140" s="18" t="s">
        <v>92</v>
      </c>
      <c r="C1140" s="19"/>
      <c r="D1140" s="19"/>
      <c r="E1140" s="20"/>
      <c r="F1140" s="22"/>
      <c r="G1140" s="23"/>
      <c r="I1140" s="37">
        <f>I1134*0.1</f>
        <v>32.565999999999995</v>
      </c>
      <c r="J1140" s="13"/>
      <c r="K1140" s="18" t="s">
        <v>750</v>
      </c>
      <c r="L1140" s="19"/>
      <c r="M1140" s="19"/>
      <c r="N1140" s="20"/>
      <c r="O1140" s="22">
        <v>1</v>
      </c>
      <c r="P1140" s="23">
        <v>1</v>
      </c>
      <c r="Q1140" s="37">
        <v>93.75</v>
      </c>
      <c r="R1140" s="37">
        <f>P1140*Q1140*O1140</f>
        <v>93.75</v>
      </c>
    </row>
    <row r="1141" spans="1:18" x14ac:dyDescent="0.2">
      <c r="A1141" s="13"/>
      <c r="B1141" s="18"/>
      <c r="C1141" s="19"/>
      <c r="D1141" s="19"/>
      <c r="E1141" s="20"/>
      <c r="F1141" s="22"/>
      <c r="G1141" s="23"/>
      <c r="H1141" s="37"/>
      <c r="I1141" s="37"/>
      <c r="J1141" s="13"/>
      <c r="K1141" s="18" t="s">
        <v>751</v>
      </c>
      <c r="L1141" s="19"/>
      <c r="M1141" s="19"/>
      <c r="N1141" s="20"/>
      <c r="O1141" s="22">
        <v>1</v>
      </c>
      <c r="P1141" s="23">
        <v>1</v>
      </c>
      <c r="Q1141" s="37">
        <v>187.5</v>
      </c>
      <c r="R1141" s="37">
        <f>Q1141</f>
        <v>187.5</v>
      </c>
    </row>
    <row r="1142" spans="1:18" x14ac:dyDescent="0.2">
      <c r="A1142" s="13"/>
      <c r="B1142" s="18"/>
      <c r="C1142" s="19"/>
      <c r="D1142" s="19"/>
      <c r="E1142" s="20"/>
      <c r="F1142" s="22"/>
      <c r="G1142" s="23"/>
      <c r="H1142" s="37"/>
      <c r="I1142" s="37"/>
      <c r="J1142" s="13"/>
      <c r="K1142" s="18" t="s">
        <v>1194</v>
      </c>
      <c r="L1142" s="19"/>
      <c r="M1142" s="19"/>
      <c r="N1142" s="20"/>
      <c r="O1142" s="22"/>
      <c r="P1142" s="36"/>
      <c r="R1142" s="37">
        <f>R1134*0.1</f>
        <v>40.360000000000007</v>
      </c>
    </row>
    <row r="1143" spans="1:18" x14ac:dyDescent="0.2">
      <c r="A1143" s="13"/>
      <c r="B1143" s="18"/>
      <c r="C1143" s="19"/>
      <c r="D1143" s="19"/>
      <c r="E1143" s="20"/>
      <c r="F1143" s="22"/>
      <c r="G1143" s="36"/>
      <c r="H1143" s="37"/>
      <c r="I1143" s="37"/>
      <c r="J1143" s="13"/>
      <c r="K1143" s="18"/>
      <c r="L1143" s="19"/>
      <c r="M1143" s="19"/>
      <c r="N1143" s="20"/>
      <c r="O1143" s="22"/>
      <c r="P1143" s="36"/>
      <c r="Q1143" s="37"/>
      <c r="R1143" s="37"/>
    </row>
    <row r="1144" spans="1:18" x14ac:dyDescent="0.2">
      <c r="A1144" s="13"/>
      <c r="B1144" s="18"/>
      <c r="C1144" s="19"/>
      <c r="D1144" s="19"/>
      <c r="E1144" s="20"/>
      <c r="F1144" s="22"/>
      <c r="G1144" s="36"/>
      <c r="H1144" s="37"/>
      <c r="I1144" s="38"/>
      <c r="J1144" s="13"/>
      <c r="K1144" s="18"/>
      <c r="L1144" s="19"/>
      <c r="M1144" s="19"/>
      <c r="N1144" s="20"/>
      <c r="O1144" s="22"/>
      <c r="P1144" s="36"/>
      <c r="Q1144" s="38"/>
      <c r="R1144" s="38"/>
    </row>
    <row r="1145" spans="1:18" x14ac:dyDescent="0.2">
      <c r="A1145" s="13"/>
      <c r="B1145" s="18"/>
      <c r="C1145" s="19"/>
      <c r="D1145" s="19"/>
      <c r="E1145" s="20"/>
      <c r="F1145" s="22"/>
      <c r="G1145" s="36"/>
      <c r="H1145" s="37"/>
      <c r="I1145" s="38"/>
      <c r="J1145" s="13"/>
      <c r="K1145" s="18"/>
      <c r="L1145" s="19"/>
      <c r="M1145" s="19"/>
      <c r="N1145" s="20"/>
      <c r="O1145" s="22"/>
      <c r="P1145" s="36"/>
      <c r="Q1145" s="38"/>
      <c r="R1145" s="38"/>
    </row>
    <row r="1146" spans="1:18" x14ac:dyDescent="0.2">
      <c r="A1146" s="13"/>
      <c r="B1146" s="18"/>
      <c r="C1146" s="19"/>
      <c r="D1146" s="19"/>
      <c r="E1146" s="20"/>
      <c r="F1146" s="22"/>
      <c r="G1146" s="23"/>
      <c r="H1146" s="37"/>
      <c r="I1146" s="38"/>
      <c r="J1146" s="13"/>
      <c r="K1146" s="18"/>
      <c r="L1146" s="19"/>
      <c r="M1146" s="19"/>
      <c r="N1146" s="20"/>
      <c r="O1146" s="22"/>
      <c r="P1146" s="36"/>
      <c r="Q1146" s="38"/>
      <c r="R1146" s="38"/>
    </row>
    <row r="1147" spans="1:18" x14ac:dyDescent="0.2">
      <c r="A1147" s="13"/>
      <c r="B1147" s="18"/>
      <c r="C1147" s="19"/>
      <c r="D1147" s="19"/>
      <c r="E1147" s="20"/>
      <c r="F1147" s="22"/>
      <c r="G1147" s="23"/>
      <c r="H1147" s="37"/>
      <c r="I1147" s="38"/>
      <c r="J1147" s="13"/>
      <c r="K1147" s="18"/>
      <c r="L1147" s="19"/>
      <c r="M1147" s="19"/>
      <c r="N1147" s="20"/>
      <c r="O1147" s="22"/>
      <c r="P1147" s="36"/>
      <c r="Q1147" s="38"/>
      <c r="R1147" s="38"/>
    </row>
    <row r="1148" spans="1:18" x14ac:dyDescent="0.2">
      <c r="A1148" s="13"/>
      <c r="B1148" s="7"/>
      <c r="C1148" s="7"/>
      <c r="D1148" s="7"/>
      <c r="E1148" s="7"/>
      <c r="F1148" s="72"/>
      <c r="G1148" s="72"/>
      <c r="H1148" s="72"/>
      <c r="I1148" s="37"/>
      <c r="J1148" s="13"/>
      <c r="K1148" s="18"/>
      <c r="L1148" s="19"/>
      <c r="M1148" s="19"/>
      <c r="N1148" s="20"/>
      <c r="O1148" s="22"/>
      <c r="P1148" s="36"/>
      <c r="Q1148" s="37"/>
      <c r="R1148" s="37"/>
    </row>
    <row r="1149" spans="1:18" x14ac:dyDescent="0.2">
      <c r="A1149" s="13"/>
      <c r="B1149" s="18"/>
      <c r="C1149" s="19"/>
      <c r="D1149" s="19"/>
      <c r="E1149" s="20"/>
      <c r="F1149" s="22"/>
      <c r="G1149" s="36"/>
      <c r="H1149" s="37"/>
      <c r="I1149" s="37"/>
      <c r="J1149" s="13"/>
      <c r="K1149" s="18"/>
      <c r="L1149" s="19"/>
      <c r="M1149" s="19"/>
      <c r="N1149" s="20"/>
      <c r="O1149" s="22"/>
      <c r="P1149" s="36"/>
      <c r="Q1149" s="37"/>
      <c r="R1149" s="37"/>
    </row>
    <row r="1150" spans="1:18" x14ac:dyDescent="0.2">
      <c r="A1150" s="13"/>
      <c r="B1150" s="18"/>
      <c r="C1150" s="19"/>
      <c r="D1150" s="19"/>
      <c r="E1150" s="20"/>
      <c r="F1150" s="22"/>
      <c r="G1150" s="36"/>
      <c r="H1150" s="37"/>
      <c r="I1150" s="37"/>
      <c r="J1150" s="13"/>
      <c r="K1150" s="18"/>
      <c r="L1150" s="19"/>
      <c r="M1150" s="19"/>
      <c r="N1150" s="20"/>
      <c r="O1150" s="22"/>
      <c r="P1150" s="36"/>
      <c r="Q1150" s="37"/>
      <c r="R1150" s="37"/>
    </row>
    <row r="1151" spans="1:18" x14ac:dyDescent="0.2">
      <c r="A1151" s="13"/>
      <c r="B1151" s="18"/>
      <c r="C1151" s="19"/>
      <c r="D1151" s="19"/>
      <c r="E1151" s="20"/>
      <c r="F1151" s="22"/>
      <c r="G1151" s="22"/>
      <c r="H1151" s="23"/>
      <c r="I1151" s="23"/>
      <c r="J1151" s="13"/>
      <c r="K1151" s="18"/>
      <c r="L1151" s="19"/>
      <c r="M1151" s="19"/>
      <c r="N1151" s="20"/>
      <c r="O1151" s="22"/>
      <c r="P1151" s="22"/>
      <c r="Q1151" s="23"/>
      <c r="R1151" s="23"/>
    </row>
    <row r="1152" spans="1:18" x14ac:dyDescent="0.2">
      <c r="A1152" s="13"/>
      <c r="B1152" s="248" t="s">
        <v>30</v>
      </c>
      <c r="C1152" s="249"/>
      <c r="D1152" s="249"/>
      <c r="E1152" s="250"/>
      <c r="F1152" s="22"/>
      <c r="G1152" s="22"/>
      <c r="H1152" s="23"/>
      <c r="I1152" s="23">
        <f>SUM(I1139:I1151)</f>
        <v>638.56600000000003</v>
      </c>
      <c r="J1152" s="13"/>
      <c r="K1152" s="248" t="s">
        <v>30</v>
      </c>
      <c r="L1152" s="249"/>
      <c r="M1152" s="249"/>
      <c r="N1152" s="250"/>
      <c r="O1152" s="22"/>
      <c r="P1152" s="22"/>
      <c r="Q1152" s="23"/>
      <c r="R1152" s="23">
        <f>SUM(R1139:R1151)</f>
        <v>1104.6099999999999</v>
      </c>
    </row>
    <row r="1153" spans="1:18" x14ac:dyDescent="0.2">
      <c r="A1153" s="12" t="s">
        <v>31</v>
      </c>
      <c r="B1153" s="260" t="s">
        <v>32</v>
      </c>
      <c r="C1153" s="261"/>
      <c r="D1153" s="261"/>
      <c r="E1153" s="261"/>
      <c r="F1153" s="161"/>
      <c r="G1153" s="161"/>
      <c r="H1153" s="40"/>
      <c r="I1153" s="41">
        <f>SUM(I1152+I1134)</f>
        <v>964.226</v>
      </c>
      <c r="J1153" s="12" t="s">
        <v>31</v>
      </c>
      <c r="K1153" s="260" t="s">
        <v>32</v>
      </c>
      <c r="L1153" s="261"/>
      <c r="M1153" s="261"/>
      <c r="N1153" s="261"/>
      <c r="O1153" s="151"/>
      <c r="P1153" s="151"/>
      <c r="Q1153" s="40"/>
      <c r="R1153" s="41">
        <f>SUM(R1152+R1134)</f>
        <v>1508.21</v>
      </c>
    </row>
    <row r="1154" spans="1:18" x14ac:dyDescent="0.2">
      <c r="A1154" s="13" t="s">
        <v>33</v>
      </c>
      <c r="B1154" s="297">
        <f>E1121</f>
        <v>5</v>
      </c>
      <c r="C1154" s="298"/>
      <c r="D1154" s="298"/>
      <c r="E1154" s="298"/>
      <c r="F1154" s="298"/>
      <c r="G1154" s="298"/>
      <c r="H1154" s="40"/>
      <c r="I1154" s="41"/>
      <c r="J1154" s="13" t="s">
        <v>33</v>
      </c>
      <c r="K1154" s="295">
        <f>N1121</f>
        <v>25</v>
      </c>
      <c r="L1154" s="296"/>
      <c r="M1154" s="296"/>
      <c r="N1154" s="296"/>
      <c r="O1154" s="296"/>
      <c r="P1154" s="296"/>
      <c r="Q1154" s="40"/>
      <c r="R1154" s="41"/>
    </row>
    <row r="1155" spans="1:18" x14ac:dyDescent="0.2">
      <c r="A1155" s="13" t="s">
        <v>34</v>
      </c>
      <c r="B1155" s="162" t="s">
        <v>35</v>
      </c>
      <c r="C1155" s="43"/>
      <c r="D1155" s="43"/>
      <c r="E1155" s="161"/>
      <c r="F1155" s="163"/>
      <c r="G1155" s="163"/>
      <c r="H1155" s="40"/>
      <c r="I1155" s="41">
        <f>I1153/E1121</f>
        <v>192.84520000000001</v>
      </c>
      <c r="J1155" s="13" t="s">
        <v>34</v>
      </c>
      <c r="K1155" s="42" t="s">
        <v>35</v>
      </c>
      <c r="L1155" s="43"/>
      <c r="M1155" s="43"/>
      <c r="N1155" s="39"/>
      <c r="O1155" s="44"/>
      <c r="P1155" s="44"/>
      <c r="Q1155" s="40"/>
      <c r="R1155" s="41">
        <f>R1153/N1121</f>
        <v>60.328400000000002</v>
      </c>
    </row>
    <row r="1156" spans="1:18" x14ac:dyDescent="0.2">
      <c r="A1156" s="12"/>
      <c r="B1156" s="251" t="s">
        <v>36</v>
      </c>
      <c r="C1156" s="252"/>
      <c r="D1156" s="252"/>
      <c r="E1156" s="253"/>
      <c r="F1156" s="244" t="s">
        <v>37</v>
      </c>
      <c r="G1156" s="244" t="s">
        <v>38</v>
      </c>
      <c r="H1156" s="244" t="s">
        <v>39</v>
      </c>
      <c r="I1156" s="246" t="s">
        <v>15</v>
      </c>
      <c r="J1156" s="12"/>
      <c r="K1156" s="251" t="s">
        <v>36</v>
      </c>
      <c r="L1156" s="252"/>
      <c r="M1156" s="252"/>
      <c r="N1156" s="253"/>
      <c r="O1156" s="244" t="s">
        <v>37</v>
      </c>
      <c r="P1156" s="244" t="s">
        <v>38</v>
      </c>
      <c r="Q1156" s="244" t="s">
        <v>39</v>
      </c>
      <c r="R1156" s="246" t="s">
        <v>15</v>
      </c>
    </row>
    <row r="1157" spans="1:18" x14ac:dyDescent="0.2">
      <c r="A1157" s="13"/>
      <c r="B1157" s="254"/>
      <c r="C1157" s="255"/>
      <c r="D1157" s="255"/>
      <c r="E1157" s="256"/>
      <c r="F1157" s="245"/>
      <c r="G1157" s="245"/>
      <c r="H1157" s="245"/>
      <c r="I1157" s="247"/>
      <c r="J1157" s="13"/>
      <c r="K1157" s="254"/>
      <c r="L1157" s="255"/>
      <c r="M1157" s="255"/>
      <c r="N1157" s="256"/>
      <c r="O1157" s="245"/>
      <c r="P1157" s="245"/>
      <c r="Q1157" s="245"/>
      <c r="R1157" s="247"/>
    </row>
    <row r="1158" spans="1:18" x14ac:dyDescent="0.2">
      <c r="A1158" s="13" t="s">
        <v>40</v>
      </c>
      <c r="B1158" s="18" t="s">
        <v>41</v>
      </c>
      <c r="C1158" s="19"/>
      <c r="D1158" s="19"/>
      <c r="E1158" s="20"/>
      <c r="F1158" s="22"/>
      <c r="G1158" s="22"/>
      <c r="H1158" s="23"/>
      <c r="I1158" s="23"/>
      <c r="J1158" s="13" t="s">
        <v>40</v>
      </c>
      <c r="K1158" s="18" t="s">
        <v>41</v>
      </c>
      <c r="L1158" s="19"/>
      <c r="M1158" s="19"/>
      <c r="N1158" s="20"/>
      <c r="O1158" s="22"/>
      <c r="P1158" s="22"/>
      <c r="Q1158" s="23"/>
      <c r="R1158" s="23"/>
    </row>
    <row r="1159" spans="1:18" x14ac:dyDescent="0.2">
      <c r="A1159" s="13"/>
      <c r="B1159" s="18"/>
      <c r="C1159" s="19"/>
      <c r="D1159" s="19"/>
      <c r="E1159" s="20"/>
      <c r="F1159" s="22"/>
      <c r="G1159" s="22"/>
      <c r="H1159" s="23"/>
      <c r="I1159" s="23"/>
      <c r="J1159" s="13"/>
      <c r="K1159" s="18"/>
      <c r="L1159" s="19"/>
      <c r="M1159" s="19"/>
      <c r="N1159" s="20"/>
      <c r="O1159" s="22"/>
      <c r="P1159" s="22"/>
      <c r="Q1159" s="23"/>
      <c r="R1159" s="23"/>
    </row>
    <row r="1160" spans="1:18" x14ac:dyDescent="0.2">
      <c r="A1160" s="13"/>
      <c r="B1160" s="18" t="s">
        <v>777</v>
      </c>
      <c r="C1160" s="66"/>
      <c r="D1160" s="19"/>
      <c r="E1160" s="20"/>
      <c r="F1160" s="62" t="s">
        <v>413</v>
      </c>
      <c r="G1160" s="62">
        <v>14.67</v>
      </c>
      <c r="H1160" s="107">
        <v>90</v>
      </c>
      <c r="I1160" s="23">
        <f>G1160*H1160</f>
        <v>1320.3</v>
      </c>
      <c r="J1160" s="13"/>
      <c r="K1160" s="18" t="s">
        <v>771</v>
      </c>
      <c r="L1160" s="19"/>
      <c r="M1160" s="19"/>
      <c r="N1160" s="20"/>
      <c r="O1160" s="22" t="s">
        <v>227</v>
      </c>
      <c r="P1160" s="70">
        <v>0.32500000000000001</v>
      </c>
      <c r="Q1160" s="107">
        <v>1780</v>
      </c>
      <c r="R1160" s="23">
        <f t="shared" ref="R1160:R1165" si="8">Q1160*P1160</f>
        <v>578.5</v>
      </c>
    </row>
    <row r="1161" spans="1:18" x14ac:dyDescent="0.2">
      <c r="A1161" s="13"/>
      <c r="B1161" s="18" t="s">
        <v>779</v>
      </c>
      <c r="C1161" s="66"/>
      <c r="D1161" s="19"/>
      <c r="E1161" s="20"/>
      <c r="F1161" s="62" t="s">
        <v>413</v>
      </c>
      <c r="G1161" s="62">
        <v>6.67</v>
      </c>
      <c r="H1161" s="107">
        <v>55</v>
      </c>
      <c r="I1161" s="23">
        <f>G1161*H1161</f>
        <v>366.85</v>
      </c>
      <c r="J1161" s="13"/>
      <c r="K1161" s="18" t="s">
        <v>753</v>
      </c>
      <c r="L1161" s="19"/>
      <c r="M1161" s="19"/>
      <c r="N1161" s="20"/>
      <c r="O1161" s="22" t="s">
        <v>227</v>
      </c>
      <c r="P1161" s="70">
        <v>3.3000000000000002E-2</v>
      </c>
      <c r="Q1161" s="107">
        <v>650</v>
      </c>
      <c r="R1161" s="23">
        <f t="shared" si="8"/>
        <v>21.45</v>
      </c>
    </row>
    <row r="1162" spans="1:18" x14ac:dyDescent="0.2">
      <c r="A1162" s="13"/>
      <c r="B1162" s="18" t="s">
        <v>1304</v>
      </c>
      <c r="C1162" s="19"/>
      <c r="D1162" s="19"/>
      <c r="E1162" s="20"/>
      <c r="F1162" s="62" t="s">
        <v>80</v>
      </c>
      <c r="G1162" s="62">
        <v>1.6</v>
      </c>
      <c r="H1162" s="107">
        <v>350</v>
      </c>
      <c r="I1162" s="23">
        <f>G1162*H1162</f>
        <v>560</v>
      </c>
      <c r="J1162" s="13"/>
      <c r="K1162" s="18" t="s">
        <v>754</v>
      </c>
      <c r="L1162" s="19"/>
      <c r="M1162" s="19"/>
      <c r="N1162" s="20"/>
      <c r="O1162" s="22" t="s">
        <v>1216</v>
      </c>
      <c r="P1162" s="70">
        <v>0.12</v>
      </c>
      <c r="Q1162" s="107">
        <v>175</v>
      </c>
      <c r="R1162" s="23">
        <f t="shared" si="8"/>
        <v>21</v>
      </c>
    </row>
    <row r="1163" spans="1:18" x14ac:dyDescent="0.2">
      <c r="A1163" s="13"/>
      <c r="B1163" s="18" t="s">
        <v>614</v>
      </c>
      <c r="C1163" s="66"/>
      <c r="D1163" s="19"/>
      <c r="E1163" s="20"/>
      <c r="F1163" s="62"/>
      <c r="G1163" s="64"/>
      <c r="I1163" s="23">
        <f>(I1160+I1161+I1162)*0.05</f>
        <v>112.35750000000002</v>
      </c>
      <c r="J1163" s="13"/>
      <c r="K1163" s="18" t="s">
        <v>756</v>
      </c>
      <c r="L1163" s="19"/>
      <c r="M1163" s="19"/>
      <c r="N1163" s="20"/>
      <c r="O1163" s="22" t="s">
        <v>757</v>
      </c>
      <c r="P1163" s="70">
        <v>4.0000000000000001E-3</v>
      </c>
      <c r="Q1163" s="107">
        <v>3800</v>
      </c>
      <c r="R1163" s="23">
        <f t="shared" si="8"/>
        <v>15.200000000000001</v>
      </c>
    </row>
    <row r="1164" spans="1:18" x14ac:dyDescent="0.2">
      <c r="A1164" s="13"/>
      <c r="B1164" s="18"/>
      <c r="C1164" s="19"/>
      <c r="D1164" s="19"/>
      <c r="E1164" s="20"/>
      <c r="F1164" s="22"/>
      <c r="G1164" s="62"/>
      <c r="H1164" s="23"/>
      <c r="I1164" s="23"/>
      <c r="J1164" s="13"/>
      <c r="K1164" s="18" t="s">
        <v>759</v>
      </c>
      <c r="L1164" s="19"/>
      <c r="M1164" s="19"/>
      <c r="N1164" s="20"/>
      <c r="O1164" s="22" t="s">
        <v>757</v>
      </c>
      <c r="P1164" s="70">
        <v>2E-3</v>
      </c>
      <c r="Q1164" s="169">
        <v>735</v>
      </c>
      <c r="R1164" s="23">
        <f t="shared" si="8"/>
        <v>1.47</v>
      </c>
    </row>
    <row r="1165" spans="1:18" x14ac:dyDescent="0.2">
      <c r="A1165" s="13"/>
      <c r="B1165" s="18"/>
      <c r="C1165" s="19"/>
      <c r="D1165" s="19"/>
      <c r="E1165" s="20"/>
      <c r="F1165" s="22"/>
      <c r="G1165" s="62"/>
      <c r="H1165" s="23"/>
      <c r="I1165" s="23"/>
      <c r="J1165" s="13"/>
      <c r="K1165" s="18" t="s">
        <v>761</v>
      </c>
      <c r="L1165" s="19"/>
      <c r="M1165" s="19"/>
      <c r="N1165" s="20"/>
      <c r="O1165" s="22" t="s">
        <v>77</v>
      </c>
      <c r="P1165" s="22">
        <v>0.125</v>
      </c>
      <c r="Q1165" s="169">
        <v>3</v>
      </c>
      <c r="R1165" s="23">
        <f t="shared" si="8"/>
        <v>0.375</v>
      </c>
    </row>
    <row r="1166" spans="1:18" x14ac:dyDescent="0.2">
      <c r="A1166" s="13"/>
      <c r="B1166" s="18" t="s">
        <v>598</v>
      </c>
      <c r="C1166" s="19"/>
      <c r="D1166" s="19"/>
      <c r="E1166" s="20"/>
      <c r="F1166" s="22"/>
      <c r="G1166" s="62"/>
      <c r="H1166" s="23"/>
      <c r="I1166" s="23"/>
      <c r="J1166" s="13"/>
      <c r="K1166" s="18" t="s">
        <v>614</v>
      </c>
      <c r="L1166" s="19"/>
      <c r="M1166" s="19"/>
      <c r="N1166" s="20"/>
      <c r="O1166" s="22"/>
      <c r="P1166" s="22"/>
      <c r="R1166" s="23">
        <f>(R1160+R1161+R1162+R1163+R1164+R1165)*0.05</f>
        <v>31.899750000000008</v>
      </c>
    </row>
    <row r="1167" spans="1:18" x14ac:dyDescent="0.2">
      <c r="A1167" s="13"/>
      <c r="B1167" s="18"/>
      <c r="C1167" s="19"/>
      <c r="D1167" s="19"/>
      <c r="E1167" s="20"/>
      <c r="F1167" s="22"/>
      <c r="G1167" s="62"/>
      <c r="H1167" s="23"/>
      <c r="I1167" s="23"/>
      <c r="J1167" s="13"/>
      <c r="K1167" s="18"/>
      <c r="L1167" s="19"/>
      <c r="M1167" s="19"/>
      <c r="N1167" s="20"/>
      <c r="O1167" s="22"/>
      <c r="P1167" s="22"/>
      <c r="Q1167" s="23"/>
      <c r="R1167" s="23"/>
    </row>
    <row r="1168" spans="1:18" x14ac:dyDescent="0.2">
      <c r="A1168" s="13"/>
      <c r="B1168" s="18"/>
      <c r="C1168" s="19"/>
      <c r="D1168" s="19"/>
      <c r="E1168" s="20"/>
      <c r="F1168" s="22"/>
      <c r="G1168" s="62"/>
      <c r="H1168" s="23"/>
      <c r="I1168" s="23"/>
      <c r="J1168" s="13"/>
      <c r="K1168" s="18"/>
      <c r="L1168" s="19"/>
      <c r="M1168" s="19"/>
      <c r="N1168" s="20"/>
      <c r="O1168" s="22"/>
      <c r="P1168" s="22"/>
      <c r="Q1168" s="23"/>
      <c r="R1168" s="23"/>
    </row>
    <row r="1169" spans="1:18" x14ac:dyDescent="0.2">
      <c r="A1169" s="13"/>
      <c r="B1169" s="18"/>
      <c r="C1169" s="19"/>
      <c r="D1169" s="19"/>
      <c r="E1169" s="20"/>
      <c r="F1169" s="22"/>
      <c r="G1169" s="22"/>
      <c r="H1169" s="23"/>
      <c r="I1169" s="23"/>
      <c r="J1169" s="13"/>
      <c r="K1169" s="18"/>
      <c r="L1169" s="19"/>
      <c r="M1169" s="19"/>
      <c r="N1169" s="20"/>
      <c r="O1169" s="22"/>
      <c r="P1169" s="22"/>
      <c r="Q1169" s="23"/>
      <c r="R1169" s="23"/>
    </row>
    <row r="1170" spans="1:18" x14ac:dyDescent="0.2">
      <c r="A1170" s="13"/>
      <c r="B1170" s="18"/>
      <c r="C1170" s="19"/>
      <c r="D1170" s="19"/>
      <c r="E1170" s="20"/>
      <c r="F1170" s="22"/>
      <c r="G1170" s="22"/>
      <c r="H1170" s="23"/>
      <c r="I1170" s="23"/>
      <c r="J1170" s="13"/>
      <c r="K1170" s="18"/>
      <c r="L1170" s="19"/>
      <c r="M1170" s="19"/>
      <c r="N1170" s="20"/>
      <c r="O1170" s="22"/>
      <c r="P1170" s="22"/>
      <c r="Q1170" s="23"/>
      <c r="R1170" s="23"/>
    </row>
    <row r="1171" spans="1:18" x14ac:dyDescent="0.2">
      <c r="A1171" s="13"/>
      <c r="B1171" s="18"/>
      <c r="C1171" s="19"/>
      <c r="D1171" s="19"/>
      <c r="E1171" s="20"/>
      <c r="F1171" s="22"/>
      <c r="G1171" s="22"/>
      <c r="H1171" s="23"/>
      <c r="I1171" s="23"/>
      <c r="J1171" s="13"/>
      <c r="K1171" s="18"/>
      <c r="L1171" s="19"/>
      <c r="M1171" s="19"/>
      <c r="N1171" s="20"/>
      <c r="O1171" s="22"/>
      <c r="P1171" s="22"/>
      <c r="Q1171" s="23"/>
      <c r="R1171" s="23"/>
    </row>
    <row r="1172" spans="1:18" x14ac:dyDescent="0.2">
      <c r="A1172" s="13"/>
      <c r="B1172" s="18"/>
      <c r="C1172" s="19"/>
      <c r="D1172" s="19"/>
      <c r="E1172" s="20"/>
      <c r="F1172" s="22"/>
      <c r="G1172" s="36"/>
      <c r="H1172" s="37"/>
      <c r="I1172" s="37"/>
      <c r="J1172" s="13"/>
      <c r="K1172" s="18"/>
      <c r="L1172" s="19"/>
      <c r="M1172" s="19"/>
      <c r="N1172" s="20"/>
      <c r="O1172" s="22"/>
      <c r="P1172" s="36"/>
      <c r="Q1172" s="37"/>
      <c r="R1172" s="37"/>
    </row>
    <row r="1173" spans="1:18" x14ac:dyDescent="0.2">
      <c r="A1173" s="13"/>
      <c r="B1173" s="248" t="s">
        <v>42</v>
      </c>
      <c r="C1173" s="249"/>
      <c r="D1173" s="249"/>
      <c r="E1173" s="250"/>
      <c r="F1173" s="46"/>
      <c r="G1173" s="46"/>
      <c r="H1173" s="47"/>
      <c r="I1173" s="47">
        <f>SUM(I1160:I1172)</f>
        <v>2359.5075000000002</v>
      </c>
      <c r="J1173" s="13"/>
      <c r="K1173" s="248" t="s">
        <v>42</v>
      </c>
      <c r="L1173" s="249"/>
      <c r="M1173" s="249"/>
      <c r="N1173" s="250"/>
      <c r="O1173" s="46"/>
      <c r="P1173" s="46"/>
      <c r="Q1173" s="47"/>
      <c r="R1173" s="47">
        <f>SUM(R1160:R1172)</f>
        <v>669.89475000000016</v>
      </c>
    </row>
    <row r="1174" spans="1:18" x14ac:dyDescent="0.2">
      <c r="A1174" s="12" t="s">
        <v>43</v>
      </c>
      <c r="B1174" s="48" t="s">
        <v>44</v>
      </c>
      <c r="C1174" s="43"/>
      <c r="D1174" s="43"/>
      <c r="E1174" s="161"/>
      <c r="F1174" s="49"/>
      <c r="G1174" s="49"/>
      <c r="H1174" s="50"/>
      <c r="I1174" s="51">
        <f>SUM(I1155+I1173)</f>
        <v>2552.3527000000004</v>
      </c>
      <c r="J1174" s="12" t="s">
        <v>43</v>
      </c>
      <c r="K1174" s="48" t="s">
        <v>44</v>
      </c>
      <c r="L1174" s="43"/>
      <c r="M1174" s="43"/>
      <c r="N1174" s="39"/>
      <c r="O1174" s="49"/>
      <c r="P1174" s="49"/>
      <c r="Q1174" s="50"/>
      <c r="R1174" s="51">
        <f>SUM(R1155+R1173)</f>
        <v>730.22315000000015</v>
      </c>
    </row>
    <row r="1175" spans="1:18" x14ac:dyDescent="0.2">
      <c r="A1175" s="13" t="s">
        <v>45</v>
      </c>
      <c r="B1175" s="48" t="s">
        <v>46</v>
      </c>
      <c r="C1175" s="43"/>
      <c r="D1175" s="43"/>
      <c r="E1175" s="161"/>
      <c r="F1175" s="49"/>
      <c r="G1175" s="52">
        <v>0.09</v>
      </c>
      <c r="H1175" s="53" t="s">
        <v>47</v>
      </c>
      <c r="I1175" s="51">
        <f>G1175*I1174</f>
        <v>229.71174300000001</v>
      </c>
      <c r="J1175" s="13" t="s">
        <v>45</v>
      </c>
      <c r="K1175" s="48" t="s">
        <v>46</v>
      </c>
      <c r="L1175" s="43"/>
      <c r="M1175" s="43"/>
      <c r="N1175" s="39"/>
      <c r="O1175" s="49"/>
      <c r="P1175" s="52">
        <v>0.09</v>
      </c>
      <c r="Q1175" s="53" t="s">
        <v>47</v>
      </c>
      <c r="R1175" s="51">
        <f>P1175*R1174</f>
        <v>65.720083500000015</v>
      </c>
    </row>
    <row r="1176" spans="1:18" x14ac:dyDescent="0.2">
      <c r="A1176" s="13" t="s">
        <v>48</v>
      </c>
      <c r="B1176" s="48" t="s">
        <v>49</v>
      </c>
      <c r="C1176" s="43"/>
      <c r="D1176" s="43"/>
      <c r="E1176" s="161"/>
      <c r="F1176" s="49"/>
      <c r="G1176" s="52">
        <v>0.08</v>
      </c>
      <c r="H1176" s="53" t="s">
        <v>47</v>
      </c>
      <c r="I1176" s="51">
        <f>G1176*I1174</f>
        <v>204.18821600000004</v>
      </c>
      <c r="J1176" s="13" t="s">
        <v>48</v>
      </c>
      <c r="K1176" s="48" t="s">
        <v>49</v>
      </c>
      <c r="L1176" s="43"/>
      <c r="M1176" s="43"/>
      <c r="N1176" s="39"/>
      <c r="O1176" s="49"/>
      <c r="P1176" s="52">
        <v>0.08</v>
      </c>
      <c r="Q1176" s="53" t="s">
        <v>47</v>
      </c>
      <c r="R1176" s="51">
        <f>P1176*R1174</f>
        <v>58.417852000000011</v>
      </c>
    </row>
    <row r="1177" spans="1:18" x14ac:dyDescent="0.2">
      <c r="A1177" s="13" t="s">
        <v>50</v>
      </c>
      <c r="B1177" s="48" t="s">
        <v>51</v>
      </c>
      <c r="C1177" s="43"/>
      <c r="D1177" s="43"/>
      <c r="E1177" s="161"/>
      <c r="F1177" s="49"/>
      <c r="G1177" s="52">
        <v>0.05</v>
      </c>
      <c r="H1177" s="53" t="s">
        <v>52</v>
      </c>
      <c r="I1177" s="51">
        <f>G1177*(I1174+I1175+I1176)</f>
        <v>149.31263295000002</v>
      </c>
      <c r="J1177" s="13" t="s">
        <v>50</v>
      </c>
      <c r="K1177" s="48" t="s">
        <v>51</v>
      </c>
      <c r="L1177" s="43"/>
      <c r="M1177" s="43"/>
      <c r="N1177" s="39"/>
      <c r="O1177" s="49"/>
      <c r="P1177" s="52">
        <v>0.05</v>
      </c>
      <c r="Q1177" s="53" t="s">
        <v>52</v>
      </c>
      <c r="R1177" s="51">
        <f>P1177*(R1174+R1175+R1176)</f>
        <v>42.718054275000014</v>
      </c>
    </row>
    <row r="1178" spans="1:18" x14ac:dyDescent="0.2">
      <c r="A1178" s="54" t="s">
        <v>53</v>
      </c>
      <c r="B1178" s="48" t="s">
        <v>54</v>
      </c>
      <c r="C1178" s="43"/>
      <c r="D1178" s="43"/>
      <c r="E1178" s="161"/>
      <c r="F1178" s="49"/>
      <c r="G1178" s="49"/>
      <c r="H1178" s="55" t="s">
        <v>55</v>
      </c>
      <c r="I1178" s="51">
        <f>SUM(I1174+I1175+I1176+I1177)</f>
        <v>3135.5652919500003</v>
      </c>
      <c r="J1178" s="54" t="s">
        <v>53</v>
      </c>
      <c r="K1178" s="48" t="s">
        <v>54</v>
      </c>
      <c r="L1178" s="43"/>
      <c r="M1178" s="43"/>
      <c r="N1178" s="39"/>
      <c r="O1178" s="49"/>
      <c r="P1178" s="49"/>
      <c r="Q1178" s="55" t="s">
        <v>55</v>
      </c>
      <c r="R1178" s="51">
        <f>SUM(R1174+R1175+R1176+R1177)</f>
        <v>897.07913977500016</v>
      </c>
    </row>
    <row r="1179" spans="1:18" s="1" customFormat="1" x14ac:dyDescent="0.2">
      <c r="A1179" s="236" t="s">
        <v>0</v>
      </c>
      <c r="B1179" s="236"/>
      <c r="C1179" s="236"/>
      <c r="D1179" s="236"/>
      <c r="E1179" s="236"/>
      <c r="F1179" s="236"/>
      <c r="G1179" s="236"/>
      <c r="H1179" s="236"/>
      <c r="I1179" s="236"/>
      <c r="J1179" s="374" t="s">
        <v>0</v>
      </c>
      <c r="K1179" s="374"/>
      <c r="L1179" s="374"/>
      <c r="M1179" s="374"/>
      <c r="N1179" s="374"/>
      <c r="O1179" s="374"/>
      <c r="P1179" s="374"/>
      <c r="Q1179" s="374"/>
      <c r="R1179" s="374"/>
    </row>
    <row r="1180" spans="1:18" x14ac:dyDescent="0.2">
      <c r="J1180" s="184"/>
      <c r="K1180" s="185"/>
      <c r="L1180" s="186"/>
      <c r="M1180" s="186"/>
      <c r="N1180" s="187"/>
      <c r="O1180" s="185"/>
      <c r="P1180" s="185"/>
      <c r="Q1180" s="185"/>
      <c r="R1180" s="185"/>
    </row>
    <row r="1181" spans="1:18" x14ac:dyDescent="0.2">
      <c r="A1181" s="158" t="s">
        <v>1</v>
      </c>
      <c r="C1181" s="4" t="s">
        <v>2</v>
      </c>
      <c r="D1181" s="5" t="s">
        <v>780</v>
      </c>
      <c r="E1181" s="8" t="s">
        <v>781</v>
      </c>
      <c r="F1181" s="8"/>
      <c r="G1181" s="8"/>
      <c r="H1181" s="8"/>
      <c r="I1181" s="8"/>
      <c r="J1181" s="188" t="s">
        <v>1</v>
      </c>
      <c r="K1181" s="185"/>
      <c r="L1181" s="186" t="s">
        <v>2</v>
      </c>
      <c r="M1181" s="187">
        <v>613</v>
      </c>
      <c r="N1181" s="375" t="s">
        <v>774</v>
      </c>
      <c r="O1181" s="375"/>
      <c r="P1181" s="375"/>
      <c r="Q1181" s="375"/>
      <c r="R1181" s="185"/>
    </row>
    <row r="1182" spans="1:18" x14ac:dyDescent="0.2">
      <c r="A1182" s="158" t="s">
        <v>7</v>
      </c>
      <c r="C1182" s="4" t="s">
        <v>2</v>
      </c>
      <c r="E1182" s="158" t="s">
        <v>1153</v>
      </c>
      <c r="F1182" s="8"/>
      <c r="G1182" s="8"/>
      <c r="H1182" s="8"/>
      <c r="J1182" s="188" t="s">
        <v>7</v>
      </c>
      <c r="K1182" s="185"/>
      <c r="L1182" s="186" t="s">
        <v>2</v>
      </c>
      <c r="M1182" s="186"/>
      <c r="N1182" s="188" t="s">
        <v>77</v>
      </c>
      <c r="O1182" s="189"/>
      <c r="P1182" s="189"/>
      <c r="Q1182" s="189"/>
      <c r="R1182" s="185"/>
    </row>
    <row r="1183" spans="1:18" x14ac:dyDescent="0.2">
      <c r="A1183" s="158" t="s">
        <v>10</v>
      </c>
      <c r="C1183" s="4" t="s">
        <v>2</v>
      </c>
      <c r="E1183" s="9">
        <v>18</v>
      </c>
      <c r="F1183" s="8"/>
      <c r="G1183" s="8"/>
      <c r="H1183" s="8"/>
      <c r="J1183" s="188" t="s">
        <v>10</v>
      </c>
      <c r="K1183" s="185"/>
      <c r="L1183" s="186" t="s">
        <v>2</v>
      </c>
      <c r="M1183" s="186"/>
      <c r="N1183" s="190">
        <v>20</v>
      </c>
      <c r="O1183" s="189"/>
      <c r="P1183" s="189"/>
      <c r="Q1183" s="189"/>
      <c r="R1183" s="185"/>
    </row>
    <row r="1184" spans="1:18" x14ac:dyDescent="0.2">
      <c r="B1184" s="8"/>
      <c r="F1184" s="11"/>
      <c r="G1184" s="8"/>
      <c r="H1184" s="8"/>
      <c r="I1184" s="8"/>
      <c r="J1184" s="184"/>
      <c r="K1184" s="189"/>
      <c r="L1184" s="186"/>
      <c r="M1184" s="186"/>
      <c r="N1184" s="187" t="s">
        <v>775</v>
      </c>
      <c r="O1184" s="191"/>
      <c r="P1184" s="189"/>
      <c r="Q1184" s="189"/>
      <c r="R1184" s="189"/>
    </row>
    <row r="1185" spans="1:18" x14ac:dyDescent="0.2">
      <c r="A1185" s="12"/>
      <c r="B1185" s="238" t="s">
        <v>11</v>
      </c>
      <c r="C1185" s="239"/>
      <c r="D1185" s="239"/>
      <c r="E1185" s="240"/>
      <c r="F1185" s="244" t="s">
        <v>12</v>
      </c>
      <c r="G1185" s="244" t="s">
        <v>13</v>
      </c>
      <c r="H1185" s="244" t="s">
        <v>14</v>
      </c>
      <c r="I1185" s="246" t="s">
        <v>15</v>
      </c>
      <c r="J1185" s="192"/>
      <c r="K1185" s="353" t="s">
        <v>11</v>
      </c>
      <c r="L1185" s="354"/>
      <c r="M1185" s="354"/>
      <c r="N1185" s="355"/>
      <c r="O1185" s="359" t="s">
        <v>12</v>
      </c>
      <c r="P1185" s="359" t="s">
        <v>13</v>
      </c>
      <c r="Q1185" s="359" t="s">
        <v>14</v>
      </c>
      <c r="R1185" s="370" t="s">
        <v>15</v>
      </c>
    </row>
    <row r="1186" spans="1:18" x14ac:dyDescent="0.2">
      <c r="A1186" s="13"/>
      <c r="B1186" s="241"/>
      <c r="C1186" s="242"/>
      <c r="D1186" s="242"/>
      <c r="E1186" s="243"/>
      <c r="F1186" s="245"/>
      <c r="G1186" s="245"/>
      <c r="H1186" s="245"/>
      <c r="I1186" s="247"/>
      <c r="J1186" s="193"/>
      <c r="K1186" s="356"/>
      <c r="L1186" s="357"/>
      <c r="M1186" s="357"/>
      <c r="N1186" s="358"/>
      <c r="O1186" s="360"/>
      <c r="P1186" s="360"/>
      <c r="Q1186" s="360"/>
      <c r="R1186" s="371"/>
    </row>
    <row r="1187" spans="1:18" x14ac:dyDescent="0.2">
      <c r="A1187" s="13" t="s">
        <v>16</v>
      </c>
      <c r="B1187" s="14" t="s">
        <v>17</v>
      </c>
      <c r="C1187" s="15"/>
      <c r="D1187" s="15"/>
      <c r="E1187" s="16"/>
      <c r="F1187" s="17"/>
      <c r="G1187" s="17"/>
      <c r="H1187" s="17"/>
      <c r="I1187" s="17"/>
      <c r="J1187" s="193" t="s">
        <v>16</v>
      </c>
      <c r="K1187" s="194" t="s">
        <v>17</v>
      </c>
      <c r="L1187" s="195"/>
      <c r="M1187" s="195"/>
      <c r="N1187" s="196"/>
      <c r="O1187" s="197"/>
      <c r="P1187" s="197"/>
      <c r="Q1187" s="197"/>
      <c r="R1187" s="197"/>
    </row>
    <row r="1188" spans="1:18" x14ac:dyDescent="0.2">
      <c r="A1188" s="13"/>
      <c r="B1188" s="18"/>
      <c r="C1188" s="19"/>
      <c r="D1188" s="19"/>
      <c r="E1188" s="20"/>
      <c r="F1188" s="21"/>
      <c r="G1188" s="22"/>
      <c r="H1188" s="21"/>
      <c r="I1188" s="21"/>
      <c r="J1188" s="193"/>
      <c r="K1188" s="198"/>
      <c r="L1188" s="199"/>
      <c r="M1188" s="199"/>
      <c r="N1188" s="200"/>
      <c r="O1188" s="201"/>
      <c r="P1188" s="202"/>
      <c r="Q1188" s="201"/>
      <c r="R1188" s="201"/>
    </row>
    <row r="1189" spans="1:18" x14ac:dyDescent="0.2">
      <c r="A1189" s="13"/>
      <c r="B1189" s="24" t="s">
        <v>18</v>
      </c>
      <c r="C1189" s="25"/>
      <c r="D1189" s="25"/>
      <c r="E1189" s="26"/>
      <c r="F1189" s="22">
        <v>1</v>
      </c>
      <c r="G1189" s="23">
        <v>1</v>
      </c>
      <c r="H1189" s="23">
        <v>69.42</v>
      </c>
      <c r="I1189" s="23">
        <f>G1189*H1189*F1189</f>
        <v>69.42</v>
      </c>
      <c r="J1189" s="193"/>
      <c r="K1189" s="24" t="s">
        <v>18</v>
      </c>
      <c r="L1189" s="25"/>
      <c r="M1189" s="25"/>
      <c r="N1189" s="26"/>
      <c r="O1189" s="22">
        <v>1</v>
      </c>
      <c r="P1189" s="23">
        <v>1</v>
      </c>
      <c r="Q1189" s="23">
        <v>69.42</v>
      </c>
      <c r="R1189" s="23">
        <f>P1189*Q1189*O1189</f>
        <v>69.42</v>
      </c>
    </row>
    <row r="1190" spans="1:18" x14ac:dyDescent="0.2">
      <c r="A1190" s="13"/>
      <c r="B1190" s="257" t="s">
        <v>1178</v>
      </c>
      <c r="C1190" s="258"/>
      <c r="D1190" s="25"/>
      <c r="E1190" s="26"/>
      <c r="F1190" s="22">
        <v>1</v>
      </c>
      <c r="G1190" s="23">
        <v>1</v>
      </c>
      <c r="H1190" s="23">
        <v>50.18</v>
      </c>
      <c r="I1190" s="23">
        <f>G1190*H1190*F1190</f>
        <v>50.18</v>
      </c>
      <c r="J1190" s="193"/>
      <c r="K1190" s="257" t="s">
        <v>1179</v>
      </c>
      <c r="L1190" s="258"/>
      <c r="M1190" s="19"/>
      <c r="N1190" s="20"/>
      <c r="O1190" s="22">
        <v>6</v>
      </c>
      <c r="P1190" s="23">
        <v>1</v>
      </c>
      <c r="Q1190" s="23">
        <v>38.97</v>
      </c>
      <c r="R1190" s="23">
        <f>P1190*Q1190*O1190</f>
        <v>233.82</v>
      </c>
    </row>
    <row r="1191" spans="1:18" x14ac:dyDescent="0.2">
      <c r="A1191" s="13"/>
      <c r="B1191" s="257" t="s">
        <v>1177</v>
      </c>
      <c r="C1191" s="258"/>
      <c r="D1191" s="19"/>
      <c r="E1191" s="20"/>
      <c r="F1191" s="22">
        <v>2</v>
      </c>
      <c r="G1191" s="23">
        <v>1</v>
      </c>
      <c r="H1191" s="23">
        <v>38.97</v>
      </c>
      <c r="I1191" s="23">
        <f>G1191*H1191*F1191</f>
        <v>77.94</v>
      </c>
      <c r="J1191" s="193"/>
      <c r="K1191" s="372"/>
      <c r="L1191" s="373"/>
      <c r="M1191" s="199"/>
      <c r="N1191" s="200"/>
      <c r="O1191" s="202"/>
      <c r="P1191" s="202"/>
      <c r="Q1191" s="203"/>
      <c r="R1191" s="204"/>
    </row>
    <row r="1192" spans="1:18" x14ac:dyDescent="0.2">
      <c r="A1192" s="13"/>
      <c r="B1192" s="159"/>
      <c r="C1192" s="160"/>
      <c r="D1192" s="19"/>
      <c r="E1192" s="20"/>
      <c r="F1192" s="22"/>
      <c r="G1192" s="22"/>
      <c r="H1192" s="29"/>
      <c r="I1192" s="30"/>
      <c r="J1192" s="193"/>
      <c r="K1192" s="205"/>
      <c r="L1192" s="199"/>
      <c r="M1192" s="199"/>
      <c r="N1192" s="200"/>
      <c r="O1192" s="202"/>
      <c r="P1192" s="202"/>
      <c r="Q1192" s="206"/>
      <c r="R1192" s="207"/>
    </row>
    <row r="1193" spans="1:18" x14ac:dyDescent="0.2">
      <c r="A1193" s="13"/>
      <c r="B1193" s="159"/>
      <c r="C1193" s="160"/>
      <c r="D1193" s="19"/>
      <c r="E1193" s="20"/>
      <c r="F1193" s="22"/>
      <c r="G1193" s="22"/>
      <c r="H1193" s="29"/>
      <c r="I1193" s="30"/>
      <c r="J1193" s="193"/>
      <c r="K1193" s="205"/>
      <c r="L1193" s="199"/>
      <c r="M1193" s="199"/>
      <c r="N1193" s="200"/>
      <c r="O1193" s="202"/>
      <c r="P1193" s="202"/>
      <c r="Q1193" s="206"/>
      <c r="R1193" s="207"/>
    </row>
    <row r="1194" spans="1:18" x14ac:dyDescent="0.2">
      <c r="A1194" s="13"/>
      <c r="B1194" s="257"/>
      <c r="C1194" s="258"/>
      <c r="D1194" s="19"/>
      <c r="E1194" s="20"/>
      <c r="F1194" s="22"/>
      <c r="G1194" s="22"/>
      <c r="H1194" s="23"/>
      <c r="I1194" s="23"/>
      <c r="J1194" s="193"/>
      <c r="K1194" s="198"/>
      <c r="L1194" s="199"/>
      <c r="M1194" s="199"/>
      <c r="N1194" s="200"/>
      <c r="O1194" s="202"/>
      <c r="P1194" s="202"/>
      <c r="Q1194" s="203"/>
      <c r="R1194" s="204"/>
    </row>
    <row r="1195" spans="1:18" x14ac:dyDescent="0.2">
      <c r="A1195" s="13"/>
      <c r="B1195" s="257"/>
      <c r="C1195" s="258"/>
      <c r="D1195" s="19"/>
      <c r="E1195" s="20"/>
      <c r="F1195" s="22"/>
      <c r="G1195" s="22"/>
      <c r="H1195" s="23"/>
      <c r="I1195" s="23"/>
      <c r="J1195" s="193"/>
      <c r="K1195" s="198"/>
      <c r="L1195" s="199"/>
      <c r="M1195" s="199"/>
      <c r="N1195" s="200"/>
      <c r="O1195" s="202"/>
      <c r="P1195" s="202"/>
      <c r="Q1195" s="204"/>
      <c r="R1195" s="204"/>
    </row>
    <row r="1196" spans="1:18" x14ac:dyDescent="0.2">
      <c r="A1196" s="13"/>
      <c r="B1196" s="248" t="s">
        <v>20</v>
      </c>
      <c r="C1196" s="249"/>
      <c r="D1196" s="249"/>
      <c r="E1196" s="250"/>
      <c r="F1196" s="31"/>
      <c r="G1196" s="31"/>
      <c r="H1196" s="32"/>
      <c r="I1196" s="32">
        <f>SUM(I1189:I1195)</f>
        <v>197.54</v>
      </c>
      <c r="J1196" s="193"/>
      <c r="K1196" s="361" t="s">
        <v>20</v>
      </c>
      <c r="L1196" s="362"/>
      <c r="M1196" s="362"/>
      <c r="N1196" s="363"/>
      <c r="O1196" s="208"/>
      <c r="P1196" s="208"/>
      <c r="Q1196" s="209"/>
      <c r="R1196" s="209">
        <f>SUM(R1189:R1195)</f>
        <v>303.24</v>
      </c>
    </row>
    <row r="1197" spans="1:18" x14ac:dyDescent="0.2">
      <c r="A1197" s="12"/>
      <c r="B1197" s="251" t="s">
        <v>21</v>
      </c>
      <c r="C1197" s="252"/>
      <c r="D1197" s="252"/>
      <c r="E1197" s="253"/>
      <c r="F1197" s="244" t="s">
        <v>22</v>
      </c>
      <c r="G1197" s="244" t="s">
        <v>13</v>
      </c>
      <c r="H1197" s="244" t="s">
        <v>14</v>
      </c>
      <c r="I1197" s="246" t="s">
        <v>15</v>
      </c>
      <c r="J1197" s="192"/>
      <c r="K1197" s="364" t="s">
        <v>21</v>
      </c>
      <c r="L1197" s="365"/>
      <c r="M1197" s="365"/>
      <c r="N1197" s="366"/>
      <c r="O1197" s="359" t="s">
        <v>22</v>
      </c>
      <c r="P1197" s="359" t="s">
        <v>13</v>
      </c>
      <c r="Q1197" s="359" t="s">
        <v>14</v>
      </c>
      <c r="R1197" s="370" t="s">
        <v>15</v>
      </c>
    </row>
    <row r="1198" spans="1:18" x14ac:dyDescent="0.2">
      <c r="A1198" s="13"/>
      <c r="B1198" s="254"/>
      <c r="C1198" s="255"/>
      <c r="D1198" s="255"/>
      <c r="E1198" s="256"/>
      <c r="F1198" s="245"/>
      <c r="G1198" s="245"/>
      <c r="H1198" s="245"/>
      <c r="I1198" s="247"/>
      <c r="J1198" s="193"/>
      <c r="K1198" s="367"/>
      <c r="L1198" s="368"/>
      <c r="M1198" s="368"/>
      <c r="N1198" s="369"/>
      <c r="O1198" s="360"/>
      <c r="P1198" s="360"/>
      <c r="Q1198" s="360"/>
      <c r="R1198" s="371"/>
    </row>
    <row r="1199" spans="1:18" x14ac:dyDescent="0.2">
      <c r="A1199" s="13" t="s">
        <v>23</v>
      </c>
      <c r="B1199" s="33" t="s">
        <v>24</v>
      </c>
      <c r="C1199" s="15"/>
      <c r="D1199" s="15"/>
      <c r="E1199" s="16"/>
      <c r="F1199" s="34"/>
      <c r="G1199" s="34"/>
      <c r="H1199" s="35"/>
      <c r="I1199" s="35"/>
      <c r="J1199" s="193" t="s">
        <v>23</v>
      </c>
      <c r="K1199" s="210" t="s">
        <v>24</v>
      </c>
      <c r="L1199" s="195"/>
      <c r="M1199" s="195"/>
      <c r="N1199" s="196"/>
      <c r="O1199" s="211"/>
      <c r="P1199" s="211"/>
      <c r="Q1199" s="212"/>
      <c r="R1199" s="212"/>
    </row>
    <row r="1200" spans="1:18" x14ac:dyDescent="0.2">
      <c r="A1200" s="13"/>
      <c r="B1200" s="18"/>
      <c r="C1200" s="19"/>
      <c r="D1200" s="19"/>
      <c r="E1200" s="20"/>
      <c r="F1200" s="22"/>
      <c r="G1200" s="22"/>
      <c r="H1200" s="23"/>
      <c r="I1200" s="23"/>
      <c r="J1200" s="193"/>
      <c r="K1200" s="198"/>
      <c r="L1200" s="199"/>
      <c r="M1200" s="199"/>
      <c r="N1200" s="200"/>
      <c r="O1200" s="202"/>
      <c r="P1200" s="202"/>
      <c r="Q1200" s="204"/>
      <c r="R1200" s="204"/>
    </row>
    <row r="1201" spans="1:18" x14ac:dyDescent="0.2">
      <c r="A1201" s="13"/>
      <c r="B1201" s="18" t="s">
        <v>1294</v>
      </c>
      <c r="C1201" s="19"/>
      <c r="D1201" s="19"/>
      <c r="E1201" s="20"/>
      <c r="F1201" s="22">
        <v>1</v>
      </c>
      <c r="G1201" s="23">
        <v>0.1</v>
      </c>
      <c r="H1201" s="37">
        <v>371</v>
      </c>
      <c r="I1201" s="37">
        <f>F1201*G1201*H1201</f>
        <v>37.1</v>
      </c>
      <c r="J1201" s="193"/>
      <c r="K1201" s="198" t="s">
        <v>776</v>
      </c>
      <c r="L1201" s="199"/>
      <c r="M1201" s="199"/>
      <c r="N1201" s="200"/>
      <c r="O1201" s="202">
        <v>1</v>
      </c>
      <c r="P1201" s="204">
        <v>1</v>
      </c>
      <c r="Q1201" s="214">
        <v>10</v>
      </c>
      <c r="R1201" s="214">
        <f>O1201*P1201*Q1201</f>
        <v>10</v>
      </c>
    </row>
    <row r="1202" spans="1:18" x14ac:dyDescent="0.2">
      <c r="A1202" s="13"/>
      <c r="B1202" s="18" t="s">
        <v>92</v>
      </c>
      <c r="C1202" s="19"/>
      <c r="D1202" s="19"/>
      <c r="E1202" s="20"/>
      <c r="F1202" s="22"/>
      <c r="G1202" s="36"/>
      <c r="I1202" s="37">
        <f>I1196*0.1</f>
        <v>19.754000000000001</v>
      </c>
      <c r="J1202" s="193"/>
      <c r="K1202" s="198" t="s">
        <v>260</v>
      </c>
      <c r="L1202" s="199"/>
      <c r="M1202" s="199"/>
      <c r="N1202" s="200"/>
      <c r="O1202" s="202"/>
      <c r="P1202" s="213"/>
      <c r="R1202" s="214">
        <f>R1196*0.05</f>
        <v>15.162000000000001</v>
      </c>
    </row>
    <row r="1203" spans="1:18" x14ac:dyDescent="0.2">
      <c r="A1203" s="13"/>
      <c r="B1203" s="18"/>
      <c r="C1203" s="19"/>
      <c r="D1203" s="19"/>
      <c r="E1203" s="20"/>
      <c r="F1203" s="22"/>
      <c r="G1203" s="23"/>
      <c r="H1203" s="37"/>
      <c r="I1203" s="37"/>
      <c r="J1203" s="193"/>
      <c r="K1203" s="198"/>
      <c r="L1203" s="199"/>
      <c r="M1203" s="199"/>
      <c r="N1203" s="200"/>
      <c r="O1203" s="202"/>
      <c r="P1203" s="213"/>
      <c r="Q1203" s="214"/>
      <c r="R1203" s="214"/>
    </row>
    <row r="1204" spans="1:18" x14ac:dyDescent="0.2">
      <c r="A1204" s="13"/>
      <c r="B1204" s="18"/>
      <c r="C1204" s="19"/>
      <c r="D1204" s="19"/>
      <c r="E1204" s="20"/>
      <c r="F1204" s="22"/>
      <c r="G1204" s="23"/>
      <c r="H1204" s="37"/>
      <c r="I1204" s="37"/>
      <c r="J1204" s="193"/>
      <c r="K1204" s="198"/>
      <c r="L1204" s="186"/>
      <c r="M1204" s="186"/>
      <c r="N1204" s="187"/>
      <c r="O1204" s="202"/>
      <c r="P1204" s="213"/>
      <c r="Q1204" s="214"/>
      <c r="R1204" s="214"/>
    </row>
    <row r="1205" spans="1:18" x14ac:dyDescent="0.2">
      <c r="A1205" s="13"/>
      <c r="B1205" s="18"/>
      <c r="C1205" s="19"/>
      <c r="D1205" s="19"/>
      <c r="E1205" s="20"/>
      <c r="F1205" s="22"/>
      <c r="G1205" s="36"/>
      <c r="H1205" s="37"/>
      <c r="I1205" s="37"/>
      <c r="J1205" s="193"/>
      <c r="K1205" s="198"/>
      <c r="L1205" s="199"/>
      <c r="M1205" s="199"/>
      <c r="N1205" s="200"/>
      <c r="O1205" s="202"/>
      <c r="P1205" s="213"/>
      <c r="Q1205" s="214"/>
      <c r="R1205" s="214"/>
    </row>
    <row r="1206" spans="1:18" x14ac:dyDescent="0.2">
      <c r="A1206" s="13"/>
      <c r="B1206" s="18"/>
      <c r="C1206" s="19"/>
      <c r="D1206" s="19"/>
      <c r="E1206" s="20"/>
      <c r="F1206" s="22"/>
      <c r="G1206" s="36"/>
      <c r="H1206" s="37"/>
      <c r="I1206" s="38"/>
      <c r="J1206" s="193"/>
      <c r="K1206" s="198"/>
      <c r="L1206" s="199"/>
      <c r="M1206" s="199"/>
      <c r="N1206" s="200"/>
      <c r="O1206" s="202"/>
      <c r="P1206" s="213"/>
      <c r="Q1206" s="215"/>
      <c r="R1206" s="215"/>
    </row>
    <row r="1207" spans="1:18" x14ac:dyDescent="0.2">
      <c r="A1207" s="13"/>
      <c r="B1207" s="18"/>
      <c r="C1207" s="19"/>
      <c r="D1207" s="19"/>
      <c r="E1207" s="20"/>
      <c r="F1207" s="22"/>
      <c r="G1207" s="36"/>
      <c r="H1207" s="37"/>
      <c r="I1207" s="38"/>
      <c r="J1207" s="193"/>
      <c r="K1207" s="198"/>
      <c r="L1207" s="199"/>
      <c r="M1207" s="199"/>
      <c r="N1207" s="200"/>
      <c r="O1207" s="202"/>
      <c r="P1207" s="213"/>
      <c r="Q1207" s="215"/>
      <c r="R1207" s="215"/>
    </row>
    <row r="1208" spans="1:18" x14ac:dyDescent="0.2">
      <c r="A1208" s="13"/>
      <c r="B1208" s="18"/>
      <c r="C1208" s="19"/>
      <c r="D1208" s="19"/>
      <c r="E1208" s="20"/>
      <c r="F1208" s="22"/>
      <c r="G1208" s="23"/>
      <c r="H1208" s="37"/>
      <c r="I1208" s="38"/>
      <c r="J1208" s="193"/>
      <c r="K1208" s="198"/>
      <c r="L1208" s="199"/>
      <c r="M1208" s="199"/>
      <c r="N1208" s="200"/>
      <c r="O1208" s="202"/>
      <c r="P1208" s="213"/>
      <c r="Q1208" s="215"/>
      <c r="R1208" s="215"/>
    </row>
    <row r="1209" spans="1:18" x14ac:dyDescent="0.2">
      <c r="A1209" s="13"/>
      <c r="B1209" s="18"/>
      <c r="C1209" s="19"/>
      <c r="D1209" s="19"/>
      <c r="E1209" s="20"/>
      <c r="F1209" s="22"/>
      <c r="G1209" s="23"/>
      <c r="H1209" s="37"/>
      <c r="I1209" s="38"/>
      <c r="J1209" s="193"/>
      <c r="K1209" s="198"/>
      <c r="L1209" s="199"/>
      <c r="M1209" s="199"/>
      <c r="N1209" s="200"/>
      <c r="O1209" s="202"/>
      <c r="P1209" s="213"/>
      <c r="Q1209" s="215"/>
      <c r="R1209" s="215"/>
    </row>
    <row r="1210" spans="1:18" x14ac:dyDescent="0.2">
      <c r="A1210" s="13"/>
      <c r="B1210" s="7"/>
      <c r="C1210" s="7"/>
      <c r="D1210" s="7"/>
      <c r="E1210" s="7"/>
      <c r="F1210" s="72"/>
      <c r="G1210" s="72"/>
      <c r="H1210" s="72"/>
      <c r="I1210" s="37"/>
      <c r="J1210" s="193"/>
      <c r="K1210" s="198"/>
      <c r="L1210" s="199"/>
      <c r="M1210" s="199"/>
      <c r="N1210" s="200"/>
      <c r="O1210" s="202"/>
      <c r="P1210" s="213"/>
      <c r="Q1210" s="214"/>
      <c r="R1210" s="214"/>
    </row>
    <row r="1211" spans="1:18" x14ac:dyDescent="0.2">
      <c r="A1211" s="13"/>
      <c r="B1211" s="18"/>
      <c r="C1211" s="19"/>
      <c r="D1211" s="19"/>
      <c r="E1211" s="20"/>
      <c r="F1211" s="22"/>
      <c r="G1211" s="36"/>
      <c r="H1211" s="37"/>
      <c r="I1211" s="37"/>
      <c r="J1211" s="193"/>
      <c r="K1211" s="198"/>
      <c r="L1211" s="199"/>
      <c r="M1211" s="199"/>
      <c r="N1211" s="200"/>
      <c r="O1211" s="202"/>
      <c r="P1211" s="213"/>
      <c r="Q1211" s="214"/>
      <c r="R1211" s="214"/>
    </row>
    <row r="1212" spans="1:18" x14ac:dyDescent="0.2">
      <c r="A1212" s="13"/>
      <c r="B1212" s="18"/>
      <c r="C1212" s="19"/>
      <c r="D1212" s="19"/>
      <c r="E1212" s="20"/>
      <c r="F1212" s="22"/>
      <c r="G1212" s="36"/>
      <c r="H1212" s="37"/>
      <c r="I1212" s="37"/>
      <c r="J1212" s="193"/>
      <c r="K1212" s="198"/>
      <c r="L1212" s="199"/>
      <c r="M1212" s="199"/>
      <c r="N1212" s="200"/>
      <c r="O1212" s="202"/>
      <c r="P1212" s="213"/>
      <c r="Q1212" s="214"/>
      <c r="R1212" s="214"/>
    </row>
    <row r="1213" spans="1:18" x14ac:dyDescent="0.2">
      <c r="A1213" s="13"/>
      <c r="B1213" s="18"/>
      <c r="C1213" s="19"/>
      <c r="D1213" s="19"/>
      <c r="E1213" s="20"/>
      <c r="F1213" s="22"/>
      <c r="G1213" s="22"/>
      <c r="H1213" s="23"/>
      <c r="I1213" s="23"/>
      <c r="J1213" s="193"/>
      <c r="K1213" s="198"/>
      <c r="L1213" s="199"/>
      <c r="M1213" s="199"/>
      <c r="N1213" s="200"/>
      <c r="O1213" s="202"/>
      <c r="P1213" s="202"/>
      <c r="Q1213" s="204"/>
      <c r="R1213" s="204"/>
    </row>
    <row r="1214" spans="1:18" x14ac:dyDescent="0.2">
      <c r="A1214" s="13"/>
      <c r="B1214" s="248" t="s">
        <v>30</v>
      </c>
      <c r="C1214" s="249"/>
      <c r="D1214" s="249"/>
      <c r="E1214" s="250"/>
      <c r="F1214" s="22"/>
      <c r="G1214" s="22"/>
      <c r="H1214" s="23"/>
      <c r="I1214" s="23">
        <f>SUM(I1201:I1213)</f>
        <v>56.853999999999999</v>
      </c>
      <c r="J1214" s="193"/>
      <c r="K1214" s="361" t="s">
        <v>30</v>
      </c>
      <c r="L1214" s="362"/>
      <c r="M1214" s="362"/>
      <c r="N1214" s="363"/>
      <c r="O1214" s="202"/>
      <c r="P1214" s="202"/>
      <c r="Q1214" s="204"/>
      <c r="R1214" s="204">
        <f>SUM(R1201:R1213)</f>
        <v>25.161999999999999</v>
      </c>
    </row>
    <row r="1215" spans="1:18" x14ac:dyDescent="0.2">
      <c r="A1215" s="12" t="s">
        <v>31</v>
      </c>
      <c r="B1215" s="260" t="s">
        <v>32</v>
      </c>
      <c r="C1215" s="261"/>
      <c r="D1215" s="261"/>
      <c r="E1215" s="261"/>
      <c r="F1215" s="161"/>
      <c r="G1215" s="161"/>
      <c r="H1215" s="40"/>
      <c r="I1215" s="41">
        <f>SUM(I1214+I1196)</f>
        <v>254.39400000000001</v>
      </c>
      <c r="J1215" s="192" t="s">
        <v>31</v>
      </c>
      <c r="K1215" s="376" t="s">
        <v>32</v>
      </c>
      <c r="L1215" s="377"/>
      <c r="M1215" s="377"/>
      <c r="N1215" s="377"/>
      <c r="O1215" s="216"/>
      <c r="P1215" s="216"/>
      <c r="Q1215" s="217"/>
      <c r="R1215" s="218">
        <f>R1196+R1214</f>
        <v>328.40199999999999</v>
      </c>
    </row>
    <row r="1216" spans="1:18" x14ac:dyDescent="0.2">
      <c r="A1216" s="13" t="s">
        <v>33</v>
      </c>
      <c r="B1216" s="297">
        <f>E1183</f>
        <v>18</v>
      </c>
      <c r="C1216" s="298"/>
      <c r="D1216" s="298"/>
      <c r="E1216" s="298"/>
      <c r="F1216" s="298"/>
      <c r="G1216" s="298"/>
      <c r="H1216" s="40"/>
      <c r="I1216" s="41"/>
      <c r="J1216" s="193" t="s">
        <v>33</v>
      </c>
      <c r="K1216" s="378">
        <f>N1183</f>
        <v>20</v>
      </c>
      <c r="L1216" s="379"/>
      <c r="M1216" s="379"/>
      <c r="N1216" s="379"/>
      <c r="O1216" s="379"/>
      <c r="P1216" s="379"/>
      <c r="Q1216" s="217"/>
      <c r="R1216" s="218"/>
    </row>
    <row r="1217" spans="1:18" x14ac:dyDescent="0.2">
      <c r="A1217" s="13" t="s">
        <v>34</v>
      </c>
      <c r="B1217" s="162" t="s">
        <v>35</v>
      </c>
      <c r="C1217" s="43"/>
      <c r="D1217" s="43"/>
      <c r="E1217" s="161"/>
      <c r="F1217" s="163"/>
      <c r="G1217" s="163"/>
      <c r="H1217" s="40"/>
      <c r="I1217" s="41">
        <f>I1215/E1183</f>
        <v>14.133000000000001</v>
      </c>
      <c r="J1217" s="193" t="s">
        <v>34</v>
      </c>
      <c r="K1217" s="219" t="s">
        <v>35</v>
      </c>
      <c r="L1217" s="220"/>
      <c r="M1217" s="220"/>
      <c r="N1217" s="216"/>
      <c r="O1217" s="221"/>
      <c r="P1217" s="221"/>
      <c r="Q1217" s="217"/>
      <c r="R1217" s="218">
        <f>R1215/K1216</f>
        <v>16.420099999999998</v>
      </c>
    </row>
    <row r="1218" spans="1:18" x14ac:dyDescent="0.2">
      <c r="A1218" s="12"/>
      <c r="B1218" s="251" t="s">
        <v>36</v>
      </c>
      <c r="C1218" s="252"/>
      <c r="D1218" s="252"/>
      <c r="E1218" s="253"/>
      <c r="F1218" s="244" t="s">
        <v>37</v>
      </c>
      <c r="G1218" s="244" t="s">
        <v>38</v>
      </c>
      <c r="H1218" s="244" t="s">
        <v>39</v>
      </c>
      <c r="I1218" s="246" t="s">
        <v>15</v>
      </c>
      <c r="J1218" s="192"/>
      <c r="K1218" s="364" t="s">
        <v>36</v>
      </c>
      <c r="L1218" s="365"/>
      <c r="M1218" s="365"/>
      <c r="N1218" s="366"/>
      <c r="O1218" s="359" t="s">
        <v>37</v>
      </c>
      <c r="P1218" s="359" t="s">
        <v>38</v>
      </c>
      <c r="Q1218" s="359" t="s">
        <v>39</v>
      </c>
      <c r="R1218" s="370" t="s">
        <v>15</v>
      </c>
    </row>
    <row r="1219" spans="1:18" x14ac:dyDescent="0.2">
      <c r="A1219" s="13"/>
      <c r="B1219" s="254"/>
      <c r="C1219" s="255"/>
      <c r="D1219" s="255"/>
      <c r="E1219" s="256"/>
      <c r="F1219" s="245"/>
      <c r="G1219" s="245"/>
      <c r="H1219" s="245"/>
      <c r="I1219" s="247"/>
      <c r="J1219" s="193"/>
      <c r="K1219" s="367"/>
      <c r="L1219" s="368"/>
      <c r="M1219" s="368"/>
      <c r="N1219" s="369"/>
      <c r="O1219" s="360"/>
      <c r="P1219" s="360"/>
      <c r="Q1219" s="360"/>
      <c r="R1219" s="371"/>
    </row>
    <row r="1220" spans="1:18" x14ac:dyDescent="0.2">
      <c r="A1220" s="13" t="s">
        <v>40</v>
      </c>
      <c r="B1220" s="18" t="s">
        <v>41</v>
      </c>
      <c r="C1220" s="19"/>
      <c r="D1220" s="19"/>
      <c r="E1220" s="20"/>
      <c r="F1220" s="22"/>
      <c r="G1220" s="22"/>
      <c r="H1220" s="23"/>
      <c r="I1220" s="23"/>
      <c r="J1220" s="193" t="s">
        <v>40</v>
      </c>
      <c r="K1220" s="198" t="s">
        <v>41</v>
      </c>
      <c r="L1220" s="199"/>
      <c r="M1220" s="199"/>
      <c r="N1220" s="200"/>
      <c r="O1220" s="202"/>
      <c r="P1220" s="202"/>
      <c r="Q1220" s="204"/>
      <c r="R1220" s="204"/>
    </row>
    <row r="1221" spans="1:18" x14ac:dyDescent="0.2">
      <c r="A1221" s="13"/>
      <c r="B1221" s="18"/>
      <c r="C1221" s="19"/>
      <c r="D1221" s="19"/>
      <c r="E1221" s="20"/>
      <c r="F1221" s="22"/>
      <c r="G1221" s="22"/>
      <c r="H1221" s="23"/>
      <c r="I1221" s="23"/>
      <c r="J1221" s="193"/>
      <c r="K1221" s="198"/>
      <c r="L1221" s="199"/>
      <c r="M1221" s="199"/>
      <c r="N1221" s="200"/>
      <c r="O1221" s="202"/>
      <c r="P1221" s="202"/>
      <c r="Q1221" s="204"/>
      <c r="R1221" s="204"/>
    </row>
    <row r="1222" spans="1:18" x14ac:dyDescent="0.2">
      <c r="A1222" s="13"/>
      <c r="B1222" s="18" t="s">
        <v>784</v>
      </c>
      <c r="C1222" s="66"/>
      <c r="D1222" s="19"/>
      <c r="E1222" s="20"/>
      <c r="F1222" s="62" t="s">
        <v>1153</v>
      </c>
      <c r="G1222" s="62">
        <v>1</v>
      </c>
      <c r="H1222" s="107">
        <v>15</v>
      </c>
      <c r="I1222" s="23">
        <f>G1222*H1222</f>
        <v>15</v>
      </c>
      <c r="J1222" s="193"/>
      <c r="K1222" s="198" t="s">
        <v>778</v>
      </c>
      <c r="L1222" s="222"/>
      <c r="M1222" s="199"/>
      <c r="N1222" s="200"/>
      <c r="O1222" s="223" t="s">
        <v>77</v>
      </c>
      <c r="P1222" s="223">
        <v>1.05</v>
      </c>
      <c r="Q1222" s="170">
        <v>250</v>
      </c>
      <c r="R1222" s="23">
        <f>Q1222*P1222</f>
        <v>262.5</v>
      </c>
    </row>
    <row r="1223" spans="1:18" x14ac:dyDescent="0.2">
      <c r="A1223" s="13"/>
      <c r="B1223" s="18" t="s">
        <v>785</v>
      </c>
      <c r="C1223" s="66"/>
      <c r="D1223" s="19"/>
      <c r="E1223" s="20"/>
      <c r="F1223" s="62" t="s">
        <v>77</v>
      </c>
      <c r="G1223" s="62">
        <v>0.57999999999999996</v>
      </c>
      <c r="H1223" s="107">
        <v>48</v>
      </c>
      <c r="I1223" s="23">
        <f>G1223*H1223</f>
        <v>27.839999999999996</v>
      </c>
      <c r="J1223" s="193"/>
      <c r="K1223" s="198" t="s">
        <v>614</v>
      </c>
      <c r="L1223" s="222"/>
      <c r="M1223" s="199"/>
      <c r="N1223" s="200"/>
      <c r="O1223" s="202"/>
      <c r="P1223" s="224"/>
      <c r="R1223" s="204">
        <f>R1222*0.05</f>
        <v>13.125</v>
      </c>
    </row>
    <row r="1224" spans="1:18" x14ac:dyDescent="0.2">
      <c r="A1224" s="13"/>
      <c r="B1224" s="18" t="s">
        <v>786</v>
      </c>
      <c r="C1224" s="19"/>
      <c r="D1224" s="19"/>
      <c r="E1224" s="20"/>
      <c r="F1224" s="62" t="s">
        <v>80</v>
      </c>
      <c r="G1224" s="62">
        <v>0.39</v>
      </c>
      <c r="H1224" s="107">
        <v>81.150000000000006</v>
      </c>
      <c r="I1224" s="23">
        <f>G1224*H1224</f>
        <v>31.648500000000002</v>
      </c>
      <c r="J1224" s="193"/>
      <c r="K1224" s="198"/>
      <c r="L1224" s="199"/>
      <c r="M1224" s="199"/>
      <c r="N1224" s="200"/>
      <c r="O1224" s="202"/>
      <c r="P1224" s="202"/>
      <c r="Q1224" s="215"/>
      <c r="R1224" s="215"/>
    </row>
    <row r="1225" spans="1:18" x14ac:dyDescent="0.2">
      <c r="A1225" s="13"/>
      <c r="B1225" s="18" t="s">
        <v>787</v>
      </c>
      <c r="C1225" s="66"/>
      <c r="D1225" s="19"/>
      <c r="E1225" s="20"/>
      <c r="F1225" s="62"/>
      <c r="G1225" s="62"/>
      <c r="I1225" s="23">
        <f>(I1222+I1223+I1224)*0.02</f>
        <v>1.48977</v>
      </c>
      <c r="J1225" s="193"/>
      <c r="K1225" s="198"/>
      <c r="L1225" s="199"/>
      <c r="M1225" s="199"/>
      <c r="N1225" s="200"/>
      <c r="O1225" s="202"/>
      <c r="P1225" s="202"/>
      <c r="Q1225" s="215"/>
      <c r="R1225" s="215"/>
    </row>
    <row r="1226" spans="1:18" x14ac:dyDescent="0.2">
      <c r="A1226" s="13"/>
      <c r="B1226" s="18"/>
      <c r="C1226" s="19"/>
      <c r="D1226" s="19"/>
      <c r="E1226" s="20"/>
      <c r="F1226" s="22"/>
      <c r="G1226" s="62"/>
      <c r="H1226" s="23"/>
      <c r="I1226" s="23"/>
      <c r="J1226" s="193"/>
      <c r="K1226" s="198"/>
      <c r="L1226" s="199"/>
      <c r="M1226" s="199"/>
      <c r="N1226" s="200"/>
      <c r="O1226" s="202"/>
      <c r="P1226" s="202"/>
      <c r="Q1226" s="225"/>
      <c r="R1226" s="225"/>
    </row>
    <row r="1227" spans="1:18" x14ac:dyDescent="0.2">
      <c r="A1227" s="13"/>
      <c r="B1227" s="18"/>
      <c r="C1227" s="19"/>
      <c r="D1227" s="19"/>
      <c r="E1227" s="20"/>
      <c r="F1227" s="22"/>
      <c r="G1227" s="62"/>
      <c r="H1227" s="23"/>
      <c r="I1227" s="23"/>
      <c r="J1227" s="193"/>
      <c r="K1227" s="198"/>
      <c r="L1227" s="199"/>
      <c r="M1227" s="199"/>
      <c r="N1227" s="200"/>
      <c r="O1227" s="202"/>
      <c r="P1227" s="202"/>
      <c r="Q1227" s="225"/>
      <c r="R1227" s="225"/>
    </row>
    <row r="1228" spans="1:18" x14ac:dyDescent="0.2">
      <c r="A1228" s="13"/>
      <c r="B1228" s="18"/>
      <c r="C1228" s="19"/>
      <c r="D1228" s="19"/>
      <c r="E1228" s="20"/>
      <c r="F1228" s="22"/>
      <c r="G1228" s="62"/>
      <c r="H1228" s="23"/>
      <c r="I1228" s="23"/>
      <c r="J1228" s="193"/>
      <c r="K1228" s="198"/>
      <c r="L1228" s="199"/>
      <c r="M1228" s="199"/>
      <c r="N1228" s="200"/>
      <c r="O1228" s="202"/>
      <c r="P1228" s="202"/>
      <c r="Q1228" s="204"/>
      <c r="R1228" s="204"/>
    </row>
    <row r="1229" spans="1:18" x14ac:dyDescent="0.2">
      <c r="A1229" s="13"/>
      <c r="B1229" s="18"/>
      <c r="C1229" s="19"/>
      <c r="D1229" s="19"/>
      <c r="E1229" s="20"/>
      <c r="F1229" s="22"/>
      <c r="G1229" s="62"/>
      <c r="H1229" s="23"/>
      <c r="I1229" s="23"/>
      <c r="J1229" s="193"/>
      <c r="K1229" s="198"/>
      <c r="L1229" s="199"/>
      <c r="M1229" s="199"/>
      <c r="N1229" s="200"/>
      <c r="O1229" s="202"/>
      <c r="P1229" s="202"/>
      <c r="Q1229" s="204"/>
      <c r="R1229" s="204"/>
    </row>
    <row r="1230" spans="1:18" x14ac:dyDescent="0.2">
      <c r="A1230" s="13"/>
      <c r="B1230" s="18"/>
      <c r="C1230" s="19"/>
      <c r="D1230" s="19"/>
      <c r="E1230" s="20"/>
      <c r="F1230" s="22"/>
      <c r="G1230" s="62"/>
      <c r="H1230" s="23"/>
      <c r="I1230" s="23"/>
      <c r="J1230" s="193"/>
      <c r="K1230" s="198"/>
      <c r="L1230" s="199"/>
      <c r="M1230" s="199"/>
      <c r="N1230" s="200"/>
      <c r="O1230" s="202"/>
      <c r="P1230" s="202"/>
      <c r="Q1230" s="204"/>
      <c r="R1230" s="204"/>
    </row>
    <row r="1231" spans="1:18" x14ac:dyDescent="0.2">
      <c r="A1231" s="13"/>
      <c r="B1231" s="18"/>
      <c r="C1231" s="19"/>
      <c r="D1231" s="19"/>
      <c r="E1231" s="20"/>
      <c r="F1231" s="22"/>
      <c r="G1231" s="22"/>
      <c r="H1231" s="23"/>
      <c r="I1231" s="23"/>
      <c r="J1231" s="193"/>
      <c r="K1231" s="198"/>
      <c r="L1231" s="199"/>
      <c r="M1231" s="199"/>
      <c r="N1231" s="200"/>
      <c r="O1231" s="202"/>
      <c r="P1231" s="202"/>
      <c r="Q1231" s="204"/>
      <c r="R1231" s="204"/>
    </row>
    <row r="1232" spans="1:18" x14ac:dyDescent="0.2">
      <c r="A1232" s="13"/>
      <c r="B1232" s="18"/>
      <c r="C1232" s="19"/>
      <c r="D1232" s="19"/>
      <c r="E1232" s="20"/>
      <c r="F1232" s="22"/>
      <c r="G1232" s="22"/>
      <c r="H1232" s="23"/>
      <c r="I1232" s="23"/>
      <c r="J1232" s="193"/>
      <c r="K1232" s="198"/>
      <c r="L1232" s="199"/>
      <c r="M1232" s="199"/>
      <c r="N1232" s="200"/>
      <c r="O1232" s="202"/>
      <c r="P1232" s="202"/>
      <c r="Q1232" s="204"/>
      <c r="R1232" s="204"/>
    </row>
    <row r="1233" spans="1:18" x14ac:dyDescent="0.2">
      <c r="A1233" s="13"/>
      <c r="B1233" s="18"/>
      <c r="C1233" s="19"/>
      <c r="D1233" s="19"/>
      <c r="E1233" s="20"/>
      <c r="F1233" s="22"/>
      <c r="G1233" s="22"/>
      <c r="H1233" s="23"/>
      <c r="I1233" s="23"/>
      <c r="J1233" s="193"/>
      <c r="K1233" s="198"/>
      <c r="L1233" s="199"/>
      <c r="M1233" s="199"/>
      <c r="N1233" s="200"/>
      <c r="O1233" s="202"/>
      <c r="P1233" s="202"/>
      <c r="Q1233" s="204"/>
      <c r="R1233" s="204"/>
    </row>
    <row r="1234" spans="1:18" x14ac:dyDescent="0.2">
      <c r="A1234" s="13"/>
      <c r="B1234" s="18"/>
      <c r="C1234" s="19"/>
      <c r="D1234" s="19"/>
      <c r="E1234" s="20"/>
      <c r="F1234" s="22"/>
      <c r="G1234" s="36"/>
      <c r="H1234" s="37"/>
      <c r="I1234" s="37"/>
      <c r="J1234" s="193"/>
      <c r="K1234" s="198"/>
      <c r="L1234" s="199"/>
      <c r="M1234" s="199"/>
      <c r="N1234" s="200"/>
      <c r="O1234" s="202"/>
      <c r="P1234" s="213"/>
      <c r="Q1234" s="214"/>
      <c r="R1234" s="214"/>
    </row>
    <row r="1235" spans="1:18" x14ac:dyDescent="0.2">
      <c r="A1235" s="13"/>
      <c r="B1235" s="248" t="s">
        <v>42</v>
      </c>
      <c r="C1235" s="249"/>
      <c r="D1235" s="249"/>
      <c r="E1235" s="250"/>
      <c r="F1235" s="46"/>
      <c r="G1235" s="46"/>
      <c r="H1235" s="47"/>
      <c r="I1235" s="47">
        <f>SUM(I1222:I1234)</f>
        <v>75.978270000000009</v>
      </c>
      <c r="J1235" s="193"/>
      <c r="K1235" s="361" t="s">
        <v>42</v>
      </c>
      <c r="L1235" s="362"/>
      <c r="M1235" s="362"/>
      <c r="N1235" s="363"/>
      <c r="O1235" s="226"/>
      <c r="P1235" s="226"/>
      <c r="Q1235" s="227"/>
      <c r="R1235" s="227">
        <f>SUM(R1222:R1234)</f>
        <v>275.625</v>
      </c>
    </row>
    <row r="1236" spans="1:18" x14ac:dyDescent="0.2">
      <c r="A1236" s="12" t="s">
        <v>43</v>
      </c>
      <c r="B1236" s="48" t="s">
        <v>44</v>
      </c>
      <c r="C1236" s="43"/>
      <c r="D1236" s="43"/>
      <c r="E1236" s="161"/>
      <c r="F1236" s="49"/>
      <c r="G1236" s="49"/>
      <c r="H1236" s="50"/>
      <c r="I1236" s="51">
        <f>SUM(I1217+I1235)</f>
        <v>90.111270000000005</v>
      </c>
      <c r="J1236" s="192" t="s">
        <v>43</v>
      </c>
      <c r="K1236" s="228" t="s">
        <v>44</v>
      </c>
      <c r="L1236" s="220"/>
      <c r="M1236" s="220"/>
      <c r="N1236" s="216"/>
      <c r="O1236" s="229"/>
      <c r="P1236" s="229"/>
      <c r="Q1236" s="230"/>
      <c r="R1236" s="51">
        <f>SUM(R1217+R1235)</f>
        <v>292.04509999999999</v>
      </c>
    </row>
    <row r="1237" spans="1:18" x14ac:dyDescent="0.2">
      <c r="A1237" s="13" t="s">
        <v>45</v>
      </c>
      <c r="B1237" s="48" t="s">
        <v>46</v>
      </c>
      <c r="C1237" s="43"/>
      <c r="D1237" s="43"/>
      <c r="E1237" s="161"/>
      <c r="F1237" s="49"/>
      <c r="G1237" s="52">
        <v>0.09</v>
      </c>
      <c r="H1237" s="53" t="s">
        <v>47</v>
      </c>
      <c r="I1237" s="51">
        <f>G1237*I1236</f>
        <v>8.1100142999999996</v>
      </c>
      <c r="J1237" s="193" t="s">
        <v>45</v>
      </c>
      <c r="K1237" s="228" t="s">
        <v>46</v>
      </c>
      <c r="L1237" s="220"/>
      <c r="M1237" s="220"/>
      <c r="N1237" s="216"/>
      <c r="O1237" s="229"/>
      <c r="P1237" s="231">
        <v>0.09</v>
      </c>
      <c r="Q1237" s="232" t="s">
        <v>47</v>
      </c>
      <c r="R1237" s="51">
        <f>P1237*R1236</f>
        <v>26.284058999999999</v>
      </c>
    </row>
    <row r="1238" spans="1:18" x14ac:dyDescent="0.2">
      <c r="A1238" s="13" t="s">
        <v>48</v>
      </c>
      <c r="B1238" s="48" t="s">
        <v>49</v>
      </c>
      <c r="C1238" s="43"/>
      <c r="D1238" s="43"/>
      <c r="E1238" s="161"/>
      <c r="F1238" s="49"/>
      <c r="G1238" s="52">
        <v>0.08</v>
      </c>
      <c r="H1238" s="53" t="s">
        <v>47</v>
      </c>
      <c r="I1238" s="51">
        <f>G1238*I1236</f>
        <v>7.2089016000000008</v>
      </c>
      <c r="J1238" s="193" t="s">
        <v>48</v>
      </c>
      <c r="K1238" s="228" t="s">
        <v>49</v>
      </c>
      <c r="L1238" s="220"/>
      <c r="M1238" s="220"/>
      <c r="N1238" s="216"/>
      <c r="O1238" s="229"/>
      <c r="P1238" s="231">
        <v>0.08</v>
      </c>
      <c r="Q1238" s="232" t="s">
        <v>47</v>
      </c>
      <c r="R1238" s="51">
        <f>P1238*R1236</f>
        <v>23.363607999999999</v>
      </c>
    </row>
    <row r="1239" spans="1:18" x14ac:dyDescent="0.2">
      <c r="A1239" s="13" t="s">
        <v>50</v>
      </c>
      <c r="B1239" s="48" t="s">
        <v>51</v>
      </c>
      <c r="C1239" s="43"/>
      <c r="D1239" s="43"/>
      <c r="E1239" s="161"/>
      <c r="F1239" s="49"/>
      <c r="G1239" s="52">
        <v>0.05</v>
      </c>
      <c r="H1239" s="53" t="s">
        <v>52</v>
      </c>
      <c r="I1239" s="51">
        <f>G1239*(I1236+I1237+I1238)</f>
        <v>5.2715092950000013</v>
      </c>
      <c r="J1239" s="193" t="s">
        <v>50</v>
      </c>
      <c r="K1239" s="228" t="s">
        <v>51</v>
      </c>
      <c r="L1239" s="220"/>
      <c r="M1239" s="220"/>
      <c r="N1239" s="216"/>
      <c r="O1239" s="229"/>
      <c r="P1239" s="231">
        <v>0.05</v>
      </c>
      <c r="Q1239" s="232" t="s">
        <v>52</v>
      </c>
      <c r="R1239" s="51">
        <f>P1239*(R1236+R1237+R1238)</f>
        <v>17.084638350000002</v>
      </c>
    </row>
    <row r="1240" spans="1:18" x14ac:dyDescent="0.2">
      <c r="A1240" s="54" t="s">
        <v>53</v>
      </c>
      <c r="B1240" s="48" t="s">
        <v>54</v>
      </c>
      <c r="C1240" s="43"/>
      <c r="D1240" s="43"/>
      <c r="E1240" s="161"/>
      <c r="F1240" s="49"/>
      <c r="G1240" s="49"/>
      <c r="H1240" s="55" t="s">
        <v>55</v>
      </c>
      <c r="I1240" s="51">
        <f>SUM(I1236+I1237+I1238+I1239)</f>
        <v>110.70169519500001</v>
      </c>
      <c r="J1240" s="233" t="s">
        <v>53</v>
      </c>
      <c r="K1240" s="228" t="s">
        <v>54</v>
      </c>
      <c r="L1240" s="220"/>
      <c r="M1240" s="220"/>
      <c r="N1240" s="216"/>
      <c r="O1240" s="229"/>
      <c r="P1240" s="229"/>
      <c r="Q1240" s="234" t="s">
        <v>55</v>
      </c>
      <c r="R1240" s="51">
        <f>SUM(R1236+R1237+R1238+R1239)</f>
        <v>358.77740534999998</v>
      </c>
    </row>
    <row r="1241" spans="1:18" s="1" customFormat="1" x14ac:dyDescent="0.2">
      <c r="A1241" s="236" t="s">
        <v>0</v>
      </c>
      <c r="B1241" s="236"/>
      <c r="C1241" s="236"/>
      <c r="D1241" s="236"/>
      <c r="E1241" s="236"/>
      <c r="F1241" s="236"/>
      <c r="G1241" s="236"/>
      <c r="H1241" s="236"/>
      <c r="I1241" s="236"/>
      <c r="J1241" s="236" t="s">
        <v>0</v>
      </c>
      <c r="K1241" s="236"/>
      <c r="L1241" s="236"/>
      <c r="M1241" s="236"/>
      <c r="N1241" s="236"/>
      <c r="O1241" s="236"/>
      <c r="P1241" s="236"/>
      <c r="Q1241" s="236"/>
      <c r="R1241" s="236"/>
    </row>
    <row r="1243" spans="1:18" x14ac:dyDescent="0.2">
      <c r="A1243" s="158" t="s">
        <v>1</v>
      </c>
      <c r="C1243" s="4" t="s">
        <v>2</v>
      </c>
      <c r="D1243" s="5" t="s">
        <v>791</v>
      </c>
      <c r="E1243" s="8" t="s">
        <v>1295</v>
      </c>
      <c r="F1243" s="8"/>
      <c r="G1243" s="8"/>
      <c r="H1243" s="8"/>
      <c r="I1243" s="8"/>
      <c r="J1243" s="158" t="s">
        <v>1</v>
      </c>
      <c r="L1243" s="4" t="s">
        <v>2</v>
      </c>
      <c r="M1243" s="5" t="s">
        <v>782</v>
      </c>
      <c r="N1243" s="237" t="s">
        <v>783</v>
      </c>
      <c r="O1243" s="237"/>
      <c r="P1243" s="237"/>
      <c r="Q1243" s="237"/>
    </row>
    <row r="1244" spans="1:18" x14ac:dyDescent="0.2">
      <c r="A1244" s="158" t="s">
        <v>7</v>
      </c>
      <c r="C1244" s="4" t="s">
        <v>2</v>
      </c>
      <c r="E1244" s="158" t="s">
        <v>1153</v>
      </c>
      <c r="F1244" s="8"/>
      <c r="G1244" s="8"/>
      <c r="H1244" s="8"/>
      <c r="J1244" s="158" t="s">
        <v>7</v>
      </c>
      <c r="L1244" s="4" t="s">
        <v>2</v>
      </c>
      <c r="M1244" s="8"/>
      <c r="N1244" s="158" t="s">
        <v>59</v>
      </c>
      <c r="O1244" s="8"/>
      <c r="P1244" s="8"/>
      <c r="Q1244" s="8"/>
    </row>
    <row r="1245" spans="1:18" x14ac:dyDescent="0.2">
      <c r="A1245" s="158" t="s">
        <v>10</v>
      </c>
      <c r="C1245" s="4" t="s">
        <v>2</v>
      </c>
      <c r="E1245" s="9">
        <v>6</v>
      </c>
      <c r="F1245" s="8"/>
      <c r="G1245" s="8"/>
      <c r="H1245" s="8"/>
      <c r="J1245" s="158" t="s">
        <v>10</v>
      </c>
      <c r="L1245" s="4" t="s">
        <v>2</v>
      </c>
      <c r="M1245" s="8"/>
      <c r="N1245" s="9">
        <v>1</v>
      </c>
      <c r="O1245" s="8"/>
      <c r="P1245" s="8"/>
      <c r="Q1245" s="8"/>
    </row>
    <row r="1246" spans="1:18" x14ac:dyDescent="0.2">
      <c r="B1246" s="8"/>
      <c r="F1246" s="11"/>
      <c r="G1246" s="8"/>
      <c r="H1246" s="8"/>
      <c r="I1246" s="8"/>
      <c r="K1246" s="8"/>
      <c r="O1246" s="11"/>
      <c r="P1246" s="8"/>
      <c r="Q1246" s="8"/>
      <c r="R1246" s="8"/>
    </row>
    <row r="1247" spans="1:18" x14ac:dyDescent="0.2">
      <c r="A1247" s="12"/>
      <c r="B1247" s="238" t="s">
        <v>11</v>
      </c>
      <c r="C1247" s="239"/>
      <c r="D1247" s="239"/>
      <c r="E1247" s="240"/>
      <c r="F1247" s="244" t="s">
        <v>12</v>
      </c>
      <c r="G1247" s="244" t="s">
        <v>13</v>
      </c>
      <c r="H1247" s="244" t="s">
        <v>14</v>
      </c>
      <c r="I1247" s="246" t="s">
        <v>15</v>
      </c>
      <c r="J1247" s="12"/>
      <c r="K1247" s="238" t="s">
        <v>11</v>
      </c>
      <c r="L1247" s="239"/>
      <c r="M1247" s="239"/>
      <c r="N1247" s="240"/>
      <c r="O1247" s="244" t="s">
        <v>12</v>
      </c>
      <c r="P1247" s="244" t="s">
        <v>13</v>
      </c>
      <c r="Q1247" s="244" t="s">
        <v>14</v>
      </c>
      <c r="R1247" s="246" t="s">
        <v>15</v>
      </c>
    </row>
    <row r="1248" spans="1:18" x14ac:dyDescent="0.2">
      <c r="A1248" s="13"/>
      <c r="B1248" s="241"/>
      <c r="C1248" s="242"/>
      <c r="D1248" s="242"/>
      <c r="E1248" s="243"/>
      <c r="F1248" s="245"/>
      <c r="G1248" s="245"/>
      <c r="H1248" s="245"/>
      <c r="I1248" s="247"/>
      <c r="J1248" s="13"/>
      <c r="K1248" s="241"/>
      <c r="L1248" s="242"/>
      <c r="M1248" s="242"/>
      <c r="N1248" s="243"/>
      <c r="O1248" s="245"/>
      <c r="P1248" s="245"/>
      <c r="Q1248" s="245"/>
      <c r="R1248" s="247"/>
    </row>
    <row r="1249" spans="1:18" x14ac:dyDescent="0.2">
      <c r="A1249" s="13" t="s">
        <v>16</v>
      </c>
      <c r="B1249" s="14" t="s">
        <v>17</v>
      </c>
      <c r="C1249" s="15"/>
      <c r="D1249" s="15"/>
      <c r="E1249" s="16"/>
      <c r="F1249" s="17"/>
      <c r="G1249" s="17"/>
      <c r="H1249" s="17"/>
      <c r="I1249" s="17"/>
      <c r="J1249" s="13" t="s">
        <v>16</v>
      </c>
      <c r="K1249" s="14" t="s">
        <v>17</v>
      </c>
      <c r="L1249" s="15"/>
      <c r="M1249" s="15"/>
      <c r="N1249" s="16"/>
      <c r="O1249" s="17"/>
      <c r="P1249" s="17"/>
      <c r="Q1249" s="17"/>
      <c r="R1249" s="17"/>
    </row>
    <row r="1250" spans="1:18" x14ac:dyDescent="0.2">
      <c r="A1250" s="13"/>
      <c r="B1250" s="18"/>
      <c r="C1250" s="19"/>
      <c r="D1250" s="19"/>
      <c r="E1250" s="20"/>
      <c r="F1250" s="21"/>
      <c r="G1250" s="22"/>
      <c r="H1250" s="21"/>
      <c r="I1250" s="21"/>
      <c r="J1250" s="13"/>
      <c r="K1250" s="18"/>
      <c r="L1250" s="19"/>
      <c r="M1250" s="19"/>
      <c r="N1250" s="20"/>
      <c r="O1250" s="21"/>
      <c r="P1250" s="22"/>
      <c r="Q1250" s="21"/>
      <c r="R1250" s="21"/>
    </row>
    <row r="1251" spans="1:18" x14ac:dyDescent="0.2">
      <c r="A1251" s="13"/>
      <c r="B1251" s="24" t="s">
        <v>18</v>
      </c>
      <c r="C1251" s="25"/>
      <c r="D1251" s="25"/>
      <c r="E1251" s="26"/>
      <c r="F1251" s="22">
        <v>1</v>
      </c>
      <c r="G1251" s="23">
        <v>1</v>
      </c>
      <c r="H1251" s="23">
        <v>69.42</v>
      </c>
      <c r="I1251" s="23">
        <f>G1251*H1251*F1251</f>
        <v>69.42</v>
      </c>
      <c r="J1251" s="13"/>
      <c r="K1251" s="24" t="s">
        <v>18</v>
      </c>
      <c r="L1251" s="25"/>
      <c r="M1251" s="25"/>
      <c r="N1251" s="26"/>
      <c r="O1251" s="22">
        <v>1</v>
      </c>
      <c r="P1251" s="23">
        <v>1</v>
      </c>
      <c r="Q1251" s="23">
        <v>69.42</v>
      </c>
      <c r="R1251" s="23">
        <f>O1251*P1251*Q1251</f>
        <v>69.42</v>
      </c>
    </row>
    <row r="1252" spans="1:18" x14ac:dyDescent="0.2">
      <c r="A1252" s="13"/>
      <c r="B1252" s="257" t="s">
        <v>1178</v>
      </c>
      <c r="C1252" s="258"/>
      <c r="D1252" s="25"/>
      <c r="E1252" s="26"/>
      <c r="F1252" s="22">
        <v>1</v>
      </c>
      <c r="G1252" s="23">
        <v>1</v>
      </c>
      <c r="H1252" s="23">
        <v>50.18</v>
      </c>
      <c r="I1252" s="23">
        <f>G1252*H1252*F1252</f>
        <v>50.18</v>
      </c>
      <c r="J1252" s="13"/>
      <c r="K1252" s="257" t="s">
        <v>1178</v>
      </c>
      <c r="L1252" s="258"/>
      <c r="M1252" s="25"/>
      <c r="N1252" s="26"/>
      <c r="O1252" s="22">
        <v>1</v>
      </c>
      <c r="P1252" s="23">
        <v>1</v>
      </c>
      <c r="Q1252" s="23">
        <v>50.18</v>
      </c>
      <c r="R1252" s="23">
        <f>O1252*P1252*Q1252</f>
        <v>50.18</v>
      </c>
    </row>
    <row r="1253" spans="1:18" x14ac:dyDescent="0.2">
      <c r="A1253" s="13"/>
      <c r="B1253" s="257" t="s">
        <v>1177</v>
      </c>
      <c r="C1253" s="258"/>
      <c r="D1253" s="19"/>
      <c r="E1253" s="20"/>
      <c r="F1253" s="22">
        <v>2</v>
      </c>
      <c r="G1253" s="23">
        <v>1</v>
      </c>
      <c r="H1253" s="23">
        <v>38.97</v>
      </c>
      <c r="I1253" s="23">
        <f>G1253*H1253*F1253</f>
        <v>77.94</v>
      </c>
      <c r="J1253" s="13"/>
      <c r="K1253" s="257" t="s">
        <v>1177</v>
      </c>
      <c r="L1253" s="258"/>
      <c r="M1253" s="19"/>
      <c r="N1253" s="20"/>
      <c r="O1253" s="22">
        <v>2</v>
      </c>
      <c r="P1253" s="23">
        <v>1</v>
      </c>
      <c r="Q1253" s="23">
        <v>38.97</v>
      </c>
      <c r="R1253" s="23">
        <f>O1253*P1253*Q1253</f>
        <v>77.94</v>
      </c>
    </row>
    <row r="1254" spans="1:18" x14ac:dyDescent="0.2">
      <c r="A1254" s="13"/>
      <c r="B1254" s="159"/>
      <c r="C1254" s="160"/>
      <c r="D1254" s="19"/>
      <c r="E1254" s="20"/>
      <c r="F1254" s="22"/>
      <c r="G1254" s="22"/>
      <c r="H1254" s="29"/>
      <c r="I1254" s="30"/>
      <c r="J1254" s="13"/>
      <c r="K1254" s="159"/>
      <c r="L1254" s="19"/>
      <c r="M1254" s="19"/>
      <c r="N1254" s="20"/>
      <c r="O1254" s="22"/>
      <c r="P1254" s="22"/>
      <c r="Q1254" s="29"/>
      <c r="R1254" s="30"/>
    </row>
    <row r="1255" spans="1:18" x14ac:dyDescent="0.2">
      <c r="A1255" s="13"/>
      <c r="B1255" s="159"/>
      <c r="C1255" s="160"/>
      <c r="D1255" s="19"/>
      <c r="E1255" s="20"/>
      <c r="F1255" s="22"/>
      <c r="G1255" s="22"/>
      <c r="H1255" s="29"/>
      <c r="I1255" s="30"/>
      <c r="J1255" s="13"/>
      <c r="K1255" s="159"/>
      <c r="L1255" s="19"/>
      <c r="M1255" s="19"/>
      <c r="N1255" s="20"/>
      <c r="O1255" s="22"/>
      <c r="P1255" s="22"/>
      <c r="Q1255" s="29"/>
      <c r="R1255" s="30"/>
    </row>
    <row r="1256" spans="1:18" x14ac:dyDescent="0.2">
      <c r="A1256" s="13"/>
      <c r="B1256" s="257"/>
      <c r="C1256" s="258"/>
      <c r="D1256" s="19"/>
      <c r="E1256" s="20"/>
      <c r="F1256" s="22"/>
      <c r="G1256" s="22"/>
      <c r="H1256" s="23"/>
      <c r="I1256" s="23"/>
      <c r="J1256" s="13"/>
      <c r="K1256" s="18"/>
      <c r="L1256" s="19"/>
      <c r="M1256" s="19"/>
      <c r="N1256" s="20"/>
      <c r="O1256" s="22"/>
      <c r="P1256" s="22"/>
      <c r="Q1256" s="28"/>
      <c r="R1256" s="23"/>
    </row>
    <row r="1257" spans="1:18" x14ac:dyDescent="0.2">
      <c r="A1257" s="13"/>
      <c r="B1257" s="257"/>
      <c r="C1257" s="258"/>
      <c r="D1257" s="19"/>
      <c r="E1257" s="20"/>
      <c r="F1257" s="22"/>
      <c r="G1257" s="22"/>
      <c r="H1257" s="23"/>
      <c r="I1257" s="23"/>
      <c r="J1257" s="13"/>
      <c r="K1257" s="18"/>
      <c r="L1257" s="19"/>
      <c r="M1257" s="19"/>
      <c r="N1257" s="20"/>
      <c r="O1257" s="22"/>
      <c r="P1257" s="22"/>
      <c r="Q1257" s="23"/>
      <c r="R1257" s="23"/>
    </row>
    <row r="1258" spans="1:18" x14ac:dyDescent="0.2">
      <c r="A1258" s="13"/>
      <c r="B1258" s="248" t="s">
        <v>20</v>
      </c>
      <c r="C1258" s="249"/>
      <c r="D1258" s="249"/>
      <c r="E1258" s="250"/>
      <c r="F1258" s="31"/>
      <c r="G1258" s="31"/>
      <c r="H1258" s="32"/>
      <c r="I1258" s="32">
        <f>SUM(I1251:I1257)</f>
        <v>197.54</v>
      </c>
      <c r="J1258" s="13"/>
      <c r="K1258" s="248" t="s">
        <v>20</v>
      </c>
      <c r="L1258" s="249"/>
      <c r="M1258" s="249"/>
      <c r="N1258" s="250"/>
      <c r="O1258" s="31"/>
      <c r="P1258" s="31"/>
      <c r="Q1258" s="32"/>
      <c r="R1258" s="32">
        <f>SUM(R1251:R1257)</f>
        <v>197.54</v>
      </c>
    </row>
    <row r="1259" spans="1:18" x14ac:dyDescent="0.2">
      <c r="A1259" s="12"/>
      <c r="B1259" s="251" t="s">
        <v>21</v>
      </c>
      <c r="C1259" s="252"/>
      <c r="D1259" s="252"/>
      <c r="E1259" s="253"/>
      <c r="F1259" s="244" t="s">
        <v>22</v>
      </c>
      <c r="G1259" s="244" t="s">
        <v>13</v>
      </c>
      <c r="H1259" s="244" t="s">
        <v>14</v>
      </c>
      <c r="I1259" s="246" t="s">
        <v>15</v>
      </c>
      <c r="J1259" s="12"/>
      <c r="K1259" s="251" t="s">
        <v>21</v>
      </c>
      <c r="L1259" s="252"/>
      <c r="M1259" s="252"/>
      <c r="N1259" s="253"/>
      <c r="O1259" s="244" t="s">
        <v>22</v>
      </c>
      <c r="P1259" s="244" t="s">
        <v>13</v>
      </c>
      <c r="Q1259" s="244" t="s">
        <v>14</v>
      </c>
      <c r="R1259" s="246" t="s">
        <v>15</v>
      </c>
    </row>
    <row r="1260" spans="1:18" x14ac:dyDescent="0.2">
      <c r="A1260" s="13"/>
      <c r="B1260" s="254"/>
      <c r="C1260" s="255"/>
      <c r="D1260" s="255"/>
      <c r="E1260" s="256"/>
      <c r="F1260" s="245"/>
      <c r="G1260" s="245"/>
      <c r="H1260" s="245"/>
      <c r="I1260" s="247"/>
      <c r="J1260" s="13"/>
      <c r="K1260" s="254"/>
      <c r="L1260" s="255"/>
      <c r="M1260" s="255"/>
      <c r="N1260" s="256"/>
      <c r="O1260" s="245"/>
      <c r="P1260" s="245"/>
      <c r="Q1260" s="245"/>
      <c r="R1260" s="247"/>
    </row>
    <row r="1261" spans="1:18" x14ac:dyDescent="0.2">
      <c r="A1261" s="13" t="s">
        <v>23</v>
      </c>
      <c r="B1261" s="33" t="s">
        <v>24</v>
      </c>
      <c r="C1261" s="15"/>
      <c r="D1261" s="15"/>
      <c r="E1261" s="16"/>
      <c r="F1261" s="34"/>
      <c r="G1261" s="34"/>
      <c r="H1261" s="35"/>
      <c r="I1261" s="35"/>
      <c r="J1261" s="13" t="s">
        <v>23</v>
      </c>
      <c r="K1261" s="33" t="s">
        <v>24</v>
      </c>
      <c r="L1261" s="15"/>
      <c r="M1261" s="15"/>
      <c r="N1261" s="16"/>
      <c r="O1261" s="34"/>
      <c r="P1261" s="34"/>
      <c r="Q1261" s="35"/>
      <c r="R1261" s="35"/>
    </row>
    <row r="1262" spans="1:18" x14ac:dyDescent="0.2">
      <c r="A1262" s="13"/>
      <c r="B1262" s="18"/>
      <c r="C1262" s="19"/>
      <c r="D1262" s="19"/>
      <c r="E1262" s="20"/>
      <c r="F1262" s="22"/>
      <c r="G1262" s="22"/>
      <c r="H1262" s="23"/>
      <c r="I1262" s="23"/>
      <c r="J1262" s="13"/>
      <c r="K1262" s="18"/>
      <c r="L1262" s="19"/>
      <c r="M1262" s="19"/>
      <c r="N1262" s="20"/>
      <c r="O1262" s="22"/>
      <c r="P1262" s="22"/>
      <c r="Q1262" s="23"/>
      <c r="R1262" s="23"/>
    </row>
    <row r="1263" spans="1:18" x14ac:dyDescent="0.2">
      <c r="A1263" s="13"/>
      <c r="B1263" s="18" t="s">
        <v>1294</v>
      </c>
      <c r="C1263" s="19"/>
      <c r="D1263" s="19"/>
      <c r="E1263" s="20"/>
      <c r="F1263" s="22">
        <v>1</v>
      </c>
      <c r="G1263" s="23">
        <v>0.5</v>
      </c>
      <c r="H1263" s="37">
        <v>371</v>
      </c>
      <c r="I1263" s="37">
        <f>G1263*H1263*F1263</f>
        <v>185.5</v>
      </c>
      <c r="J1263" s="13"/>
      <c r="K1263" s="18" t="s">
        <v>1277</v>
      </c>
      <c r="L1263" s="19"/>
      <c r="M1263" s="19"/>
      <c r="N1263" s="20"/>
      <c r="O1263" s="22">
        <v>1</v>
      </c>
      <c r="P1263" s="23">
        <v>0.25</v>
      </c>
      <c r="Q1263" s="37">
        <v>783</v>
      </c>
      <c r="R1263" s="37">
        <f>P1263*Q1263*O1263</f>
        <v>195.75</v>
      </c>
    </row>
    <row r="1264" spans="1:18" x14ac:dyDescent="0.2">
      <c r="A1264" s="13"/>
      <c r="B1264" s="18" t="s">
        <v>92</v>
      </c>
      <c r="C1264" s="19"/>
      <c r="D1264" s="19"/>
      <c r="E1264" s="20"/>
      <c r="F1264" s="22"/>
      <c r="G1264" s="36"/>
      <c r="I1264" s="37">
        <f>I1258*0.1</f>
        <v>19.754000000000001</v>
      </c>
      <c r="J1264" s="13"/>
      <c r="K1264" s="18" t="s">
        <v>125</v>
      </c>
      <c r="L1264" s="66"/>
      <c r="M1264" s="19"/>
      <c r="N1264" s="20"/>
      <c r="O1264" s="22"/>
      <c r="P1264" s="71"/>
      <c r="R1264" s="37">
        <f>R1258*0.1</f>
        <v>19.754000000000001</v>
      </c>
    </row>
    <row r="1265" spans="1:18" x14ac:dyDescent="0.2">
      <c r="A1265" s="13"/>
      <c r="B1265" s="18"/>
      <c r="C1265" s="19"/>
      <c r="D1265" s="19"/>
      <c r="E1265" s="20"/>
      <c r="F1265" s="22"/>
      <c r="G1265" s="23"/>
      <c r="H1265" s="37"/>
      <c r="I1265" s="37"/>
      <c r="J1265" s="13"/>
      <c r="K1265" s="18"/>
      <c r="L1265" s="19"/>
      <c r="M1265" s="19"/>
      <c r="N1265" s="20"/>
      <c r="O1265" s="22"/>
      <c r="P1265" s="36"/>
      <c r="Q1265" s="37"/>
      <c r="R1265" s="37"/>
    </row>
    <row r="1266" spans="1:18" x14ac:dyDescent="0.2">
      <c r="A1266" s="13"/>
      <c r="B1266" s="18"/>
      <c r="C1266" s="19"/>
      <c r="D1266" s="19"/>
      <c r="E1266" s="20"/>
      <c r="F1266" s="22"/>
      <c r="G1266" s="23"/>
      <c r="H1266" s="37"/>
      <c r="I1266" s="37"/>
      <c r="J1266" s="13"/>
      <c r="K1266" s="18"/>
      <c r="O1266" s="22"/>
      <c r="P1266" s="36"/>
      <c r="Q1266" s="37"/>
      <c r="R1266" s="37"/>
    </row>
    <row r="1267" spans="1:18" x14ac:dyDescent="0.2">
      <c r="A1267" s="13"/>
      <c r="B1267" s="18"/>
      <c r="C1267" s="19"/>
      <c r="D1267" s="19"/>
      <c r="E1267" s="20"/>
      <c r="F1267" s="22"/>
      <c r="G1267" s="23"/>
      <c r="H1267" s="37"/>
      <c r="I1267" s="37"/>
      <c r="J1267" s="13"/>
      <c r="K1267" s="18"/>
      <c r="L1267" s="19"/>
      <c r="M1267" s="19"/>
      <c r="N1267" s="20"/>
      <c r="O1267" s="22"/>
      <c r="P1267" s="36"/>
      <c r="Q1267" s="37"/>
      <c r="R1267" s="37"/>
    </row>
    <row r="1268" spans="1:18" x14ac:dyDescent="0.2">
      <c r="A1268" s="13"/>
      <c r="B1268" s="18"/>
      <c r="C1268" s="19"/>
      <c r="D1268" s="19"/>
      <c r="E1268" s="20"/>
      <c r="F1268" s="22"/>
      <c r="G1268" s="36"/>
      <c r="H1268" s="37"/>
      <c r="I1268" s="38"/>
      <c r="J1268" s="13"/>
      <c r="K1268" s="18"/>
      <c r="L1268" s="19"/>
      <c r="M1268" s="19"/>
      <c r="N1268" s="20"/>
      <c r="O1268" s="22"/>
      <c r="P1268" s="36"/>
      <c r="Q1268" s="37"/>
      <c r="R1268" s="37"/>
    </row>
    <row r="1269" spans="1:18" x14ac:dyDescent="0.2">
      <c r="A1269" s="13"/>
      <c r="B1269" s="18"/>
      <c r="C1269" s="19"/>
      <c r="D1269" s="19"/>
      <c r="E1269" s="20"/>
      <c r="F1269" s="22"/>
      <c r="G1269" s="36"/>
      <c r="H1269" s="37"/>
      <c r="I1269" s="38"/>
      <c r="J1269" s="13"/>
      <c r="K1269" s="18"/>
      <c r="L1269" s="19"/>
      <c r="M1269" s="19"/>
      <c r="N1269" s="20"/>
      <c r="O1269" s="22"/>
      <c r="P1269" s="36"/>
      <c r="Q1269" s="37"/>
      <c r="R1269" s="37"/>
    </row>
    <row r="1270" spans="1:18" x14ac:dyDescent="0.2">
      <c r="A1270" s="13"/>
      <c r="B1270" s="18"/>
      <c r="C1270" s="19"/>
      <c r="D1270" s="19"/>
      <c r="E1270" s="20"/>
      <c r="F1270" s="22"/>
      <c r="G1270" s="23"/>
      <c r="H1270" s="37"/>
      <c r="I1270" s="38"/>
      <c r="J1270" s="13"/>
      <c r="K1270" s="18"/>
      <c r="L1270" s="19"/>
      <c r="M1270" s="19"/>
      <c r="N1270" s="20"/>
      <c r="O1270" s="22"/>
      <c r="P1270" s="23"/>
      <c r="Q1270" s="37"/>
      <c r="R1270" s="37"/>
    </row>
    <row r="1271" spans="1:18" x14ac:dyDescent="0.2">
      <c r="A1271" s="13"/>
      <c r="B1271" s="18"/>
      <c r="C1271" s="19"/>
      <c r="D1271" s="19"/>
      <c r="E1271" s="20"/>
      <c r="F1271" s="22"/>
      <c r="G1271" s="23"/>
      <c r="H1271" s="37"/>
      <c r="I1271" s="38"/>
      <c r="J1271" s="13"/>
      <c r="K1271" s="18"/>
      <c r="L1271" s="19"/>
      <c r="M1271" s="19"/>
      <c r="N1271" s="20"/>
      <c r="O1271" s="22"/>
      <c r="P1271" s="36"/>
      <c r="Q1271" s="38"/>
      <c r="R1271" s="38"/>
    </row>
    <row r="1272" spans="1:18" x14ac:dyDescent="0.2">
      <c r="A1272" s="13"/>
      <c r="B1272" s="7"/>
      <c r="C1272" s="7"/>
      <c r="D1272" s="7"/>
      <c r="E1272" s="7"/>
      <c r="F1272" s="72"/>
      <c r="G1272" s="72"/>
      <c r="H1272" s="72"/>
      <c r="I1272" s="37"/>
      <c r="J1272" s="13"/>
      <c r="K1272" s="18"/>
      <c r="L1272" s="19"/>
      <c r="M1272" s="19"/>
      <c r="N1272" s="20"/>
      <c r="O1272" s="22"/>
      <c r="P1272" s="36"/>
      <c r="Q1272" s="37"/>
      <c r="R1272" s="37"/>
    </row>
    <row r="1273" spans="1:18" x14ac:dyDescent="0.2">
      <c r="A1273" s="13"/>
      <c r="B1273" s="18"/>
      <c r="C1273" s="19"/>
      <c r="D1273" s="19"/>
      <c r="E1273" s="20"/>
      <c r="F1273" s="22"/>
      <c r="G1273" s="36"/>
      <c r="H1273" s="37"/>
      <c r="I1273" s="37"/>
      <c r="J1273" s="13"/>
      <c r="K1273" s="18"/>
      <c r="L1273" s="19"/>
      <c r="M1273" s="19"/>
      <c r="N1273" s="20"/>
      <c r="O1273" s="22"/>
      <c r="P1273" s="36"/>
      <c r="Q1273" s="37"/>
      <c r="R1273" s="37"/>
    </row>
    <row r="1274" spans="1:18" x14ac:dyDescent="0.2">
      <c r="A1274" s="13"/>
      <c r="B1274" s="18"/>
      <c r="C1274" s="19"/>
      <c r="D1274" s="19"/>
      <c r="E1274" s="20"/>
      <c r="F1274" s="22"/>
      <c r="G1274" s="36"/>
      <c r="H1274" s="37"/>
      <c r="I1274" s="37"/>
      <c r="J1274" s="13"/>
      <c r="K1274" s="18"/>
      <c r="L1274" s="19"/>
      <c r="M1274" s="19"/>
      <c r="N1274" s="20"/>
      <c r="O1274" s="22"/>
      <c r="P1274" s="36"/>
      <c r="Q1274" s="37"/>
      <c r="R1274" s="37"/>
    </row>
    <row r="1275" spans="1:18" x14ac:dyDescent="0.2">
      <c r="A1275" s="13"/>
      <c r="B1275" s="18"/>
      <c r="C1275" s="19"/>
      <c r="D1275" s="19"/>
      <c r="E1275" s="20"/>
      <c r="F1275" s="22"/>
      <c r="G1275" s="22"/>
      <c r="H1275" s="23"/>
      <c r="I1275" s="23"/>
      <c r="J1275" s="13"/>
      <c r="K1275" s="18"/>
      <c r="L1275" s="19"/>
      <c r="M1275" s="19"/>
      <c r="N1275" s="20"/>
      <c r="O1275" s="22"/>
      <c r="P1275" s="22"/>
      <c r="Q1275" s="23"/>
      <c r="R1275" s="23"/>
    </row>
    <row r="1276" spans="1:18" x14ac:dyDescent="0.2">
      <c r="A1276" s="13"/>
      <c r="B1276" s="248" t="s">
        <v>30</v>
      </c>
      <c r="C1276" s="249"/>
      <c r="D1276" s="249"/>
      <c r="E1276" s="250"/>
      <c r="F1276" s="22"/>
      <c r="G1276" s="22"/>
      <c r="H1276" s="23"/>
      <c r="I1276" s="23">
        <f>SUM(I1263:I1275)</f>
        <v>205.25399999999999</v>
      </c>
      <c r="J1276" s="13"/>
      <c r="K1276" s="248" t="s">
        <v>30</v>
      </c>
      <c r="L1276" s="249"/>
      <c r="M1276" s="249"/>
      <c r="N1276" s="250"/>
      <c r="O1276" s="22"/>
      <c r="P1276" s="22"/>
      <c r="Q1276" s="23"/>
      <c r="R1276" s="23">
        <f>SUM(R1263:R1275)</f>
        <v>215.50399999999999</v>
      </c>
    </row>
    <row r="1277" spans="1:18" x14ac:dyDescent="0.2">
      <c r="A1277" s="12" t="s">
        <v>31</v>
      </c>
      <c r="B1277" s="260" t="s">
        <v>32</v>
      </c>
      <c r="C1277" s="261"/>
      <c r="D1277" s="261"/>
      <c r="E1277" s="261"/>
      <c r="F1277" s="161"/>
      <c r="G1277" s="161"/>
      <c r="H1277" s="40"/>
      <c r="I1277" s="41">
        <f>SUM(I1276+I1258)</f>
        <v>402.79399999999998</v>
      </c>
      <c r="J1277" s="12" t="s">
        <v>31</v>
      </c>
      <c r="K1277" s="260" t="s">
        <v>32</v>
      </c>
      <c r="L1277" s="261"/>
      <c r="M1277" s="261"/>
      <c r="N1277" s="261"/>
      <c r="O1277" s="161"/>
      <c r="P1277" s="161"/>
      <c r="Q1277" s="40"/>
      <c r="R1277" s="41">
        <f>SUM(R1276+R1258)</f>
        <v>413.04399999999998</v>
      </c>
    </row>
    <row r="1278" spans="1:18" x14ac:dyDescent="0.2">
      <c r="A1278" s="13" t="s">
        <v>33</v>
      </c>
      <c r="B1278" s="297">
        <f>E1245</f>
        <v>6</v>
      </c>
      <c r="C1278" s="298"/>
      <c r="D1278" s="298"/>
      <c r="E1278" s="298"/>
      <c r="F1278" s="298"/>
      <c r="G1278" s="298"/>
      <c r="H1278" s="40"/>
      <c r="I1278" s="41"/>
      <c r="J1278" s="13" t="s">
        <v>33</v>
      </c>
      <c r="K1278" s="345">
        <f>N1245</f>
        <v>1</v>
      </c>
      <c r="L1278" s="346"/>
      <c r="M1278" s="346"/>
      <c r="N1278" s="346"/>
      <c r="O1278" s="346"/>
      <c r="P1278" s="346"/>
      <c r="Q1278" s="40"/>
      <c r="R1278" s="41"/>
    </row>
    <row r="1279" spans="1:18" x14ac:dyDescent="0.2">
      <c r="A1279" s="13" t="s">
        <v>34</v>
      </c>
      <c r="B1279" s="162" t="s">
        <v>35</v>
      </c>
      <c r="C1279" s="43"/>
      <c r="D1279" s="43"/>
      <c r="E1279" s="161"/>
      <c r="F1279" s="163"/>
      <c r="G1279" s="163"/>
      <c r="H1279" s="40"/>
      <c r="I1279" s="41">
        <f>I1277/E1245</f>
        <v>67.132333333333335</v>
      </c>
      <c r="J1279" s="13" t="s">
        <v>34</v>
      </c>
      <c r="K1279" s="162" t="s">
        <v>35</v>
      </c>
      <c r="L1279" s="43"/>
      <c r="M1279" s="43"/>
      <c r="N1279" s="161"/>
      <c r="O1279" s="163"/>
      <c r="P1279" s="163"/>
      <c r="Q1279" s="40"/>
      <c r="R1279" s="41">
        <f>R1277/N1245</f>
        <v>413.04399999999998</v>
      </c>
    </row>
    <row r="1280" spans="1:18" x14ac:dyDescent="0.2">
      <c r="A1280" s="12"/>
      <c r="B1280" s="251" t="s">
        <v>36</v>
      </c>
      <c r="C1280" s="252"/>
      <c r="D1280" s="252"/>
      <c r="E1280" s="253"/>
      <c r="F1280" s="244" t="s">
        <v>37</v>
      </c>
      <c r="G1280" s="244" t="s">
        <v>38</v>
      </c>
      <c r="H1280" s="244" t="s">
        <v>39</v>
      </c>
      <c r="I1280" s="246" t="s">
        <v>15</v>
      </c>
      <c r="J1280" s="12"/>
      <c r="K1280" s="251" t="s">
        <v>36</v>
      </c>
      <c r="L1280" s="252"/>
      <c r="M1280" s="252"/>
      <c r="N1280" s="253"/>
      <c r="O1280" s="244" t="s">
        <v>37</v>
      </c>
      <c r="P1280" s="244" t="s">
        <v>38</v>
      </c>
      <c r="Q1280" s="244" t="s">
        <v>39</v>
      </c>
      <c r="R1280" s="246" t="s">
        <v>15</v>
      </c>
    </row>
    <row r="1281" spans="1:18" x14ac:dyDescent="0.2">
      <c r="A1281" s="13"/>
      <c r="B1281" s="254"/>
      <c r="C1281" s="255"/>
      <c r="D1281" s="255"/>
      <c r="E1281" s="256"/>
      <c r="F1281" s="245"/>
      <c r="G1281" s="245"/>
      <c r="H1281" s="245"/>
      <c r="I1281" s="247"/>
      <c r="J1281" s="13"/>
      <c r="K1281" s="254"/>
      <c r="L1281" s="255"/>
      <c r="M1281" s="255"/>
      <c r="N1281" s="256"/>
      <c r="O1281" s="245"/>
      <c r="P1281" s="245"/>
      <c r="Q1281" s="245"/>
      <c r="R1281" s="247"/>
    </row>
    <row r="1282" spans="1:18" x14ac:dyDescent="0.2">
      <c r="A1282" s="13" t="s">
        <v>40</v>
      </c>
      <c r="B1282" s="18" t="s">
        <v>41</v>
      </c>
      <c r="C1282" s="19"/>
      <c r="D1282" s="19"/>
      <c r="E1282" s="20"/>
      <c r="F1282" s="22"/>
      <c r="G1282" s="22"/>
      <c r="H1282" s="23"/>
      <c r="I1282" s="23"/>
      <c r="J1282" s="13" t="s">
        <v>40</v>
      </c>
      <c r="K1282" s="18" t="s">
        <v>41</v>
      </c>
      <c r="L1282" s="19"/>
      <c r="M1282" s="19"/>
      <c r="N1282" s="20"/>
      <c r="O1282" s="22"/>
      <c r="P1282" s="22"/>
      <c r="Q1282" s="23"/>
      <c r="R1282" s="23"/>
    </row>
    <row r="1283" spans="1:18" x14ac:dyDescent="0.2">
      <c r="A1283" s="13"/>
      <c r="B1283" s="18"/>
      <c r="C1283" s="19"/>
      <c r="D1283" s="19"/>
      <c r="E1283" s="20"/>
      <c r="F1283" s="22"/>
      <c r="G1283" s="22"/>
      <c r="H1283" s="23"/>
      <c r="I1283" s="23"/>
      <c r="J1283" s="13"/>
      <c r="K1283" s="18"/>
      <c r="L1283" s="19"/>
      <c r="M1283" s="19"/>
      <c r="N1283" s="20"/>
      <c r="O1283" s="22"/>
      <c r="P1283" s="22"/>
      <c r="Q1283" s="23"/>
      <c r="R1283" s="23"/>
    </row>
    <row r="1284" spans="1:18" x14ac:dyDescent="0.2">
      <c r="A1284" s="13"/>
      <c r="B1284" s="18" t="s">
        <v>1296</v>
      </c>
      <c r="C1284" s="66"/>
      <c r="D1284" s="19"/>
      <c r="E1284" s="20"/>
      <c r="F1284" s="62" t="s">
        <v>1153</v>
      </c>
      <c r="G1284" s="62">
        <v>1</v>
      </c>
      <c r="H1284" s="107">
        <v>220</v>
      </c>
      <c r="I1284" s="23">
        <f t="shared" ref="I1284:I1286" si="9">G1284*H1284</f>
        <v>220</v>
      </c>
      <c r="J1284" s="13"/>
      <c r="K1284" s="18" t="s">
        <v>425</v>
      </c>
      <c r="L1284" s="66"/>
      <c r="M1284" s="19"/>
      <c r="N1284" s="20"/>
      <c r="O1284" s="22" t="s">
        <v>227</v>
      </c>
      <c r="P1284" s="62">
        <v>0.48</v>
      </c>
      <c r="Q1284" s="107">
        <v>220</v>
      </c>
      <c r="R1284" s="23">
        <f>Q1284*P1284</f>
        <v>105.6</v>
      </c>
    </row>
    <row r="1285" spans="1:18" x14ac:dyDescent="0.2">
      <c r="A1285" s="13"/>
      <c r="B1285" s="18" t="s">
        <v>1297</v>
      </c>
      <c r="C1285" s="66"/>
      <c r="D1285" s="19"/>
      <c r="E1285" s="20"/>
      <c r="F1285" s="62" t="s">
        <v>1299</v>
      </c>
      <c r="G1285" s="62">
        <v>9.25</v>
      </c>
      <c r="H1285" s="107">
        <v>850</v>
      </c>
      <c r="I1285" s="23">
        <f t="shared" si="9"/>
        <v>7862.5</v>
      </c>
      <c r="J1285" s="13"/>
      <c r="K1285" s="18" t="s">
        <v>567</v>
      </c>
      <c r="L1285" s="66"/>
      <c r="M1285" s="19"/>
      <c r="N1285" s="20"/>
      <c r="O1285" s="22" t="s">
        <v>9</v>
      </c>
      <c r="P1285" s="22">
        <v>2.5000000000000001E-2</v>
      </c>
      <c r="Q1285" s="107">
        <v>850</v>
      </c>
      <c r="R1285" s="23">
        <f>Q1285*P1285</f>
        <v>21.25</v>
      </c>
    </row>
    <row r="1286" spans="1:18" x14ac:dyDescent="0.2">
      <c r="A1286" s="13"/>
      <c r="B1286" s="18" t="s">
        <v>1298</v>
      </c>
      <c r="C1286" s="19"/>
      <c r="D1286" s="19"/>
      <c r="E1286" s="20"/>
      <c r="F1286" s="62" t="s">
        <v>1299</v>
      </c>
      <c r="G1286" s="70">
        <f>G1285/2000</f>
        <v>4.6249999999999998E-3</v>
      </c>
      <c r="H1286" s="107">
        <v>650</v>
      </c>
      <c r="I1286" s="23">
        <f t="shared" si="9"/>
        <v>3.0062499999999996</v>
      </c>
      <c r="J1286" s="13"/>
      <c r="K1286" s="18" t="s">
        <v>496</v>
      </c>
      <c r="L1286" s="66"/>
      <c r="M1286" s="19"/>
      <c r="N1286" s="20"/>
      <c r="O1286" s="22" t="s">
        <v>9</v>
      </c>
      <c r="P1286" s="70">
        <v>0.05</v>
      </c>
      <c r="Q1286" s="107">
        <v>650</v>
      </c>
      <c r="R1286" s="23">
        <f>Q1286*P1286</f>
        <v>32.5</v>
      </c>
    </row>
    <row r="1287" spans="1:18" x14ac:dyDescent="0.2">
      <c r="A1287" s="13"/>
      <c r="B1287" s="18"/>
      <c r="C1287" s="66"/>
      <c r="D1287" s="19"/>
      <c r="E1287" s="20"/>
      <c r="F1287" s="62"/>
      <c r="G1287" s="64"/>
      <c r="H1287" s="23"/>
      <c r="I1287" s="23"/>
      <c r="J1287" s="13"/>
      <c r="K1287" s="18" t="s">
        <v>624</v>
      </c>
      <c r="L1287" s="66"/>
      <c r="M1287" s="19"/>
      <c r="N1287" s="20"/>
      <c r="O1287" s="22" t="s">
        <v>413</v>
      </c>
      <c r="P1287" s="62">
        <v>8</v>
      </c>
      <c r="Q1287" s="107">
        <v>40</v>
      </c>
      <c r="R1287" s="23">
        <f>(Q1287*P1287)/4</f>
        <v>80</v>
      </c>
    </row>
    <row r="1288" spans="1:18" x14ac:dyDescent="0.2">
      <c r="A1288" s="13"/>
      <c r="B1288" s="18"/>
      <c r="C1288" s="19"/>
      <c r="D1288" s="19"/>
      <c r="E1288" s="20"/>
      <c r="F1288" s="22"/>
      <c r="G1288" s="62"/>
      <c r="H1288" s="23"/>
      <c r="I1288" s="23"/>
      <c r="J1288" s="13"/>
      <c r="K1288" s="18" t="s">
        <v>1313</v>
      </c>
      <c r="L1288" s="66"/>
      <c r="M1288" s="19"/>
      <c r="N1288" s="20"/>
      <c r="O1288" s="22" t="s">
        <v>66</v>
      </c>
      <c r="P1288" s="62">
        <v>3.25</v>
      </c>
      <c r="Q1288" s="107">
        <f>3180/6</f>
        <v>530</v>
      </c>
      <c r="R1288" s="23">
        <f t="shared" ref="R1288:R1293" si="10">Q1288*P1288</f>
        <v>1722.5</v>
      </c>
    </row>
    <row r="1289" spans="1:18" x14ac:dyDescent="0.2">
      <c r="A1289" s="13"/>
      <c r="B1289" s="18"/>
      <c r="C1289" s="19"/>
      <c r="D1289" s="19"/>
      <c r="E1289" s="20"/>
      <c r="F1289" s="22"/>
      <c r="G1289" s="62"/>
      <c r="H1289" s="23"/>
      <c r="I1289" s="23"/>
      <c r="J1289" s="13"/>
      <c r="K1289" s="18" t="s">
        <v>788</v>
      </c>
      <c r="L1289" s="66"/>
      <c r="M1289" s="19"/>
      <c r="N1289" s="20"/>
      <c r="O1289" s="22" t="s">
        <v>77</v>
      </c>
      <c r="P1289" s="62">
        <v>5</v>
      </c>
      <c r="Q1289" s="107">
        <v>48</v>
      </c>
      <c r="R1289" s="23">
        <f t="shared" si="10"/>
        <v>240</v>
      </c>
    </row>
    <row r="1290" spans="1:18" x14ac:dyDescent="0.2">
      <c r="A1290" s="13"/>
      <c r="B1290" s="18"/>
      <c r="C1290" s="19"/>
      <c r="D1290" s="19"/>
      <c r="E1290" s="20"/>
      <c r="F1290" s="22"/>
      <c r="G1290" s="62"/>
      <c r="H1290" s="23"/>
      <c r="I1290" s="23"/>
      <c r="J1290" s="13"/>
      <c r="K1290" s="18" t="s">
        <v>1314</v>
      </c>
      <c r="L1290" s="66"/>
      <c r="M1290" s="19"/>
      <c r="N1290" s="20"/>
      <c r="O1290" s="22" t="s">
        <v>80</v>
      </c>
      <c r="P1290" s="62">
        <v>3</v>
      </c>
      <c r="Q1290" s="107">
        <v>10</v>
      </c>
      <c r="R1290" s="23">
        <f t="shared" si="10"/>
        <v>30</v>
      </c>
    </row>
    <row r="1291" spans="1:18" x14ac:dyDescent="0.2">
      <c r="A1291" s="13"/>
      <c r="B1291" s="18"/>
      <c r="C1291" s="19"/>
      <c r="D1291" s="19"/>
      <c r="E1291" s="20"/>
      <c r="F1291" s="22"/>
      <c r="G1291" s="62"/>
      <c r="H1291" s="23"/>
      <c r="I1291" s="23"/>
      <c r="J1291" s="13"/>
      <c r="K1291" s="18" t="s">
        <v>1315</v>
      </c>
      <c r="L1291" s="66"/>
      <c r="M1291" s="19"/>
      <c r="N1291" s="20"/>
      <c r="O1291" s="22" t="s">
        <v>80</v>
      </c>
      <c r="P1291" s="62">
        <v>12</v>
      </c>
      <c r="Q1291" s="165">
        <v>10</v>
      </c>
      <c r="R1291" s="23">
        <f t="shared" si="10"/>
        <v>120</v>
      </c>
    </row>
    <row r="1292" spans="1:18" x14ac:dyDescent="0.2">
      <c r="A1292" s="13"/>
      <c r="B1292" s="18"/>
      <c r="C1292" s="19"/>
      <c r="D1292" s="19"/>
      <c r="E1292" s="20"/>
      <c r="F1292" s="22"/>
      <c r="G1292" s="62"/>
      <c r="H1292" s="23"/>
      <c r="I1292" s="23"/>
      <c r="J1292" s="13"/>
      <c r="K1292" s="18" t="s">
        <v>789</v>
      </c>
      <c r="L1292" s="66"/>
      <c r="M1292" s="19"/>
      <c r="N1292" s="20"/>
      <c r="O1292" s="22" t="s">
        <v>80</v>
      </c>
      <c r="P1292" s="62">
        <v>2</v>
      </c>
      <c r="Q1292" s="165">
        <v>3750</v>
      </c>
      <c r="R1292" s="23">
        <f t="shared" si="10"/>
        <v>7500</v>
      </c>
    </row>
    <row r="1293" spans="1:18" x14ac:dyDescent="0.2">
      <c r="A1293" s="13"/>
      <c r="B1293" s="18"/>
      <c r="C1293" s="19"/>
      <c r="D1293" s="19"/>
      <c r="E1293" s="20"/>
      <c r="F1293" s="22"/>
      <c r="G1293" s="22"/>
      <c r="H1293" s="23"/>
      <c r="I1293" s="23"/>
      <c r="J1293" s="13"/>
      <c r="K1293" s="18" t="s">
        <v>592</v>
      </c>
      <c r="L1293" s="19"/>
      <c r="M1293" s="19"/>
      <c r="N1293" s="20"/>
      <c r="O1293" s="22" t="s">
        <v>77</v>
      </c>
      <c r="P1293" s="62">
        <f>ROUND(P1287/100,2)</f>
        <v>0.08</v>
      </c>
      <c r="Q1293" s="107">
        <v>68</v>
      </c>
      <c r="R1293" s="23">
        <f t="shared" si="10"/>
        <v>5.44</v>
      </c>
    </row>
    <row r="1294" spans="1:18" x14ac:dyDescent="0.2">
      <c r="A1294" s="13"/>
      <c r="B1294" s="18"/>
      <c r="C1294" s="19"/>
      <c r="D1294" s="19"/>
      <c r="E1294" s="20"/>
      <c r="F1294" s="22"/>
      <c r="G1294" s="22"/>
      <c r="I1294" s="23"/>
      <c r="J1294" s="13"/>
      <c r="K1294" s="18" t="s">
        <v>790</v>
      </c>
      <c r="L1294" s="19"/>
      <c r="M1294" s="19"/>
      <c r="N1294" s="20"/>
      <c r="O1294" s="22"/>
      <c r="P1294" s="22"/>
      <c r="Q1294" s="107"/>
      <c r="R1294" s="23">
        <f>(R1284+R1285+R1286+R1287+R1288+R1289+R1290+R1291+R1292+R1293)*0.003</f>
        <v>29.571870000000004</v>
      </c>
    </row>
    <row r="1295" spans="1:18" x14ac:dyDescent="0.2">
      <c r="A1295" s="13"/>
      <c r="B1295" s="18"/>
      <c r="C1295" s="19"/>
      <c r="D1295" s="19"/>
      <c r="E1295" s="20"/>
      <c r="F1295" s="22"/>
      <c r="G1295" s="22"/>
      <c r="I1295" s="23"/>
      <c r="J1295" s="13"/>
      <c r="K1295" s="18"/>
      <c r="L1295" s="19"/>
      <c r="M1295" s="19"/>
      <c r="N1295" s="20"/>
      <c r="O1295" s="22"/>
      <c r="P1295" s="36"/>
      <c r="Q1295" s="165"/>
      <c r="R1295" s="37"/>
    </row>
    <row r="1296" spans="1:18" x14ac:dyDescent="0.2">
      <c r="A1296" s="13"/>
      <c r="B1296" s="18"/>
      <c r="C1296" s="19"/>
      <c r="D1296" s="19"/>
      <c r="E1296" s="20"/>
      <c r="F1296" s="22"/>
      <c r="G1296" s="36"/>
      <c r="H1296" s="37"/>
      <c r="I1296" s="37"/>
      <c r="J1296" s="13"/>
      <c r="K1296" s="18"/>
      <c r="L1296" s="19"/>
      <c r="M1296" s="19"/>
      <c r="N1296" s="20"/>
      <c r="O1296" s="22"/>
      <c r="P1296" s="36"/>
      <c r="Q1296" s="37"/>
      <c r="R1296" s="37"/>
    </row>
    <row r="1297" spans="1:18" x14ac:dyDescent="0.2">
      <c r="A1297" s="13"/>
      <c r="B1297" s="248" t="s">
        <v>42</v>
      </c>
      <c r="C1297" s="249"/>
      <c r="D1297" s="249"/>
      <c r="E1297" s="250"/>
      <c r="F1297" s="46"/>
      <c r="G1297" s="46"/>
      <c r="H1297" s="47"/>
      <c r="I1297" s="47">
        <f>SUM(I1284:I1296)</f>
        <v>8085.5062500000004</v>
      </c>
      <c r="J1297" s="13"/>
      <c r="K1297" s="248" t="s">
        <v>42</v>
      </c>
      <c r="L1297" s="249"/>
      <c r="M1297" s="249"/>
      <c r="N1297" s="250"/>
      <c r="O1297" s="46"/>
      <c r="P1297" s="46"/>
      <c r="Q1297" s="47"/>
      <c r="R1297" s="47">
        <f>SUM(R1284:R1295)</f>
        <v>9886.8618700000006</v>
      </c>
    </row>
    <row r="1298" spans="1:18" x14ac:dyDescent="0.2">
      <c r="A1298" s="12" t="s">
        <v>43</v>
      </c>
      <c r="B1298" s="48" t="s">
        <v>44</v>
      </c>
      <c r="C1298" s="43"/>
      <c r="D1298" s="43"/>
      <c r="E1298" s="161"/>
      <c r="F1298" s="49"/>
      <c r="G1298" s="49"/>
      <c r="H1298" s="50"/>
      <c r="I1298" s="51">
        <f>SUM(I1279+I1297)</f>
        <v>8152.6385833333334</v>
      </c>
      <c r="J1298" s="12" t="s">
        <v>43</v>
      </c>
      <c r="K1298" s="48" t="s">
        <v>44</v>
      </c>
      <c r="L1298" s="43"/>
      <c r="M1298" s="43"/>
      <c r="N1298" s="161"/>
      <c r="O1298" s="49"/>
      <c r="P1298" s="49"/>
      <c r="Q1298" s="50"/>
      <c r="R1298" s="51">
        <f>SUM(R1279+R1297)</f>
        <v>10299.905870000001</v>
      </c>
    </row>
    <row r="1299" spans="1:18" x14ac:dyDescent="0.2">
      <c r="A1299" s="13" t="s">
        <v>45</v>
      </c>
      <c r="B1299" s="48" t="s">
        <v>46</v>
      </c>
      <c r="C1299" s="43"/>
      <c r="D1299" s="43"/>
      <c r="E1299" s="161"/>
      <c r="F1299" s="49"/>
      <c r="G1299" s="52">
        <v>0.09</v>
      </c>
      <c r="H1299" s="53" t="s">
        <v>47</v>
      </c>
      <c r="I1299" s="51">
        <f>G1299*I1298</f>
        <v>733.73747249999997</v>
      </c>
      <c r="J1299" s="13" t="s">
        <v>45</v>
      </c>
      <c r="K1299" s="48" t="s">
        <v>46</v>
      </c>
      <c r="L1299" s="43"/>
      <c r="M1299" s="43"/>
      <c r="N1299" s="161"/>
      <c r="O1299" s="49"/>
      <c r="P1299" s="52">
        <v>0.09</v>
      </c>
      <c r="Q1299" s="53" t="s">
        <v>47</v>
      </c>
      <c r="R1299" s="51">
        <f>P1299*R1298</f>
        <v>926.99152830000003</v>
      </c>
    </row>
    <row r="1300" spans="1:18" x14ac:dyDescent="0.2">
      <c r="A1300" s="13" t="s">
        <v>48</v>
      </c>
      <c r="B1300" s="48" t="s">
        <v>49</v>
      </c>
      <c r="C1300" s="43"/>
      <c r="D1300" s="43"/>
      <c r="E1300" s="161"/>
      <c r="F1300" s="49"/>
      <c r="G1300" s="52">
        <v>0.08</v>
      </c>
      <c r="H1300" s="53" t="s">
        <v>47</v>
      </c>
      <c r="I1300" s="51">
        <f>G1300*I1298</f>
        <v>652.21108666666669</v>
      </c>
      <c r="J1300" s="13" t="s">
        <v>48</v>
      </c>
      <c r="K1300" s="48" t="s">
        <v>49</v>
      </c>
      <c r="L1300" s="43"/>
      <c r="M1300" s="43"/>
      <c r="N1300" s="161"/>
      <c r="O1300" s="49"/>
      <c r="P1300" s="52">
        <v>0.08</v>
      </c>
      <c r="Q1300" s="53" t="s">
        <v>47</v>
      </c>
      <c r="R1300" s="51">
        <f>P1300*R1298</f>
        <v>823.99246960000005</v>
      </c>
    </row>
    <row r="1301" spans="1:18" x14ac:dyDescent="0.2">
      <c r="A1301" s="13" t="s">
        <v>50</v>
      </c>
      <c r="B1301" s="48" t="s">
        <v>51</v>
      </c>
      <c r="C1301" s="43"/>
      <c r="D1301" s="43"/>
      <c r="E1301" s="161"/>
      <c r="F1301" s="49"/>
      <c r="G1301" s="52">
        <v>0.05</v>
      </c>
      <c r="H1301" s="53" t="s">
        <v>52</v>
      </c>
      <c r="I1301" s="51">
        <f>G1301*(I1298+I1299+I1300)</f>
        <v>476.92935712500002</v>
      </c>
      <c r="J1301" s="13" t="s">
        <v>50</v>
      </c>
      <c r="K1301" s="48" t="s">
        <v>51</v>
      </c>
      <c r="L1301" s="43"/>
      <c r="M1301" s="43"/>
      <c r="N1301" s="161"/>
      <c r="O1301" s="49"/>
      <c r="P1301" s="52">
        <v>0.05</v>
      </c>
      <c r="Q1301" s="53" t="s">
        <v>52</v>
      </c>
      <c r="R1301" s="51">
        <f>P1301*(R1298+R1299+R1300)</f>
        <v>602.54449339500002</v>
      </c>
    </row>
    <row r="1302" spans="1:18" x14ac:dyDescent="0.2">
      <c r="A1302" s="54" t="s">
        <v>53</v>
      </c>
      <c r="B1302" s="48" t="s">
        <v>54</v>
      </c>
      <c r="C1302" s="43"/>
      <c r="D1302" s="43"/>
      <c r="E1302" s="161"/>
      <c r="F1302" s="49"/>
      <c r="G1302" s="49"/>
      <c r="H1302" s="55" t="s">
        <v>55</v>
      </c>
      <c r="I1302" s="51">
        <f>SUM(I1298+I1299+I1300+I1301)</f>
        <v>10015.516499625001</v>
      </c>
      <c r="J1302" s="54" t="s">
        <v>53</v>
      </c>
      <c r="K1302" s="48" t="s">
        <v>54</v>
      </c>
      <c r="L1302" s="43"/>
      <c r="M1302" s="43"/>
      <c r="N1302" s="161"/>
      <c r="O1302" s="49"/>
      <c r="P1302" s="49"/>
      <c r="Q1302" s="55" t="s">
        <v>55</v>
      </c>
      <c r="R1302" s="51">
        <f>SUM(R1298+R1299+R1300+R1301)</f>
        <v>12653.434361295</v>
      </c>
    </row>
    <row r="1303" spans="1:18" s="1" customFormat="1" x14ac:dyDescent="0.2">
      <c r="A1303" s="236" t="s">
        <v>0</v>
      </c>
      <c r="B1303" s="236"/>
      <c r="C1303" s="236"/>
      <c r="D1303" s="236"/>
      <c r="E1303" s="236"/>
      <c r="F1303" s="236"/>
      <c r="G1303" s="236"/>
      <c r="H1303" s="236"/>
      <c r="I1303" s="236"/>
      <c r="J1303" s="236" t="s">
        <v>0</v>
      </c>
      <c r="K1303" s="236"/>
      <c r="L1303" s="236"/>
      <c r="M1303" s="236"/>
      <c r="N1303" s="236"/>
      <c r="O1303" s="236"/>
      <c r="P1303" s="236"/>
      <c r="Q1303" s="236"/>
      <c r="R1303" s="236"/>
    </row>
    <row r="1305" spans="1:18" x14ac:dyDescent="0.2">
      <c r="A1305" s="158" t="s">
        <v>1</v>
      </c>
      <c r="C1305" s="4" t="s">
        <v>2</v>
      </c>
      <c r="D1305" s="5" t="s">
        <v>796</v>
      </c>
      <c r="E1305" s="8" t="s">
        <v>1300</v>
      </c>
      <c r="F1305" s="8"/>
      <c r="G1305" s="8"/>
      <c r="H1305" s="8"/>
      <c r="I1305" s="8"/>
      <c r="J1305" s="158" t="s">
        <v>1</v>
      </c>
      <c r="L1305" s="4" t="s">
        <v>2</v>
      </c>
      <c r="M1305" s="5" t="s">
        <v>793</v>
      </c>
      <c r="N1305" s="237" t="s">
        <v>794</v>
      </c>
      <c r="O1305" s="237"/>
      <c r="P1305" s="237"/>
      <c r="Q1305" s="237"/>
    </row>
    <row r="1306" spans="1:18" x14ac:dyDescent="0.2">
      <c r="A1306" s="158" t="s">
        <v>7</v>
      </c>
      <c r="C1306" s="4" t="s">
        <v>2</v>
      </c>
      <c r="E1306" s="158" t="s">
        <v>59</v>
      </c>
      <c r="F1306" s="8"/>
      <c r="G1306" s="8"/>
      <c r="H1306" s="8"/>
      <c r="J1306" s="158" t="s">
        <v>7</v>
      </c>
      <c r="L1306" s="4" t="s">
        <v>2</v>
      </c>
      <c r="M1306" s="8"/>
      <c r="N1306" s="158" t="s">
        <v>59</v>
      </c>
      <c r="O1306" s="8"/>
      <c r="P1306" s="8"/>
      <c r="Q1306" s="8"/>
    </row>
    <row r="1307" spans="1:18" x14ac:dyDescent="0.2">
      <c r="A1307" s="158" t="s">
        <v>493</v>
      </c>
      <c r="C1307" s="4" t="s">
        <v>2</v>
      </c>
      <c r="E1307" s="9">
        <v>1</v>
      </c>
      <c r="F1307" s="8"/>
      <c r="G1307" s="8"/>
      <c r="H1307" s="8"/>
      <c r="J1307" s="158" t="s">
        <v>10</v>
      </c>
      <c r="L1307" s="4" t="s">
        <v>2</v>
      </c>
      <c r="M1307" s="8"/>
      <c r="N1307" s="9">
        <v>1</v>
      </c>
      <c r="O1307" s="8"/>
      <c r="P1307" s="8"/>
      <c r="Q1307" s="8"/>
    </row>
    <row r="1308" spans="1:18" x14ac:dyDescent="0.2">
      <c r="B1308" s="8"/>
      <c r="F1308" s="11"/>
      <c r="G1308" s="8"/>
      <c r="H1308" s="8"/>
      <c r="I1308" s="8"/>
      <c r="K1308" s="8"/>
      <c r="O1308" s="11"/>
      <c r="P1308" s="8"/>
      <c r="Q1308" s="8"/>
      <c r="R1308" s="8"/>
    </row>
    <row r="1309" spans="1:18" x14ac:dyDescent="0.2">
      <c r="A1309" s="12"/>
      <c r="B1309" s="238" t="s">
        <v>11</v>
      </c>
      <c r="C1309" s="239"/>
      <c r="D1309" s="239"/>
      <c r="E1309" s="240"/>
      <c r="F1309" s="244" t="s">
        <v>12</v>
      </c>
      <c r="G1309" s="244" t="s">
        <v>13</v>
      </c>
      <c r="H1309" s="244" t="s">
        <v>14</v>
      </c>
      <c r="I1309" s="246" t="s">
        <v>15</v>
      </c>
      <c r="J1309" s="12"/>
      <c r="K1309" s="238" t="s">
        <v>11</v>
      </c>
      <c r="L1309" s="239"/>
      <c r="M1309" s="239"/>
      <c r="N1309" s="240"/>
      <c r="O1309" s="244" t="s">
        <v>12</v>
      </c>
      <c r="P1309" s="244" t="s">
        <v>13</v>
      </c>
      <c r="Q1309" s="244" t="s">
        <v>14</v>
      </c>
      <c r="R1309" s="246" t="s">
        <v>15</v>
      </c>
    </row>
    <row r="1310" spans="1:18" x14ac:dyDescent="0.2">
      <c r="A1310" s="13"/>
      <c r="B1310" s="241"/>
      <c r="C1310" s="242"/>
      <c r="D1310" s="242"/>
      <c r="E1310" s="243"/>
      <c r="F1310" s="245"/>
      <c r="G1310" s="245"/>
      <c r="H1310" s="245"/>
      <c r="I1310" s="247"/>
      <c r="J1310" s="13"/>
      <c r="K1310" s="241"/>
      <c r="L1310" s="242"/>
      <c r="M1310" s="242"/>
      <c r="N1310" s="243"/>
      <c r="O1310" s="245"/>
      <c r="P1310" s="245"/>
      <c r="Q1310" s="245"/>
      <c r="R1310" s="247"/>
    </row>
    <row r="1311" spans="1:18" x14ac:dyDescent="0.2">
      <c r="A1311" s="13" t="s">
        <v>16</v>
      </c>
      <c r="B1311" s="14" t="s">
        <v>17</v>
      </c>
      <c r="C1311" s="15"/>
      <c r="D1311" s="15"/>
      <c r="E1311" s="16"/>
      <c r="F1311" s="17"/>
      <c r="G1311" s="17"/>
      <c r="H1311" s="17"/>
      <c r="I1311" s="17"/>
      <c r="J1311" s="13" t="s">
        <v>16</v>
      </c>
      <c r="K1311" s="14" t="s">
        <v>17</v>
      </c>
      <c r="L1311" s="15"/>
      <c r="M1311" s="15"/>
      <c r="N1311" s="16"/>
      <c r="O1311" s="17"/>
      <c r="P1311" s="17"/>
      <c r="Q1311" s="17"/>
      <c r="R1311" s="17"/>
    </row>
    <row r="1312" spans="1:18" x14ac:dyDescent="0.2">
      <c r="A1312" s="13"/>
      <c r="B1312" s="18"/>
      <c r="C1312" s="19"/>
      <c r="D1312" s="19"/>
      <c r="E1312" s="20"/>
      <c r="F1312" s="21"/>
      <c r="G1312" s="22"/>
      <c r="H1312" s="21"/>
      <c r="I1312" s="21"/>
      <c r="J1312" s="13"/>
      <c r="K1312" s="18"/>
      <c r="L1312" s="19"/>
      <c r="M1312" s="19"/>
      <c r="N1312" s="20"/>
      <c r="O1312" s="21"/>
      <c r="P1312" s="22"/>
      <c r="Q1312" s="21"/>
      <c r="R1312" s="21"/>
    </row>
    <row r="1313" spans="1:18" x14ac:dyDescent="0.2">
      <c r="A1313" s="13"/>
      <c r="B1313" s="24" t="s">
        <v>18</v>
      </c>
      <c r="C1313" s="25"/>
      <c r="D1313" s="25"/>
      <c r="E1313" s="26"/>
      <c r="F1313" s="22">
        <v>1</v>
      </c>
      <c r="G1313" s="23">
        <v>1.5</v>
      </c>
      <c r="H1313" s="23">
        <v>69.42</v>
      </c>
      <c r="I1313" s="23">
        <f>G1313*H1313*F1313</f>
        <v>104.13</v>
      </c>
      <c r="J1313" s="13"/>
      <c r="K1313" s="24" t="s">
        <v>18</v>
      </c>
      <c r="L1313" s="25"/>
      <c r="M1313" s="25"/>
      <c r="N1313" s="26"/>
      <c r="O1313" s="22">
        <v>1</v>
      </c>
      <c r="P1313" s="23">
        <v>1</v>
      </c>
      <c r="Q1313" s="23">
        <v>69.42</v>
      </c>
      <c r="R1313" s="23">
        <f>O1313*P1313*Q1313</f>
        <v>69.42</v>
      </c>
    </row>
    <row r="1314" spans="1:18" x14ac:dyDescent="0.2">
      <c r="A1314" s="13"/>
      <c r="B1314" s="257" t="s">
        <v>1178</v>
      </c>
      <c r="C1314" s="258"/>
      <c r="D1314" s="25"/>
      <c r="E1314" s="26"/>
      <c r="F1314" s="22">
        <v>2</v>
      </c>
      <c r="G1314" s="23">
        <v>1.5</v>
      </c>
      <c r="H1314" s="23">
        <v>50.18</v>
      </c>
      <c r="I1314" s="23">
        <f>G1314*H1314*F1314</f>
        <v>150.54</v>
      </c>
      <c r="J1314" s="13"/>
      <c r="K1314" s="257" t="s">
        <v>1178</v>
      </c>
      <c r="L1314" s="258"/>
      <c r="M1314" s="25"/>
      <c r="N1314" s="26"/>
      <c r="O1314" s="22">
        <v>1</v>
      </c>
      <c r="P1314" s="23">
        <v>1</v>
      </c>
      <c r="Q1314" s="23">
        <v>50.18</v>
      </c>
      <c r="R1314" s="23">
        <f>O1314*P1314*Q1314</f>
        <v>50.18</v>
      </c>
    </row>
    <row r="1315" spans="1:18" x14ac:dyDescent="0.2">
      <c r="A1315" s="13"/>
      <c r="B1315" s="257" t="s">
        <v>1177</v>
      </c>
      <c r="C1315" s="258"/>
      <c r="D1315" s="19"/>
      <c r="E1315" s="20"/>
      <c r="F1315" s="22">
        <v>2</v>
      </c>
      <c r="G1315" s="23">
        <v>1.5</v>
      </c>
      <c r="H1315" s="23">
        <v>38.97</v>
      </c>
      <c r="I1315" s="23">
        <f>G1315*H1315*F1315</f>
        <v>116.91</v>
      </c>
      <c r="J1315" s="13"/>
      <c r="K1315" s="257" t="s">
        <v>1177</v>
      </c>
      <c r="L1315" s="258"/>
      <c r="M1315" s="19"/>
      <c r="N1315" s="20"/>
      <c r="O1315" s="22">
        <v>2</v>
      </c>
      <c r="P1315" s="23">
        <v>1</v>
      </c>
      <c r="Q1315" s="23">
        <v>38.97</v>
      </c>
      <c r="R1315" s="23">
        <f>O1315*P1315*Q1315</f>
        <v>77.94</v>
      </c>
    </row>
    <row r="1316" spans="1:18" x14ac:dyDescent="0.2">
      <c r="A1316" s="13"/>
      <c r="B1316" s="159"/>
      <c r="C1316" s="160"/>
      <c r="D1316" s="19"/>
      <c r="E1316" s="20"/>
      <c r="F1316" s="22"/>
      <c r="G1316" s="22"/>
      <c r="H1316" s="29"/>
      <c r="I1316" s="30"/>
      <c r="J1316" s="13"/>
      <c r="K1316" s="159"/>
      <c r="L1316" s="19"/>
      <c r="M1316" s="19"/>
      <c r="N1316" s="20"/>
      <c r="O1316" s="22"/>
      <c r="P1316" s="22"/>
      <c r="Q1316" s="29"/>
      <c r="R1316" s="30"/>
    </row>
    <row r="1317" spans="1:18" x14ac:dyDescent="0.2">
      <c r="A1317" s="13"/>
      <c r="B1317" s="159"/>
      <c r="C1317" s="160"/>
      <c r="D1317" s="19"/>
      <c r="E1317" s="20"/>
      <c r="F1317" s="22"/>
      <c r="G1317" s="22"/>
      <c r="H1317" s="29"/>
      <c r="I1317" s="30"/>
      <c r="J1317" s="13"/>
      <c r="K1317" s="159"/>
      <c r="L1317" s="19"/>
      <c r="M1317" s="19"/>
      <c r="N1317" s="20"/>
      <c r="O1317" s="22"/>
      <c r="P1317" s="22"/>
      <c r="Q1317" s="29"/>
      <c r="R1317" s="30"/>
    </row>
    <row r="1318" spans="1:18" x14ac:dyDescent="0.2">
      <c r="A1318" s="13"/>
      <c r="B1318" s="257"/>
      <c r="C1318" s="258"/>
      <c r="D1318" s="19"/>
      <c r="E1318" s="20"/>
      <c r="F1318" s="22"/>
      <c r="G1318" s="22"/>
      <c r="H1318" s="23"/>
      <c r="I1318" s="23"/>
      <c r="J1318" s="13"/>
      <c r="K1318" s="18"/>
      <c r="L1318" s="19"/>
      <c r="M1318" s="19"/>
      <c r="N1318" s="20"/>
      <c r="O1318" s="22"/>
      <c r="P1318" s="22"/>
      <c r="Q1318" s="28"/>
      <c r="R1318" s="23"/>
    </row>
    <row r="1319" spans="1:18" x14ac:dyDescent="0.2">
      <c r="A1319" s="13"/>
      <c r="B1319" s="257"/>
      <c r="C1319" s="258"/>
      <c r="D1319" s="19"/>
      <c r="E1319" s="20"/>
      <c r="F1319" s="22"/>
      <c r="G1319" s="22"/>
      <c r="H1319" s="23"/>
      <c r="I1319" s="23"/>
      <c r="J1319" s="13"/>
      <c r="K1319" s="18"/>
      <c r="L1319" s="19"/>
      <c r="M1319" s="19"/>
      <c r="N1319" s="20"/>
      <c r="O1319" s="22"/>
      <c r="P1319" s="22"/>
      <c r="Q1319" s="23"/>
      <c r="R1319" s="23"/>
    </row>
    <row r="1320" spans="1:18" x14ac:dyDescent="0.2">
      <c r="A1320" s="13"/>
      <c r="B1320" s="248" t="s">
        <v>20</v>
      </c>
      <c r="C1320" s="249"/>
      <c r="D1320" s="249"/>
      <c r="E1320" s="250"/>
      <c r="F1320" s="31"/>
      <c r="G1320" s="31"/>
      <c r="H1320" s="32"/>
      <c r="I1320" s="32">
        <f>SUM(I1313:I1319)</f>
        <v>371.58</v>
      </c>
      <c r="J1320" s="13"/>
      <c r="K1320" s="248" t="s">
        <v>20</v>
      </c>
      <c r="L1320" s="249"/>
      <c r="M1320" s="249"/>
      <c r="N1320" s="250"/>
      <c r="O1320" s="31"/>
      <c r="P1320" s="31"/>
      <c r="Q1320" s="32"/>
      <c r="R1320" s="32">
        <f>SUM(R1313:R1319)</f>
        <v>197.54</v>
      </c>
    </row>
    <row r="1321" spans="1:18" x14ac:dyDescent="0.2">
      <c r="A1321" s="12"/>
      <c r="B1321" s="251" t="s">
        <v>21</v>
      </c>
      <c r="C1321" s="252"/>
      <c r="D1321" s="252"/>
      <c r="E1321" s="253"/>
      <c r="F1321" s="244" t="s">
        <v>22</v>
      </c>
      <c r="G1321" s="244" t="s">
        <v>13</v>
      </c>
      <c r="H1321" s="244" t="s">
        <v>14</v>
      </c>
      <c r="I1321" s="246" t="s">
        <v>15</v>
      </c>
      <c r="J1321" s="12"/>
      <c r="K1321" s="251" t="s">
        <v>21</v>
      </c>
      <c r="L1321" s="252"/>
      <c r="M1321" s="252"/>
      <c r="N1321" s="253"/>
      <c r="O1321" s="244" t="s">
        <v>22</v>
      </c>
      <c r="P1321" s="244" t="s">
        <v>13</v>
      </c>
      <c r="Q1321" s="244" t="s">
        <v>14</v>
      </c>
      <c r="R1321" s="246" t="s">
        <v>15</v>
      </c>
    </row>
    <row r="1322" spans="1:18" x14ac:dyDescent="0.2">
      <c r="A1322" s="13"/>
      <c r="B1322" s="254"/>
      <c r="C1322" s="255"/>
      <c r="D1322" s="255"/>
      <c r="E1322" s="256"/>
      <c r="F1322" s="245"/>
      <c r="G1322" s="245"/>
      <c r="H1322" s="245"/>
      <c r="I1322" s="247"/>
      <c r="J1322" s="13"/>
      <c r="K1322" s="254"/>
      <c r="L1322" s="255"/>
      <c r="M1322" s="255"/>
      <c r="N1322" s="256"/>
      <c r="O1322" s="245"/>
      <c r="P1322" s="245"/>
      <c r="Q1322" s="245"/>
      <c r="R1322" s="247"/>
    </row>
    <row r="1323" spans="1:18" x14ac:dyDescent="0.2">
      <c r="A1323" s="13" t="s">
        <v>23</v>
      </c>
      <c r="B1323" s="33" t="s">
        <v>24</v>
      </c>
      <c r="C1323" s="15"/>
      <c r="D1323" s="15"/>
      <c r="E1323" s="16"/>
      <c r="F1323" s="34"/>
      <c r="G1323" s="34"/>
      <c r="H1323" s="35"/>
      <c r="I1323" s="35"/>
      <c r="J1323" s="13" t="s">
        <v>23</v>
      </c>
      <c r="K1323" s="33" t="s">
        <v>24</v>
      </c>
      <c r="L1323" s="15"/>
      <c r="M1323" s="15"/>
      <c r="N1323" s="16"/>
      <c r="O1323" s="34"/>
      <c r="P1323" s="34"/>
      <c r="Q1323" s="35"/>
      <c r="R1323" s="35"/>
    </row>
    <row r="1324" spans="1:18" x14ac:dyDescent="0.2">
      <c r="A1324" s="13"/>
      <c r="B1324" s="18"/>
      <c r="C1324" s="19"/>
      <c r="D1324" s="19"/>
      <c r="E1324" s="20"/>
      <c r="F1324" s="22"/>
      <c r="G1324" s="22"/>
      <c r="H1324" s="23"/>
      <c r="I1324" s="23"/>
      <c r="J1324" s="13"/>
      <c r="K1324" s="18"/>
      <c r="L1324" s="19"/>
      <c r="M1324" s="19"/>
      <c r="N1324" s="20"/>
      <c r="O1324" s="22"/>
      <c r="P1324" s="22"/>
      <c r="Q1324" s="23"/>
      <c r="R1324" s="23"/>
    </row>
    <row r="1325" spans="1:18" x14ac:dyDescent="0.2">
      <c r="A1325" s="13"/>
      <c r="B1325" s="18" t="s">
        <v>403</v>
      </c>
      <c r="C1325" s="19"/>
      <c r="D1325" s="19"/>
      <c r="E1325" s="20"/>
      <c r="F1325" s="22">
        <v>1</v>
      </c>
      <c r="G1325" s="23">
        <v>0.75</v>
      </c>
      <c r="H1325" s="37">
        <v>172</v>
      </c>
      <c r="I1325" s="37">
        <f>G1325*H1325*F1325</f>
        <v>129</v>
      </c>
      <c r="J1325" s="13"/>
      <c r="K1325" s="18" t="s">
        <v>1277</v>
      </c>
      <c r="L1325" s="19"/>
      <c r="M1325" s="19"/>
      <c r="N1325" s="20"/>
      <c r="O1325" s="22">
        <v>1</v>
      </c>
      <c r="P1325" s="23">
        <v>0.25</v>
      </c>
      <c r="Q1325" s="37">
        <v>783</v>
      </c>
      <c r="R1325" s="37">
        <f>P1325*Q1325*O1325</f>
        <v>195.75</v>
      </c>
    </row>
    <row r="1326" spans="1:18" x14ac:dyDescent="0.2">
      <c r="A1326" s="13"/>
      <c r="B1326" s="18" t="s">
        <v>1301</v>
      </c>
      <c r="C1326" s="19"/>
      <c r="D1326" s="19"/>
      <c r="E1326" s="20"/>
      <c r="F1326" s="22">
        <v>1</v>
      </c>
      <c r="G1326" s="23">
        <v>0.5</v>
      </c>
      <c r="H1326" s="37">
        <v>219.75</v>
      </c>
      <c r="I1326" s="37">
        <f>G1326*H1326*F1326</f>
        <v>109.875</v>
      </c>
      <c r="J1326" s="13"/>
      <c r="K1326" s="18" t="s">
        <v>125</v>
      </c>
      <c r="L1326" s="66"/>
      <c r="M1326" s="19"/>
      <c r="N1326" s="20"/>
      <c r="O1326" s="22"/>
      <c r="P1326" s="71"/>
      <c r="R1326" s="37">
        <f>R1320*0.1</f>
        <v>19.754000000000001</v>
      </c>
    </row>
    <row r="1327" spans="1:18" x14ac:dyDescent="0.2">
      <c r="A1327" s="13"/>
      <c r="B1327" s="18" t="s">
        <v>799</v>
      </c>
      <c r="C1327" s="19"/>
      <c r="D1327" s="19"/>
      <c r="E1327" s="20"/>
      <c r="F1327" s="22">
        <v>1</v>
      </c>
      <c r="G1327" s="23">
        <v>0.5</v>
      </c>
      <c r="H1327" s="37">
        <v>351.5</v>
      </c>
      <c r="I1327" s="37">
        <f>G1327*H1327*F1327</f>
        <v>175.75</v>
      </c>
      <c r="J1327" s="13"/>
      <c r="K1327" s="18"/>
      <c r="L1327" s="19"/>
      <c r="M1327" s="19"/>
      <c r="N1327" s="20"/>
      <c r="O1327" s="22"/>
      <c r="P1327" s="36"/>
      <c r="Q1327" s="37"/>
      <c r="R1327" s="37"/>
    </row>
    <row r="1328" spans="1:18" x14ac:dyDescent="0.2">
      <c r="A1328" s="13"/>
      <c r="B1328" s="18" t="s">
        <v>1201</v>
      </c>
      <c r="C1328" s="19"/>
      <c r="D1328" s="19"/>
      <c r="E1328" s="20"/>
      <c r="F1328" s="22">
        <v>1</v>
      </c>
      <c r="G1328" s="23">
        <v>0.05</v>
      </c>
      <c r="H1328" s="37">
        <v>2450</v>
      </c>
      <c r="I1328" s="37">
        <f>G1328*H1328*F1328</f>
        <v>122.5</v>
      </c>
      <c r="J1328" s="13"/>
      <c r="K1328" s="18"/>
      <c r="O1328" s="22"/>
      <c r="P1328" s="36"/>
      <c r="Q1328" s="37"/>
      <c r="R1328" s="37"/>
    </row>
    <row r="1329" spans="1:18" x14ac:dyDescent="0.2">
      <c r="A1329" s="13"/>
      <c r="B1329" s="18" t="s">
        <v>92</v>
      </c>
      <c r="F1329" s="22"/>
      <c r="G1329" s="23"/>
      <c r="I1329" s="37">
        <f>I1320*0.1</f>
        <v>37.158000000000001</v>
      </c>
      <c r="J1329" s="13"/>
      <c r="K1329" s="18"/>
      <c r="L1329" s="19"/>
      <c r="M1329" s="19"/>
      <c r="N1329" s="20"/>
      <c r="O1329" s="22"/>
      <c r="P1329" s="36"/>
      <c r="Q1329" s="37"/>
      <c r="R1329" s="37"/>
    </row>
    <row r="1330" spans="1:18" x14ac:dyDescent="0.2">
      <c r="A1330" s="13"/>
      <c r="B1330" s="18"/>
      <c r="C1330" s="19"/>
      <c r="D1330" s="19"/>
      <c r="E1330" s="20"/>
      <c r="F1330" s="22"/>
      <c r="G1330" s="36"/>
      <c r="H1330" s="37"/>
      <c r="I1330" s="38"/>
      <c r="J1330" s="13"/>
      <c r="K1330" s="18"/>
      <c r="L1330" s="19"/>
      <c r="M1330" s="19"/>
      <c r="N1330" s="20"/>
      <c r="O1330" s="22"/>
      <c r="P1330" s="36"/>
      <c r="Q1330" s="37"/>
      <c r="R1330" s="37"/>
    </row>
    <row r="1331" spans="1:18" x14ac:dyDescent="0.2">
      <c r="A1331" s="13"/>
      <c r="B1331" s="18"/>
      <c r="C1331" s="19"/>
      <c r="D1331" s="19"/>
      <c r="E1331" s="20"/>
      <c r="F1331" s="22"/>
      <c r="G1331" s="36"/>
      <c r="H1331" s="37"/>
      <c r="I1331" s="38"/>
      <c r="J1331" s="13"/>
      <c r="K1331" s="18"/>
      <c r="L1331" s="19"/>
      <c r="M1331" s="19"/>
      <c r="N1331" s="20"/>
      <c r="O1331" s="22"/>
      <c r="P1331" s="36"/>
      <c r="Q1331" s="37"/>
      <c r="R1331" s="37"/>
    </row>
    <row r="1332" spans="1:18" x14ac:dyDescent="0.2">
      <c r="A1332" s="13"/>
      <c r="B1332" s="18"/>
      <c r="C1332" s="19"/>
      <c r="D1332" s="19"/>
      <c r="E1332" s="20"/>
      <c r="F1332" s="22"/>
      <c r="G1332" s="23"/>
      <c r="H1332" s="37"/>
      <c r="I1332" s="38"/>
      <c r="J1332" s="13"/>
      <c r="K1332" s="18"/>
      <c r="L1332" s="19"/>
      <c r="M1332" s="19"/>
      <c r="N1332" s="20"/>
      <c r="O1332" s="22"/>
      <c r="P1332" s="23"/>
      <c r="Q1332" s="37"/>
      <c r="R1332" s="37"/>
    </row>
    <row r="1333" spans="1:18" x14ac:dyDescent="0.2">
      <c r="A1333" s="13"/>
      <c r="B1333" s="18"/>
      <c r="C1333" s="19"/>
      <c r="D1333" s="19"/>
      <c r="E1333" s="20"/>
      <c r="F1333" s="22"/>
      <c r="G1333" s="23"/>
      <c r="H1333" s="37"/>
      <c r="I1333" s="38"/>
      <c r="J1333" s="13"/>
      <c r="K1333" s="18"/>
      <c r="L1333" s="19"/>
      <c r="M1333" s="19"/>
      <c r="N1333" s="20"/>
      <c r="O1333" s="22"/>
      <c r="P1333" s="36"/>
      <c r="Q1333" s="38"/>
      <c r="R1333" s="38"/>
    </row>
    <row r="1334" spans="1:18" x14ac:dyDescent="0.2">
      <c r="A1334" s="13"/>
      <c r="B1334" s="7"/>
      <c r="C1334" s="7"/>
      <c r="D1334" s="7"/>
      <c r="E1334" s="7"/>
      <c r="F1334" s="72"/>
      <c r="G1334" s="72"/>
      <c r="H1334" s="72"/>
      <c r="I1334" s="37"/>
      <c r="J1334" s="13"/>
      <c r="K1334" s="18"/>
      <c r="L1334" s="19"/>
      <c r="M1334" s="19"/>
      <c r="N1334" s="20"/>
      <c r="O1334" s="22"/>
      <c r="P1334" s="36"/>
      <c r="Q1334" s="37"/>
      <c r="R1334" s="37"/>
    </row>
    <row r="1335" spans="1:18" x14ac:dyDescent="0.2">
      <c r="A1335" s="13"/>
      <c r="B1335" s="18"/>
      <c r="C1335" s="19"/>
      <c r="D1335" s="19"/>
      <c r="E1335" s="20"/>
      <c r="F1335" s="22"/>
      <c r="G1335" s="36"/>
      <c r="H1335" s="37"/>
      <c r="I1335" s="37"/>
      <c r="J1335" s="13"/>
      <c r="K1335" s="18"/>
      <c r="L1335" s="19"/>
      <c r="M1335" s="19"/>
      <c r="N1335" s="20"/>
      <c r="O1335" s="22"/>
      <c r="P1335" s="36"/>
      <c r="Q1335" s="37"/>
      <c r="R1335" s="37"/>
    </row>
    <row r="1336" spans="1:18" x14ac:dyDescent="0.2">
      <c r="A1336" s="13"/>
      <c r="B1336" s="18"/>
      <c r="C1336" s="19"/>
      <c r="D1336" s="19"/>
      <c r="E1336" s="20"/>
      <c r="F1336" s="22"/>
      <c r="G1336" s="36"/>
      <c r="H1336" s="37"/>
      <c r="I1336" s="37"/>
      <c r="J1336" s="13"/>
      <c r="K1336" s="18"/>
      <c r="L1336" s="19"/>
      <c r="M1336" s="19"/>
      <c r="N1336" s="20"/>
      <c r="O1336" s="22"/>
      <c r="P1336" s="36"/>
      <c r="Q1336" s="37"/>
      <c r="R1336" s="37"/>
    </row>
    <row r="1337" spans="1:18" x14ac:dyDescent="0.2">
      <c r="A1337" s="13"/>
      <c r="B1337" s="18"/>
      <c r="C1337" s="19"/>
      <c r="D1337" s="19"/>
      <c r="E1337" s="20"/>
      <c r="F1337" s="22"/>
      <c r="G1337" s="22"/>
      <c r="H1337" s="23"/>
      <c r="I1337" s="23"/>
      <c r="J1337" s="13"/>
      <c r="K1337" s="18"/>
      <c r="L1337" s="19"/>
      <c r="M1337" s="19"/>
      <c r="N1337" s="20"/>
      <c r="O1337" s="22"/>
      <c r="P1337" s="22"/>
      <c r="Q1337" s="23"/>
      <c r="R1337" s="23"/>
    </row>
    <row r="1338" spans="1:18" x14ac:dyDescent="0.2">
      <c r="A1338" s="13"/>
      <c r="B1338" s="248" t="s">
        <v>30</v>
      </c>
      <c r="C1338" s="249"/>
      <c r="D1338" s="249"/>
      <c r="E1338" s="250"/>
      <c r="F1338" s="22"/>
      <c r="G1338" s="22"/>
      <c r="H1338" s="23"/>
      <c r="I1338" s="23">
        <f>SUM(I1325:I1337)</f>
        <v>574.28300000000002</v>
      </c>
      <c r="J1338" s="13"/>
      <c r="K1338" s="248" t="s">
        <v>30</v>
      </c>
      <c r="L1338" s="249"/>
      <c r="M1338" s="249"/>
      <c r="N1338" s="250"/>
      <c r="O1338" s="22"/>
      <c r="P1338" s="22"/>
      <c r="Q1338" s="23"/>
      <c r="R1338" s="23">
        <f>SUM(R1325:R1337)</f>
        <v>215.50399999999999</v>
      </c>
    </row>
    <row r="1339" spans="1:18" x14ac:dyDescent="0.2">
      <c r="A1339" s="12" t="s">
        <v>31</v>
      </c>
      <c r="B1339" s="260" t="s">
        <v>32</v>
      </c>
      <c r="C1339" s="261"/>
      <c r="D1339" s="261"/>
      <c r="E1339" s="261"/>
      <c r="F1339" s="161"/>
      <c r="G1339" s="161"/>
      <c r="H1339" s="40"/>
      <c r="I1339" s="41">
        <f>SUM(I1338+I1320)</f>
        <v>945.86300000000006</v>
      </c>
      <c r="J1339" s="12" t="s">
        <v>31</v>
      </c>
      <c r="K1339" s="260" t="s">
        <v>32</v>
      </c>
      <c r="L1339" s="261"/>
      <c r="M1339" s="261"/>
      <c r="N1339" s="261"/>
      <c r="O1339" s="161"/>
      <c r="P1339" s="161"/>
      <c r="Q1339" s="40"/>
      <c r="R1339" s="41">
        <f>SUM(R1338+R1320)</f>
        <v>413.04399999999998</v>
      </c>
    </row>
    <row r="1340" spans="1:18" x14ac:dyDescent="0.2">
      <c r="A1340" s="13" t="s">
        <v>33</v>
      </c>
      <c r="B1340" s="380">
        <f>E1307</f>
        <v>1</v>
      </c>
      <c r="C1340" s="381"/>
      <c r="D1340" s="381"/>
      <c r="E1340" s="381"/>
      <c r="F1340" s="381"/>
      <c r="G1340" s="381"/>
      <c r="H1340" s="40"/>
      <c r="I1340" s="41"/>
      <c r="J1340" s="13" t="s">
        <v>33</v>
      </c>
      <c r="K1340" s="345">
        <f>N1307</f>
        <v>1</v>
      </c>
      <c r="L1340" s="346"/>
      <c r="M1340" s="346"/>
      <c r="N1340" s="346"/>
      <c r="O1340" s="346"/>
      <c r="P1340" s="346"/>
      <c r="Q1340" s="40"/>
      <c r="R1340" s="41"/>
    </row>
    <row r="1341" spans="1:18" x14ac:dyDescent="0.2">
      <c r="A1341" s="13" t="s">
        <v>34</v>
      </c>
      <c r="B1341" s="162" t="s">
        <v>35</v>
      </c>
      <c r="C1341" s="43"/>
      <c r="D1341" s="43"/>
      <c r="E1341" s="161"/>
      <c r="F1341" s="163"/>
      <c r="G1341" s="163"/>
      <c r="H1341" s="40"/>
      <c r="I1341" s="41">
        <f>I1339/E1307</f>
        <v>945.86300000000006</v>
      </c>
      <c r="J1341" s="13" t="s">
        <v>34</v>
      </c>
      <c r="K1341" s="162" t="s">
        <v>35</v>
      </c>
      <c r="L1341" s="43"/>
      <c r="M1341" s="43"/>
      <c r="N1341" s="161"/>
      <c r="O1341" s="163"/>
      <c r="P1341" s="163"/>
      <c r="Q1341" s="40"/>
      <c r="R1341" s="41">
        <f>R1339/N1307</f>
        <v>413.04399999999998</v>
      </c>
    </row>
    <row r="1342" spans="1:18" x14ac:dyDescent="0.2">
      <c r="A1342" s="12"/>
      <c r="B1342" s="251" t="s">
        <v>36</v>
      </c>
      <c r="C1342" s="252"/>
      <c r="D1342" s="252"/>
      <c r="E1342" s="253"/>
      <c r="F1342" s="244" t="s">
        <v>37</v>
      </c>
      <c r="G1342" s="244" t="s">
        <v>38</v>
      </c>
      <c r="H1342" s="244" t="s">
        <v>39</v>
      </c>
      <c r="I1342" s="246" t="s">
        <v>15</v>
      </c>
      <c r="J1342" s="12"/>
      <c r="K1342" s="251" t="s">
        <v>36</v>
      </c>
      <c r="L1342" s="252"/>
      <c r="M1342" s="252"/>
      <c r="N1342" s="253"/>
      <c r="O1342" s="244" t="s">
        <v>37</v>
      </c>
      <c r="P1342" s="244" t="s">
        <v>38</v>
      </c>
      <c r="Q1342" s="244" t="s">
        <v>39</v>
      </c>
      <c r="R1342" s="246" t="s">
        <v>15</v>
      </c>
    </row>
    <row r="1343" spans="1:18" x14ac:dyDescent="0.2">
      <c r="A1343" s="13"/>
      <c r="B1343" s="254"/>
      <c r="C1343" s="255"/>
      <c r="D1343" s="255"/>
      <c r="E1343" s="256"/>
      <c r="F1343" s="245"/>
      <c r="G1343" s="245"/>
      <c r="H1343" s="245"/>
      <c r="I1343" s="247"/>
      <c r="J1343" s="13"/>
      <c r="K1343" s="254"/>
      <c r="L1343" s="255"/>
      <c r="M1343" s="255"/>
      <c r="N1343" s="256"/>
      <c r="O1343" s="245"/>
      <c r="P1343" s="245"/>
      <c r="Q1343" s="245"/>
      <c r="R1343" s="247"/>
    </row>
    <row r="1344" spans="1:18" x14ac:dyDescent="0.2">
      <c r="A1344" s="13" t="s">
        <v>40</v>
      </c>
      <c r="B1344" s="18" t="s">
        <v>41</v>
      </c>
      <c r="C1344" s="19"/>
      <c r="D1344" s="19"/>
      <c r="E1344" s="20"/>
      <c r="F1344" s="22"/>
      <c r="G1344" s="22"/>
      <c r="H1344" s="23"/>
      <c r="I1344" s="23"/>
      <c r="J1344" s="13" t="s">
        <v>40</v>
      </c>
      <c r="K1344" s="18" t="s">
        <v>41</v>
      </c>
      <c r="L1344" s="19"/>
      <c r="M1344" s="19"/>
      <c r="N1344" s="20"/>
      <c r="O1344" s="22"/>
      <c r="P1344" s="22"/>
      <c r="Q1344" s="23"/>
      <c r="R1344" s="23"/>
    </row>
    <row r="1345" spans="1:18" x14ac:dyDescent="0.2">
      <c r="A1345" s="13"/>
      <c r="B1345" s="18"/>
      <c r="C1345" s="19"/>
      <c r="D1345" s="19"/>
      <c r="E1345" s="20"/>
      <c r="F1345" s="22"/>
      <c r="G1345" s="22"/>
      <c r="H1345" s="23"/>
      <c r="I1345" s="23"/>
      <c r="J1345" s="13"/>
      <c r="K1345" s="18"/>
      <c r="L1345" s="19"/>
      <c r="M1345" s="19"/>
      <c r="N1345" s="20"/>
      <c r="O1345" s="22"/>
      <c r="P1345" s="22"/>
      <c r="Q1345" s="23"/>
      <c r="R1345" s="23"/>
    </row>
    <row r="1346" spans="1:18" x14ac:dyDescent="0.2">
      <c r="A1346" s="13"/>
      <c r="B1346" s="18" t="s">
        <v>234</v>
      </c>
      <c r="C1346" s="66"/>
      <c r="D1346" s="19"/>
      <c r="E1346" s="20"/>
      <c r="F1346" s="62" t="s">
        <v>227</v>
      </c>
      <c r="G1346" s="62">
        <v>5.68</v>
      </c>
      <c r="H1346" s="107">
        <v>220</v>
      </c>
      <c r="I1346" s="23">
        <f t="shared" ref="I1346:I1353" si="11">G1346*H1346</f>
        <v>1249.5999999999999</v>
      </c>
      <c r="J1346" s="13"/>
      <c r="K1346" s="18" t="s">
        <v>425</v>
      </c>
      <c r="L1346" s="66"/>
      <c r="M1346" s="19"/>
      <c r="N1346" s="20"/>
      <c r="O1346" s="22" t="s">
        <v>227</v>
      </c>
      <c r="P1346" s="62">
        <v>0.48</v>
      </c>
      <c r="Q1346" s="107">
        <v>220</v>
      </c>
      <c r="R1346" s="23">
        <f>Q1346*P1346</f>
        <v>105.6</v>
      </c>
    </row>
    <row r="1347" spans="1:18" x14ac:dyDescent="0.2">
      <c r="A1347" s="13"/>
      <c r="B1347" s="18" t="s">
        <v>426</v>
      </c>
      <c r="C1347" s="66"/>
      <c r="D1347" s="19"/>
      <c r="E1347" s="20"/>
      <c r="F1347" s="62" t="s">
        <v>9</v>
      </c>
      <c r="G1347" s="62">
        <v>0.3</v>
      </c>
      <c r="H1347" s="107">
        <v>850</v>
      </c>
      <c r="I1347" s="23">
        <f t="shared" si="11"/>
        <v>255</v>
      </c>
      <c r="J1347" s="13"/>
      <c r="K1347" s="18" t="s">
        <v>567</v>
      </c>
      <c r="L1347" s="66"/>
      <c r="M1347" s="19"/>
      <c r="N1347" s="20"/>
      <c r="O1347" s="22" t="s">
        <v>9</v>
      </c>
      <c r="P1347" s="22">
        <v>2.5000000000000001E-2</v>
      </c>
      <c r="Q1347" s="107">
        <v>850</v>
      </c>
      <c r="R1347" s="23">
        <f>Q1347*P1347</f>
        <v>21.25</v>
      </c>
    </row>
    <row r="1348" spans="1:18" x14ac:dyDescent="0.2">
      <c r="A1348" s="13"/>
      <c r="B1348" s="18" t="s">
        <v>496</v>
      </c>
      <c r="C1348" s="19"/>
      <c r="D1348" s="19"/>
      <c r="E1348" s="20"/>
      <c r="F1348" s="62" t="s">
        <v>9</v>
      </c>
      <c r="G1348" s="62">
        <v>0.6</v>
      </c>
      <c r="H1348" s="107">
        <v>650</v>
      </c>
      <c r="I1348" s="23">
        <f t="shared" si="11"/>
        <v>390</v>
      </c>
      <c r="J1348" s="13"/>
      <c r="K1348" s="18" t="s">
        <v>496</v>
      </c>
      <c r="L1348" s="66"/>
      <c r="M1348" s="19"/>
      <c r="N1348" s="20"/>
      <c r="O1348" s="22" t="s">
        <v>9</v>
      </c>
      <c r="P1348" s="70">
        <v>0.05</v>
      </c>
      <c r="Q1348" s="107">
        <v>650</v>
      </c>
      <c r="R1348" s="23">
        <f>Q1348*P1348</f>
        <v>32.5</v>
      </c>
    </row>
    <row r="1349" spans="1:18" x14ac:dyDescent="0.2">
      <c r="A1349" s="13"/>
      <c r="B1349" s="18" t="s">
        <v>497</v>
      </c>
      <c r="C1349" s="66"/>
      <c r="D1349" s="19"/>
      <c r="E1349" s="20"/>
      <c r="F1349" s="62" t="s">
        <v>77</v>
      </c>
      <c r="G1349" s="62">
        <v>22.07</v>
      </c>
      <c r="H1349" s="107">
        <v>40</v>
      </c>
      <c r="I1349" s="23">
        <f t="shared" si="11"/>
        <v>882.8</v>
      </c>
      <c r="J1349" s="13"/>
      <c r="K1349" s="18" t="s">
        <v>624</v>
      </c>
      <c r="L1349" s="66"/>
      <c r="M1349" s="19"/>
      <c r="N1349" s="20"/>
      <c r="O1349" s="22" t="s">
        <v>413</v>
      </c>
      <c r="P1349" s="62">
        <v>8</v>
      </c>
      <c r="Q1349" s="107">
        <v>40</v>
      </c>
      <c r="R1349" s="23">
        <f>(Q1349*P1349)/4</f>
        <v>80</v>
      </c>
    </row>
    <row r="1350" spans="1:18" x14ac:dyDescent="0.2">
      <c r="A1350" s="13"/>
      <c r="B1350" s="18" t="s">
        <v>802</v>
      </c>
      <c r="C1350" s="19"/>
      <c r="D1350" s="19"/>
      <c r="E1350" s="20"/>
      <c r="F1350" s="22" t="s">
        <v>77</v>
      </c>
      <c r="G1350" s="70">
        <v>0.441</v>
      </c>
      <c r="H1350" s="107">
        <v>47</v>
      </c>
      <c r="I1350" s="23">
        <f t="shared" si="11"/>
        <v>20.727</v>
      </c>
      <c r="J1350" s="13"/>
      <c r="K1350" s="18" t="s">
        <v>1313</v>
      </c>
      <c r="L1350" s="66"/>
      <c r="M1350" s="19"/>
      <c r="N1350" s="20"/>
      <c r="O1350" s="22" t="s">
        <v>66</v>
      </c>
      <c r="P1350" s="62">
        <v>3.45</v>
      </c>
      <c r="Q1350" s="107">
        <f>3180/6</f>
        <v>530</v>
      </c>
      <c r="R1350" s="23">
        <f t="shared" ref="R1350:R1355" si="12">Q1350*P1350</f>
        <v>1828.5</v>
      </c>
    </row>
    <row r="1351" spans="1:18" x14ac:dyDescent="0.2">
      <c r="A1351" s="13"/>
      <c r="B1351" s="18" t="s">
        <v>803</v>
      </c>
      <c r="C1351" s="19"/>
      <c r="D1351" s="19"/>
      <c r="E1351" s="20"/>
      <c r="F1351" s="22" t="s">
        <v>80</v>
      </c>
      <c r="G1351" s="62">
        <v>1.94</v>
      </c>
      <c r="H1351" s="107">
        <v>350</v>
      </c>
      <c r="I1351" s="23">
        <f>G1351*H1351/2</f>
        <v>339.5</v>
      </c>
      <c r="J1351" s="13"/>
      <c r="K1351" s="18" t="s">
        <v>788</v>
      </c>
      <c r="L1351" s="66"/>
      <c r="M1351" s="19"/>
      <c r="N1351" s="20"/>
      <c r="O1351" s="22" t="s">
        <v>77</v>
      </c>
      <c r="P1351" s="62">
        <v>5</v>
      </c>
      <c r="Q1351" s="107">
        <v>48</v>
      </c>
      <c r="R1351" s="23">
        <f t="shared" si="12"/>
        <v>240</v>
      </c>
    </row>
    <row r="1352" spans="1:18" x14ac:dyDescent="0.2">
      <c r="A1352" s="13"/>
      <c r="B1352" s="18" t="s">
        <v>804</v>
      </c>
      <c r="C1352" s="19"/>
      <c r="D1352" s="19"/>
      <c r="E1352" s="20"/>
      <c r="F1352" s="22" t="s">
        <v>413</v>
      </c>
      <c r="G1352" s="62">
        <v>28.67</v>
      </c>
      <c r="H1352" s="107">
        <v>20</v>
      </c>
      <c r="I1352" s="23">
        <f>G1352*H1352/2</f>
        <v>286.70000000000005</v>
      </c>
      <c r="J1352" s="13"/>
      <c r="K1352" s="18" t="s">
        <v>1314</v>
      </c>
      <c r="L1352" s="66"/>
      <c r="M1352" s="19"/>
      <c r="N1352" s="20"/>
      <c r="O1352" s="22" t="s">
        <v>80</v>
      </c>
      <c r="P1352" s="62">
        <v>3</v>
      </c>
      <c r="Q1352" s="107">
        <v>10</v>
      </c>
      <c r="R1352" s="23">
        <f t="shared" si="12"/>
        <v>30</v>
      </c>
    </row>
    <row r="1353" spans="1:18" x14ac:dyDescent="0.2">
      <c r="A1353" s="13"/>
      <c r="B1353" s="18" t="s">
        <v>569</v>
      </c>
      <c r="C1353" s="19"/>
      <c r="D1353" s="19"/>
      <c r="E1353" s="20"/>
      <c r="F1353" s="22" t="s">
        <v>77</v>
      </c>
      <c r="G1353" s="62">
        <v>0.28999999999999998</v>
      </c>
      <c r="H1353" s="107">
        <v>68</v>
      </c>
      <c r="I1353" s="23">
        <f t="shared" si="11"/>
        <v>19.72</v>
      </c>
      <c r="J1353" s="13"/>
      <c r="K1353" s="18" t="s">
        <v>1315</v>
      </c>
      <c r="L1353" s="66"/>
      <c r="M1353" s="19"/>
      <c r="N1353" s="20"/>
      <c r="O1353" s="22" t="s">
        <v>80</v>
      </c>
      <c r="P1353" s="62">
        <v>12</v>
      </c>
      <c r="Q1353" s="165">
        <v>10</v>
      </c>
      <c r="R1353" s="23">
        <f t="shared" si="12"/>
        <v>120</v>
      </c>
    </row>
    <row r="1354" spans="1:18" x14ac:dyDescent="0.2">
      <c r="A1354" s="13"/>
      <c r="B1354" s="18"/>
      <c r="C1354" s="19"/>
      <c r="D1354" s="19"/>
      <c r="E1354" s="20"/>
      <c r="F1354" s="22"/>
      <c r="G1354" s="22"/>
      <c r="H1354" s="23"/>
      <c r="I1354" s="23"/>
      <c r="J1354" s="13"/>
      <c r="K1354" s="18" t="s">
        <v>789</v>
      </c>
      <c r="L1354" s="66"/>
      <c r="M1354" s="19"/>
      <c r="N1354" s="20"/>
      <c r="O1354" s="22" t="s">
        <v>80</v>
      </c>
      <c r="P1354" s="62">
        <v>2</v>
      </c>
      <c r="Q1354" s="165">
        <v>7500</v>
      </c>
      <c r="R1354" s="23">
        <f t="shared" si="12"/>
        <v>15000</v>
      </c>
    </row>
    <row r="1355" spans="1:18" x14ac:dyDescent="0.2">
      <c r="A1355" s="13"/>
      <c r="B1355" s="18"/>
      <c r="C1355" s="19"/>
      <c r="D1355" s="19"/>
      <c r="E1355" s="20"/>
      <c r="F1355" s="22"/>
      <c r="G1355" s="22"/>
      <c r="H1355" s="23"/>
      <c r="I1355" s="23"/>
      <c r="J1355" s="13"/>
      <c r="K1355" s="18" t="s">
        <v>592</v>
      </c>
      <c r="L1355" s="19"/>
      <c r="M1355" s="19"/>
      <c r="N1355" s="20"/>
      <c r="O1355" s="22" t="s">
        <v>77</v>
      </c>
      <c r="P1355" s="62">
        <f>ROUND(P1349/100,2)</f>
        <v>0.08</v>
      </c>
      <c r="Q1355" s="107">
        <v>68</v>
      </c>
      <c r="R1355" s="23">
        <f t="shared" si="12"/>
        <v>5.44</v>
      </c>
    </row>
    <row r="1356" spans="1:18" x14ac:dyDescent="0.2">
      <c r="A1356" s="13"/>
      <c r="B1356" s="18"/>
      <c r="C1356" s="19"/>
      <c r="D1356" s="19"/>
      <c r="E1356" s="20"/>
      <c r="F1356" s="22"/>
      <c r="G1356" s="22"/>
      <c r="H1356" s="23"/>
      <c r="I1356" s="23"/>
      <c r="J1356" s="13"/>
      <c r="K1356" s="18" t="s">
        <v>795</v>
      </c>
      <c r="L1356" s="19"/>
      <c r="M1356" s="19"/>
      <c r="N1356" s="20"/>
      <c r="O1356" s="22"/>
      <c r="P1356" s="22"/>
      <c r="Q1356" s="23"/>
      <c r="R1356" s="23">
        <f>(R1346+R1347+R1348+R1349+R1350+R1351+R1352+R1353+R1354+R1355)*0.002</f>
        <v>34.926579999999994</v>
      </c>
    </row>
    <row r="1357" spans="1:18" x14ac:dyDescent="0.2">
      <c r="A1357" s="13"/>
      <c r="B1357" s="18"/>
      <c r="C1357" s="19"/>
      <c r="D1357" s="19"/>
      <c r="E1357" s="20"/>
      <c r="F1357" s="22"/>
      <c r="G1357" s="22"/>
      <c r="H1357" s="23"/>
      <c r="I1357" s="23"/>
      <c r="J1357" s="13"/>
      <c r="K1357" s="18"/>
      <c r="L1357" s="19"/>
      <c r="M1357" s="19"/>
      <c r="N1357" s="20"/>
      <c r="O1357" s="22"/>
      <c r="P1357" s="22"/>
      <c r="Q1357" s="23"/>
      <c r="R1357" s="23"/>
    </row>
    <row r="1358" spans="1:18" x14ac:dyDescent="0.2">
      <c r="A1358" s="13"/>
      <c r="B1358" s="18"/>
      <c r="C1358" s="19"/>
      <c r="D1358" s="19"/>
      <c r="E1358" s="20"/>
      <c r="F1358" s="22"/>
      <c r="G1358" s="36"/>
      <c r="H1358" s="37"/>
      <c r="I1358" s="37"/>
      <c r="J1358" s="13"/>
      <c r="K1358" s="18"/>
      <c r="L1358" s="19"/>
      <c r="M1358" s="19"/>
      <c r="N1358" s="20"/>
      <c r="O1358" s="22"/>
      <c r="P1358" s="36"/>
      <c r="Q1358" s="37"/>
      <c r="R1358" s="37"/>
    </row>
    <row r="1359" spans="1:18" x14ac:dyDescent="0.2">
      <c r="A1359" s="13"/>
      <c r="B1359" s="248" t="s">
        <v>42</v>
      </c>
      <c r="C1359" s="249"/>
      <c r="D1359" s="249"/>
      <c r="E1359" s="250"/>
      <c r="F1359" s="46"/>
      <c r="G1359" s="46"/>
      <c r="H1359" s="47"/>
      <c r="I1359" s="47">
        <f>SUM(I1346:I1358)</f>
        <v>3444.0469999999991</v>
      </c>
      <c r="J1359" s="13"/>
      <c r="K1359" s="248" t="s">
        <v>42</v>
      </c>
      <c r="L1359" s="249"/>
      <c r="M1359" s="249"/>
      <c r="N1359" s="250"/>
      <c r="O1359" s="46"/>
      <c r="P1359" s="46"/>
      <c r="Q1359" s="47"/>
      <c r="R1359" s="47">
        <f>SUM(R1346:R1358)</f>
        <v>17498.216579999997</v>
      </c>
    </row>
    <row r="1360" spans="1:18" x14ac:dyDescent="0.2">
      <c r="A1360" s="12" t="s">
        <v>43</v>
      </c>
      <c r="B1360" s="48" t="s">
        <v>44</v>
      </c>
      <c r="C1360" s="43"/>
      <c r="D1360" s="43"/>
      <c r="E1360" s="161"/>
      <c r="F1360" s="49"/>
      <c r="G1360" s="49"/>
      <c r="H1360" s="50"/>
      <c r="I1360" s="51">
        <f>SUM(I1341+I1359)</f>
        <v>4389.9099999999989</v>
      </c>
      <c r="J1360" s="12" t="s">
        <v>43</v>
      </c>
      <c r="K1360" s="48" t="s">
        <v>44</v>
      </c>
      <c r="L1360" s="43"/>
      <c r="M1360" s="43"/>
      <c r="N1360" s="161"/>
      <c r="O1360" s="49"/>
      <c r="P1360" s="49"/>
      <c r="Q1360" s="50"/>
      <c r="R1360" s="51">
        <f>SUM(R1341+R1359)</f>
        <v>17911.260579999998</v>
      </c>
    </row>
    <row r="1361" spans="1:18" x14ac:dyDescent="0.2">
      <c r="A1361" s="13" t="s">
        <v>45</v>
      </c>
      <c r="B1361" s="48" t="s">
        <v>46</v>
      </c>
      <c r="C1361" s="43"/>
      <c r="D1361" s="43"/>
      <c r="E1361" s="161"/>
      <c r="F1361" s="49"/>
      <c r="G1361" s="52">
        <v>0.09</v>
      </c>
      <c r="H1361" s="53" t="s">
        <v>47</v>
      </c>
      <c r="I1361" s="51">
        <f>G1361*I1360</f>
        <v>395.0918999999999</v>
      </c>
      <c r="J1361" s="13" t="s">
        <v>45</v>
      </c>
      <c r="K1361" s="48" t="s">
        <v>46</v>
      </c>
      <c r="L1361" s="43"/>
      <c r="M1361" s="43"/>
      <c r="N1361" s="161"/>
      <c r="O1361" s="49"/>
      <c r="P1361" s="52">
        <v>0.09</v>
      </c>
      <c r="Q1361" s="53" t="s">
        <v>47</v>
      </c>
      <c r="R1361" s="51">
        <f>P1361*R1360</f>
        <v>1612.0134521999998</v>
      </c>
    </row>
    <row r="1362" spans="1:18" x14ac:dyDescent="0.2">
      <c r="A1362" s="13" t="s">
        <v>48</v>
      </c>
      <c r="B1362" s="48" t="s">
        <v>49</v>
      </c>
      <c r="C1362" s="43"/>
      <c r="D1362" s="43"/>
      <c r="E1362" s="161"/>
      <c r="F1362" s="49"/>
      <c r="G1362" s="52">
        <v>0.08</v>
      </c>
      <c r="H1362" s="53" t="s">
        <v>47</v>
      </c>
      <c r="I1362" s="51">
        <f>G1362*I1360</f>
        <v>351.19279999999992</v>
      </c>
      <c r="J1362" s="13" t="s">
        <v>48</v>
      </c>
      <c r="K1362" s="48" t="s">
        <v>49</v>
      </c>
      <c r="L1362" s="43"/>
      <c r="M1362" s="43"/>
      <c r="N1362" s="161"/>
      <c r="O1362" s="49"/>
      <c r="P1362" s="52">
        <v>0.08</v>
      </c>
      <c r="Q1362" s="53" t="s">
        <v>47</v>
      </c>
      <c r="R1362" s="51">
        <f>P1362*R1360</f>
        <v>1432.9008463999999</v>
      </c>
    </row>
    <row r="1363" spans="1:18" x14ac:dyDescent="0.2">
      <c r="A1363" s="13" t="s">
        <v>50</v>
      </c>
      <c r="B1363" s="48" t="s">
        <v>51</v>
      </c>
      <c r="C1363" s="43"/>
      <c r="D1363" s="43"/>
      <c r="E1363" s="161"/>
      <c r="F1363" s="49"/>
      <c r="G1363" s="52">
        <v>0.05</v>
      </c>
      <c r="H1363" s="53" t="s">
        <v>52</v>
      </c>
      <c r="I1363" s="51">
        <f>G1363*(I1360+I1361+I1362)</f>
        <v>256.80973499999999</v>
      </c>
      <c r="J1363" s="13" t="s">
        <v>50</v>
      </c>
      <c r="K1363" s="48" t="s">
        <v>51</v>
      </c>
      <c r="L1363" s="43"/>
      <c r="M1363" s="43"/>
      <c r="N1363" s="161"/>
      <c r="O1363" s="49"/>
      <c r="P1363" s="52">
        <v>0.05</v>
      </c>
      <c r="Q1363" s="53" t="s">
        <v>52</v>
      </c>
      <c r="R1363" s="51">
        <f>P1363*(R1360+R1361+R1362)</f>
        <v>1047.80874393</v>
      </c>
    </row>
    <row r="1364" spans="1:18" x14ac:dyDescent="0.2">
      <c r="A1364" s="54" t="s">
        <v>53</v>
      </c>
      <c r="B1364" s="48" t="s">
        <v>54</v>
      </c>
      <c r="C1364" s="43"/>
      <c r="D1364" s="43"/>
      <c r="E1364" s="161"/>
      <c r="F1364" s="49"/>
      <c r="G1364" s="49"/>
      <c r="H1364" s="55" t="s">
        <v>55</v>
      </c>
      <c r="I1364" s="51">
        <f>SUM(I1360+I1361+I1362+I1363)</f>
        <v>5393.0044349999989</v>
      </c>
      <c r="J1364" s="54" t="s">
        <v>53</v>
      </c>
      <c r="K1364" s="48" t="s">
        <v>54</v>
      </c>
      <c r="L1364" s="43"/>
      <c r="M1364" s="43"/>
      <c r="N1364" s="161"/>
      <c r="O1364" s="49"/>
      <c r="P1364" s="49"/>
      <c r="Q1364" s="55" t="s">
        <v>55</v>
      </c>
      <c r="R1364" s="51">
        <f>SUM(R1360+R1361+R1362+R1363)</f>
        <v>22003.983622529999</v>
      </c>
    </row>
    <row r="1365" spans="1:18" s="1" customFormat="1" x14ac:dyDescent="0.2">
      <c r="A1365" s="236" t="s">
        <v>0</v>
      </c>
      <c r="B1365" s="236"/>
      <c r="C1365" s="236"/>
      <c r="D1365" s="236"/>
      <c r="E1365" s="236"/>
      <c r="F1365" s="236"/>
      <c r="G1365" s="236"/>
      <c r="H1365" s="236"/>
      <c r="I1365" s="236"/>
      <c r="J1365" s="236" t="s">
        <v>0</v>
      </c>
      <c r="K1365" s="236"/>
      <c r="L1365" s="236"/>
      <c r="M1365" s="236"/>
      <c r="N1365" s="236"/>
      <c r="O1365" s="236"/>
      <c r="P1365" s="236"/>
      <c r="Q1365" s="236"/>
      <c r="R1365" s="236"/>
    </row>
    <row r="1367" spans="1:18" x14ac:dyDescent="0.2">
      <c r="A1367" s="158" t="s">
        <v>1</v>
      </c>
      <c r="C1367" s="4" t="s">
        <v>2</v>
      </c>
      <c r="D1367" s="5" t="s">
        <v>805</v>
      </c>
      <c r="E1367" s="8" t="s">
        <v>806</v>
      </c>
      <c r="F1367" s="8"/>
      <c r="G1367" s="8"/>
      <c r="H1367" s="8"/>
      <c r="I1367" s="8"/>
      <c r="J1367" s="158" t="s">
        <v>1</v>
      </c>
      <c r="L1367" s="4" t="s">
        <v>2</v>
      </c>
      <c r="M1367" s="5" t="s">
        <v>797</v>
      </c>
      <c r="N1367" s="237" t="s">
        <v>798</v>
      </c>
      <c r="O1367" s="237"/>
      <c r="P1367" s="237"/>
      <c r="Q1367" s="237"/>
    </row>
    <row r="1368" spans="1:18" x14ac:dyDescent="0.2">
      <c r="A1368" s="158" t="s">
        <v>7</v>
      </c>
      <c r="C1368" s="4" t="s">
        <v>2</v>
      </c>
      <c r="E1368" s="158" t="s">
        <v>59</v>
      </c>
      <c r="F1368" s="8"/>
      <c r="G1368" s="8"/>
      <c r="H1368" s="8"/>
      <c r="J1368" s="158" t="s">
        <v>7</v>
      </c>
      <c r="L1368" s="4" t="s">
        <v>2</v>
      </c>
      <c r="N1368" s="158" t="s">
        <v>8</v>
      </c>
      <c r="O1368" s="8"/>
      <c r="P1368" s="8"/>
      <c r="Q1368" s="8"/>
    </row>
    <row r="1369" spans="1:18" x14ac:dyDescent="0.2">
      <c r="A1369" s="158" t="s">
        <v>147</v>
      </c>
      <c r="C1369" s="4" t="s">
        <v>2</v>
      </c>
      <c r="E1369" s="9">
        <v>1</v>
      </c>
      <c r="F1369" s="8"/>
      <c r="G1369" s="8"/>
      <c r="H1369" s="8"/>
      <c r="J1369" s="158" t="s">
        <v>10</v>
      </c>
      <c r="L1369" s="4" t="s">
        <v>2</v>
      </c>
      <c r="N1369" s="9">
        <v>50</v>
      </c>
      <c r="O1369" s="8"/>
      <c r="P1369" s="8"/>
      <c r="Q1369" s="8"/>
    </row>
    <row r="1370" spans="1:18" x14ac:dyDescent="0.2">
      <c r="B1370" s="8"/>
      <c r="F1370" s="11"/>
      <c r="G1370" s="8"/>
      <c r="H1370" s="8"/>
      <c r="I1370" s="8"/>
      <c r="K1370" s="8"/>
      <c r="O1370" s="11"/>
      <c r="P1370" s="8"/>
      <c r="Q1370" s="8"/>
      <c r="R1370" s="8"/>
    </row>
    <row r="1371" spans="1:18" x14ac:dyDescent="0.2">
      <c r="A1371" s="12"/>
      <c r="B1371" s="238" t="s">
        <v>11</v>
      </c>
      <c r="C1371" s="239"/>
      <c r="D1371" s="239"/>
      <c r="E1371" s="240"/>
      <c r="F1371" s="244" t="s">
        <v>12</v>
      </c>
      <c r="G1371" s="244" t="s">
        <v>13</v>
      </c>
      <c r="H1371" s="244" t="s">
        <v>14</v>
      </c>
      <c r="I1371" s="246" t="s">
        <v>15</v>
      </c>
      <c r="J1371" s="12"/>
      <c r="K1371" s="238" t="s">
        <v>11</v>
      </c>
      <c r="L1371" s="239"/>
      <c r="M1371" s="239"/>
      <c r="N1371" s="240"/>
      <c r="O1371" s="244" t="s">
        <v>12</v>
      </c>
      <c r="P1371" s="244" t="s">
        <v>13</v>
      </c>
      <c r="Q1371" s="244" t="s">
        <v>14</v>
      </c>
      <c r="R1371" s="246" t="s">
        <v>15</v>
      </c>
    </row>
    <row r="1372" spans="1:18" x14ac:dyDescent="0.2">
      <c r="A1372" s="13"/>
      <c r="B1372" s="241"/>
      <c r="C1372" s="242"/>
      <c r="D1372" s="242"/>
      <c r="E1372" s="243"/>
      <c r="F1372" s="245"/>
      <c r="G1372" s="245"/>
      <c r="H1372" s="245"/>
      <c r="I1372" s="247"/>
      <c r="J1372" s="13"/>
      <c r="K1372" s="241"/>
      <c r="L1372" s="242"/>
      <c r="M1372" s="242"/>
      <c r="N1372" s="243"/>
      <c r="O1372" s="245"/>
      <c r="P1372" s="245"/>
      <c r="Q1372" s="245"/>
      <c r="R1372" s="247"/>
    </row>
    <row r="1373" spans="1:18" x14ac:dyDescent="0.2">
      <c r="A1373" s="13" t="s">
        <v>16</v>
      </c>
      <c r="B1373" s="14" t="s">
        <v>17</v>
      </c>
      <c r="C1373" s="15"/>
      <c r="D1373" s="15"/>
      <c r="E1373" s="16"/>
      <c r="F1373" s="17"/>
      <c r="G1373" s="17"/>
      <c r="H1373" s="17"/>
      <c r="I1373" s="17"/>
      <c r="J1373" s="13" t="s">
        <v>16</v>
      </c>
      <c r="K1373" s="14" t="s">
        <v>17</v>
      </c>
      <c r="L1373" s="15"/>
      <c r="M1373" s="15"/>
      <c r="N1373" s="16"/>
      <c r="O1373" s="17"/>
      <c r="P1373" s="17"/>
      <c r="Q1373" s="17"/>
      <c r="R1373" s="17"/>
    </row>
    <row r="1374" spans="1:18" x14ac:dyDescent="0.2">
      <c r="A1374" s="13"/>
      <c r="B1374" s="18"/>
      <c r="C1374" s="19"/>
      <c r="D1374" s="19"/>
      <c r="E1374" s="20"/>
      <c r="F1374" s="21"/>
      <c r="G1374" s="22"/>
      <c r="H1374" s="21"/>
      <c r="I1374" s="21"/>
      <c r="J1374" s="13"/>
      <c r="K1374" s="18"/>
      <c r="L1374" s="19"/>
      <c r="M1374" s="19"/>
      <c r="N1374" s="20"/>
      <c r="O1374" s="21"/>
      <c r="P1374" s="22"/>
      <c r="Q1374" s="21"/>
      <c r="R1374" s="21"/>
    </row>
    <row r="1375" spans="1:18" x14ac:dyDescent="0.2">
      <c r="A1375" s="13"/>
      <c r="B1375" s="24" t="s">
        <v>18</v>
      </c>
      <c r="C1375" s="25"/>
      <c r="D1375" s="25"/>
      <c r="E1375" s="26"/>
      <c r="F1375" s="22">
        <v>1</v>
      </c>
      <c r="G1375" s="23">
        <v>1</v>
      </c>
      <c r="H1375" s="23">
        <v>69.42</v>
      </c>
      <c r="I1375" s="23">
        <f>G1375*H1375*F1375</f>
        <v>69.42</v>
      </c>
      <c r="J1375" s="13"/>
      <c r="K1375" s="24" t="s">
        <v>18</v>
      </c>
      <c r="L1375" s="25"/>
      <c r="M1375" s="25"/>
      <c r="N1375" s="26"/>
      <c r="O1375" s="22">
        <v>1</v>
      </c>
      <c r="P1375" s="23">
        <v>1</v>
      </c>
      <c r="Q1375" s="23">
        <v>69.42</v>
      </c>
      <c r="R1375" s="23">
        <f>P1375*Q1375*O1375</f>
        <v>69.42</v>
      </c>
    </row>
    <row r="1376" spans="1:18" x14ac:dyDescent="0.2">
      <c r="A1376" s="13"/>
      <c r="B1376" s="257" t="s">
        <v>1178</v>
      </c>
      <c r="C1376" s="258"/>
      <c r="D1376" s="25"/>
      <c r="E1376" s="26"/>
      <c r="F1376" s="22">
        <v>1</v>
      </c>
      <c r="G1376" s="23">
        <v>1</v>
      </c>
      <c r="H1376" s="23">
        <v>50.18</v>
      </c>
      <c r="I1376" s="23">
        <f>G1376*H1376*F1376</f>
        <v>50.18</v>
      </c>
      <c r="J1376" s="13"/>
      <c r="K1376" s="257" t="s">
        <v>1179</v>
      </c>
      <c r="L1376" s="258"/>
      <c r="M1376" s="19"/>
      <c r="N1376" s="20"/>
      <c r="O1376" s="22">
        <v>8</v>
      </c>
      <c r="P1376" s="23">
        <v>1</v>
      </c>
      <c r="Q1376" s="23">
        <v>38.97</v>
      </c>
      <c r="R1376" s="23">
        <f>P1376*Q1376*O1376</f>
        <v>311.76</v>
      </c>
    </row>
    <row r="1377" spans="1:18" x14ac:dyDescent="0.2">
      <c r="A1377" s="13"/>
      <c r="B1377" s="257" t="s">
        <v>1177</v>
      </c>
      <c r="C1377" s="258"/>
      <c r="D1377" s="19"/>
      <c r="E1377" s="20"/>
      <c r="F1377" s="22">
        <v>2</v>
      </c>
      <c r="G1377" s="23">
        <v>1</v>
      </c>
      <c r="H1377" s="23">
        <v>38.97</v>
      </c>
      <c r="I1377" s="23">
        <f>G1377*H1377*F1377</f>
        <v>77.94</v>
      </c>
      <c r="J1377" s="13"/>
      <c r="K1377" s="257"/>
      <c r="L1377" s="258"/>
      <c r="M1377" s="19"/>
      <c r="N1377" s="20"/>
      <c r="O1377" s="22"/>
      <c r="P1377" s="22"/>
      <c r="Q1377" s="23"/>
      <c r="R1377" s="23"/>
    </row>
    <row r="1378" spans="1:18" x14ac:dyDescent="0.2">
      <c r="A1378" s="13"/>
      <c r="B1378" s="159"/>
      <c r="C1378" s="160"/>
      <c r="D1378" s="19"/>
      <c r="E1378" s="20"/>
      <c r="F1378" s="22"/>
      <c r="G1378" s="22"/>
      <c r="H1378" s="29"/>
      <c r="I1378" s="30"/>
      <c r="J1378" s="13"/>
      <c r="K1378" s="159"/>
      <c r="L1378" s="19"/>
      <c r="M1378" s="19"/>
      <c r="N1378" s="20"/>
      <c r="O1378" s="22"/>
      <c r="P1378" s="22"/>
      <c r="Q1378" s="29"/>
      <c r="R1378" s="30"/>
    </row>
    <row r="1379" spans="1:18" x14ac:dyDescent="0.2">
      <c r="A1379" s="13"/>
      <c r="B1379" s="159"/>
      <c r="C1379" s="160"/>
      <c r="D1379" s="19"/>
      <c r="E1379" s="20"/>
      <c r="F1379" s="22"/>
      <c r="G1379" s="22"/>
      <c r="H1379" s="29"/>
      <c r="I1379" s="30"/>
      <c r="J1379" s="13"/>
      <c r="K1379" s="159"/>
      <c r="L1379" s="19"/>
      <c r="M1379" s="19"/>
      <c r="N1379" s="20"/>
      <c r="O1379" s="22"/>
      <c r="P1379" s="22"/>
      <c r="Q1379" s="29"/>
      <c r="R1379" s="30"/>
    </row>
    <row r="1380" spans="1:18" x14ac:dyDescent="0.2">
      <c r="A1380" s="13"/>
      <c r="B1380" s="257"/>
      <c r="C1380" s="258"/>
      <c r="D1380" s="19"/>
      <c r="E1380" s="20"/>
      <c r="F1380" s="22"/>
      <c r="G1380" s="22"/>
      <c r="H1380" s="23"/>
      <c r="I1380" s="23"/>
      <c r="J1380" s="13"/>
      <c r="K1380" s="18"/>
      <c r="L1380" s="19"/>
      <c r="M1380" s="19"/>
      <c r="N1380" s="20"/>
      <c r="O1380" s="22"/>
      <c r="P1380" s="22"/>
      <c r="Q1380" s="28"/>
      <c r="R1380" s="23"/>
    </row>
    <row r="1381" spans="1:18" x14ac:dyDescent="0.2">
      <c r="A1381" s="13"/>
      <c r="B1381" s="257"/>
      <c r="C1381" s="258"/>
      <c r="D1381" s="19"/>
      <c r="E1381" s="20"/>
      <c r="F1381" s="22"/>
      <c r="G1381" s="22"/>
      <c r="H1381" s="23"/>
      <c r="I1381" s="23"/>
      <c r="J1381" s="13"/>
      <c r="K1381" s="18"/>
      <c r="L1381" s="19"/>
      <c r="M1381" s="19"/>
      <c r="N1381" s="20"/>
      <c r="O1381" s="22"/>
      <c r="P1381" s="22"/>
      <c r="Q1381" s="23"/>
      <c r="R1381" s="23"/>
    </row>
    <row r="1382" spans="1:18" x14ac:dyDescent="0.2">
      <c r="A1382" s="13"/>
      <c r="B1382" s="248" t="s">
        <v>20</v>
      </c>
      <c r="C1382" s="249"/>
      <c r="D1382" s="249"/>
      <c r="E1382" s="250"/>
      <c r="F1382" s="31"/>
      <c r="G1382" s="31"/>
      <c r="H1382" s="32"/>
      <c r="I1382" s="32">
        <f>SUM(I1375:I1381)</f>
        <v>197.54</v>
      </c>
      <c r="J1382" s="13"/>
      <c r="K1382" s="248" t="s">
        <v>20</v>
      </c>
      <c r="L1382" s="249"/>
      <c r="M1382" s="249"/>
      <c r="N1382" s="250"/>
      <c r="O1382" s="31"/>
      <c r="P1382" s="31"/>
      <c r="Q1382" s="32"/>
      <c r="R1382" s="32">
        <f>SUM(R1375:R1381)</f>
        <v>381.18</v>
      </c>
    </row>
    <row r="1383" spans="1:18" x14ac:dyDescent="0.2">
      <c r="A1383" s="12"/>
      <c r="B1383" s="251" t="s">
        <v>21</v>
      </c>
      <c r="C1383" s="252"/>
      <c r="D1383" s="252"/>
      <c r="E1383" s="253"/>
      <c r="F1383" s="244" t="s">
        <v>22</v>
      </c>
      <c r="G1383" s="244" t="s">
        <v>13</v>
      </c>
      <c r="H1383" s="244" t="s">
        <v>14</v>
      </c>
      <c r="I1383" s="246" t="s">
        <v>15</v>
      </c>
      <c r="J1383" s="12"/>
      <c r="K1383" s="251" t="s">
        <v>21</v>
      </c>
      <c r="L1383" s="252"/>
      <c r="M1383" s="252"/>
      <c r="N1383" s="253"/>
      <c r="O1383" s="244" t="s">
        <v>22</v>
      </c>
      <c r="P1383" s="244" t="s">
        <v>13</v>
      </c>
      <c r="Q1383" s="244" t="s">
        <v>14</v>
      </c>
      <c r="R1383" s="246" t="s">
        <v>15</v>
      </c>
    </row>
    <row r="1384" spans="1:18" x14ac:dyDescent="0.2">
      <c r="A1384" s="13"/>
      <c r="B1384" s="254"/>
      <c r="C1384" s="255"/>
      <c r="D1384" s="255"/>
      <c r="E1384" s="256"/>
      <c r="F1384" s="245"/>
      <c r="G1384" s="245"/>
      <c r="H1384" s="245"/>
      <c r="I1384" s="247"/>
      <c r="J1384" s="13"/>
      <c r="K1384" s="254"/>
      <c r="L1384" s="255"/>
      <c r="M1384" s="255"/>
      <c r="N1384" s="256"/>
      <c r="O1384" s="245"/>
      <c r="P1384" s="245"/>
      <c r="Q1384" s="245"/>
      <c r="R1384" s="247"/>
    </row>
    <row r="1385" spans="1:18" x14ac:dyDescent="0.2">
      <c r="A1385" s="13" t="s">
        <v>23</v>
      </c>
      <c r="B1385" s="33" t="s">
        <v>24</v>
      </c>
      <c r="C1385" s="15"/>
      <c r="D1385" s="15"/>
      <c r="E1385" s="16"/>
      <c r="F1385" s="34"/>
      <c r="G1385" s="34"/>
      <c r="H1385" s="35"/>
      <c r="I1385" s="35"/>
      <c r="J1385" s="13" t="s">
        <v>23</v>
      </c>
      <c r="K1385" s="33" t="s">
        <v>24</v>
      </c>
      <c r="L1385" s="15"/>
      <c r="M1385" s="15"/>
      <c r="N1385" s="16"/>
      <c r="O1385" s="34"/>
      <c r="P1385" s="34"/>
      <c r="Q1385" s="35"/>
      <c r="R1385" s="35"/>
    </row>
    <row r="1386" spans="1:18" x14ac:dyDescent="0.2">
      <c r="A1386" s="13"/>
      <c r="B1386" s="18"/>
      <c r="C1386" s="19"/>
      <c r="D1386" s="19"/>
      <c r="E1386" s="20"/>
      <c r="F1386" s="22"/>
      <c r="G1386" s="22"/>
      <c r="H1386" s="23"/>
      <c r="I1386" s="23"/>
      <c r="J1386" s="13"/>
      <c r="K1386" s="18"/>
      <c r="L1386" s="19"/>
      <c r="M1386" s="19"/>
      <c r="N1386" s="20"/>
      <c r="O1386" s="22"/>
      <c r="P1386" s="22"/>
      <c r="Q1386" s="23"/>
      <c r="R1386" s="23"/>
    </row>
    <row r="1387" spans="1:18" x14ac:dyDescent="0.2">
      <c r="A1387" s="13"/>
      <c r="B1387" s="18" t="s">
        <v>1294</v>
      </c>
      <c r="C1387" s="19"/>
      <c r="D1387" s="19"/>
      <c r="E1387" s="20"/>
      <c r="F1387" s="22">
        <v>1</v>
      </c>
      <c r="G1387" s="23">
        <v>2</v>
      </c>
      <c r="H1387" s="37">
        <v>371</v>
      </c>
      <c r="I1387" s="37">
        <f>G1387*H1387*F1387</f>
        <v>742</v>
      </c>
      <c r="J1387" s="13"/>
      <c r="K1387" s="18" t="s">
        <v>1174</v>
      </c>
      <c r="L1387" s="19"/>
      <c r="M1387" s="19"/>
      <c r="N1387" s="20"/>
      <c r="O1387" s="22">
        <v>1</v>
      </c>
      <c r="P1387" s="23">
        <v>0.25</v>
      </c>
      <c r="Q1387" s="37">
        <v>2450</v>
      </c>
      <c r="R1387" s="37">
        <f>O1387*P1387*Q1387</f>
        <v>612.5</v>
      </c>
    </row>
    <row r="1388" spans="1:18" x14ac:dyDescent="0.2">
      <c r="A1388" s="13"/>
      <c r="B1388" s="18" t="s">
        <v>92</v>
      </c>
      <c r="F1388" s="22"/>
      <c r="G1388" s="23"/>
      <c r="I1388" s="37">
        <f>I1382*0.1</f>
        <v>19.754000000000001</v>
      </c>
      <c r="J1388" s="13"/>
      <c r="K1388" s="18" t="s">
        <v>92</v>
      </c>
      <c r="L1388" s="19"/>
      <c r="M1388" s="19"/>
      <c r="N1388" s="20"/>
      <c r="O1388" s="22"/>
      <c r="P1388" s="23"/>
      <c r="R1388" s="37">
        <f>R1382*0.1</f>
        <v>38.118000000000002</v>
      </c>
    </row>
    <row r="1389" spans="1:18" x14ac:dyDescent="0.2">
      <c r="A1389" s="13"/>
      <c r="B1389" s="18"/>
      <c r="F1389" s="22"/>
      <c r="G1389" s="23"/>
      <c r="H1389" s="37"/>
      <c r="I1389" s="37"/>
      <c r="J1389" s="13"/>
      <c r="K1389" s="18"/>
      <c r="L1389" s="19"/>
      <c r="M1389" s="19"/>
      <c r="N1389" s="20"/>
      <c r="O1389" s="22"/>
      <c r="P1389" s="23"/>
      <c r="Q1389" s="37"/>
      <c r="R1389" s="37"/>
    </row>
    <row r="1390" spans="1:18" x14ac:dyDescent="0.2">
      <c r="A1390" s="13"/>
      <c r="B1390" s="18"/>
      <c r="F1390" s="22"/>
      <c r="G1390" s="23"/>
      <c r="H1390" s="37"/>
      <c r="I1390" s="37"/>
      <c r="J1390" s="13"/>
      <c r="K1390" s="18"/>
      <c r="O1390" s="22"/>
      <c r="P1390" s="36"/>
      <c r="Q1390" s="37"/>
      <c r="R1390" s="37"/>
    </row>
    <row r="1391" spans="1:18" x14ac:dyDescent="0.2">
      <c r="A1391" s="13"/>
      <c r="B1391" s="18"/>
      <c r="C1391" s="19"/>
      <c r="D1391" s="19"/>
      <c r="E1391" s="20"/>
      <c r="F1391" s="22"/>
      <c r="G1391" s="36"/>
      <c r="H1391" s="37"/>
      <c r="I1391" s="37"/>
      <c r="J1391" s="13"/>
      <c r="K1391" s="18"/>
      <c r="L1391" s="19"/>
      <c r="M1391" s="19"/>
      <c r="N1391" s="20"/>
      <c r="O1391" s="22"/>
      <c r="P1391" s="36"/>
      <c r="Q1391" s="37"/>
      <c r="R1391" s="37"/>
    </row>
    <row r="1392" spans="1:18" x14ac:dyDescent="0.2">
      <c r="A1392" s="13"/>
      <c r="B1392" s="18"/>
      <c r="C1392" s="19"/>
      <c r="D1392" s="19"/>
      <c r="E1392" s="20"/>
      <c r="F1392" s="22"/>
      <c r="G1392" s="36"/>
      <c r="H1392" s="37"/>
      <c r="I1392" s="38"/>
      <c r="J1392" s="13"/>
      <c r="K1392" s="18"/>
      <c r="L1392" s="19"/>
      <c r="M1392" s="19"/>
      <c r="N1392" s="20"/>
      <c r="O1392" s="22"/>
      <c r="P1392" s="36"/>
      <c r="Q1392" s="38"/>
      <c r="R1392" s="38"/>
    </row>
    <row r="1393" spans="1:18" x14ac:dyDescent="0.2">
      <c r="A1393" s="13"/>
      <c r="B1393" s="18"/>
      <c r="C1393" s="19"/>
      <c r="D1393" s="19"/>
      <c r="E1393" s="20"/>
      <c r="F1393" s="22"/>
      <c r="G1393" s="36"/>
      <c r="H1393" s="37"/>
      <c r="I1393" s="38"/>
      <c r="J1393" s="13"/>
      <c r="K1393" s="18"/>
      <c r="L1393" s="19"/>
      <c r="M1393" s="19"/>
      <c r="N1393" s="20"/>
      <c r="O1393" s="22"/>
      <c r="P1393" s="36"/>
      <c r="Q1393" s="38"/>
      <c r="R1393" s="38"/>
    </row>
    <row r="1394" spans="1:18" x14ac:dyDescent="0.2">
      <c r="A1394" s="13"/>
      <c r="B1394" s="18"/>
      <c r="C1394" s="19"/>
      <c r="D1394" s="19"/>
      <c r="E1394" s="20"/>
      <c r="F1394" s="22"/>
      <c r="G1394" s="23"/>
      <c r="H1394" s="37"/>
      <c r="I1394" s="38"/>
      <c r="J1394" s="13"/>
      <c r="K1394" s="18"/>
      <c r="L1394" s="19"/>
      <c r="M1394" s="19"/>
      <c r="N1394" s="20"/>
      <c r="O1394" s="22"/>
      <c r="P1394" s="36"/>
      <c r="Q1394" s="38"/>
      <c r="R1394" s="38"/>
    </row>
    <row r="1395" spans="1:18" x14ac:dyDescent="0.2">
      <c r="A1395" s="13"/>
      <c r="B1395" s="18"/>
      <c r="C1395" s="19"/>
      <c r="D1395" s="19"/>
      <c r="E1395" s="20"/>
      <c r="F1395" s="22"/>
      <c r="G1395" s="23"/>
      <c r="H1395" s="37"/>
      <c r="I1395" s="38"/>
      <c r="J1395" s="13"/>
      <c r="K1395" s="18"/>
      <c r="L1395" s="19"/>
      <c r="M1395" s="19"/>
      <c r="N1395" s="20"/>
      <c r="O1395" s="22"/>
      <c r="P1395" s="36"/>
      <c r="Q1395" s="38"/>
      <c r="R1395" s="38"/>
    </row>
    <row r="1396" spans="1:18" x14ac:dyDescent="0.2">
      <c r="A1396" s="13"/>
      <c r="B1396" s="7"/>
      <c r="C1396" s="7"/>
      <c r="D1396" s="7"/>
      <c r="E1396" s="7"/>
      <c r="F1396" s="72"/>
      <c r="G1396" s="72"/>
      <c r="H1396" s="72"/>
      <c r="I1396" s="37"/>
      <c r="J1396" s="13"/>
      <c r="K1396" s="18"/>
      <c r="L1396" s="19"/>
      <c r="M1396" s="19"/>
      <c r="N1396" s="20"/>
      <c r="O1396" s="22"/>
      <c r="P1396" s="36"/>
      <c r="Q1396" s="37"/>
      <c r="R1396" s="37"/>
    </row>
    <row r="1397" spans="1:18" x14ac:dyDescent="0.2">
      <c r="A1397" s="13"/>
      <c r="B1397" s="18"/>
      <c r="C1397" s="19"/>
      <c r="D1397" s="19"/>
      <c r="E1397" s="20"/>
      <c r="F1397" s="22"/>
      <c r="G1397" s="36"/>
      <c r="H1397" s="37"/>
      <c r="I1397" s="37"/>
      <c r="J1397" s="13"/>
      <c r="K1397" s="18"/>
      <c r="L1397" s="19"/>
      <c r="M1397" s="19"/>
      <c r="N1397" s="20"/>
      <c r="O1397" s="22"/>
      <c r="P1397" s="36"/>
      <c r="Q1397" s="37"/>
      <c r="R1397" s="37"/>
    </row>
    <row r="1398" spans="1:18" x14ac:dyDescent="0.2">
      <c r="A1398" s="13"/>
      <c r="B1398" s="18"/>
      <c r="C1398" s="19"/>
      <c r="D1398" s="19"/>
      <c r="E1398" s="20"/>
      <c r="F1398" s="22"/>
      <c r="G1398" s="36"/>
      <c r="H1398" s="37"/>
      <c r="I1398" s="37"/>
      <c r="J1398" s="13"/>
      <c r="K1398" s="18"/>
      <c r="L1398" s="19"/>
      <c r="M1398" s="19"/>
      <c r="N1398" s="20"/>
      <c r="O1398" s="22"/>
      <c r="P1398" s="36"/>
      <c r="Q1398" s="37"/>
      <c r="R1398" s="37"/>
    </row>
    <row r="1399" spans="1:18" x14ac:dyDescent="0.2">
      <c r="A1399" s="13"/>
      <c r="B1399" s="18"/>
      <c r="C1399" s="19"/>
      <c r="D1399" s="19"/>
      <c r="E1399" s="20"/>
      <c r="F1399" s="22"/>
      <c r="G1399" s="22"/>
      <c r="H1399" s="23"/>
      <c r="I1399" s="23"/>
      <c r="J1399" s="13"/>
      <c r="K1399" s="18"/>
      <c r="L1399" s="19"/>
      <c r="M1399" s="19"/>
      <c r="N1399" s="20"/>
      <c r="O1399" s="22"/>
      <c r="P1399" s="22"/>
      <c r="Q1399" s="23"/>
      <c r="R1399" s="23"/>
    </row>
    <row r="1400" spans="1:18" x14ac:dyDescent="0.2">
      <c r="A1400" s="13"/>
      <c r="B1400" s="248" t="s">
        <v>30</v>
      </c>
      <c r="C1400" s="249"/>
      <c r="D1400" s="249"/>
      <c r="E1400" s="250"/>
      <c r="F1400" s="22"/>
      <c r="G1400" s="22"/>
      <c r="H1400" s="23"/>
      <c r="I1400" s="23">
        <f>SUM(I1387:I1399)</f>
        <v>761.75400000000002</v>
      </c>
      <c r="J1400" s="13"/>
      <c r="K1400" s="248" t="s">
        <v>30</v>
      </c>
      <c r="L1400" s="249"/>
      <c r="M1400" s="249"/>
      <c r="N1400" s="250"/>
      <c r="O1400" s="22"/>
      <c r="P1400" s="22"/>
      <c r="Q1400" s="23"/>
      <c r="R1400" s="23">
        <f>SUM(R1387:R1399)</f>
        <v>650.61800000000005</v>
      </c>
    </row>
    <row r="1401" spans="1:18" x14ac:dyDescent="0.2">
      <c r="A1401" s="12" t="s">
        <v>31</v>
      </c>
      <c r="B1401" s="260" t="s">
        <v>32</v>
      </c>
      <c r="C1401" s="261"/>
      <c r="D1401" s="261"/>
      <c r="E1401" s="261"/>
      <c r="F1401" s="161"/>
      <c r="G1401" s="161"/>
      <c r="H1401" s="40"/>
      <c r="I1401" s="41">
        <f>SUM(I1400+I1382)</f>
        <v>959.29399999999998</v>
      </c>
      <c r="J1401" s="12" t="s">
        <v>31</v>
      </c>
      <c r="K1401" s="260" t="s">
        <v>32</v>
      </c>
      <c r="L1401" s="261"/>
      <c r="M1401" s="261"/>
      <c r="N1401" s="261"/>
      <c r="O1401" s="161"/>
      <c r="P1401" s="161"/>
      <c r="Q1401" s="40"/>
      <c r="R1401" s="41">
        <f>SUM(R1400+R1382)</f>
        <v>1031.798</v>
      </c>
    </row>
    <row r="1402" spans="1:18" x14ac:dyDescent="0.2">
      <c r="A1402" s="13" t="s">
        <v>33</v>
      </c>
      <c r="B1402" s="380">
        <f>E1369</f>
        <v>1</v>
      </c>
      <c r="C1402" s="381"/>
      <c r="D1402" s="381"/>
      <c r="E1402" s="381"/>
      <c r="F1402" s="381"/>
      <c r="G1402" s="381"/>
      <c r="H1402" s="40"/>
      <c r="I1402" s="41"/>
      <c r="J1402" s="13" t="s">
        <v>33</v>
      </c>
      <c r="K1402" s="305">
        <f>N1369</f>
        <v>50</v>
      </c>
      <c r="L1402" s="306"/>
      <c r="M1402" s="306"/>
      <c r="N1402" s="306"/>
      <c r="O1402" s="306"/>
      <c r="P1402" s="306"/>
      <c r="Q1402" s="40"/>
      <c r="R1402" s="41"/>
    </row>
    <row r="1403" spans="1:18" x14ac:dyDescent="0.2">
      <c r="A1403" s="13" t="s">
        <v>34</v>
      </c>
      <c r="B1403" s="162" t="s">
        <v>35</v>
      </c>
      <c r="C1403" s="43"/>
      <c r="D1403" s="43"/>
      <c r="E1403" s="161"/>
      <c r="F1403" s="163"/>
      <c r="G1403" s="163"/>
      <c r="H1403" s="40"/>
      <c r="I1403" s="41">
        <f>I1401/E1369</f>
        <v>959.29399999999998</v>
      </c>
      <c r="J1403" s="13" t="s">
        <v>34</v>
      </c>
      <c r="K1403" s="162" t="s">
        <v>35</v>
      </c>
      <c r="L1403" s="43"/>
      <c r="M1403" s="43"/>
      <c r="N1403" s="161"/>
      <c r="O1403" s="163"/>
      <c r="P1403" s="163"/>
      <c r="Q1403" s="40"/>
      <c r="R1403" s="41">
        <f>R1401/N1369</f>
        <v>20.635960000000001</v>
      </c>
    </row>
    <row r="1404" spans="1:18" x14ac:dyDescent="0.2">
      <c r="A1404" s="12"/>
      <c r="B1404" s="251" t="s">
        <v>36</v>
      </c>
      <c r="C1404" s="252"/>
      <c r="D1404" s="252"/>
      <c r="E1404" s="253"/>
      <c r="F1404" s="244" t="s">
        <v>37</v>
      </c>
      <c r="G1404" s="244" t="s">
        <v>38</v>
      </c>
      <c r="H1404" s="244" t="s">
        <v>39</v>
      </c>
      <c r="I1404" s="246" t="s">
        <v>15</v>
      </c>
      <c r="J1404" s="12"/>
      <c r="K1404" s="251" t="s">
        <v>36</v>
      </c>
      <c r="L1404" s="252"/>
      <c r="M1404" s="252"/>
      <c r="N1404" s="253"/>
      <c r="O1404" s="244" t="s">
        <v>37</v>
      </c>
      <c r="P1404" s="244" t="s">
        <v>38</v>
      </c>
      <c r="Q1404" s="244" t="s">
        <v>39</v>
      </c>
      <c r="R1404" s="246" t="s">
        <v>15</v>
      </c>
    </row>
    <row r="1405" spans="1:18" x14ac:dyDescent="0.2">
      <c r="A1405" s="13"/>
      <c r="B1405" s="254"/>
      <c r="C1405" s="255"/>
      <c r="D1405" s="255"/>
      <c r="E1405" s="256"/>
      <c r="F1405" s="245"/>
      <c r="G1405" s="245"/>
      <c r="H1405" s="245"/>
      <c r="I1405" s="247"/>
      <c r="J1405" s="13"/>
      <c r="K1405" s="254"/>
      <c r="L1405" s="255"/>
      <c r="M1405" s="255"/>
      <c r="N1405" s="256"/>
      <c r="O1405" s="245"/>
      <c r="P1405" s="245"/>
      <c r="Q1405" s="245"/>
      <c r="R1405" s="247"/>
    </row>
    <row r="1406" spans="1:18" x14ac:dyDescent="0.2">
      <c r="A1406" s="13" t="s">
        <v>40</v>
      </c>
      <c r="B1406" s="18" t="s">
        <v>41</v>
      </c>
      <c r="C1406" s="19"/>
      <c r="D1406" s="19"/>
      <c r="E1406" s="20"/>
      <c r="F1406" s="22"/>
      <c r="G1406" s="22"/>
      <c r="H1406" s="23"/>
      <c r="I1406" s="23"/>
      <c r="J1406" s="13" t="s">
        <v>40</v>
      </c>
      <c r="K1406" s="18" t="s">
        <v>41</v>
      </c>
      <c r="L1406" s="19"/>
      <c r="M1406" s="19"/>
      <c r="N1406" s="20"/>
      <c r="O1406" s="22"/>
      <c r="P1406" s="22"/>
      <c r="Q1406" s="23"/>
      <c r="R1406" s="23"/>
    </row>
    <row r="1407" spans="1:18" x14ac:dyDescent="0.2">
      <c r="A1407" s="13"/>
      <c r="B1407" s="18"/>
      <c r="C1407" s="19"/>
      <c r="D1407" s="19"/>
      <c r="E1407" s="20"/>
      <c r="F1407" s="22"/>
      <c r="G1407" s="22"/>
      <c r="H1407" s="23"/>
      <c r="I1407" s="23"/>
      <c r="J1407" s="13"/>
      <c r="K1407" s="18"/>
      <c r="L1407" s="19"/>
      <c r="M1407" s="19"/>
      <c r="N1407" s="20"/>
      <c r="O1407" s="22"/>
      <c r="P1407" s="22"/>
      <c r="Q1407" s="23"/>
      <c r="R1407" s="23"/>
    </row>
    <row r="1408" spans="1:18" x14ac:dyDescent="0.2">
      <c r="A1408" s="13"/>
      <c r="B1408" s="18" t="s">
        <v>808</v>
      </c>
      <c r="C1408" s="66"/>
      <c r="D1408" s="19"/>
      <c r="E1408" s="20"/>
      <c r="F1408" s="62" t="s">
        <v>80</v>
      </c>
      <c r="G1408" s="62">
        <v>5</v>
      </c>
      <c r="H1408" s="107">
        <v>1550</v>
      </c>
      <c r="I1408" s="23">
        <f t="shared" ref="I1408:I1409" si="13">G1408*H1408</f>
        <v>7750</v>
      </c>
      <c r="J1408" s="13"/>
      <c r="K1408" s="18" t="s">
        <v>800</v>
      </c>
      <c r="L1408" s="66"/>
      <c r="M1408" s="19"/>
      <c r="N1408" s="20"/>
      <c r="O1408" s="62" t="s">
        <v>8</v>
      </c>
      <c r="P1408" s="62">
        <v>1.05</v>
      </c>
      <c r="Q1408" s="107">
        <v>110</v>
      </c>
      <c r="R1408" s="23">
        <f>Q1408*P1408</f>
        <v>115.5</v>
      </c>
    </row>
    <row r="1409" spans="1:18" x14ac:dyDescent="0.2">
      <c r="A1409" s="13"/>
      <c r="B1409" s="18" t="s">
        <v>810</v>
      </c>
      <c r="C1409" s="66"/>
      <c r="D1409" s="19"/>
      <c r="E1409" s="20"/>
      <c r="F1409" s="62" t="s">
        <v>1153</v>
      </c>
      <c r="G1409" s="62">
        <v>4.24</v>
      </c>
      <c r="H1409" s="107">
        <f>1650*2</f>
        <v>3300</v>
      </c>
      <c r="I1409" s="23">
        <f t="shared" si="13"/>
        <v>13992</v>
      </c>
      <c r="J1409" s="13"/>
      <c r="K1409" s="18" t="s">
        <v>801</v>
      </c>
      <c r="L1409" s="66"/>
      <c r="M1409" s="19"/>
      <c r="N1409" s="20"/>
      <c r="O1409" s="22"/>
      <c r="P1409" s="22"/>
      <c r="Q1409" s="23"/>
      <c r="R1409" s="23"/>
    </row>
    <row r="1410" spans="1:18" x14ac:dyDescent="0.2">
      <c r="A1410" s="13"/>
      <c r="B1410" s="18" t="s">
        <v>1302</v>
      </c>
      <c r="C1410" s="66"/>
      <c r="D1410" s="19"/>
      <c r="E1410" s="20"/>
      <c r="F1410" s="62" t="s">
        <v>77</v>
      </c>
      <c r="G1410" s="62">
        <v>3.37</v>
      </c>
      <c r="H1410" s="107">
        <v>40</v>
      </c>
      <c r="I1410" s="23">
        <f t="shared" ref="I1410" si="14">G1410*H1410</f>
        <v>134.80000000000001</v>
      </c>
      <c r="J1410" s="13"/>
      <c r="K1410" s="18"/>
      <c r="L1410" s="19"/>
      <c r="M1410" s="19"/>
      <c r="N1410" s="20"/>
      <c r="O1410" s="22"/>
      <c r="P1410" s="22"/>
      <c r="Q1410" s="38"/>
      <c r="R1410" s="38"/>
    </row>
    <row r="1411" spans="1:18" x14ac:dyDescent="0.2">
      <c r="A1411" s="13"/>
      <c r="B1411" s="18" t="s">
        <v>1303</v>
      </c>
      <c r="F1411" s="22"/>
      <c r="G1411" s="23"/>
      <c r="I1411" s="37">
        <f>(SUM(I1408:I1410))*3%</f>
        <v>656.30399999999997</v>
      </c>
      <c r="J1411" s="13"/>
      <c r="K1411" s="18"/>
      <c r="L1411" s="19"/>
      <c r="M1411" s="19"/>
      <c r="N1411" s="20"/>
      <c r="O1411" s="22"/>
      <c r="P1411" s="22"/>
      <c r="Q1411" s="38"/>
      <c r="R1411" s="38"/>
    </row>
    <row r="1412" spans="1:18" x14ac:dyDescent="0.2">
      <c r="A1412" s="13"/>
      <c r="B1412" s="18"/>
      <c r="C1412" s="19"/>
      <c r="D1412" s="19"/>
      <c r="E1412" s="20"/>
      <c r="F1412" s="62"/>
      <c r="G1412" s="70"/>
      <c r="H1412" s="23"/>
      <c r="I1412" s="23"/>
      <c r="J1412" s="13"/>
      <c r="K1412" s="18"/>
      <c r="L1412" s="19"/>
      <c r="M1412" s="19"/>
      <c r="N1412" s="20"/>
      <c r="O1412" s="22"/>
      <c r="P1412" s="22"/>
      <c r="Q1412" s="45"/>
      <c r="R1412" s="45"/>
    </row>
    <row r="1413" spans="1:18" x14ac:dyDescent="0.2">
      <c r="A1413" s="13"/>
      <c r="B1413" s="18"/>
      <c r="C1413" s="66"/>
      <c r="D1413" s="19"/>
      <c r="E1413" s="20"/>
      <c r="F1413" s="62"/>
      <c r="G1413" s="70"/>
      <c r="H1413" s="23"/>
      <c r="I1413" s="23"/>
      <c r="J1413" s="13"/>
      <c r="K1413" s="18"/>
      <c r="L1413" s="19"/>
      <c r="M1413" s="19"/>
      <c r="N1413" s="20"/>
      <c r="O1413" s="22"/>
      <c r="P1413" s="22"/>
      <c r="Q1413" s="45"/>
      <c r="R1413" s="45"/>
    </row>
    <row r="1414" spans="1:18" x14ac:dyDescent="0.2">
      <c r="A1414" s="13"/>
      <c r="B1414" s="18"/>
      <c r="C1414" s="19"/>
      <c r="D1414" s="19"/>
      <c r="E1414" s="20"/>
      <c r="F1414" s="62"/>
      <c r="G1414" s="64"/>
      <c r="H1414" s="23"/>
      <c r="I1414" s="23"/>
      <c r="J1414" s="13"/>
      <c r="K1414" s="18"/>
      <c r="L1414" s="19"/>
      <c r="M1414" s="19"/>
      <c r="N1414" s="20"/>
      <c r="O1414" s="22"/>
      <c r="P1414" s="22"/>
      <c r="Q1414" s="23"/>
      <c r="R1414" s="23"/>
    </row>
    <row r="1415" spans="1:18" x14ac:dyDescent="0.2">
      <c r="A1415" s="13"/>
      <c r="B1415" s="18"/>
      <c r="C1415" s="19"/>
      <c r="D1415" s="19"/>
      <c r="E1415" s="20"/>
      <c r="F1415" s="22"/>
      <c r="G1415" s="70"/>
      <c r="H1415" s="23"/>
      <c r="I1415" s="23"/>
      <c r="J1415" s="13"/>
      <c r="K1415" s="18"/>
      <c r="L1415" s="19"/>
      <c r="M1415" s="19"/>
      <c r="N1415" s="20"/>
      <c r="O1415" s="22"/>
      <c r="P1415" s="22"/>
      <c r="Q1415" s="23"/>
      <c r="R1415" s="23"/>
    </row>
    <row r="1416" spans="1:18" x14ac:dyDescent="0.2">
      <c r="A1416" s="13"/>
      <c r="B1416" s="18"/>
      <c r="C1416" s="19"/>
      <c r="D1416" s="19"/>
      <c r="E1416" s="20"/>
      <c r="F1416" s="22"/>
      <c r="G1416" s="22"/>
      <c r="H1416" s="23"/>
      <c r="I1416" s="23"/>
      <c r="J1416" s="13"/>
      <c r="K1416" s="18"/>
      <c r="L1416" s="19"/>
      <c r="M1416" s="19"/>
      <c r="N1416" s="20"/>
      <c r="O1416" s="22"/>
      <c r="P1416" s="22"/>
      <c r="Q1416" s="23"/>
      <c r="R1416" s="23"/>
    </row>
    <row r="1417" spans="1:18" x14ac:dyDescent="0.2">
      <c r="A1417" s="13"/>
      <c r="B1417" s="18"/>
      <c r="C1417" s="19"/>
      <c r="D1417" s="19"/>
      <c r="E1417" s="20"/>
      <c r="F1417" s="22"/>
      <c r="G1417" s="22"/>
      <c r="H1417" s="23"/>
      <c r="I1417" s="23"/>
      <c r="J1417" s="13"/>
      <c r="K1417" s="18"/>
      <c r="L1417" s="19"/>
      <c r="M1417" s="19"/>
      <c r="N1417" s="20"/>
      <c r="O1417" s="22"/>
      <c r="P1417" s="22"/>
      <c r="Q1417" s="23"/>
      <c r="R1417" s="23"/>
    </row>
    <row r="1418" spans="1:18" x14ac:dyDescent="0.2">
      <c r="A1418" s="13"/>
      <c r="B1418" s="18"/>
      <c r="C1418" s="19"/>
      <c r="D1418" s="19"/>
      <c r="E1418" s="20"/>
      <c r="F1418" s="22"/>
      <c r="G1418" s="22"/>
      <c r="H1418" s="23"/>
      <c r="I1418" s="23"/>
      <c r="J1418" s="13"/>
      <c r="K1418" s="18"/>
      <c r="L1418" s="19"/>
      <c r="M1418" s="19"/>
      <c r="N1418" s="20"/>
      <c r="O1418" s="22"/>
      <c r="P1418" s="22"/>
      <c r="Q1418" s="23"/>
      <c r="R1418" s="23"/>
    </row>
    <row r="1419" spans="1:18" x14ac:dyDescent="0.2">
      <c r="A1419" s="13"/>
      <c r="B1419" s="18"/>
      <c r="C1419" s="19"/>
      <c r="D1419" s="19"/>
      <c r="E1419" s="20"/>
      <c r="F1419" s="22"/>
      <c r="G1419" s="22"/>
      <c r="H1419" s="23"/>
      <c r="I1419" s="23"/>
      <c r="J1419" s="13"/>
      <c r="K1419" s="18"/>
      <c r="L1419" s="19"/>
      <c r="M1419" s="19"/>
      <c r="N1419" s="20"/>
      <c r="O1419" s="22"/>
      <c r="P1419" s="22"/>
      <c r="Q1419" s="23"/>
      <c r="R1419" s="23"/>
    </row>
    <row r="1420" spans="1:18" x14ac:dyDescent="0.2">
      <c r="A1420" s="13"/>
      <c r="B1420" s="18"/>
      <c r="C1420" s="19"/>
      <c r="D1420" s="19"/>
      <c r="E1420" s="20"/>
      <c r="F1420" s="22"/>
      <c r="G1420" s="36"/>
      <c r="H1420" s="37"/>
      <c r="I1420" s="37"/>
      <c r="J1420" s="13"/>
      <c r="K1420" s="18"/>
      <c r="L1420" s="19"/>
      <c r="M1420" s="19"/>
      <c r="N1420" s="20"/>
      <c r="O1420" s="22"/>
      <c r="P1420" s="36"/>
      <c r="Q1420" s="37"/>
      <c r="R1420" s="37"/>
    </row>
    <row r="1421" spans="1:18" x14ac:dyDescent="0.2">
      <c r="A1421" s="13"/>
      <c r="B1421" s="248" t="s">
        <v>42</v>
      </c>
      <c r="C1421" s="249"/>
      <c r="D1421" s="249"/>
      <c r="E1421" s="250"/>
      <c r="F1421" s="46"/>
      <c r="G1421" s="46"/>
      <c r="H1421" s="47"/>
      <c r="I1421" s="47">
        <f>SUM(I1408:I1420)</f>
        <v>22533.103999999999</v>
      </c>
      <c r="J1421" s="13"/>
      <c r="K1421" s="248" t="s">
        <v>42</v>
      </c>
      <c r="L1421" s="249"/>
      <c r="M1421" s="249"/>
      <c r="N1421" s="250"/>
      <c r="O1421" s="46"/>
      <c r="P1421" s="46"/>
      <c r="Q1421" s="47"/>
      <c r="R1421" s="47">
        <f>SUM(R1408:R1420)</f>
        <v>115.5</v>
      </c>
    </row>
    <row r="1422" spans="1:18" x14ac:dyDescent="0.2">
      <c r="A1422" s="12" t="s">
        <v>43</v>
      </c>
      <c r="B1422" s="48" t="s">
        <v>44</v>
      </c>
      <c r="C1422" s="43"/>
      <c r="D1422" s="43"/>
      <c r="E1422" s="161"/>
      <c r="F1422" s="49"/>
      <c r="G1422" s="49"/>
      <c r="H1422" s="50"/>
      <c r="I1422" s="51">
        <f>SUM(I1403+I1421)</f>
        <v>23492.398000000001</v>
      </c>
      <c r="J1422" s="12" t="s">
        <v>43</v>
      </c>
      <c r="K1422" s="48" t="s">
        <v>44</v>
      </c>
      <c r="L1422" s="43"/>
      <c r="M1422" s="43"/>
      <c r="N1422" s="161"/>
      <c r="O1422" s="49"/>
      <c r="P1422" s="49"/>
      <c r="Q1422" s="50"/>
      <c r="R1422" s="51">
        <f>SUM(R1403+R1421)</f>
        <v>136.13596000000001</v>
      </c>
    </row>
    <row r="1423" spans="1:18" x14ac:dyDescent="0.2">
      <c r="A1423" s="13" t="s">
        <v>45</v>
      </c>
      <c r="B1423" s="48" t="s">
        <v>46</v>
      </c>
      <c r="C1423" s="43"/>
      <c r="D1423" s="43"/>
      <c r="E1423" s="161"/>
      <c r="F1423" s="49"/>
      <c r="G1423" s="52">
        <v>0.09</v>
      </c>
      <c r="H1423" s="53" t="s">
        <v>47</v>
      </c>
      <c r="I1423" s="51">
        <f>G1423*I1422</f>
        <v>2114.3158199999998</v>
      </c>
      <c r="J1423" s="13" t="s">
        <v>45</v>
      </c>
      <c r="K1423" s="48" t="s">
        <v>46</v>
      </c>
      <c r="L1423" s="43"/>
      <c r="M1423" s="43"/>
      <c r="N1423" s="161"/>
      <c r="O1423" s="49"/>
      <c r="P1423" s="52">
        <v>0.09</v>
      </c>
      <c r="Q1423" s="53" t="s">
        <v>47</v>
      </c>
      <c r="R1423" s="51">
        <f>P1423*R1422</f>
        <v>12.252236400000001</v>
      </c>
    </row>
    <row r="1424" spans="1:18" x14ac:dyDescent="0.2">
      <c r="A1424" s="13" t="s">
        <v>48</v>
      </c>
      <c r="B1424" s="48" t="s">
        <v>49</v>
      </c>
      <c r="C1424" s="43"/>
      <c r="D1424" s="43"/>
      <c r="E1424" s="161"/>
      <c r="F1424" s="49"/>
      <c r="G1424" s="52">
        <v>0.08</v>
      </c>
      <c r="H1424" s="53" t="s">
        <v>47</v>
      </c>
      <c r="I1424" s="51">
        <f>G1424*I1422</f>
        <v>1879.3918400000002</v>
      </c>
      <c r="J1424" s="13" t="s">
        <v>48</v>
      </c>
      <c r="K1424" s="48" t="s">
        <v>49</v>
      </c>
      <c r="L1424" s="43"/>
      <c r="M1424" s="43"/>
      <c r="N1424" s="161"/>
      <c r="O1424" s="49"/>
      <c r="P1424" s="52">
        <v>0.08</v>
      </c>
      <c r="Q1424" s="53" t="s">
        <v>47</v>
      </c>
      <c r="R1424" s="51">
        <f>P1424*R1422</f>
        <v>10.890876800000001</v>
      </c>
    </row>
    <row r="1425" spans="1:18" x14ac:dyDescent="0.2">
      <c r="A1425" s="13" t="s">
        <v>50</v>
      </c>
      <c r="B1425" s="48" t="s">
        <v>51</v>
      </c>
      <c r="C1425" s="43"/>
      <c r="D1425" s="43"/>
      <c r="E1425" s="161"/>
      <c r="F1425" s="49"/>
      <c r="G1425" s="52">
        <v>0.05</v>
      </c>
      <c r="H1425" s="53" t="s">
        <v>52</v>
      </c>
      <c r="I1425" s="51">
        <f>G1425*(I1422+I1423+I1424)</f>
        <v>1374.3052830000001</v>
      </c>
      <c r="J1425" s="13" t="s">
        <v>50</v>
      </c>
      <c r="K1425" s="48" t="s">
        <v>51</v>
      </c>
      <c r="L1425" s="43"/>
      <c r="M1425" s="43"/>
      <c r="N1425" s="161"/>
      <c r="O1425" s="49"/>
      <c r="P1425" s="52">
        <v>0.05</v>
      </c>
      <c r="Q1425" s="53" t="s">
        <v>52</v>
      </c>
      <c r="R1425" s="51">
        <f>P1425*(R1422+R1423+R1424)</f>
        <v>7.9639536600000014</v>
      </c>
    </row>
    <row r="1426" spans="1:18" x14ac:dyDescent="0.2">
      <c r="A1426" s="54" t="s">
        <v>53</v>
      </c>
      <c r="B1426" s="48" t="s">
        <v>54</v>
      </c>
      <c r="C1426" s="43"/>
      <c r="D1426" s="43"/>
      <c r="E1426" s="161"/>
      <c r="F1426" s="49"/>
      <c r="G1426" s="49"/>
      <c r="H1426" s="55" t="s">
        <v>55</v>
      </c>
      <c r="I1426" s="51">
        <f>SUM(I1422+I1423+I1424+I1425)</f>
        <v>28860.410943000003</v>
      </c>
      <c r="J1426" s="54" t="s">
        <v>53</v>
      </c>
      <c r="K1426" s="48" t="s">
        <v>54</v>
      </c>
      <c r="L1426" s="43"/>
      <c r="M1426" s="43"/>
      <c r="N1426" s="161"/>
      <c r="O1426" s="49"/>
      <c r="P1426" s="49"/>
      <c r="Q1426" s="55" t="s">
        <v>55</v>
      </c>
      <c r="R1426" s="51">
        <f>SUM(R1422+R1423+R1424+R1425)</f>
        <v>167.24302686000004</v>
      </c>
    </row>
    <row r="1427" spans="1:18" s="1" customFormat="1" x14ac:dyDescent="0.2">
      <c r="A1427" s="236" t="s">
        <v>0</v>
      </c>
      <c r="B1427" s="236"/>
      <c r="C1427" s="236"/>
      <c r="D1427" s="236"/>
      <c r="E1427" s="236"/>
      <c r="F1427" s="236"/>
      <c r="G1427" s="236"/>
      <c r="H1427" s="236"/>
      <c r="I1427" s="236"/>
      <c r="J1427" s="236" t="s">
        <v>0</v>
      </c>
      <c r="K1427" s="236"/>
      <c r="L1427" s="236"/>
      <c r="M1427" s="236"/>
      <c r="N1427" s="236"/>
      <c r="O1427" s="236"/>
      <c r="P1427" s="236"/>
      <c r="Q1427" s="236"/>
      <c r="R1427" s="236"/>
    </row>
    <row r="1429" spans="1:18" x14ac:dyDescent="0.2">
      <c r="A1429" s="158" t="s">
        <v>1</v>
      </c>
      <c r="C1429" s="4" t="s">
        <v>2</v>
      </c>
      <c r="D1429" s="5" t="s">
        <v>811</v>
      </c>
      <c r="E1429" s="237" t="s">
        <v>812</v>
      </c>
      <c r="F1429" s="237"/>
      <c r="G1429" s="237"/>
      <c r="H1429" s="237"/>
      <c r="J1429" s="158" t="s">
        <v>1</v>
      </c>
      <c r="L1429" s="4" t="s">
        <v>2</v>
      </c>
      <c r="M1429" s="5" t="s">
        <v>807</v>
      </c>
      <c r="N1429" s="237" t="s">
        <v>798</v>
      </c>
      <c r="O1429" s="237"/>
      <c r="P1429" s="237"/>
      <c r="Q1429" s="237"/>
    </row>
    <row r="1430" spans="1:18" x14ac:dyDescent="0.2">
      <c r="A1430" s="158" t="s">
        <v>7</v>
      </c>
      <c r="C1430" s="4" t="s">
        <v>2</v>
      </c>
      <c r="D1430" s="8"/>
      <c r="E1430" s="158" t="s">
        <v>59</v>
      </c>
      <c r="F1430" s="8"/>
      <c r="G1430" s="8"/>
      <c r="H1430" s="8"/>
      <c r="J1430" s="158" t="s">
        <v>7</v>
      </c>
      <c r="L1430" s="4" t="s">
        <v>2</v>
      </c>
      <c r="N1430" s="158" t="s">
        <v>8</v>
      </c>
      <c r="O1430" s="8"/>
      <c r="P1430" s="8"/>
      <c r="Q1430" s="8"/>
    </row>
    <row r="1431" spans="1:18" x14ac:dyDescent="0.2">
      <c r="A1431" s="158" t="s">
        <v>10</v>
      </c>
      <c r="C1431" s="4" t="s">
        <v>2</v>
      </c>
      <c r="D1431" s="8"/>
      <c r="E1431" s="9">
        <v>1</v>
      </c>
      <c r="F1431" s="8"/>
      <c r="G1431" s="8"/>
      <c r="H1431" s="8"/>
      <c r="J1431" s="158" t="s">
        <v>10</v>
      </c>
      <c r="L1431" s="4" t="s">
        <v>2</v>
      </c>
      <c r="N1431" s="9">
        <v>50</v>
      </c>
      <c r="O1431" s="8"/>
      <c r="P1431" s="8"/>
      <c r="Q1431" s="8"/>
    </row>
    <row r="1432" spans="1:18" x14ac:dyDescent="0.2">
      <c r="B1432" s="8"/>
      <c r="F1432" s="11"/>
      <c r="G1432" s="8"/>
      <c r="H1432" s="8"/>
      <c r="I1432" s="8"/>
      <c r="K1432" s="8"/>
      <c r="O1432" s="11"/>
      <c r="P1432" s="8"/>
      <c r="Q1432" s="8"/>
      <c r="R1432" s="8"/>
    </row>
    <row r="1433" spans="1:18" x14ac:dyDescent="0.2">
      <c r="A1433" s="12"/>
      <c r="B1433" s="238" t="s">
        <v>11</v>
      </c>
      <c r="C1433" s="239"/>
      <c r="D1433" s="239"/>
      <c r="E1433" s="240"/>
      <c r="F1433" s="244" t="s">
        <v>12</v>
      </c>
      <c r="G1433" s="244" t="s">
        <v>13</v>
      </c>
      <c r="H1433" s="244" t="s">
        <v>14</v>
      </c>
      <c r="I1433" s="246" t="s">
        <v>15</v>
      </c>
      <c r="J1433" s="12"/>
      <c r="K1433" s="238" t="s">
        <v>11</v>
      </c>
      <c r="L1433" s="239"/>
      <c r="M1433" s="239"/>
      <c r="N1433" s="240"/>
      <c r="O1433" s="244" t="s">
        <v>12</v>
      </c>
      <c r="P1433" s="244" t="s">
        <v>13</v>
      </c>
      <c r="Q1433" s="244" t="s">
        <v>14</v>
      </c>
      <c r="R1433" s="246" t="s">
        <v>15</v>
      </c>
    </row>
    <row r="1434" spans="1:18" x14ac:dyDescent="0.2">
      <c r="A1434" s="13"/>
      <c r="B1434" s="241"/>
      <c r="C1434" s="242"/>
      <c r="D1434" s="242"/>
      <c r="E1434" s="243"/>
      <c r="F1434" s="245"/>
      <c r="G1434" s="245"/>
      <c r="H1434" s="245"/>
      <c r="I1434" s="247"/>
      <c r="J1434" s="13"/>
      <c r="K1434" s="241"/>
      <c r="L1434" s="242"/>
      <c r="M1434" s="242"/>
      <c r="N1434" s="243"/>
      <c r="O1434" s="245"/>
      <c r="P1434" s="245"/>
      <c r="Q1434" s="245"/>
      <c r="R1434" s="247"/>
    </row>
    <row r="1435" spans="1:18" x14ac:dyDescent="0.2">
      <c r="A1435" s="13" t="s">
        <v>16</v>
      </c>
      <c r="B1435" s="14" t="s">
        <v>17</v>
      </c>
      <c r="C1435" s="15"/>
      <c r="D1435" s="15"/>
      <c r="E1435" s="16"/>
      <c r="F1435" s="17"/>
      <c r="G1435" s="17"/>
      <c r="H1435" s="17"/>
      <c r="I1435" s="17"/>
      <c r="J1435" s="13" t="s">
        <v>16</v>
      </c>
      <c r="K1435" s="14" t="s">
        <v>17</v>
      </c>
      <c r="L1435" s="15"/>
      <c r="M1435" s="15"/>
      <c r="N1435" s="16"/>
      <c r="O1435" s="17"/>
      <c r="P1435" s="17"/>
      <c r="Q1435" s="17"/>
      <c r="R1435" s="17"/>
    </row>
    <row r="1436" spans="1:18" x14ac:dyDescent="0.2">
      <c r="A1436" s="13"/>
      <c r="B1436" s="18"/>
      <c r="C1436" s="19"/>
      <c r="D1436" s="19"/>
      <c r="E1436" s="20"/>
      <c r="F1436" s="21"/>
      <c r="G1436" s="22"/>
      <c r="H1436" s="21"/>
      <c r="I1436" s="21"/>
      <c r="J1436" s="13"/>
      <c r="K1436" s="18"/>
      <c r="L1436" s="19"/>
      <c r="M1436" s="19"/>
      <c r="N1436" s="20"/>
      <c r="O1436" s="21"/>
      <c r="P1436" s="22"/>
      <c r="Q1436" s="21"/>
      <c r="R1436" s="21"/>
    </row>
    <row r="1437" spans="1:18" x14ac:dyDescent="0.2">
      <c r="A1437" s="13"/>
      <c r="B1437" s="24" t="s">
        <v>18</v>
      </c>
      <c r="C1437" s="25"/>
      <c r="D1437" s="25"/>
      <c r="E1437" s="26"/>
      <c r="F1437" s="22">
        <v>1</v>
      </c>
      <c r="G1437" s="23">
        <v>1</v>
      </c>
      <c r="H1437" s="23">
        <v>69.42</v>
      </c>
      <c r="I1437" s="23">
        <f>F1437*G1437*H1437</f>
        <v>69.42</v>
      </c>
      <c r="J1437" s="13"/>
      <c r="K1437" s="24" t="s">
        <v>18</v>
      </c>
      <c r="L1437" s="25"/>
      <c r="M1437" s="25"/>
      <c r="N1437" s="26"/>
      <c r="O1437" s="22">
        <v>1</v>
      </c>
      <c r="P1437" s="23">
        <v>1</v>
      </c>
      <c r="Q1437" s="23">
        <v>69.42</v>
      </c>
      <c r="R1437" s="23">
        <f>P1437*Q1437*O1437</f>
        <v>69.42</v>
      </c>
    </row>
    <row r="1438" spans="1:18" x14ac:dyDescent="0.2">
      <c r="A1438" s="13"/>
      <c r="B1438" s="257" t="s">
        <v>1178</v>
      </c>
      <c r="C1438" s="258"/>
      <c r="D1438" s="25"/>
      <c r="E1438" s="26"/>
      <c r="F1438" s="22">
        <v>1</v>
      </c>
      <c r="G1438" s="23">
        <v>1</v>
      </c>
      <c r="H1438" s="23">
        <v>50.18</v>
      </c>
      <c r="I1438" s="23">
        <f>F1438*G1438*H1438</f>
        <v>50.18</v>
      </c>
      <c r="J1438" s="13"/>
      <c r="K1438" s="257" t="s">
        <v>1179</v>
      </c>
      <c r="L1438" s="258"/>
      <c r="M1438" s="19"/>
      <c r="N1438" s="20"/>
      <c r="O1438" s="22">
        <v>8</v>
      </c>
      <c r="P1438" s="23">
        <v>1</v>
      </c>
      <c r="Q1438" s="23">
        <v>38.97</v>
      </c>
      <c r="R1438" s="23">
        <f>P1438*Q1438*O1438</f>
        <v>311.76</v>
      </c>
    </row>
    <row r="1439" spans="1:18" x14ac:dyDescent="0.2">
      <c r="A1439" s="13"/>
      <c r="B1439" s="257" t="s">
        <v>1177</v>
      </c>
      <c r="C1439" s="258"/>
      <c r="D1439" s="19"/>
      <c r="E1439" s="20"/>
      <c r="F1439" s="22">
        <v>2</v>
      </c>
      <c r="G1439" s="23">
        <v>1</v>
      </c>
      <c r="H1439" s="23">
        <v>38.97</v>
      </c>
      <c r="I1439" s="23">
        <f>F1439*G1439*H1439</f>
        <v>77.94</v>
      </c>
      <c r="J1439" s="13"/>
      <c r="K1439" s="257"/>
      <c r="L1439" s="258"/>
      <c r="M1439" s="19"/>
      <c r="N1439" s="20"/>
      <c r="O1439" s="22"/>
      <c r="P1439" s="22"/>
      <c r="Q1439" s="23"/>
      <c r="R1439" s="23"/>
    </row>
    <row r="1440" spans="1:18" x14ac:dyDescent="0.2">
      <c r="A1440" s="13"/>
      <c r="B1440" s="159"/>
      <c r="C1440" s="19"/>
      <c r="D1440" s="19"/>
      <c r="E1440" s="20"/>
      <c r="F1440" s="22"/>
      <c r="G1440" s="22"/>
      <c r="H1440" s="29"/>
      <c r="I1440" s="30"/>
      <c r="J1440" s="13"/>
      <c r="K1440" s="159"/>
      <c r="L1440" s="19"/>
      <c r="M1440" s="19"/>
      <c r="N1440" s="20"/>
      <c r="O1440" s="22"/>
      <c r="P1440" s="22"/>
      <c r="Q1440" s="29"/>
      <c r="R1440" s="30"/>
    </row>
    <row r="1441" spans="1:18" x14ac:dyDescent="0.2">
      <c r="A1441" s="13"/>
      <c r="B1441" s="159"/>
      <c r="C1441" s="19"/>
      <c r="D1441" s="19"/>
      <c r="E1441" s="20"/>
      <c r="F1441" s="22"/>
      <c r="G1441" s="22"/>
      <c r="H1441" s="29"/>
      <c r="I1441" s="30"/>
      <c r="J1441" s="13"/>
      <c r="K1441" s="159"/>
      <c r="L1441" s="19"/>
      <c r="M1441" s="19"/>
      <c r="N1441" s="20"/>
      <c r="O1441" s="22"/>
      <c r="P1441" s="22"/>
      <c r="Q1441" s="29"/>
      <c r="R1441" s="30"/>
    </row>
    <row r="1442" spans="1:18" x14ac:dyDescent="0.2">
      <c r="A1442" s="13"/>
      <c r="B1442" s="18"/>
      <c r="C1442" s="19"/>
      <c r="D1442" s="19"/>
      <c r="E1442" s="20"/>
      <c r="F1442" s="22"/>
      <c r="G1442" s="22"/>
      <c r="H1442" s="28"/>
      <c r="I1442" s="23"/>
      <c r="J1442" s="13"/>
      <c r="K1442" s="18"/>
      <c r="L1442" s="19"/>
      <c r="M1442" s="19"/>
      <c r="N1442" s="20"/>
      <c r="O1442" s="22"/>
      <c r="P1442" s="22"/>
      <c r="Q1442" s="28"/>
      <c r="R1442" s="23"/>
    </row>
    <row r="1443" spans="1:18" x14ac:dyDescent="0.2">
      <c r="A1443" s="13"/>
      <c r="B1443" s="18"/>
      <c r="C1443" s="19"/>
      <c r="D1443" s="19"/>
      <c r="E1443" s="20"/>
      <c r="F1443" s="22"/>
      <c r="G1443" s="22"/>
      <c r="H1443" s="23"/>
      <c r="I1443" s="23"/>
      <c r="J1443" s="13"/>
      <c r="K1443" s="18"/>
      <c r="L1443" s="19"/>
      <c r="M1443" s="19"/>
      <c r="N1443" s="20"/>
      <c r="O1443" s="22"/>
      <c r="P1443" s="22"/>
      <c r="Q1443" s="23"/>
      <c r="R1443" s="23"/>
    </row>
    <row r="1444" spans="1:18" x14ac:dyDescent="0.2">
      <c r="A1444" s="13"/>
      <c r="B1444" s="248" t="s">
        <v>20</v>
      </c>
      <c r="C1444" s="249"/>
      <c r="D1444" s="249"/>
      <c r="E1444" s="250"/>
      <c r="F1444" s="31"/>
      <c r="G1444" s="31"/>
      <c r="H1444" s="32"/>
      <c r="I1444" s="32">
        <f>SUM(I1437:I1443)</f>
        <v>197.54</v>
      </c>
      <c r="J1444" s="13"/>
      <c r="K1444" s="248" t="s">
        <v>20</v>
      </c>
      <c r="L1444" s="249"/>
      <c r="M1444" s="249"/>
      <c r="N1444" s="250"/>
      <c r="O1444" s="31"/>
      <c r="P1444" s="31"/>
      <c r="Q1444" s="32"/>
      <c r="R1444" s="32">
        <f>SUM(R1437:R1443)</f>
        <v>381.18</v>
      </c>
    </row>
    <row r="1445" spans="1:18" x14ac:dyDescent="0.2">
      <c r="A1445" s="12"/>
      <c r="B1445" s="251" t="s">
        <v>21</v>
      </c>
      <c r="C1445" s="252"/>
      <c r="D1445" s="252"/>
      <c r="E1445" s="253"/>
      <c r="F1445" s="244" t="s">
        <v>22</v>
      </c>
      <c r="G1445" s="244" t="s">
        <v>13</v>
      </c>
      <c r="H1445" s="244" t="s">
        <v>14</v>
      </c>
      <c r="I1445" s="246" t="s">
        <v>15</v>
      </c>
      <c r="J1445" s="12"/>
      <c r="K1445" s="251" t="s">
        <v>21</v>
      </c>
      <c r="L1445" s="252"/>
      <c r="M1445" s="252"/>
      <c r="N1445" s="253"/>
      <c r="O1445" s="244" t="s">
        <v>22</v>
      </c>
      <c r="P1445" s="244" t="s">
        <v>13</v>
      </c>
      <c r="Q1445" s="244" t="s">
        <v>14</v>
      </c>
      <c r="R1445" s="246" t="s">
        <v>15</v>
      </c>
    </row>
    <row r="1446" spans="1:18" x14ac:dyDescent="0.2">
      <c r="A1446" s="13"/>
      <c r="B1446" s="254"/>
      <c r="C1446" s="255"/>
      <c r="D1446" s="255"/>
      <c r="E1446" s="256"/>
      <c r="F1446" s="245"/>
      <c r="G1446" s="245"/>
      <c r="H1446" s="245"/>
      <c r="I1446" s="247"/>
      <c r="J1446" s="13"/>
      <c r="K1446" s="254"/>
      <c r="L1446" s="255"/>
      <c r="M1446" s="255"/>
      <c r="N1446" s="256"/>
      <c r="O1446" s="245"/>
      <c r="P1446" s="245"/>
      <c r="Q1446" s="245"/>
      <c r="R1446" s="247"/>
    </row>
    <row r="1447" spans="1:18" x14ac:dyDescent="0.2">
      <c r="A1447" s="13" t="s">
        <v>23</v>
      </c>
      <c r="B1447" s="33" t="s">
        <v>24</v>
      </c>
      <c r="C1447" s="15"/>
      <c r="D1447" s="15"/>
      <c r="E1447" s="16"/>
      <c r="F1447" s="34"/>
      <c r="G1447" s="34"/>
      <c r="H1447" s="35"/>
      <c r="I1447" s="35"/>
      <c r="J1447" s="13" t="s">
        <v>23</v>
      </c>
      <c r="K1447" s="33" t="s">
        <v>24</v>
      </c>
      <c r="L1447" s="15"/>
      <c r="M1447" s="15"/>
      <c r="N1447" s="16"/>
      <c r="O1447" s="34"/>
      <c r="P1447" s="34"/>
      <c r="Q1447" s="35"/>
      <c r="R1447" s="35"/>
    </row>
    <row r="1448" spans="1:18" x14ac:dyDescent="0.2">
      <c r="A1448" s="13"/>
      <c r="B1448" s="18"/>
      <c r="C1448" s="19"/>
      <c r="D1448" s="19"/>
      <c r="E1448" s="20"/>
      <c r="F1448" s="22"/>
      <c r="G1448" s="22"/>
      <c r="H1448" s="23"/>
      <c r="I1448" s="23"/>
      <c r="J1448" s="13"/>
      <c r="K1448" s="18"/>
      <c r="L1448" s="19"/>
      <c r="M1448" s="19"/>
      <c r="N1448" s="20"/>
      <c r="O1448" s="22"/>
      <c r="P1448" s="22"/>
      <c r="Q1448" s="23"/>
      <c r="R1448" s="23"/>
    </row>
    <row r="1449" spans="1:18" x14ac:dyDescent="0.2">
      <c r="A1449" s="13"/>
      <c r="B1449" s="18" t="s">
        <v>1277</v>
      </c>
      <c r="C1449" s="19"/>
      <c r="D1449" s="19"/>
      <c r="E1449" s="20"/>
      <c r="F1449" s="22">
        <v>1</v>
      </c>
      <c r="G1449" s="23">
        <v>0.25</v>
      </c>
      <c r="H1449" s="37">
        <v>783</v>
      </c>
      <c r="I1449" s="37">
        <f>G1449*H1449*F1449</f>
        <v>195.75</v>
      </c>
      <c r="J1449" s="13"/>
      <c r="K1449" s="18" t="s">
        <v>1174</v>
      </c>
      <c r="L1449" s="19"/>
      <c r="M1449" s="19"/>
      <c r="N1449" s="20"/>
      <c r="O1449" s="22">
        <v>1</v>
      </c>
      <c r="P1449" s="23">
        <v>0.25</v>
      </c>
      <c r="Q1449" s="37">
        <v>2450</v>
      </c>
      <c r="R1449" s="37">
        <f>O1449*P1449*Q1449</f>
        <v>612.5</v>
      </c>
    </row>
    <row r="1450" spans="1:18" x14ac:dyDescent="0.2">
      <c r="A1450" s="13"/>
      <c r="B1450" s="18" t="s">
        <v>125</v>
      </c>
      <c r="C1450" s="66"/>
      <c r="D1450" s="19"/>
      <c r="E1450" s="20"/>
      <c r="F1450" s="22"/>
      <c r="G1450" s="71"/>
      <c r="I1450" s="37">
        <f>I1444*0.1</f>
        <v>19.754000000000001</v>
      </c>
      <c r="J1450" s="13"/>
      <c r="K1450" s="18" t="s">
        <v>92</v>
      </c>
      <c r="L1450" s="19"/>
      <c r="M1450" s="19"/>
      <c r="N1450" s="20"/>
      <c r="O1450" s="22"/>
      <c r="P1450" s="23"/>
      <c r="R1450" s="37">
        <f>R1444*0.1</f>
        <v>38.118000000000002</v>
      </c>
    </row>
    <row r="1451" spans="1:18" x14ac:dyDescent="0.2">
      <c r="A1451" s="13"/>
      <c r="B1451" s="18"/>
      <c r="C1451" s="19"/>
      <c r="D1451" s="19"/>
      <c r="E1451" s="20"/>
      <c r="F1451" s="22"/>
      <c r="G1451" s="36"/>
      <c r="H1451" s="37"/>
      <c r="I1451" s="37"/>
      <c r="J1451" s="13"/>
      <c r="K1451" s="18"/>
      <c r="L1451" s="19"/>
      <c r="M1451" s="19"/>
      <c r="N1451" s="20"/>
      <c r="O1451" s="22"/>
      <c r="P1451" s="23"/>
      <c r="Q1451" s="37"/>
      <c r="R1451" s="37"/>
    </row>
    <row r="1452" spans="1:18" x14ac:dyDescent="0.2">
      <c r="A1452" s="13"/>
      <c r="B1452" s="18"/>
      <c r="F1452" s="22"/>
      <c r="G1452" s="36"/>
      <c r="H1452" s="37"/>
      <c r="I1452" s="37"/>
      <c r="J1452" s="13"/>
      <c r="K1452" s="18"/>
      <c r="O1452" s="22"/>
      <c r="P1452" s="36"/>
      <c r="Q1452" s="37"/>
      <c r="R1452" s="37"/>
    </row>
    <row r="1453" spans="1:18" x14ac:dyDescent="0.2">
      <c r="A1453" s="13"/>
      <c r="B1453" s="18"/>
      <c r="C1453" s="19"/>
      <c r="D1453" s="19"/>
      <c r="E1453" s="20"/>
      <c r="F1453" s="22"/>
      <c r="G1453" s="36"/>
      <c r="H1453" s="37"/>
      <c r="I1453" s="37"/>
      <c r="J1453" s="13"/>
      <c r="K1453" s="18"/>
      <c r="L1453" s="19"/>
      <c r="M1453" s="19"/>
      <c r="N1453" s="20"/>
      <c r="O1453" s="22"/>
      <c r="P1453" s="36"/>
      <c r="Q1453" s="37"/>
      <c r="R1453" s="37"/>
    </row>
    <row r="1454" spans="1:18" x14ac:dyDescent="0.2">
      <c r="A1454" s="13"/>
      <c r="B1454" s="18"/>
      <c r="C1454" s="19"/>
      <c r="D1454" s="19"/>
      <c r="E1454" s="20"/>
      <c r="F1454" s="22"/>
      <c r="G1454" s="36"/>
      <c r="H1454" s="37"/>
      <c r="I1454" s="37"/>
      <c r="J1454" s="13"/>
      <c r="K1454" s="18"/>
      <c r="L1454" s="19"/>
      <c r="M1454" s="19"/>
      <c r="N1454" s="20"/>
      <c r="O1454" s="22"/>
      <c r="P1454" s="36"/>
      <c r="Q1454" s="38"/>
      <c r="R1454" s="38"/>
    </row>
    <row r="1455" spans="1:18" x14ac:dyDescent="0.2">
      <c r="A1455" s="13"/>
      <c r="B1455" s="18"/>
      <c r="C1455" s="19"/>
      <c r="D1455" s="19"/>
      <c r="E1455" s="20"/>
      <c r="F1455" s="22"/>
      <c r="G1455" s="36"/>
      <c r="H1455" s="37"/>
      <c r="I1455" s="37"/>
      <c r="J1455" s="13"/>
      <c r="K1455" s="18"/>
      <c r="L1455" s="19"/>
      <c r="M1455" s="19"/>
      <c r="N1455" s="20"/>
      <c r="O1455" s="22"/>
      <c r="P1455" s="36"/>
      <c r="Q1455" s="38"/>
      <c r="R1455" s="38"/>
    </row>
    <row r="1456" spans="1:18" x14ac:dyDescent="0.2">
      <c r="A1456" s="13"/>
      <c r="B1456" s="18"/>
      <c r="C1456" s="19"/>
      <c r="D1456" s="19"/>
      <c r="E1456" s="20"/>
      <c r="F1456" s="22"/>
      <c r="G1456" s="23"/>
      <c r="H1456" s="37"/>
      <c r="I1456" s="37"/>
      <c r="J1456" s="13"/>
      <c r="K1456" s="18"/>
      <c r="L1456" s="19"/>
      <c r="M1456" s="19"/>
      <c r="N1456" s="20"/>
      <c r="O1456" s="22"/>
      <c r="P1456" s="36"/>
      <c r="Q1456" s="38"/>
      <c r="R1456" s="38"/>
    </row>
    <row r="1457" spans="1:18" x14ac:dyDescent="0.2">
      <c r="A1457" s="13"/>
      <c r="B1457" s="18"/>
      <c r="C1457" s="19"/>
      <c r="D1457" s="19"/>
      <c r="E1457" s="20"/>
      <c r="F1457" s="22"/>
      <c r="G1457" s="36"/>
      <c r="H1457" s="38"/>
      <c r="I1457" s="38"/>
      <c r="J1457" s="13"/>
      <c r="K1457" s="18"/>
      <c r="L1457" s="19"/>
      <c r="M1457" s="19"/>
      <c r="N1457" s="20"/>
      <c r="O1457" s="22"/>
      <c r="P1457" s="36"/>
      <c r="Q1457" s="38"/>
      <c r="R1457" s="38"/>
    </row>
    <row r="1458" spans="1:18" x14ac:dyDescent="0.2">
      <c r="A1458" s="13"/>
      <c r="B1458" s="18"/>
      <c r="C1458" s="19"/>
      <c r="D1458" s="19"/>
      <c r="E1458" s="20"/>
      <c r="F1458" s="22"/>
      <c r="G1458" s="36"/>
      <c r="H1458" s="37"/>
      <c r="I1458" s="37"/>
      <c r="J1458" s="13"/>
      <c r="K1458" s="18"/>
      <c r="L1458" s="19"/>
      <c r="M1458" s="19"/>
      <c r="N1458" s="20"/>
      <c r="O1458" s="22"/>
      <c r="P1458" s="36"/>
      <c r="Q1458" s="37"/>
      <c r="R1458" s="37"/>
    </row>
    <row r="1459" spans="1:18" x14ac:dyDescent="0.2">
      <c r="A1459" s="13"/>
      <c r="B1459" s="18"/>
      <c r="C1459" s="19"/>
      <c r="D1459" s="19"/>
      <c r="E1459" s="20"/>
      <c r="F1459" s="22"/>
      <c r="G1459" s="36"/>
      <c r="H1459" s="37"/>
      <c r="I1459" s="37"/>
      <c r="J1459" s="13"/>
      <c r="K1459" s="18"/>
      <c r="L1459" s="19"/>
      <c r="M1459" s="19"/>
      <c r="N1459" s="20"/>
      <c r="O1459" s="22"/>
      <c r="P1459" s="36"/>
      <c r="Q1459" s="37"/>
      <c r="R1459" s="37"/>
    </row>
    <row r="1460" spans="1:18" x14ac:dyDescent="0.2">
      <c r="A1460" s="13"/>
      <c r="B1460" s="18"/>
      <c r="C1460" s="19"/>
      <c r="D1460" s="19"/>
      <c r="E1460" s="20"/>
      <c r="F1460" s="22"/>
      <c r="G1460" s="36"/>
      <c r="H1460" s="37"/>
      <c r="I1460" s="37"/>
      <c r="J1460" s="13"/>
      <c r="K1460" s="18"/>
      <c r="L1460" s="19"/>
      <c r="M1460" s="19"/>
      <c r="N1460" s="20"/>
      <c r="O1460" s="22"/>
      <c r="P1460" s="36"/>
      <c r="Q1460" s="37"/>
      <c r="R1460" s="37"/>
    </row>
    <row r="1461" spans="1:18" x14ac:dyDescent="0.2">
      <c r="A1461" s="13"/>
      <c r="B1461" s="18"/>
      <c r="C1461" s="19"/>
      <c r="D1461" s="19"/>
      <c r="E1461" s="20"/>
      <c r="F1461" s="22"/>
      <c r="G1461" s="22"/>
      <c r="H1461" s="23"/>
      <c r="I1461" s="23"/>
      <c r="J1461" s="13"/>
      <c r="K1461" s="18"/>
      <c r="L1461" s="19"/>
      <c r="M1461" s="19"/>
      <c r="N1461" s="20"/>
      <c r="O1461" s="22"/>
      <c r="P1461" s="22"/>
      <c r="Q1461" s="23"/>
      <c r="R1461" s="23"/>
    </row>
    <row r="1462" spans="1:18" x14ac:dyDescent="0.2">
      <c r="A1462" s="13"/>
      <c r="B1462" s="248" t="s">
        <v>30</v>
      </c>
      <c r="C1462" s="249"/>
      <c r="D1462" s="249"/>
      <c r="E1462" s="250"/>
      <c r="F1462" s="22"/>
      <c r="G1462" s="22"/>
      <c r="H1462" s="23"/>
      <c r="I1462" s="23">
        <f>SUM(I1449:I1461)</f>
        <v>215.50399999999999</v>
      </c>
      <c r="J1462" s="13"/>
      <c r="K1462" s="248" t="s">
        <v>30</v>
      </c>
      <c r="L1462" s="249"/>
      <c r="M1462" s="249"/>
      <c r="N1462" s="250"/>
      <c r="O1462" s="22"/>
      <c r="P1462" s="22"/>
      <c r="Q1462" s="23"/>
      <c r="R1462" s="23">
        <f>SUM(R1449:R1461)</f>
        <v>650.61800000000005</v>
      </c>
    </row>
    <row r="1463" spans="1:18" x14ac:dyDescent="0.2">
      <c r="A1463" s="12" t="s">
        <v>31</v>
      </c>
      <c r="B1463" s="260" t="s">
        <v>32</v>
      </c>
      <c r="C1463" s="261"/>
      <c r="D1463" s="261"/>
      <c r="E1463" s="261"/>
      <c r="F1463" s="161"/>
      <c r="G1463" s="161"/>
      <c r="H1463" s="40"/>
      <c r="I1463" s="41">
        <f>SUM(I1462+I1444)</f>
        <v>413.04399999999998</v>
      </c>
      <c r="J1463" s="12" t="s">
        <v>31</v>
      </c>
      <c r="K1463" s="260" t="s">
        <v>32</v>
      </c>
      <c r="L1463" s="261"/>
      <c r="M1463" s="261"/>
      <c r="N1463" s="261"/>
      <c r="O1463" s="161"/>
      <c r="P1463" s="161"/>
      <c r="Q1463" s="40"/>
      <c r="R1463" s="41">
        <f>SUM(R1462+R1444)</f>
        <v>1031.798</v>
      </c>
    </row>
    <row r="1464" spans="1:18" x14ac:dyDescent="0.2">
      <c r="A1464" s="13" t="s">
        <v>33</v>
      </c>
      <c r="B1464" s="345">
        <f>E1431</f>
        <v>1</v>
      </c>
      <c r="C1464" s="346"/>
      <c r="D1464" s="346"/>
      <c r="E1464" s="346"/>
      <c r="F1464" s="346"/>
      <c r="G1464" s="346"/>
      <c r="H1464" s="40"/>
      <c r="I1464" s="41"/>
      <c r="J1464" s="13" t="s">
        <v>33</v>
      </c>
      <c r="K1464" s="305">
        <f>N1431</f>
        <v>50</v>
      </c>
      <c r="L1464" s="306"/>
      <c r="M1464" s="306"/>
      <c r="N1464" s="306"/>
      <c r="O1464" s="306"/>
      <c r="P1464" s="306"/>
      <c r="Q1464" s="40"/>
      <c r="R1464" s="41"/>
    </row>
    <row r="1465" spans="1:18" x14ac:dyDescent="0.2">
      <c r="A1465" s="13" t="s">
        <v>34</v>
      </c>
      <c r="B1465" s="162" t="s">
        <v>35</v>
      </c>
      <c r="C1465" s="43"/>
      <c r="D1465" s="43"/>
      <c r="E1465" s="161"/>
      <c r="F1465" s="163"/>
      <c r="G1465" s="163"/>
      <c r="H1465" s="40"/>
      <c r="I1465" s="41">
        <f>I1463/E1431</f>
        <v>413.04399999999998</v>
      </c>
      <c r="J1465" s="13" t="s">
        <v>34</v>
      </c>
      <c r="K1465" s="162" t="s">
        <v>35</v>
      </c>
      <c r="L1465" s="43"/>
      <c r="M1465" s="43"/>
      <c r="N1465" s="161"/>
      <c r="O1465" s="163"/>
      <c r="P1465" s="163"/>
      <c r="Q1465" s="40"/>
      <c r="R1465" s="41">
        <f>R1463/N1431</f>
        <v>20.635960000000001</v>
      </c>
    </row>
    <row r="1466" spans="1:18" x14ac:dyDescent="0.2">
      <c r="A1466" s="12"/>
      <c r="B1466" s="251" t="s">
        <v>36</v>
      </c>
      <c r="C1466" s="252"/>
      <c r="D1466" s="252"/>
      <c r="E1466" s="253"/>
      <c r="F1466" s="244" t="s">
        <v>37</v>
      </c>
      <c r="G1466" s="244" t="s">
        <v>38</v>
      </c>
      <c r="H1466" s="244" t="s">
        <v>39</v>
      </c>
      <c r="I1466" s="246" t="s">
        <v>15</v>
      </c>
      <c r="J1466" s="12"/>
      <c r="K1466" s="251" t="s">
        <v>36</v>
      </c>
      <c r="L1466" s="252"/>
      <c r="M1466" s="252"/>
      <c r="N1466" s="253"/>
      <c r="O1466" s="244" t="s">
        <v>37</v>
      </c>
      <c r="P1466" s="244" t="s">
        <v>38</v>
      </c>
      <c r="Q1466" s="244" t="s">
        <v>39</v>
      </c>
      <c r="R1466" s="246" t="s">
        <v>15</v>
      </c>
    </row>
    <row r="1467" spans="1:18" x14ac:dyDescent="0.2">
      <c r="A1467" s="13"/>
      <c r="B1467" s="254"/>
      <c r="C1467" s="255"/>
      <c r="D1467" s="255"/>
      <c r="E1467" s="256"/>
      <c r="F1467" s="245"/>
      <c r="G1467" s="245"/>
      <c r="H1467" s="245"/>
      <c r="I1467" s="247"/>
      <c r="J1467" s="13"/>
      <c r="K1467" s="254"/>
      <c r="L1467" s="255"/>
      <c r="M1467" s="255"/>
      <c r="N1467" s="256"/>
      <c r="O1467" s="245"/>
      <c r="P1467" s="245"/>
      <c r="Q1467" s="245"/>
      <c r="R1467" s="247"/>
    </row>
    <row r="1468" spans="1:18" x14ac:dyDescent="0.2">
      <c r="A1468" s="13" t="s">
        <v>40</v>
      </c>
      <c r="B1468" s="18" t="s">
        <v>41</v>
      </c>
      <c r="C1468" s="19"/>
      <c r="D1468" s="19"/>
      <c r="E1468" s="20"/>
      <c r="F1468" s="22"/>
      <c r="G1468" s="22"/>
      <c r="H1468" s="23"/>
      <c r="I1468" s="23"/>
      <c r="J1468" s="13" t="s">
        <v>40</v>
      </c>
      <c r="K1468" s="18" t="s">
        <v>41</v>
      </c>
      <c r="L1468" s="19"/>
      <c r="M1468" s="19"/>
      <c r="N1468" s="20"/>
      <c r="O1468" s="22"/>
      <c r="P1468" s="22"/>
      <c r="Q1468" s="23"/>
      <c r="R1468" s="23"/>
    </row>
    <row r="1469" spans="1:18" x14ac:dyDescent="0.2">
      <c r="A1469" s="13"/>
      <c r="B1469" s="18"/>
      <c r="C1469" s="19"/>
      <c r="D1469" s="19"/>
      <c r="E1469" s="20"/>
      <c r="F1469" s="22"/>
      <c r="G1469" s="22"/>
      <c r="H1469" s="23"/>
      <c r="I1469" s="23"/>
      <c r="J1469" s="13"/>
      <c r="K1469" s="18"/>
      <c r="L1469" s="19"/>
      <c r="M1469" s="19"/>
      <c r="N1469" s="20"/>
      <c r="O1469" s="22"/>
      <c r="P1469" s="22"/>
      <c r="Q1469" s="23"/>
      <c r="R1469" s="23"/>
    </row>
    <row r="1470" spans="1:18" x14ac:dyDescent="0.2">
      <c r="A1470" s="13"/>
      <c r="B1470" s="18" t="s">
        <v>425</v>
      </c>
      <c r="C1470" s="66"/>
      <c r="D1470" s="19"/>
      <c r="E1470" s="20"/>
      <c r="F1470" s="22" t="s">
        <v>227</v>
      </c>
      <c r="G1470" s="62">
        <v>0.48</v>
      </c>
      <c r="H1470" s="107">
        <v>220</v>
      </c>
      <c r="I1470" s="23">
        <f t="shared" ref="I1470:I1478" si="15">H1470*G1470</f>
        <v>105.6</v>
      </c>
      <c r="J1470" s="13"/>
      <c r="K1470" s="18" t="s">
        <v>809</v>
      </c>
      <c r="L1470" s="66"/>
      <c r="M1470" s="19"/>
      <c r="N1470" s="20"/>
      <c r="O1470" s="62" t="s">
        <v>8</v>
      </c>
      <c r="P1470" s="62">
        <v>1.05</v>
      </c>
      <c r="Q1470" s="107">
        <v>156</v>
      </c>
      <c r="R1470" s="23">
        <f>Q1470*P1470</f>
        <v>163.80000000000001</v>
      </c>
    </row>
    <row r="1471" spans="1:18" x14ac:dyDescent="0.2">
      <c r="A1471" s="13"/>
      <c r="B1471" s="18" t="s">
        <v>567</v>
      </c>
      <c r="C1471" s="66"/>
      <c r="D1471" s="19"/>
      <c r="E1471" s="20"/>
      <c r="F1471" s="22" t="s">
        <v>9</v>
      </c>
      <c r="G1471" s="22">
        <v>2.5000000000000001E-2</v>
      </c>
      <c r="H1471" s="107">
        <v>850</v>
      </c>
      <c r="I1471" s="23">
        <f t="shared" si="15"/>
        <v>21.25</v>
      </c>
      <c r="J1471" s="13"/>
      <c r="K1471" s="18" t="s">
        <v>801</v>
      </c>
      <c r="L1471" s="66"/>
      <c r="M1471" s="19"/>
      <c r="N1471" s="20"/>
      <c r="O1471" s="22"/>
      <c r="P1471" s="22"/>
      <c r="Q1471" s="23"/>
      <c r="R1471" s="23"/>
    </row>
    <row r="1472" spans="1:18" x14ac:dyDescent="0.2">
      <c r="A1472" s="13"/>
      <c r="B1472" s="18" t="s">
        <v>496</v>
      </c>
      <c r="C1472" s="66"/>
      <c r="D1472" s="19"/>
      <c r="E1472" s="20"/>
      <c r="F1472" s="22" t="s">
        <v>9</v>
      </c>
      <c r="G1472" s="70">
        <v>0.05</v>
      </c>
      <c r="H1472" s="107">
        <v>650</v>
      </c>
      <c r="I1472" s="23">
        <f t="shared" si="15"/>
        <v>32.5</v>
      </c>
      <c r="J1472" s="13"/>
      <c r="K1472" s="18"/>
      <c r="L1472" s="19"/>
      <c r="M1472" s="19"/>
      <c r="N1472" s="20"/>
      <c r="O1472" s="22"/>
      <c r="P1472" s="22"/>
      <c r="Q1472" s="38"/>
      <c r="R1472" s="38"/>
    </row>
    <row r="1473" spans="1:18" x14ac:dyDescent="0.2">
      <c r="A1473" s="13"/>
      <c r="B1473" s="18" t="s">
        <v>624</v>
      </c>
      <c r="C1473" s="66"/>
      <c r="D1473" s="19"/>
      <c r="E1473" s="20"/>
      <c r="F1473" s="22" t="s">
        <v>413</v>
      </c>
      <c r="G1473" s="62">
        <v>8</v>
      </c>
      <c r="H1473" s="107">
        <v>40</v>
      </c>
      <c r="I1473" s="23">
        <f>(H1473*G1473)/4</f>
        <v>80</v>
      </c>
      <c r="J1473" s="13"/>
      <c r="K1473" s="18"/>
      <c r="L1473" s="19"/>
      <c r="M1473" s="19"/>
      <c r="N1473" s="20"/>
      <c r="O1473" s="22"/>
      <c r="P1473" s="22"/>
      <c r="Q1473" s="38"/>
      <c r="R1473" s="38"/>
    </row>
    <row r="1474" spans="1:18" x14ac:dyDescent="0.2">
      <c r="A1474" s="13"/>
      <c r="B1474" s="18" t="s">
        <v>1305</v>
      </c>
      <c r="C1474" s="66"/>
      <c r="D1474" s="19"/>
      <c r="E1474" s="20"/>
      <c r="F1474" s="22" t="s">
        <v>66</v>
      </c>
      <c r="G1474" s="62">
        <v>3.1</v>
      </c>
      <c r="H1474" s="107">
        <f>3180/6</f>
        <v>530</v>
      </c>
      <c r="I1474" s="23">
        <f t="shared" si="15"/>
        <v>1643</v>
      </c>
      <c r="J1474" s="13"/>
      <c r="K1474" s="18"/>
      <c r="L1474" s="19"/>
      <c r="M1474" s="19"/>
      <c r="N1474" s="20"/>
      <c r="O1474" s="22"/>
      <c r="P1474" s="22"/>
      <c r="Q1474" s="45"/>
      <c r="R1474" s="45"/>
    </row>
    <row r="1475" spans="1:18" x14ac:dyDescent="0.2">
      <c r="A1475" s="13"/>
      <c r="B1475" s="18" t="s">
        <v>627</v>
      </c>
      <c r="C1475" s="66"/>
      <c r="D1475" s="19"/>
      <c r="E1475" s="20"/>
      <c r="F1475" s="22" t="s">
        <v>77</v>
      </c>
      <c r="G1475" s="62">
        <v>2</v>
      </c>
      <c r="H1475" s="107">
        <v>48</v>
      </c>
      <c r="I1475" s="23">
        <f t="shared" si="15"/>
        <v>96</v>
      </c>
      <c r="J1475" s="13"/>
      <c r="K1475" s="18"/>
      <c r="L1475" s="19"/>
      <c r="M1475" s="19"/>
      <c r="N1475" s="20"/>
      <c r="O1475" s="22"/>
      <c r="P1475" s="22"/>
      <c r="Q1475" s="45"/>
      <c r="R1475" s="45"/>
    </row>
    <row r="1476" spans="1:18" x14ac:dyDescent="0.2">
      <c r="A1476" s="13"/>
      <c r="B1476" s="18" t="s">
        <v>1306</v>
      </c>
      <c r="C1476" s="66"/>
      <c r="D1476" s="19"/>
      <c r="E1476" s="20"/>
      <c r="F1476" s="22" t="s">
        <v>80</v>
      </c>
      <c r="G1476" s="62">
        <v>12</v>
      </c>
      <c r="H1476" s="107">
        <v>10</v>
      </c>
      <c r="I1476" s="23">
        <f t="shared" si="15"/>
        <v>120</v>
      </c>
      <c r="J1476" s="13"/>
      <c r="K1476" s="18"/>
      <c r="L1476" s="19"/>
      <c r="M1476" s="19"/>
      <c r="N1476" s="20"/>
      <c r="O1476" s="22"/>
      <c r="P1476" s="22"/>
      <c r="Q1476" s="23"/>
      <c r="R1476" s="23"/>
    </row>
    <row r="1477" spans="1:18" x14ac:dyDescent="0.2">
      <c r="A1477" s="13"/>
      <c r="B1477" s="18" t="s">
        <v>628</v>
      </c>
      <c r="C1477" s="66"/>
      <c r="D1477" s="19"/>
      <c r="E1477" s="20"/>
      <c r="F1477" s="22" t="s">
        <v>80</v>
      </c>
      <c r="G1477" s="23">
        <v>1</v>
      </c>
      <c r="H1477" s="165">
        <v>2800</v>
      </c>
      <c r="I1477" s="23">
        <f t="shared" si="15"/>
        <v>2800</v>
      </c>
      <c r="J1477" s="13"/>
      <c r="K1477" s="18"/>
      <c r="L1477" s="19"/>
      <c r="M1477" s="19"/>
      <c r="N1477" s="20"/>
      <c r="O1477" s="22"/>
      <c r="P1477" s="22"/>
      <c r="Q1477" s="23"/>
      <c r="R1477" s="23"/>
    </row>
    <row r="1478" spans="1:18" x14ac:dyDescent="0.2">
      <c r="A1478" s="13"/>
      <c r="B1478" s="18" t="s">
        <v>629</v>
      </c>
      <c r="C1478" s="19"/>
      <c r="D1478" s="19"/>
      <c r="E1478" s="20"/>
      <c r="F1478" s="22" t="s">
        <v>77</v>
      </c>
      <c r="G1478" s="62">
        <f>ROUND(G1473/100,2)</f>
        <v>0.08</v>
      </c>
      <c r="H1478" s="107">
        <v>68</v>
      </c>
      <c r="I1478" s="23">
        <f t="shared" si="15"/>
        <v>5.44</v>
      </c>
      <c r="J1478" s="13"/>
      <c r="K1478" s="18"/>
      <c r="L1478" s="19"/>
      <c r="M1478" s="19"/>
      <c r="N1478" s="20"/>
      <c r="O1478" s="22"/>
      <c r="P1478" s="22"/>
      <c r="Q1478" s="23"/>
      <c r="R1478" s="23"/>
    </row>
    <row r="1479" spans="1:18" x14ac:dyDescent="0.2">
      <c r="A1479" s="13"/>
      <c r="B1479" s="18"/>
      <c r="C1479" s="19"/>
      <c r="D1479" s="19"/>
      <c r="E1479" s="20"/>
      <c r="F1479" s="22"/>
      <c r="G1479" s="22"/>
      <c r="H1479" s="107"/>
      <c r="I1479" s="23"/>
      <c r="J1479" s="13"/>
      <c r="K1479" s="18"/>
      <c r="L1479" s="19"/>
      <c r="M1479" s="19"/>
      <c r="N1479" s="20"/>
      <c r="O1479" s="22"/>
      <c r="P1479" s="22"/>
      <c r="Q1479" s="23"/>
      <c r="R1479" s="23"/>
    </row>
    <row r="1480" spans="1:18" x14ac:dyDescent="0.2">
      <c r="A1480" s="13"/>
      <c r="B1480" s="18"/>
      <c r="C1480" s="19"/>
      <c r="D1480" s="19"/>
      <c r="E1480" s="20"/>
      <c r="F1480" s="22"/>
      <c r="G1480" s="22"/>
      <c r="H1480" s="107"/>
      <c r="I1480" s="23"/>
      <c r="J1480" s="13"/>
      <c r="K1480" s="18"/>
      <c r="L1480" s="19"/>
      <c r="M1480" s="19"/>
      <c r="N1480" s="20"/>
      <c r="O1480" s="22"/>
      <c r="P1480" s="22"/>
      <c r="Q1480" s="23"/>
      <c r="R1480" s="23"/>
    </row>
    <row r="1481" spans="1:18" x14ac:dyDescent="0.2">
      <c r="A1481" s="13"/>
      <c r="B1481" s="18"/>
      <c r="C1481" s="19"/>
      <c r="D1481" s="19"/>
      <c r="E1481" s="20"/>
      <c r="F1481" s="22"/>
      <c r="G1481" s="22"/>
      <c r="H1481" s="107"/>
      <c r="I1481" s="23"/>
      <c r="J1481" s="13"/>
      <c r="K1481" s="18"/>
      <c r="L1481" s="19"/>
      <c r="M1481" s="19"/>
      <c r="N1481" s="20"/>
      <c r="O1481" s="22"/>
      <c r="P1481" s="22"/>
      <c r="Q1481" s="23"/>
      <c r="R1481" s="23"/>
    </row>
    <row r="1482" spans="1:18" x14ac:dyDescent="0.2">
      <c r="A1482" s="13"/>
      <c r="B1482" s="18"/>
      <c r="C1482" s="19"/>
      <c r="D1482" s="19"/>
      <c r="E1482" s="20"/>
      <c r="F1482" s="22"/>
      <c r="G1482" s="36"/>
      <c r="H1482" s="165"/>
      <c r="I1482" s="37"/>
      <c r="J1482" s="13"/>
      <c r="K1482" s="18"/>
      <c r="L1482" s="19"/>
      <c r="M1482" s="19"/>
      <c r="N1482" s="20"/>
      <c r="O1482" s="22"/>
      <c r="P1482" s="36"/>
      <c r="Q1482" s="37"/>
      <c r="R1482" s="37"/>
    </row>
    <row r="1483" spans="1:18" x14ac:dyDescent="0.2">
      <c r="A1483" s="13"/>
      <c r="B1483" s="248" t="s">
        <v>42</v>
      </c>
      <c r="C1483" s="249"/>
      <c r="D1483" s="249"/>
      <c r="E1483" s="250"/>
      <c r="F1483" s="46"/>
      <c r="G1483" s="46"/>
      <c r="H1483" s="47"/>
      <c r="I1483" s="47">
        <f>SUM(I1470:I1482)</f>
        <v>4903.79</v>
      </c>
      <c r="J1483" s="13"/>
      <c r="K1483" s="248" t="s">
        <v>42</v>
      </c>
      <c r="L1483" s="249"/>
      <c r="M1483" s="249"/>
      <c r="N1483" s="250"/>
      <c r="O1483" s="46"/>
      <c r="P1483" s="46"/>
      <c r="Q1483" s="47"/>
      <c r="R1483" s="47">
        <f>SUM(R1470:R1482)</f>
        <v>163.80000000000001</v>
      </c>
    </row>
    <row r="1484" spans="1:18" x14ac:dyDescent="0.2">
      <c r="A1484" s="12" t="s">
        <v>43</v>
      </c>
      <c r="B1484" s="48" t="s">
        <v>44</v>
      </c>
      <c r="C1484" s="43"/>
      <c r="D1484" s="43"/>
      <c r="E1484" s="161"/>
      <c r="F1484" s="49"/>
      <c r="G1484" s="49"/>
      <c r="H1484" s="50"/>
      <c r="I1484" s="51">
        <f>SUM(I1465+I1483)</f>
        <v>5316.8339999999998</v>
      </c>
      <c r="J1484" s="12" t="s">
        <v>43</v>
      </c>
      <c r="K1484" s="48" t="s">
        <v>44</v>
      </c>
      <c r="L1484" s="43"/>
      <c r="M1484" s="43"/>
      <c r="N1484" s="161"/>
      <c r="O1484" s="49"/>
      <c r="P1484" s="49"/>
      <c r="Q1484" s="50"/>
      <c r="R1484" s="51">
        <f>SUM(R1465+R1483)</f>
        <v>184.43596000000002</v>
      </c>
    </row>
    <row r="1485" spans="1:18" x14ac:dyDescent="0.2">
      <c r="A1485" s="13" t="s">
        <v>45</v>
      </c>
      <c r="B1485" s="48" t="s">
        <v>46</v>
      </c>
      <c r="C1485" s="43"/>
      <c r="D1485" s="43"/>
      <c r="E1485" s="161"/>
      <c r="F1485" s="49"/>
      <c r="G1485" s="52">
        <v>0.09</v>
      </c>
      <c r="H1485" s="53" t="s">
        <v>47</v>
      </c>
      <c r="I1485" s="51">
        <f>G1485*I1484</f>
        <v>478.51505999999995</v>
      </c>
      <c r="J1485" s="13" t="s">
        <v>45</v>
      </c>
      <c r="K1485" s="48" t="s">
        <v>46</v>
      </c>
      <c r="L1485" s="43"/>
      <c r="M1485" s="43"/>
      <c r="N1485" s="161"/>
      <c r="O1485" s="49"/>
      <c r="P1485" s="52">
        <v>0.09</v>
      </c>
      <c r="Q1485" s="53" t="s">
        <v>47</v>
      </c>
      <c r="R1485" s="51">
        <f>P1485*R1484</f>
        <v>16.599236400000002</v>
      </c>
    </row>
    <row r="1486" spans="1:18" x14ac:dyDescent="0.2">
      <c r="A1486" s="13" t="s">
        <v>48</v>
      </c>
      <c r="B1486" s="48" t="s">
        <v>49</v>
      </c>
      <c r="C1486" s="43"/>
      <c r="D1486" s="43"/>
      <c r="E1486" s="161"/>
      <c r="F1486" s="49"/>
      <c r="G1486" s="52">
        <v>0.08</v>
      </c>
      <c r="H1486" s="53" t="s">
        <v>47</v>
      </c>
      <c r="I1486" s="51">
        <f>G1486*I1484</f>
        <v>425.34672</v>
      </c>
      <c r="J1486" s="13" t="s">
        <v>48</v>
      </c>
      <c r="K1486" s="48" t="s">
        <v>49</v>
      </c>
      <c r="L1486" s="43"/>
      <c r="M1486" s="43"/>
      <c r="N1486" s="161"/>
      <c r="O1486" s="49"/>
      <c r="P1486" s="52">
        <v>0.08</v>
      </c>
      <c r="Q1486" s="53" t="s">
        <v>47</v>
      </c>
      <c r="R1486" s="51">
        <f>P1486*R1484</f>
        <v>14.754876800000002</v>
      </c>
    </row>
    <row r="1487" spans="1:18" x14ac:dyDescent="0.2">
      <c r="A1487" s="13" t="s">
        <v>50</v>
      </c>
      <c r="B1487" s="48" t="s">
        <v>51</v>
      </c>
      <c r="C1487" s="43"/>
      <c r="D1487" s="43"/>
      <c r="E1487" s="161"/>
      <c r="F1487" s="49"/>
      <c r="G1487" s="52">
        <v>0.05</v>
      </c>
      <c r="H1487" s="53" t="s">
        <v>52</v>
      </c>
      <c r="I1487" s="51">
        <f>G1487*(I1484+I1485+I1486)</f>
        <v>311.03478900000005</v>
      </c>
      <c r="J1487" s="13" t="s">
        <v>50</v>
      </c>
      <c r="K1487" s="48" t="s">
        <v>51</v>
      </c>
      <c r="L1487" s="43"/>
      <c r="M1487" s="43"/>
      <c r="N1487" s="161"/>
      <c r="O1487" s="49"/>
      <c r="P1487" s="52">
        <v>0.05</v>
      </c>
      <c r="Q1487" s="53" t="s">
        <v>52</v>
      </c>
      <c r="R1487" s="51">
        <f>P1487*(R1484+R1485+R1486)</f>
        <v>10.789503660000001</v>
      </c>
    </row>
    <row r="1488" spans="1:18" x14ac:dyDescent="0.2">
      <c r="A1488" s="54" t="s">
        <v>53</v>
      </c>
      <c r="B1488" s="48" t="s">
        <v>54</v>
      </c>
      <c r="C1488" s="43"/>
      <c r="D1488" s="43"/>
      <c r="E1488" s="161"/>
      <c r="F1488" s="49"/>
      <c r="G1488" s="49"/>
      <c r="H1488" s="55" t="s">
        <v>55</v>
      </c>
      <c r="I1488" s="51">
        <f>SUM(I1484+I1485+I1486+I1487)</f>
        <v>6531.7305690000003</v>
      </c>
      <c r="J1488" s="54" t="s">
        <v>53</v>
      </c>
      <c r="K1488" s="48" t="s">
        <v>54</v>
      </c>
      <c r="L1488" s="43"/>
      <c r="M1488" s="43"/>
      <c r="N1488" s="161"/>
      <c r="O1488" s="49"/>
      <c r="P1488" s="49"/>
      <c r="Q1488" s="55" t="s">
        <v>55</v>
      </c>
      <c r="R1488" s="51">
        <f>SUM(R1484+R1485+R1486+R1487)</f>
        <v>226.57957686000003</v>
      </c>
    </row>
    <row r="1489" spans="1:18" s="1" customFormat="1" x14ac:dyDescent="0.2">
      <c r="A1489" s="236" t="s">
        <v>0</v>
      </c>
      <c r="B1489" s="236"/>
      <c r="C1489" s="236"/>
      <c r="D1489" s="236"/>
      <c r="E1489" s="236"/>
      <c r="F1489" s="236"/>
      <c r="G1489" s="236"/>
      <c r="H1489" s="236"/>
      <c r="I1489" s="236"/>
      <c r="J1489" s="236" t="s">
        <v>0</v>
      </c>
      <c r="K1489" s="236"/>
      <c r="L1489" s="236"/>
      <c r="M1489" s="236"/>
      <c r="N1489" s="236"/>
      <c r="O1489" s="236"/>
      <c r="P1489" s="236"/>
      <c r="Q1489" s="236"/>
      <c r="R1489" s="236"/>
    </row>
    <row r="1491" spans="1:18" x14ac:dyDescent="0.2">
      <c r="A1491" s="158" t="s">
        <v>1</v>
      </c>
      <c r="C1491" s="4" t="s">
        <v>2</v>
      </c>
      <c r="D1491" s="5" t="s">
        <v>818</v>
      </c>
      <c r="E1491" s="237" t="s">
        <v>819</v>
      </c>
      <c r="F1491" s="237"/>
      <c r="G1491" s="237"/>
      <c r="H1491" s="237"/>
      <c r="J1491" s="158" t="s">
        <v>1</v>
      </c>
      <c r="L1491" s="4" t="s">
        <v>2</v>
      </c>
      <c r="M1491" s="5" t="s">
        <v>813</v>
      </c>
      <c r="N1491" s="237" t="s">
        <v>814</v>
      </c>
      <c r="O1491" s="237"/>
      <c r="P1491" s="237"/>
      <c r="Q1491" s="237"/>
    </row>
    <row r="1492" spans="1:18" x14ac:dyDescent="0.2">
      <c r="A1492" s="158" t="s">
        <v>7</v>
      </c>
      <c r="C1492" s="4" t="s">
        <v>2</v>
      </c>
      <c r="D1492" s="8"/>
      <c r="E1492" s="158" t="s">
        <v>59</v>
      </c>
      <c r="F1492" s="8"/>
      <c r="G1492" s="8"/>
      <c r="H1492" s="8"/>
      <c r="J1492" s="158" t="s">
        <v>7</v>
      </c>
      <c r="L1492" s="4" t="s">
        <v>2</v>
      </c>
      <c r="N1492" s="158" t="s">
        <v>1153</v>
      </c>
      <c r="O1492" s="8"/>
      <c r="P1492" s="8"/>
      <c r="Q1492" s="8"/>
    </row>
    <row r="1493" spans="1:18" x14ac:dyDescent="0.2">
      <c r="A1493" s="158" t="s">
        <v>10</v>
      </c>
      <c r="C1493" s="4" t="s">
        <v>2</v>
      </c>
      <c r="D1493" s="8"/>
      <c r="E1493" s="9">
        <v>1</v>
      </c>
      <c r="F1493" s="8"/>
      <c r="G1493" s="8"/>
      <c r="H1493" s="8"/>
      <c r="J1493" s="158" t="s">
        <v>10</v>
      </c>
      <c r="L1493" s="4" t="s">
        <v>2</v>
      </c>
      <c r="N1493" s="9">
        <v>15</v>
      </c>
      <c r="O1493" s="8"/>
      <c r="P1493" s="8"/>
      <c r="Q1493" s="8"/>
    </row>
    <row r="1494" spans="1:18" x14ac:dyDescent="0.2">
      <c r="B1494" s="8"/>
      <c r="F1494" s="11"/>
      <c r="G1494" s="8"/>
      <c r="H1494" s="8"/>
      <c r="I1494" s="8"/>
      <c r="K1494" s="8"/>
      <c r="O1494" s="11"/>
      <c r="P1494" s="8"/>
      <c r="Q1494" s="8"/>
      <c r="R1494" s="8"/>
    </row>
    <row r="1495" spans="1:18" x14ac:dyDescent="0.2">
      <c r="A1495" s="12"/>
      <c r="B1495" s="238" t="s">
        <v>11</v>
      </c>
      <c r="C1495" s="239"/>
      <c r="D1495" s="239"/>
      <c r="E1495" s="240"/>
      <c r="F1495" s="244" t="s">
        <v>12</v>
      </c>
      <c r="G1495" s="244" t="s">
        <v>13</v>
      </c>
      <c r="H1495" s="244" t="s">
        <v>14</v>
      </c>
      <c r="I1495" s="246" t="s">
        <v>15</v>
      </c>
      <c r="J1495" s="12"/>
      <c r="K1495" s="238" t="s">
        <v>11</v>
      </c>
      <c r="L1495" s="239"/>
      <c r="M1495" s="239"/>
      <c r="N1495" s="240"/>
      <c r="O1495" s="244" t="s">
        <v>12</v>
      </c>
      <c r="P1495" s="244" t="s">
        <v>13</v>
      </c>
      <c r="Q1495" s="244" t="s">
        <v>14</v>
      </c>
      <c r="R1495" s="246" t="s">
        <v>15</v>
      </c>
    </row>
    <row r="1496" spans="1:18" x14ac:dyDescent="0.2">
      <c r="A1496" s="13"/>
      <c r="B1496" s="241"/>
      <c r="C1496" s="242"/>
      <c r="D1496" s="242"/>
      <c r="E1496" s="243"/>
      <c r="F1496" s="245"/>
      <c r="G1496" s="245"/>
      <c r="H1496" s="245"/>
      <c r="I1496" s="247"/>
      <c r="J1496" s="13"/>
      <c r="K1496" s="241"/>
      <c r="L1496" s="242"/>
      <c r="M1496" s="242"/>
      <c r="N1496" s="243"/>
      <c r="O1496" s="245"/>
      <c r="P1496" s="245"/>
      <c r="Q1496" s="245"/>
      <c r="R1496" s="247"/>
    </row>
    <row r="1497" spans="1:18" x14ac:dyDescent="0.2">
      <c r="A1497" s="13" t="s">
        <v>16</v>
      </c>
      <c r="B1497" s="14" t="s">
        <v>17</v>
      </c>
      <c r="C1497" s="15"/>
      <c r="D1497" s="15"/>
      <c r="E1497" s="16"/>
      <c r="F1497" s="17"/>
      <c r="G1497" s="17"/>
      <c r="H1497" s="17"/>
      <c r="I1497" s="17"/>
      <c r="J1497" s="13" t="s">
        <v>16</v>
      </c>
      <c r="K1497" s="14" t="s">
        <v>17</v>
      </c>
      <c r="L1497" s="15"/>
      <c r="M1497" s="15"/>
      <c r="N1497" s="16"/>
      <c r="O1497" s="17"/>
      <c r="P1497" s="17"/>
      <c r="Q1497" s="17"/>
      <c r="R1497" s="17"/>
    </row>
    <row r="1498" spans="1:18" x14ac:dyDescent="0.2">
      <c r="A1498" s="13"/>
      <c r="B1498" s="18"/>
      <c r="C1498" s="19"/>
      <c r="D1498" s="19"/>
      <c r="E1498" s="20"/>
      <c r="F1498" s="21"/>
      <c r="G1498" s="22"/>
      <c r="H1498" s="21"/>
      <c r="I1498" s="21"/>
      <c r="J1498" s="13"/>
      <c r="K1498" s="18"/>
      <c r="L1498" s="19"/>
      <c r="M1498" s="19"/>
      <c r="N1498" s="20"/>
      <c r="O1498" s="21"/>
      <c r="P1498" s="22"/>
      <c r="Q1498" s="21"/>
      <c r="R1498" s="21"/>
    </row>
    <row r="1499" spans="1:18" x14ac:dyDescent="0.2">
      <c r="A1499" s="13"/>
      <c r="B1499" s="24" t="s">
        <v>18</v>
      </c>
      <c r="C1499" s="25"/>
      <c r="D1499" s="25"/>
      <c r="E1499" s="26"/>
      <c r="F1499" s="22">
        <v>1</v>
      </c>
      <c r="G1499" s="23">
        <v>1</v>
      </c>
      <c r="H1499" s="23">
        <v>69.42</v>
      </c>
      <c r="I1499" s="23">
        <f>F1499*G1499*H1499</f>
        <v>69.42</v>
      </c>
      <c r="J1499" s="13"/>
      <c r="K1499" s="24" t="s">
        <v>18</v>
      </c>
      <c r="L1499" s="25"/>
      <c r="M1499" s="25"/>
      <c r="N1499" s="26"/>
      <c r="O1499" s="22">
        <v>1</v>
      </c>
      <c r="P1499" s="23">
        <v>1</v>
      </c>
      <c r="Q1499" s="23">
        <v>69.42</v>
      </c>
      <c r="R1499" s="23">
        <f>P1499*Q1499*O1499</f>
        <v>69.42</v>
      </c>
    </row>
    <row r="1500" spans="1:18" x14ac:dyDescent="0.2">
      <c r="A1500" s="13"/>
      <c r="B1500" s="257" t="s">
        <v>1178</v>
      </c>
      <c r="C1500" s="258"/>
      <c r="D1500" s="25"/>
      <c r="E1500" s="26"/>
      <c r="F1500" s="22">
        <v>1</v>
      </c>
      <c r="G1500" s="23">
        <v>1</v>
      </c>
      <c r="H1500" s="23">
        <v>50.18</v>
      </c>
      <c r="I1500" s="23">
        <f>F1500*G1500*H1500</f>
        <v>50.18</v>
      </c>
      <c r="J1500" s="13"/>
      <c r="K1500" s="257" t="s">
        <v>1179</v>
      </c>
      <c r="L1500" s="258"/>
      <c r="M1500" s="19"/>
      <c r="N1500" s="20"/>
      <c r="O1500" s="22">
        <v>2</v>
      </c>
      <c r="P1500" s="23">
        <v>1</v>
      </c>
      <c r="Q1500" s="23">
        <v>38.97</v>
      </c>
      <c r="R1500" s="23">
        <f>P1500*Q1500*O1500</f>
        <v>77.94</v>
      </c>
    </row>
    <row r="1501" spans="1:18" x14ac:dyDescent="0.2">
      <c r="A1501" s="13"/>
      <c r="B1501" s="257" t="s">
        <v>1177</v>
      </c>
      <c r="C1501" s="258"/>
      <c r="D1501" s="19"/>
      <c r="E1501" s="20"/>
      <c r="F1501" s="22">
        <v>2</v>
      </c>
      <c r="G1501" s="23">
        <v>1</v>
      </c>
      <c r="H1501" s="23">
        <v>38.97</v>
      </c>
      <c r="I1501" s="23">
        <f>F1501*G1501*H1501</f>
        <v>77.94</v>
      </c>
      <c r="J1501" s="13"/>
      <c r="K1501" s="257"/>
      <c r="L1501" s="258"/>
      <c r="M1501" s="19"/>
      <c r="N1501" s="20"/>
      <c r="O1501" s="22"/>
      <c r="P1501" s="22"/>
      <c r="Q1501" s="23"/>
      <c r="R1501" s="23"/>
    </row>
    <row r="1502" spans="1:18" x14ac:dyDescent="0.2">
      <c r="A1502" s="13"/>
      <c r="B1502" s="159"/>
      <c r="C1502" s="19"/>
      <c r="D1502" s="19"/>
      <c r="E1502" s="20"/>
      <c r="F1502" s="22"/>
      <c r="G1502" s="22"/>
      <c r="H1502" s="29"/>
      <c r="I1502" s="30"/>
      <c r="J1502" s="13"/>
      <c r="K1502" s="159"/>
      <c r="L1502" s="19"/>
      <c r="M1502" s="19"/>
      <c r="N1502" s="20"/>
      <c r="O1502" s="22"/>
      <c r="P1502" s="22"/>
      <c r="Q1502" s="29"/>
      <c r="R1502" s="30"/>
    </row>
    <row r="1503" spans="1:18" x14ac:dyDescent="0.2">
      <c r="A1503" s="13"/>
      <c r="B1503" s="159"/>
      <c r="C1503" s="19"/>
      <c r="D1503" s="19"/>
      <c r="E1503" s="20"/>
      <c r="F1503" s="22"/>
      <c r="G1503" s="22"/>
      <c r="H1503" s="29"/>
      <c r="I1503" s="30"/>
      <c r="J1503" s="13"/>
      <c r="K1503" s="159"/>
      <c r="L1503" s="19"/>
      <c r="M1503" s="19"/>
      <c r="N1503" s="20"/>
      <c r="O1503" s="22"/>
      <c r="P1503" s="22"/>
      <c r="Q1503" s="29"/>
      <c r="R1503" s="30"/>
    </row>
    <row r="1504" spans="1:18" x14ac:dyDescent="0.2">
      <c r="A1504" s="13"/>
      <c r="B1504" s="18"/>
      <c r="C1504" s="19"/>
      <c r="D1504" s="19"/>
      <c r="E1504" s="20"/>
      <c r="F1504" s="22"/>
      <c r="G1504" s="22"/>
      <c r="H1504" s="28"/>
      <c r="I1504" s="23"/>
      <c r="J1504" s="13"/>
      <c r="K1504" s="18"/>
      <c r="L1504" s="19"/>
      <c r="M1504" s="19"/>
      <c r="N1504" s="20"/>
      <c r="O1504" s="22"/>
      <c r="P1504" s="22"/>
      <c r="Q1504" s="28"/>
      <c r="R1504" s="23"/>
    </row>
    <row r="1505" spans="1:18" x14ac:dyDescent="0.2">
      <c r="A1505" s="13"/>
      <c r="B1505" s="18"/>
      <c r="C1505" s="19"/>
      <c r="D1505" s="19"/>
      <c r="E1505" s="20"/>
      <c r="F1505" s="22"/>
      <c r="G1505" s="22"/>
      <c r="H1505" s="23"/>
      <c r="I1505" s="23"/>
      <c r="J1505" s="13"/>
      <c r="K1505" s="18"/>
      <c r="L1505" s="19"/>
      <c r="M1505" s="19"/>
      <c r="N1505" s="20"/>
      <c r="O1505" s="22"/>
      <c r="P1505" s="22"/>
      <c r="Q1505" s="23"/>
      <c r="R1505" s="23"/>
    </row>
    <row r="1506" spans="1:18" x14ac:dyDescent="0.2">
      <c r="A1506" s="13"/>
      <c r="B1506" s="248" t="s">
        <v>20</v>
      </c>
      <c r="C1506" s="249"/>
      <c r="D1506" s="249"/>
      <c r="E1506" s="250"/>
      <c r="F1506" s="31"/>
      <c r="G1506" s="31"/>
      <c r="H1506" s="32"/>
      <c r="I1506" s="32">
        <f>SUM(I1499:I1505)</f>
        <v>197.54</v>
      </c>
      <c r="J1506" s="13"/>
      <c r="K1506" s="248" t="s">
        <v>20</v>
      </c>
      <c r="L1506" s="249"/>
      <c r="M1506" s="249"/>
      <c r="N1506" s="250"/>
      <c r="O1506" s="31"/>
      <c r="P1506" s="31"/>
      <c r="Q1506" s="32"/>
      <c r="R1506" s="32">
        <f>SUM(R1499:R1505)</f>
        <v>147.36000000000001</v>
      </c>
    </row>
    <row r="1507" spans="1:18" x14ac:dyDescent="0.2">
      <c r="A1507" s="12"/>
      <c r="B1507" s="251" t="s">
        <v>21</v>
      </c>
      <c r="C1507" s="252"/>
      <c r="D1507" s="252"/>
      <c r="E1507" s="253"/>
      <c r="F1507" s="244" t="s">
        <v>22</v>
      </c>
      <c r="G1507" s="244" t="s">
        <v>13</v>
      </c>
      <c r="H1507" s="244" t="s">
        <v>14</v>
      </c>
      <c r="I1507" s="246" t="s">
        <v>15</v>
      </c>
      <c r="J1507" s="12"/>
      <c r="K1507" s="251" t="s">
        <v>21</v>
      </c>
      <c r="L1507" s="252"/>
      <c r="M1507" s="252"/>
      <c r="N1507" s="253"/>
      <c r="O1507" s="244" t="s">
        <v>22</v>
      </c>
      <c r="P1507" s="244" t="s">
        <v>13</v>
      </c>
      <c r="Q1507" s="244" t="s">
        <v>14</v>
      </c>
      <c r="R1507" s="246" t="s">
        <v>15</v>
      </c>
    </row>
    <row r="1508" spans="1:18" x14ac:dyDescent="0.2">
      <c r="A1508" s="13"/>
      <c r="B1508" s="254"/>
      <c r="C1508" s="255"/>
      <c r="D1508" s="255"/>
      <c r="E1508" s="256"/>
      <c r="F1508" s="245"/>
      <c r="G1508" s="245"/>
      <c r="H1508" s="245"/>
      <c r="I1508" s="247"/>
      <c r="J1508" s="13"/>
      <c r="K1508" s="254"/>
      <c r="L1508" s="255"/>
      <c r="M1508" s="255"/>
      <c r="N1508" s="256"/>
      <c r="O1508" s="245"/>
      <c r="P1508" s="245"/>
      <c r="Q1508" s="245"/>
      <c r="R1508" s="247"/>
    </row>
    <row r="1509" spans="1:18" x14ac:dyDescent="0.2">
      <c r="A1509" s="13" t="s">
        <v>23</v>
      </c>
      <c r="B1509" s="33" t="s">
        <v>24</v>
      </c>
      <c r="C1509" s="15"/>
      <c r="D1509" s="15"/>
      <c r="E1509" s="16"/>
      <c r="F1509" s="34"/>
      <c r="G1509" s="34"/>
      <c r="H1509" s="35"/>
      <c r="I1509" s="35"/>
      <c r="J1509" s="13" t="s">
        <v>23</v>
      </c>
      <c r="K1509" s="33" t="s">
        <v>24</v>
      </c>
      <c r="L1509" s="15"/>
      <c r="M1509" s="15"/>
      <c r="N1509" s="16"/>
      <c r="O1509" s="34"/>
      <c r="P1509" s="34"/>
      <c r="Q1509" s="35"/>
      <c r="R1509" s="35"/>
    </row>
    <row r="1510" spans="1:18" x14ac:dyDescent="0.2">
      <c r="A1510" s="13"/>
      <c r="B1510" s="18"/>
      <c r="C1510" s="19"/>
      <c r="D1510" s="19"/>
      <c r="E1510" s="20"/>
      <c r="F1510" s="22"/>
      <c r="G1510" s="22"/>
      <c r="H1510" s="23"/>
      <c r="I1510" s="23"/>
      <c r="J1510" s="13"/>
      <c r="K1510" s="18"/>
      <c r="L1510" s="19"/>
      <c r="M1510" s="19"/>
      <c r="N1510" s="20"/>
      <c r="O1510" s="22"/>
      <c r="P1510" s="22"/>
      <c r="Q1510" s="23"/>
      <c r="R1510" s="23"/>
    </row>
    <row r="1511" spans="1:18" x14ac:dyDescent="0.2">
      <c r="A1511" s="13"/>
      <c r="B1511" s="18" t="s">
        <v>1277</v>
      </c>
      <c r="C1511" s="19"/>
      <c r="D1511" s="19"/>
      <c r="E1511" s="20"/>
      <c r="F1511" s="22">
        <v>1</v>
      </c>
      <c r="G1511" s="23">
        <v>0.25</v>
      </c>
      <c r="H1511" s="37">
        <v>783</v>
      </c>
      <c r="I1511" s="37">
        <f>G1511*H1511*F1511</f>
        <v>195.75</v>
      </c>
      <c r="J1511" s="13"/>
      <c r="K1511" s="18" t="s">
        <v>92</v>
      </c>
      <c r="L1511" s="19"/>
      <c r="M1511" s="19"/>
      <c r="N1511" s="20"/>
      <c r="O1511" s="22"/>
      <c r="P1511" s="23"/>
      <c r="R1511" s="37">
        <f>R1506*0.1</f>
        <v>14.736000000000002</v>
      </c>
    </row>
    <row r="1512" spans="1:18" x14ac:dyDescent="0.2">
      <c r="A1512" s="13"/>
      <c r="B1512" s="18" t="s">
        <v>125</v>
      </c>
      <c r="C1512" s="66"/>
      <c r="D1512" s="19"/>
      <c r="E1512" s="20"/>
      <c r="F1512" s="22"/>
      <c r="G1512" s="71"/>
      <c r="I1512" s="37">
        <f>I1506*0.1</f>
        <v>19.754000000000001</v>
      </c>
      <c r="J1512" s="13"/>
      <c r="K1512" s="18"/>
      <c r="L1512" s="19"/>
      <c r="M1512" s="19"/>
      <c r="N1512" s="20"/>
      <c r="O1512" s="22"/>
      <c r="P1512" s="23"/>
      <c r="Q1512" s="37"/>
      <c r="R1512" s="37"/>
    </row>
    <row r="1513" spans="1:18" x14ac:dyDescent="0.2">
      <c r="A1513" s="13"/>
      <c r="B1513" s="18"/>
      <c r="C1513" s="19"/>
      <c r="D1513" s="19"/>
      <c r="E1513" s="20"/>
      <c r="F1513" s="22"/>
      <c r="G1513" s="36"/>
      <c r="H1513" s="37"/>
      <c r="I1513" s="37"/>
      <c r="J1513" s="13"/>
      <c r="K1513" s="18"/>
      <c r="L1513" s="19"/>
      <c r="M1513" s="19"/>
      <c r="N1513" s="20"/>
      <c r="O1513" s="22"/>
      <c r="P1513" s="23"/>
      <c r="Q1513" s="37"/>
      <c r="R1513" s="37"/>
    </row>
    <row r="1514" spans="1:18" x14ac:dyDescent="0.2">
      <c r="A1514" s="13"/>
      <c r="B1514" s="18"/>
      <c r="F1514" s="22"/>
      <c r="G1514" s="36"/>
      <c r="H1514" s="37"/>
      <c r="I1514" s="37"/>
      <c r="J1514" s="13"/>
      <c r="K1514" s="18"/>
      <c r="O1514" s="22"/>
      <c r="P1514" s="36"/>
      <c r="Q1514" s="37"/>
      <c r="R1514" s="37"/>
    </row>
    <row r="1515" spans="1:18" x14ac:dyDescent="0.2">
      <c r="A1515" s="13"/>
      <c r="B1515" s="18"/>
      <c r="C1515" s="19"/>
      <c r="D1515" s="19"/>
      <c r="E1515" s="20"/>
      <c r="F1515" s="22"/>
      <c r="G1515" s="36"/>
      <c r="H1515" s="37"/>
      <c r="I1515" s="37"/>
      <c r="J1515" s="13"/>
      <c r="K1515" s="18"/>
      <c r="L1515" s="19"/>
      <c r="M1515" s="19"/>
      <c r="N1515" s="20"/>
      <c r="O1515" s="22"/>
      <c r="P1515" s="36"/>
      <c r="Q1515" s="37"/>
      <c r="R1515" s="37"/>
    </row>
    <row r="1516" spans="1:18" x14ac:dyDescent="0.2">
      <c r="A1516" s="13"/>
      <c r="B1516" s="18"/>
      <c r="C1516" s="19"/>
      <c r="D1516" s="19"/>
      <c r="E1516" s="20"/>
      <c r="F1516" s="22"/>
      <c r="G1516" s="36"/>
      <c r="H1516" s="37"/>
      <c r="I1516" s="37"/>
      <c r="J1516" s="13"/>
      <c r="K1516" s="18"/>
      <c r="L1516" s="19"/>
      <c r="M1516" s="19"/>
      <c r="N1516" s="20"/>
      <c r="O1516" s="22"/>
      <c r="P1516" s="36"/>
      <c r="Q1516" s="38"/>
      <c r="R1516" s="38"/>
    </row>
    <row r="1517" spans="1:18" x14ac:dyDescent="0.2">
      <c r="A1517" s="13"/>
      <c r="B1517" s="18"/>
      <c r="C1517" s="19"/>
      <c r="D1517" s="19"/>
      <c r="E1517" s="20"/>
      <c r="F1517" s="22"/>
      <c r="G1517" s="36"/>
      <c r="H1517" s="37"/>
      <c r="I1517" s="37"/>
      <c r="J1517" s="13"/>
      <c r="K1517" s="18"/>
      <c r="L1517" s="19"/>
      <c r="M1517" s="19"/>
      <c r="N1517" s="20"/>
      <c r="O1517" s="22"/>
      <c r="P1517" s="36"/>
      <c r="Q1517" s="38"/>
      <c r="R1517" s="38"/>
    </row>
    <row r="1518" spans="1:18" x14ac:dyDescent="0.2">
      <c r="A1518" s="13"/>
      <c r="B1518" s="18"/>
      <c r="C1518" s="19"/>
      <c r="D1518" s="19"/>
      <c r="E1518" s="20"/>
      <c r="F1518" s="22"/>
      <c r="G1518" s="23"/>
      <c r="H1518" s="37"/>
      <c r="I1518" s="37"/>
      <c r="J1518" s="13"/>
      <c r="K1518" s="18"/>
      <c r="L1518" s="19"/>
      <c r="M1518" s="19"/>
      <c r="N1518" s="20"/>
      <c r="O1518" s="22"/>
      <c r="P1518" s="36"/>
      <c r="Q1518" s="38"/>
      <c r="R1518" s="38"/>
    </row>
    <row r="1519" spans="1:18" x14ac:dyDescent="0.2">
      <c r="A1519" s="13"/>
      <c r="B1519" s="18"/>
      <c r="C1519" s="19"/>
      <c r="D1519" s="19"/>
      <c r="E1519" s="20"/>
      <c r="F1519" s="22"/>
      <c r="G1519" s="36"/>
      <c r="H1519" s="38"/>
      <c r="I1519" s="38"/>
      <c r="J1519" s="13"/>
      <c r="K1519" s="18"/>
      <c r="L1519" s="19"/>
      <c r="M1519" s="19"/>
      <c r="N1519" s="20"/>
      <c r="O1519" s="22"/>
      <c r="P1519" s="36"/>
      <c r="Q1519" s="38"/>
      <c r="R1519" s="38"/>
    </row>
    <row r="1520" spans="1:18" x14ac:dyDescent="0.2">
      <c r="A1520" s="13"/>
      <c r="B1520" s="18"/>
      <c r="C1520" s="19"/>
      <c r="D1520" s="19"/>
      <c r="E1520" s="20"/>
      <c r="F1520" s="22"/>
      <c r="G1520" s="36"/>
      <c r="H1520" s="37"/>
      <c r="I1520" s="37"/>
      <c r="J1520" s="13"/>
      <c r="K1520" s="18"/>
      <c r="L1520" s="19"/>
      <c r="M1520" s="19"/>
      <c r="N1520" s="20"/>
      <c r="O1520" s="22"/>
      <c r="P1520" s="36"/>
      <c r="Q1520" s="37"/>
      <c r="R1520" s="37"/>
    </row>
    <row r="1521" spans="1:18" x14ac:dyDescent="0.2">
      <c r="A1521" s="13"/>
      <c r="B1521" s="18"/>
      <c r="C1521" s="19"/>
      <c r="D1521" s="19"/>
      <c r="E1521" s="20"/>
      <c r="F1521" s="22"/>
      <c r="G1521" s="36"/>
      <c r="H1521" s="37"/>
      <c r="I1521" s="37"/>
      <c r="J1521" s="13"/>
      <c r="K1521" s="18"/>
      <c r="L1521" s="19"/>
      <c r="M1521" s="19"/>
      <c r="N1521" s="20"/>
      <c r="O1521" s="22"/>
      <c r="P1521" s="36"/>
      <c r="Q1521" s="37"/>
      <c r="R1521" s="37"/>
    </row>
    <row r="1522" spans="1:18" x14ac:dyDescent="0.2">
      <c r="A1522" s="13"/>
      <c r="B1522" s="18"/>
      <c r="C1522" s="19"/>
      <c r="D1522" s="19"/>
      <c r="E1522" s="20"/>
      <c r="F1522" s="22"/>
      <c r="G1522" s="36"/>
      <c r="H1522" s="37"/>
      <c r="I1522" s="37"/>
      <c r="J1522" s="13"/>
      <c r="K1522" s="18"/>
      <c r="L1522" s="19"/>
      <c r="M1522" s="19"/>
      <c r="N1522" s="20"/>
      <c r="O1522" s="22"/>
      <c r="P1522" s="36"/>
      <c r="Q1522" s="37"/>
      <c r="R1522" s="37"/>
    </row>
    <row r="1523" spans="1:18" x14ac:dyDescent="0.2">
      <c r="A1523" s="13"/>
      <c r="B1523" s="18"/>
      <c r="C1523" s="19"/>
      <c r="D1523" s="19"/>
      <c r="E1523" s="20"/>
      <c r="F1523" s="22"/>
      <c r="G1523" s="22"/>
      <c r="H1523" s="23"/>
      <c r="I1523" s="23"/>
      <c r="J1523" s="13"/>
      <c r="K1523" s="18"/>
      <c r="L1523" s="19"/>
      <c r="M1523" s="19"/>
      <c r="N1523" s="20"/>
      <c r="O1523" s="22"/>
      <c r="P1523" s="22"/>
      <c r="Q1523" s="23"/>
      <c r="R1523" s="23"/>
    </row>
    <row r="1524" spans="1:18" x14ac:dyDescent="0.2">
      <c r="A1524" s="13"/>
      <c r="B1524" s="248" t="s">
        <v>30</v>
      </c>
      <c r="C1524" s="249"/>
      <c r="D1524" s="249"/>
      <c r="E1524" s="250"/>
      <c r="F1524" s="22"/>
      <c r="G1524" s="22"/>
      <c r="H1524" s="23"/>
      <c r="I1524" s="23">
        <f>SUM(I1511:I1523)</f>
        <v>215.50399999999999</v>
      </c>
      <c r="J1524" s="13"/>
      <c r="K1524" s="248" t="s">
        <v>30</v>
      </c>
      <c r="L1524" s="249"/>
      <c r="M1524" s="249"/>
      <c r="N1524" s="250"/>
      <c r="O1524" s="22"/>
      <c r="P1524" s="22"/>
      <c r="Q1524" s="23"/>
      <c r="R1524" s="23">
        <f>SUM(R1511:R1523)</f>
        <v>14.736000000000002</v>
      </c>
    </row>
    <row r="1525" spans="1:18" x14ac:dyDescent="0.2">
      <c r="A1525" s="12" t="s">
        <v>31</v>
      </c>
      <c r="B1525" s="260" t="s">
        <v>32</v>
      </c>
      <c r="C1525" s="261"/>
      <c r="D1525" s="261"/>
      <c r="E1525" s="261"/>
      <c r="F1525" s="161"/>
      <c r="G1525" s="161"/>
      <c r="H1525" s="40"/>
      <c r="I1525" s="41">
        <f>SUM(I1524+I1506)</f>
        <v>413.04399999999998</v>
      </c>
      <c r="J1525" s="12" t="s">
        <v>31</v>
      </c>
      <c r="K1525" s="260" t="s">
        <v>32</v>
      </c>
      <c r="L1525" s="261"/>
      <c r="M1525" s="261"/>
      <c r="N1525" s="261"/>
      <c r="O1525" s="161"/>
      <c r="P1525" s="161"/>
      <c r="Q1525" s="40"/>
      <c r="R1525" s="41">
        <f>SUM(R1524+R1506)</f>
        <v>162.096</v>
      </c>
    </row>
    <row r="1526" spans="1:18" x14ac:dyDescent="0.2">
      <c r="A1526" s="13" t="s">
        <v>33</v>
      </c>
      <c r="B1526" s="345">
        <f>E1493</f>
        <v>1</v>
      </c>
      <c r="C1526" s="346"/>
      <c r="D1526" s="346"/>
      <c r="E1526" s="346"/>
      <c r="F1526" s="346"/>
      <c r="G1526" s="346"/>
      <c r="H1526" s="40"/>
      <c r="I1526" s="41"/>
      <c r="J1526" s="13" t="s">
        <v>33</v>
      </c>
      <c r="K1526" s="321">
        <f>N1493</f>
        <v>15</v>
      </c>
      <c r="L1526" s="322"/>
      <c r="M1526" s="322"/>
      <c r="N1526" s="322"/>
      <c r="O1526" s="322"/>
      <c r="P1526" s="322"/>
      <c r="Q1526" s="40"/>
      <c r="R1526" s="41"/>
    </row>
    <row r="1527" spans="1:18" x14ac:dyDescent="0.2">
      <c r="A1527" s="13" t="s">
        <v>34</v>
      </c>
      <c r="B1527" s="162" t="s">
        <v>35</v>
      </c>
      <c r="C1527" s="43"/>
      <c r="D1527" s="43"/>
      <c r="E1527" s="161"/>
      <c r="F1527" s="163"/>
      <c r="G1527" s="163"/>
      <c r="H1527" s="40"/>
      <c r="I1527" s="41">
        <f>I1525/E1493</f>
        <v>413.04399999999998</v>
      </c>
      <c r="J1527" s="13" t="s">
        <v>34</v>
      </c>
      <c r="K1527" s="162" t="s">
        <v>35</v>
      </c>
      <c r="L1527" s="43"/>
      <c r="M1527" s="43"/>
      <c r="N1527" s="161"/>
      <c r="O1527" s="163"/>
      <c r="P1527" s="163"/>
      <c r="Q1527" s="40"/>
      <c r="R1527" s="41">
        <f>R1525/N1493</f>
        <v>10.8064</v>
      </c>
    </row>
    <row r="1528" spans="1:18" x14ac:dyDescent="0.2">
      <c r="A1528" s="12"/>
      <c r="B1528" s="251" t="s">
        <v>36</v>
      </c>
      <c r="C1528" s="252"/>
      <c r="D1528" s="252"/>
      <c r="E1528" s="253"/>
      <c r="F1528" s="244" t="s">
        <v>37</v>
      </c>
      <c r="G1528" s="244" t="s">
        <v>38</v>
      </c>
      <c r="H1528" s="244" t="s">
        <v>39</v>
      </c>
      <c r="I1528" s="246" t="s">
        <v>15</v>
      </c>
      <c r="J1528" s="12"/>
      <c r="K1528" s="251" t="s">
        <v>36</v>
      </c>
      <c r="L1528" s="252"/>
      <c r="M1528" s="252"/>
      <c r="N1528" s="253"/>
      <c r="O1528" s="244" t="s">
        <v>37</v>
      </c>
      <c r="P1528" s="244" t="s">
        <v>38</v>
      </c>
      <c r="Q1528" s="244" t="s">
        <v>39</v>
      </c>
      <c r="R1528" s="246" t="s">
        <v>15</v>
      </c>
    </row>
    <row r="1529" spans="1:18" x14ac:dyDescent="0.2">
      <c r="A1529" s="13"/>
      <c r="B1529" s="254"/>
      <c r="C1529" s="255"/>
      <c r="D1529" s="255"/>
      <c r="E1529" s="256"/>
      <c r="F1529" s="245"/>
      <c r="G1529" s="245"/>
      <c r="H1529" s="245"/>
      <c r="I1529" s="247"/>
      <c r="J1529" s="13"/>
      <c r="K1529" s="254"/>
      <c r="L1529" s="255"/>
      <c r="M1529" s="255"/>
      <c r="N1529" s="256"/>
      <c r="O1529" s="245"/>
      <c r="P1529" s="245"/>
      <c r="Q1529" s="245"/>
      <c r="R1529" s="247"/>
    </row>
    <row r="1530" spans="1:18" x14ac:dyDescent="0.2">
      <c r="A1530" s="13" t="s">
        <v>40</v>
      </c>
      <c r="B1530" s="18" t="s">
        <v>41</v>
      </c>
      <c r="C1530" s="19"/>
      <c r="D1530" s="19"/>
      <c r="E1530" s="20"/>
      <c r="F1530" s="22"/>
      <c r="G1530" s="22"/>
      <c r="H1530" s="23"/>
      <c r="I1530" s="23"/>
      <c r="J1530" s="13" t="s">
        <v>40</v>
      </c>
      <c r="K1530" s="18" t="s">
        <v>41</v>
      </c>
      <c r="L1530" s="19"/>
      <c r="M1530" s="19"/>
      <c r="N1530" s="20"/>
      <c r="O1530" s="22"/>
      <c r="P1530" s="22"/>
      <c r="Q1530" s="23"/>
      <c r="R1530" s="23"/>
    </row>
    <row r="1531" spans="1:18" x14ac:dyDescent="0.2">
      <c r="A1531" s="13"/>
      <c r="B1531" s="18"/>
      <c r="C1531" s="19"/>
      <c r="D1531" s="19"/>
      <c r="E1531" s="20"/>
      <c r="F1531" s="22"/>
      <c r="G1531" s="22"/>
      <c r="H1531" s="107"/>
      <c r="I1531" s="23"/>
      <c r="J1531" s="13"/>
      <c r="K1531" s="18"/>
      <c r="L1531" s="19"/>
      <c r="M1531" s="19"/>
      <c r="N1531" s="20"/>
      <c r="O1531" s="22"/>
      <c r="P1531" s="22"/>
      <c r="Q1531" s="23"/>
      <c r="R1531" s="23"/>
    </row>
    <row r="1532" spans="1:18" x14ac:dyDescent="0.2">
      <c r="A1532" s="13"/>
      <c r="B1532" s="18" t="s">
        <v>425</v>
      </c>
      <c r="C1532" s="66"/>
      <c r="D1532" s="19"/>
      <c r="E1532" s="20"/>
      <c r="F1532" s="22" t="s">
        <v>227</v>
      </c>
      <c r="G1532" s="62">
        <v>0.48</v>
      </c>
      <c r="H1532" s="107">
        <v>220</v>
      </c>
      <c r="I1532" s="23">
        <f>H1532*G1532</f>
        <v>105.6</v>
      </c>
      <c r="J1532" s="13"/>
      <c r="K1532" s="18" t="s">
        <v>815</v>
      </c>
      <c r="L1532" s="66"/>
      <c r="M1532" s="19"/>
      <c r="N1532" s="20"/>
      <c r="O1532" s="62" t="s">
        <v>1153</v>
      </c>
      <c r="P1532" s="62">
        <v>1.05</v>
      </c>
      <c r="Q1532" s="107">
        <v>388</v>
      </c>
      <c r="R1532" s="23">
        <f>Q1532*P1532</f>
        <v>407.40000000000003</v>
      </c>
    </row>
    <row r="1533" spans="1:18" x14ac:dyDescent="0.2">
      <c r="A1533" s="13"/>
      <c r="B1533" s="18" t="s">
        <v>567</v>
      </c>
      <c r="C1533" s="66"/>
      <c r="D1533" s="19"/>
      <c r="E1533" s="20"/>
      <c r="F1533" s="22" t="s">
        <v>9</v>
      </c>
      <c r="G1533" s="22">
        <v>2.5000000000000001E-2</v>
      </c>
      <c r="H1533" s="107">
        <v>850</v>
      </c>
      <c r="I1533" s="23">
        <f>H1533*G1533</f>
        <v>21.25</v>
      </c>
      <c r="J1533" s="13"/>
      <c r="K1533" s="18" t="s">
        <v>816</v>
      </c>
      <c r="L1533" s="66"/>
      <c r="M1533" s="19"/>
      <c r="N1533" s="20"/>
      <c r="O1533" s="22"/>
      <c r="P1533" s="22"/>
      <c r="Q1533" s="23"/>
      <c r="R1533" s="23"/>
    </row>
    <row r="1534" spans="1:18" x14ac:dyDescent="0.2">
      <c r="A1534" s="13"/>
      <c r="B1534" s="18" t="s">
        <v>496</v>
      </c>
      <c r="C1534" s="66"/>
      <c r="D1534" s="19"/>
      <c r="E1534" s="20"/>
      <c r="F1534" s="22" t="s">
        <v>9</v>
      </c>
      <c r="G1534" s="70">
        <v>0.05</v>
      </c>
      <c r="H1534" s="107">
        <v>650</v>
      </c>
      <c r="I1534" s="23">
        <f>H1534*G1534</f>
        <v>32.5</v>
      </c>
      <c r="J1534" s="13"/>
      <c r="K1534" s="18"/>
      <c r="L1534" s="19"/>
      <c r="M1534" s="19"/>
      <c r="N1534" s="20"/>
      <c r="O1534" s="22"/>
      <c r="P1534" s="22"/>
      <c r="Q1534" s="38"/>
      <c r="R1534" s="38"/>
    </row>
    <row r="1535" spans="1:18" x14ac:dyDescent="0.2">
      <c r="A1535" s="13"/>
      <c r="B1535" s="18" t="s">
        <v>624</v>
      </c>
      <c r="C1535" s="66"/>
      <c r="D1535" s="19"/>
      <c r="E1535" s="20"/>
      <c r="F1535" s="22" t="s">
        <v>413</v>
      </c>
      <c r="G1535" s="62">
        <v>8</v>
      </c>
      <c r="H1535" s="107">
        <v>40</v>
      </c>
      <c r="I1535" s="23">
        <f>(H1535*G1535)/4</f>
        <v>80</v>
      </c>
      <c r="J1535" s="13"/>
      <c r="K1535" s="18"/>
      <c r="L1535" s="19"/>
      <c r="M1535" s="19"/>
      <c r="N1535" s="20"/>
      <c r="O1535" s="22"/>
      <c r="P1535" s="22"/>
      <c r="Q1535" s="38"/>
      <c r="R1535" s="38"/>
    </row>
    <row r="1536" spans="1:18" x14ac:dyDescent="0.2">
      <c r="A1536" s="13"/>
      <c r="B1536" s="18" t="s">
        <v>1305</v>
      </c>
      <c r="C1536" s="66"/>
      <c r="D1536" s="19"/>
      <c r="E1536" s="20"/>
      <c r="F1536" s="22" t="s">
        <v>66</v>
      </c>
      <c r="G1536" s="62">
        <v>3.1</v>
      </c>
      <c r="H1536" s="107">
        <f>3180/6</f>
        <v>530</v>
      </c>
      <c r="I1536" s="23">
        <f>H1536*G1536</f>
        <v>1643</v>
      </c>
      <c r="J1536" s="13"/>
      <c r="K1536" s="18"/>
      <c r="L1536" s="19"/>
      <c r="M1536" s="19"/>
      <c r="N1536" s="20"/>
      <c r="O1536" s="22"/>
      <c r="P1536" s="22"/>
      <c r="Q1536" s="45"/>
      <c r="R1536" s="45"/>
    </row>
    <row r="1537" spans="1:18" x14ac:dyDescent="0.2">
      <c r="A1537" s="13"/>
      <c r="B1537" s="18" t="s">
        <v>627</v>
      </c>
      <c r="C1537" s="66"/>
      <c r="D1537" s="19"/>
      <c r="E1537" s="20"/>
      <c r="F1537" s="22" t="s">
        <v>77</v>
      </c>
      <c r="G1537" s="62">
        <v>2</v>
      </c>
      <c r="H1537" s="107">
        <v>48</v>
      </c>
      <c r="I1537" s="23">
        <f>H1537*G1537</f>
        <v>96</v>
      </c>
      <c r="J1537" s="13"/>
      <c r="K1537" s="18"/>
      <c r="L1537" s="19"/>
      <c r="M1537" s="19"/>
      <c r="N1537" s="20"/>
      <c r="O1537" s="22"/>
      <c r="P1537" s="22"/>
      <c r="Q1537" s="45"/>
      <c r="R1537" s="45"/>
    </row>
    <row r="1538" spans="1:18" x14ac:dyDescent="0.2">
      <c r="A1538" s="13"/>
      <c r="B1538" s="18" t="s">
        <v>1306</v>
      </c>
      <c r="C1538" s="66"/>
      <c r="D1538" s="19"/>
      <c r="E1538" s="20"/>
      <c r="F1538" s="22" t="s">
        <v>80</v>
      </c>
      <c r="G1538" s="62">
        <v>12</v>
      </c>
      <c r="H1538" s="107">
        <v>10</v>
      </c>
      <c r="I1538" s="23">
        <f>H1538*G1538</f>
        <v>120</v>
      </c>
      <c r="J1538" s="13"/>
      <c r="K1538" s="18"/>
      <c r="L1538" s="19" t="s">
        <v>817</v>
      </c>
      <c r="M1538" s="19"/>
      <c r="N1538" s="20"/>
      <c r="O1538" s="22"/>
      <c r="P1538" s="22"/>
      <c r="Q1538" s="23"/>
      <c r="R1538" s="23"/>
    </row>
    <row r="1539" spans="1:18" x14ac:dyDescent="0.2">
      <c r="A1539" s="13"/>
      <c r="B1539" s="18" t="s">
        <v>628</v>
      </c>
      <c r="C1539" s="66"/>
      <c r="D1539" s="19"/>
      <c r="E1539" s="20"/>
      <c r="F1539" s="22" t="s">
        <v>80</v>
      </c>
      <c r="G1539" s="23">
        <v>1</v>
      </c>
      <c r="H1539" s="165">
        <v>4200</v>
      </c>
      <c r="I1539" s="23">
        <f>H1539*G1539</f>
        <v>4200</v>
      </c>
      <c r="J1539" s="13"/>
      <c r="K1539" s="18"/>
      <c r="L1539" s="19"/>
      <c r="M1539" s="19"/>
      <c r="N1539" s="20"/>
      <c r="O1539" s="22"/>
      <c r="P1539" s="22"/>
      <c r="Q1539" s="23"/>
      <c r="R1539" s="23"/>
    </row>
    <row r="1540" spans="1:18" x14ac:dyDescent="0.2">
      <c r="A1540" s="13"/>
      <c r="B1540" s="18" t="s">
        <v>629</v>
      </c>
      <c r="C1540" s="19"/>
      <c r="D1540" s="19"/>
      <c r="E1540" s="20"/>
      <c r="F1540" s="22" t="s">
        <v>77</v>
      </c>
      <c r="G1540" s="62">
        <f>ROUND(G1535/100,2)</f>
        <v>0.08</v>
      </c>
      <c r="H1540" s="107">
        <v>68</v>
      </c>
      <c r="I1540" s="23">
        <f>H1540*G1540</f>
        <v>5.44</v>
      </c>
      <c r="J1540" s="13"/>
      <c r="K1540" s="18"/>
      <c r="L1540" s="19"/>
      <c r="M1540" s="19"/>
      <c r="N1540" s="20"/>
      <c r="O1540" s="22"/>
      <c r="P1540" s="22"/>
      <c r="Q1540" s="23"/>
      <c r="R1540" s="23"/>
    </row>
    <row r="1541" spans="1:18" x14ac:dyDescent="0.2">
      <c r="A1541" s="13"/>
      <c r="B1541" s="18"/>
      <c r="C1541" s="19"/>
      <c r="D1541" s="19"/>
      <c r="E1541" s="20"/>
      <c r="F1541" s="22"/>
      <c r="G1541" s="22"/>
      <c r="H1541" s="107"/>
      <c r="I1541" s="23"/>
      <c r="J1541" s="13"/>
      <c r="K1541" s="18"/>
      <c r="L1541" s="19"/>
      <c r="M1541" s="19"/>
      <c r="N1541" s="20"/>
      <c r="O1541" s="22"/>
      <c r="P1541" s="22"/>
      <c r="Q1541" s="23"/>
      <c r="R1541" s="23"/>
    </row>
    <row r="1542" spans="1:18" x14ac:dyDescent="0.2">
      <c r="A1542" s="13"/>
      <c r="B1542" s="18"/>
      <c r="C1542" s="19"/>
      <c r="D1542" s="19"/>
      <c r="E1542" s="20"/>
      <c r="F1542" s="22"/>
      <c r="G1542" s="22"/>
      <c r="H1542" s="23"/>
      <c r="I1542" s="23"/>
      <c r="J1542" s="13"/>
      <c r="K1542" s="18"/>
      <c r="L1542" s="19"/>
      <c r="M1542" s="19"/>
      <c r="N1542" s="20"/>
      <c r="O1542" s="22"/>
      <c r="P1542" s="22"/>
      <c r="Q1542" s="23"/>
      <c r="R1542" s="23"/>
    </row>
    <row r="1543" spans="1:18" x14ac:dyDescent="0.2">
      <c r="A1543" s="13"/>
      <c r="B1543" s="18"/>
      <c r="C1543" s="19"/>
      <c r="D1543" s="19"/>
      <c r="E1543" s="20"/>
      <c r="F1543" s="22"/>
      <c r="G1543" s="22"/>
      <c r="H1543" s="23"/>
      <c r="I1543" s="23"/>
      <c r="J1543" s="13"/>
      <c r="K1543" s="18"/>
      <c r="L1543" s="19"/>
      <c r="M1543" s="19"/>
      <c r="N1543" s="20"/>
      <c r="O1543" s="22"/>
      <c r="P1543" s="22"/>
      <c r="Q1543" s="23"/>
      <c r="R1543" s="23"/>
    </row>
    <row r="1544" spans="1:18" x14ac:dyDescent="0.2">
      <c r="A1544" s="13"/>
      <c r="B1544" s="18"/>
      <c r="C1544" s="19"/>
      <c r="D1544" s="19"/>
      <c r="E1544" s="20"/>
      <c r="F1544" s="22"/>
      <c r="G1544" s="36"/>
      <c r="H1544" s="37"/>
      <c r="I1544" s="37"/>
      <c r="J1544" s="13"/>
      <c r="K1544" s="18"/>
      <c r="L1544" s="19"/>
      <c r="M1544" s="19"/>
      <c r="N1544" s="20"/>
      <c r="O1544" s="22"/>
      <c r="P1544" s="36"/>
      <c r="Q1544" s="37"/>
      <c r="R1544" s="37"/>
    </row>
    <row r="1545" spans="1:18" x14ac:dyDescent="0.2">
      <c r="A1545" s="13"/>
      <c r="B1545" s="248" t="s">
        <v>42</v>
      </c>
      <c r="C1545" s="249"/>
      <c r="D1545" s="249"/>
      <c r="E1545" s="250"/>
      <c r="F1545" s="46"/>
      <c r="G1545" s="46"/>
      <c r="H1545" s="47"/>
      <c r="I1545" s="47">
        <f>SUM(I1532:I1544)</f>
        <v>6303.79</v>
      </c>
      <c r="J1545" s="13"/>
      <c r="K1545" s="248" t="s">
        <v>42</v>
      </c>
      <c r="L1545" s="249"/>
      <c r="M1545" s="249"/>
      <c r="N1545" s="250"/>
      <c r="O1545" s="46"/>
      <c r="P1545" s="46"/>
      <c r="Q1545" s="47"/>
      <c r="R1545" s="47">
        <f>SUM(R1532:R1544)</f>
        <v>407.40000000000003</v>
      </c>
    </row>
    <row r="1546" spans="1:18" x14ac:dyDescent="0.2">
      <c r="A1546" s="12" t="s">
        <v>43</v>
      </c>
      <c r="B1546" s="48" t="s">
        <v>44</v>
      </c>
      <c r="C1546" s="43"/>
      <c r="D1546" s="43"/>
      <c r="E1546" s="161"/>
      <c r="F1546" s="49"/>
      <c r="G1546" s="49"/>
      <c r="H1546" s="50"/>
      <c r="I1546" s="51">
        <f>SUM(I1527+I1545)</f>
        <v>6716.8339999999998</v>
      </c>
      <c r="J1546" s="12" t="s">
        <v>43</v>
      </c>
      <c r="K1546" s="48" t="s">
        <v>44</v>
      </c>
      <c r="L1546" s="43"/>
      <c r="M1546" s="43"/>
      <c r="N1546" s="161"/>
      <c r="O1546" s="49"/>
      <c r="P1546" s="49"/>
      <c r="Q1546" s="50"/>
      <c r="R1546" s="51">
        <f>SUM(R1527+R1545)</f>
        <v>418.20640000000003</v>
      </c>
    </row>
    <row r="1547" spans="1:18" x14ac:dyDescent="0.2">
      <c r="A1547" s="13" t="s">
        <v>45</v>
      </c>
      <c r="B1547" s="48" t="s">
        <v>46</v>
      </c>
      <c r="C1547" s="43"/>
      <c r="D1547" s="43"/>
      <c r="E1547" s="161"/>
      <c r="F1547" s="49"/>
      <c r="G1547" s="52">
        <v>0.09</v>
      </c>
      <c r="H1547" s="53" t="s">
        <v>47</v>
      </c>
      <c r="I1547" s="51">
        <f>G1547*I1546</f>
        <v>604.51505999999995</v>
      </c>
      <c r="J1547" s="13" t="s">
        <v>45</v>
      </c>
      <c r="K1547" s="48" t="s">
        <v>46</v>
      </c>
      <c r="L1547" s="43"/>
      <c r="M1547" s="43"/>
      <c r="N1547" s="161"/>
      <c r="O1547" s="49"/>
      <c r="P1547" s="52">
        <v>0.09</v>
      </c>
      <c r="Q1547" s="53" t="s">
        <v>47</v>
      </c>
      <c r="R1547" s="51">
        <f>P1547*R1546</f>
        <v>37.638576</v>
      </c>
    </row>
    <row r="1548" spans="1:18" x14ac:dyDescent="0.2">
      <c r="A1548" s="13" t="s">
        <v>48</v>
      </c>
      <c r="B1548" s="48" t="s">
        <v>49</v>
      </c>
      <c r="C1548" s="43"/>
      <c r="D1548" s="43"/>
      <c r="E1548" s="161"/>
      <c r="F1548" s="49"/>
      <c r="G1548" s="52">
        <v>0.08</v>
      </c>
      <c r="H1548" s="53" t="s">
        <v>47</v>
      </c>
      <c r="I1548" s="51">
        <f>G1548*I1546</f>
        <v>537.34672</v>
      </c>
      <c r="J1548" s="13" t="s">
        <v>48</v>
      </c>
      <c r="K1548" s="48" t="s">
        <v>49</v>
      </c>
      <c r="L1548" s="43"/>
      <c r="M1548" s="43"/>
      <c r="N1548" s="161"/>
      <c r="O1548" s="49"/>
      <c r="P1548" s="52">
        <v>0.08</v>
      </c>
      <c r="Q1548" s="53" t="s">
        <v>47</v>
      </c>
      <c r="R1548" s="51">
        <f>P1548*R1546</f>
        <v>33.456512000000004</v>
      </c>
    </row>
    <row r="1549" spans="1:18" x14ac:dyDescent="0.2">
      <c r="A1549" s="13" t="s">
        <v>50</v>
      </c>
      <c r="B1549" s="48" t="s">
        <v>51</v>
      </c>
      <c r="C1549" s="43"/>
      <c r="D1549" s="43"/>
      <c r="E1549" s="161"/>
      <c r="F1549" s="49"/>
      <c r="G1549" s="52">
        <v>0.05</v>
      </c>
      <c r="H1549" s="53" t="s">
        <v>52</v>
      </c>
      <c r="I1549" s="51">
        <f>G1549*(I1546+I1547+I1548)</f>
        <v>392.93478900000002</v>
      </c>
      <c r="J1549" s="13" t="s">
        <v>50</v>
      </c>
      <c r="K1549" s="48" t="s">
        <v>51</v>
      </c>
      <c r="L1549" s="43"/>
      <c r="M1549" s="43"/>
      <c r="N1549" s="161"/>
      <c r="O1549" s="49"/>
      <c r="P1549" s="52">
        <v>0.05</v>
      </c>
      <c r="Q1549" s="53" t="s">
        <v>52</v>
      </c>
      <c r="R1549" s="51">
        <f>P1549*(R1546+R1547+R1548)</f>
        <v>24.465074400000006</v>
      </c>
    </row>
    <row r="1550" spans="1:18" x14ac:dyDescent="0.2">
      <c r="A1550" s="54" t="s">
        <v>53</v>
      </c>
      <c r="B1550" s="48" t="s">
        <v>54</v>
      </c>
      <c r="C1550" s="43"/>
      <c r="D1550" s="43"/>
      <c r="E1550" s="161"/>
      <c r="F1550" s="49"/>
      <c r="G1550" s="49"/>
      <c r="H1550" s="55" t="s">
        <v>55</v>
      </c>
      <c r="I1550" s="51">
        <f>SUM(I1546+I1547+I1548+I1549)</f>
        <v>8251.6305690000008</v>
      </c>
      <c r="J1550" s="54" t="s">
        <v>53</v>
      </c>
      <c r="K1550" s="48" t="s">
        <v>54</v>
      </c>
      <c r="L1550" s="43"/>
      <c r="M1550" s="43"/>
      <c r="N1550" s="161"/>
      <c r="O1550" s="49"/>
      <c r="P1550" s="49"/>
      <c r="Q1550" s="55" t="s">
        <v>55</v>
      </c>
      <c r="R1550" s="51">
        <f>SUM(R1546+R1547+R1548+R1549)</f>
        <v>513.76656240000011</v>
      </c>
    </row>
    <row r="1551" spans="1:18" x14ac:dyDescent="0.2">
      <c r="A1551" s="236" t="s">
        <v>0</v>
      </c>
      <c r="B1551" s="236"/>
      <c r="C1551" s="236"/>
      <c r="D1551" s="236"/>
      <c r="E1551" s="236"/>
      <c r="F1551" s="236"/>
      <c r="G1551" s="236"/>
      <c r="H1551" s="236"/>
      <c r="I1551" s="236"/>
      <c r="J1551" s="236" t="s">
        <v>0</v>
      </c>
      <c r="K1551" s="236"/>
      <c r="L1551" s="236"/>
      <c r="M1551" s="236"/>
      <c r="N1551" s="236"/>
      <c r="O1551" s="236"/>
      <c r="P1551" s="236"/>
      <c r="Q1551" s="236"/>
      <c r="R1551" s="236"/>
    </row>
    <row r="1553" spans="1:18" x14ac:dyDescent="0.2">
      <c r="A1553" s="158" t="s">
        <v>1</v>
      </c>
      <c r="C1553" s="4" t="s">
        <v>2</v>
      </c>
      <c r="D1553" s="5" t="s">
        <v>822</v>
      </c>
      <c r="E1553" s="237" t="s">
        <v>823</v>
      </c>
      <c r="F1553" s="237"/>
      <c r="G1553" s="237"/>
      <c r="H1553" s="237"/>
      <c r="J1553" s="158" t="s">
        <v>1</v>
      </c>
      <c r="L1553" s="4" t="s">
        <v>2</v>
      </c>
      <c r="M1553" s="5" t="s">
        <v>820</v>
      </c>
      <c r="N1553" s="237" t="s">
        <v>814</v>
      </c>
      <c r="O1553" s="237"/>
      <c r="P1553" s="237"/>
      <c r="Q1553" s="237"/>
    </row>
    <row r="1554" spans="1:18" x14ac:dyDescent="0.2">
      <c r="A1554" s="158" t="s">
        <v>7</v>
      </c>
      <c r="C1554" s="4" t="s">
        <v>2</v>
      </c>
      <c r="D1554" s="8"/>
      <c r="E1554" s="158" t="s">
        <v>59</v>
      </c>
      <c r="F1554" s="8"/>
      <c r="G1554" s="8"/>
      <c r="H1554" s="8"/>
      <c r="J1554" s="158" t="s">
        <v>7</v>
      </c>
      <c r="L1554" s="4" t="s">
        <v>2</v>
      </c>
      <c r="N1554" s="158" t="s">
        <v>1153</v>
      </c>
      <c r="O1554" s="8"/>
      <c r="P1554" s="8"/>
      <c r="Q1554" s="8"/>
    </row>
    <row r="1555" spans="1:18" x14ac:dyDescent="0.2">
      <c r="A1555" s="158" t="s">
        <v>10</v>
      </c>
      <c r="C1555" s="4" t="s">
        <v>2</v>
      </c>
      <c r="D1555" s="8"/>
      <c r="E1555" s="9">
        <v>1</v>
      </c>
      <c r="F1555" s="8"/>
      <c r="G1555" s="8"/>
      <c r="H1555" s="8"/>
      <c r="J1555" s="158" t="s">
        <v>10</v>
      </c>
      <c r="L1555" s="4" t="s">
        <v>2</v>
      </c>
      <c r="N1555" s="9">
        <v>15</v>
      </c>
      <c r="O1555" s="8"/>
      <c r="P1555" s="8"/>
      <c r="Q1555" s="8"/>
    </row>
    <row r="1556" spans="1:18" x14ac:dyDescent="0.2">
      <c r="B1556" s="8"/>
      <c r="F1556" s="11"/>
      <c r="G1556" s="8"/>
      <c r="H1556" s="8"/>
      <c r="I1556" s="8"/>
      <c r="K1556" s="8"/>
      <c r="O1556" s="11"/>
      <c r="P1556" s="8"/>
      <c r="Q1556" s="8"/>
      <c r="R1556" s="8"/>
    </row>
    <row r="1557" spans="1:18" x14ac:dyDescent="0.2">
      <c r="A1557" s="12"/>
      <c r="B1557" s="238" t="s">
        <v>11</v>
      </c>
      <c r="C1557" s="239"/>
      <c r="D1557" s="239"/>
      <c r="E1557" s="240"/>
      <c r="F1557" s="244" t="s">
        <v>12</v>
      </c>
      <c r="G1557" s="244" t="s">
        <v>13</v>
      </c>
      <c r="H1557" s="244" t="s">
        <v>14</v>
      </c>
      <c r="I1557" s="246" t="s">
        <v>15</v>
      </c>
      <c r="J1557" s="12"/>
      <c r="K1557" s="238" t="s">
        <v>11</v>
      </c>
      <c r="L1557" s="239"/>
      <c r="M1557" s="239"/>
      <c r="N1557" s="240"/>
      <c r="O1557" s="244" t="s">
        <v>12</v>
      </c>
      <c r="P1557" s="244" t="s">
        <v>13</v>
      </c>
      <c r="Q1557" s="244" t="s">
        <v>14</v>
      </c>
      <c r="R1557" s="246" t="s">
        <v>15</v>
      </c>
    </row>
    <row r="1558" spans="1:18" x14ac:dyDescent="0.2">
      <c r="A1558" s="13"/>
      <c r="B1558" s="241"/>
      <c r="C1558" s="242"/>
      <c r="D1558" s="242"/>
      <c r="E1558" s="243"/>
      <c r="F1558" s="245"/>
      <c r="G1558" s="245"/>
      <c r="H1558" s="245"/>
      <c r="I1558" s="247"/>
      <c r="J1558" s="13"/>
      <c r="K1558" s="241"/>
      <c r="L1558" s="242"/>
      <c r="M1558" s="242"/>
      <c r="N1558" s="243"/>
      <c r="O1558" s="245"/>
      <c r="P1558" s="245"/>
      <c r="Q1558" s="245"/>
      <c r="R1558" s="247"/>
    </row>
    <row r="1559" spans="1:18" x14ac:dyDescent="0.2">
      <c r="A1559" s="13" t="s">
        <v>16</v>
      </c>
      <c r="B1559" s="14" t="s">
        <v>17</v>
      </c>
      <c r="C1559" s="15"/>
      <c r="D1559" s="15"/>
      <c r="E1559" s="16"/>
      <c r="F1559" s="17"/>
      <c r="G1559" s="17"/>
      <c r="H1559" s="17"/>
      <c r="I1559" s="17"/>
      <c r="J1559" s="13" t="s">
        <v>16</v>
      </c>
      <c r="K1559" s="14" t="s">
        <v>17</v>
      </c>
      <c r="L1559" s="15"/>
      <c r="M1559" s="15"/>
      <c r="N1559" s="16"/>
      <c r="O1559" s="17"/>
      <c r="P1559" s="17"/>
      <c r="Q1559" s="17"/>
      <c r="R1559" s="17"/>
    </row>
    <row r="1560" spans="1:18" x14ac:dyDescent="0.2">
      <c r="A1560" s="13"/>
      <c r="B1560" s="18"/>
      <c r="C1560" s="19"/>
      <c r="D1560" s="19"/>
      <c r="E1560" s="20"/>
      <c r="F1560" s="21"/>
      <c r="G1560" s="22"/>
      <c r="H1560" s="21"/>
      <c r="I1560" s="21"/>
      <c r="J1560" s="13"/>
      <c r="K1560" s="18"/>
      <c r="L1560" s="19"/>
      <c r="M1560" s="19"/>
      <c r="N1560" s="20"/>
      <c r="O1560" s="21"/>
      <c r="P1560" s="22"/>
      <c r="Q1560" s="21"/>
      <c r="R1560" s="21"/>
    </row>
    <row r="1561" spans="1:18" x14ac:dyDescent="0.2">
      <c r="A1561" s="13"/>
      <c r="B1561" s="24" t="s">
        <v>18</v>
      </c>
      <c r="C1561" s="25"/>
      <c r="D1561" s="25"/>
      <c r="E1561" s="26"/>
      <c r="F1561" s="22">
        <v>1</v>
      </c>
      <c r="G1561" s="23">
        <v>1</v>
      </c>
      <c r="H1561" s="23">
        <v>69.42</v>
      </c>
      <c r="I1561" s="23">
        <f>F1561*G1561*H1561</f>
        <v>69.42</v>
      </c>
      <c r="J1561" s="13"/>
      <c r="K1561" s="24" t="s">
        <v>18</v>
      </c>
      <c r="L1561" s="25"/>
      <c r="M1561" s="25"/>
      <c r="N1561" s="26"/>
      <c r="O1561" s="22">
        <v>1</v>
      </c>
      <c r="P1561" s="23">
        <v>1</v>
      </c>
      <c r="Q1561" s="23">
        <v>69.42</v>
      </c>
      <c r="R1561" s="23">
        <f>P1561*Q1561*O1561</f>
        <v>69.42</v>
      </c>
    </row>
    <row r="1562" spans="1:18" x14ac:dyDescent="0.2">
      <c r="A1562" s="13"/>
      <c r="B1562" s="257" t="s">
        <v>1178</v>
      </c>
      <c r="C1562" s="258"/>
      <c r="D1562" s="25"/>
      <c r="E1562" s="26"/>
      <c r="F1562" s="22">
        <v>1</v>
      </c>
      <c r="G1562" s="23">
        <v>1</v>
      </c>
      <c r="H1562" s="23">
        <v>50.18</v>
      </c>
      <c r="I1562" s="23">
        <f>F1562*G1562*H1562</f>
        <v>50.18</v>
      </c>
      <c r="J1562" s="13"/>
      <c r="K1562" s="257" t="s">
        <v>1179</v>
      </c>
      <c r="L1562" s="258"/>
      <c r="M1562" s="19"/>
      <c r="N1562" s="20"/>
      <c r="O1562" s="22">
        <v>8</v>
      </c>
      <c r="P1562" s="23">
        <v>1</v>
      </c>
      <c r="Q1562" s="23">
        <v>38.97</v>
      </c>
      <c r="R1562" s="23">
        <f>P1562*Q1562*O1562</f>
        <v>311.76</v>
      </c>
    </row>
    <row r="1563" spans="1:18" x14ac:dyDescent="0.2">
      <c r="A1563" s="13"/>
      <c r="B1563" s="257" t="s">
        <v>1177</v>
      </c>
      <c r="C1563" s="258"/>
      <c r="D1563" s="19"/>
      <c r="E1563" s="20"/>
      <c r="F1563" s="22">
        <v>2</v>
      </c>
      <c r="G1563" s="23">
        <v>1</v>
      </c>
      <c r="H1563" s="23">
        <v>38.97</v>
      </c>
      <c r="I1563" s="23">
        <f>F1563*G1563*H1563</f>
        <v>77.94</v>
      </c>
      <c r="J1563" s="13"/>
      <c r="K1563" s="257"/>
      <c r="L1563" s="258"/>
      <c r="M1563" s="19"/>
      <c r="N1563" s="20"/>
      <c r="O1563" s="22"/>
      <c r="P1563" s="22"/>
      <c r="Q1563" s="23"/>
      <c r="R1563" s="23"/>
    </row>
    <row r="1564" spans="1:18" x14ac:dyDescent="0.2">
      <c r="A1564" s="13"/>
      <c r="B1564" s="159"/>
      <c r="C1564" s="19"/>
      <c r="D1564" s="19"/>
      <c r="E1564" s="20"/>
      <c r="F1564" s="22"/>
      <c r="G1564" s="22"/>
      <c r="H1564" s="29"/>
      <c r="I1564" s="30"/>
      <c r="J1564" s="13"/>
      <c r="K1564" s="159"/>
      <c r="L1564" s="19"/>
      <c r="M1564" s="19"/>
      <c r="N1564" s="20"/>
      <c r="O1564" s="22"/>
      <c r="P1564" s="22"/>
      <c r="Q1564" s="29"/>
      <c r="R1564" s="30"/>
    </row>
    <row r="1565" spans="1:18" x14ac:dyDescent="0.2">
      <c r="A1565" s="13"/>
      <c r="B1565" s="159"/>
      <c r="C1565" s="19"/>
      <c r="D1565" s="19"/>
      <c r="E1565" s="20"/>
      <c r="F1565" s="22"/>
      <c r="G1565" s="22"/>
      <c r="H1565" s="29"/>
      <c r="I1565" s="30"/>
      <c r="J1565" s="13"/>
      <c r="K1565" s="159"/>
      <c r="L1565" s="19"/>
      <c r="M1565" s="19"/>
      <c r="N1565" s="20"/>
      <c r="O1565" s="22"/>
      <c r="P1565" s="22"/>
      <c r="Q1565" s="29"/>
      <c r="R1565" s="30"/>
    </row>
    <row r="1566" spans="1:18" x14ac:dyDescent="0.2">
      <c r="A1566" s="13"/>
      <c r="B1566" s="18"/>
      <c r="C1566" s="19"/>
      <c r="D1566" s="19"/>
      <c r="E1566" s="20"/>
      <c r="F1566" s="22"/>
      <c r="G1566" s="22"/>
      <c r="H1566" s="28"/>
      <c r="I1566" s="23"/>
      <c r="J1566" s="13"/>
      <c r="K1566" s="18"/>
      <c r="L1566" s="19"/>
      <c r="M1566" s="19"/>
      <c r="N1566" s="20"/>
      <c r="O1566" s="22"/>
      <c r="P1566" s="22"/>
      <c r="Q1566" s="28"/>
      <c r="R1566" s="23"/>
    </row>
    <row r="1567" spans="1:18" x14ac:dyDescent="0.2">
      <c r="A1567" s="13"/>
      <c r="B1567" s="18"/>
      <c r="C1567" s="19"/>
      <c r="D1567" s="19"/>
      <c r="E1567" s="20"/>
      <c r="F1567" s="22"/>
      <c r="G1567" s="22"/>
      <c r="H1567" s="23"/>
      <c r="I1567" s="23"/>
      <c r="J1567" s="13"/>
      <c r="K1567" s="18"/>
      <c r="L1567" s="19"/>
      <c r="M1567" s="19"/>
      <c r="N1567" s="20"/>
      <c r="O1567" s="22"/>
      <c r="P1567" s="22"/>
      <c r="Q1567" s="23"/>
      <c r="R1567" s="23"/>
    </row>
    <row r="1568" spans="1:18" x14ac:dyDescent="0.2">
      <c r="A1568" s="13"/>
      <c r="B1568" s="248" t="s">
        <v>20</v>
      </c>
      <c r="C1568" s="249"/>
      <c r="D1568" s="249"/>
      <c r="E1568" s="250"/>
      <c r="F1568" s="31"/>
      <c r="G1568" s="31"/>
      <c r="H1568" s="32"/>
      <c r="I1568" s="32">
        <f>SUM(I1561:I1567)</f>
        <v>197.54</v>
      </c>
      <c r="J1568" s="13"/>
      <c r="K1568" s="248" t="s">
        <v>20</v>
      </c>
      <c r="L1568" s="249"/>
      <c r="M1568" s="249"/>
      <c r="N1568" s="250"/>
      <c r="O1568" s="31"/>
      <c r="P1568" s="31"/>
      <c r="Q1568" s="32"/>
      <c r="R1568" s="32">
        <f>SUM(R1561:R1567)</f>
        <v>381.18</v>
      </c>
    </row>
    <row r="1569" spans="1:18" x14ac:dyDescent="0.2">
      <c r="A1569" s="12"/>
      <c r="B1569" s="251" t="s">
        <v>21</v>
      </c>
      <c r="C1569" s="252"/>
      <c r="D1569" s="252"/>
      <c r="E1569" s="253"/>
      <c r="F1569" s="244" t="s">
        <v>22</v>
      </c>
      <c r="G1569" s="244" t="s">
        <v>13</v>
      </c>
      <c r="H1569" s="244" t="s">
        <v>14</v>
      </c>
      <c r="I1569" s="246" t="s">
        <v>15</v>
      </c>
      <c r="J1569" s="12"/>
      <c r="K1569" s="251" t="s">
        <v>21</v>
      </c>
      <c r="L1569" s="252"/>
      <c r="M1569" s="252"/>
      <c r="N1569" s="253"/>
      <c r="O1569" s="244" t="s">
        <v>22</v>
      </c>
      <c r="P1569" s="244" t="s">
        <v>13</v>
      </c>
      <c r="Q1569" s="244" t="s">
        <v>14</v>
      </c>
      <c r="R1569" s="246" t="s">
        <v>15</v>
      </c>
    </row>
    <row r="1570" spans="1:18" x14ac:dyDescent="0.2">
      <c r="A1570" s="13"/>
      <c r="B1570" s="254"/>
      <c r="C1570" s="255"/>
      <c r="D1570" s="255"/>
      <c r="E1570" s="256"/>
      <c r="F1570" s="245"/>
      <c r="G1570" s="245"/>
      <c r="H1570" s="245"/>
      <c r="I1570" s="247"/>
      <c r="J1570" s="13"/>
      <c r="K1570" s="254"/>
      <c r="L1570" s="255"/>
      <c r="M1570" s="255"/>
      <c r="N1570" s="256"/>
      <c r="O1570" s="245"/>
      <c r="P1570" s="245"/>
      <c r="Q1570" s="245"/>
      <c r="R1570" s="247"/>
    </row>
    <row r="1571" spans="1:18" x14ac:dyDescent="0.2">
      <c r="A1571" s="13" t="s">
        <v>23</v>
      </c>
      <c r="B1571" s="33" t="s">
        <v>24</v>
      </c>
      <c r="C1571" s="15"/>
      <c r="D1571" s="15"/>
      <c r="E1571" s="16"/>
      <c r="F1571" s="34"/>
      <c r="G1571" s="34"/>
      <c r="H1571" s="35"/>
      <c r="I1571" s="35"/>
      <c r="J1571" s="13" t="s">
        <v>23</v>
      </c>
      <c r="K1571" s="33" t="s">
        <v>24</v>
      </c>
      <c r="L1571" s="15"/>
      <c r="M1571" s="15"/>
      <c r="N1571" s="16"/>
      <c r="O1571" s="34"/>
      <c r="P1571" s="34"/>
      <c r="Q1571" s="35"/>
      <c r="R1571" s="35"/>
    </row>
    <row r="1572" spans="1:18" x14ac:dyDescent="0.2">
      <c r="A1572" s="13"/>
      <c r="B1572" s="18"/>
      <c r="C1572" s="19"/>
      <c r="D1572" s="19"/>
      <c r="E1572" s="20"/>
      <c r="F1572" s="22"/>
      <c r="G1572" s="22"/>
      <c r="H1572" s="23"/>
      <c r="I1572" s="23"/>
      <c r="J1572" s="13"/>
      <c r="K1572" s="18"/>
      <c r="L1572" s="19"/>
      <c r="M1572" s="19"/>
      <c r="N1572" s="20"/>
      <c r="O1572" s="22"/>
      <c r="P1572" s="22"/>
      <c r="Q1572" s="23"/>
      <c r="R1572" s="23"/>
    </row>
    <row r="1573" spans="1:18" x14ac:dyDescent="0.2">
      <c r="A1573" s="13"/>
      <c r="B1573" s="18" t="s">
        <v>1277</v>
      </c>
      <c r="C1573" s="19"/>
      <c r="D1573" s="19"/>
      <c r="E1573" s="20"/>
      <c r="F1573" s="22">
        <v>1</v>
      </c>
      <c r="G1573" s="23">
        <v>0.25</v>
      </c>
      <c r="H1573" s="37">
        <v>783</v>
      </c>
      <c r="I1573" s="37">
        <f>G1573*H1573*F1573</f>
        <v>195.75</v>
      </c>
      <c r="J1573" s="13"/>
      <c r="K1573" s="18" t="s">
        <v>92</v>
      </c>
      <c r="L1573" s="19"/>
      <c r="M1573" s="19"/>
      <c r="N1573" s="20"/>
      <c r="O1573" s="22"/>
      <c r="P1573" s="23"/>
      <c r="Q1573" s="7"/>
      <c r="R1573" s="37">
        <f>R1568*0.1</f>
        <v>38.118000000000002</v>
      </c>
    </row>
    <row r="1574" spans="1:18" x14ac:dyDescent="0.2">
      <c r="A1574" s="13"/>
      <c r="B1574" s="18" t="s">
        <v>125</v>
      </c>
      <c r="C1574" s="66"/>
      <c r="D1574" s="19"/>
      <c r="E1574" s="20"/>
      <c r="F1574" s="22"/>
      <c r="G1574" s="71"/>
      <c r="I1574" s="37">
        <f>I1568*0.1</f>
        <v>19.754000000000001</v>
      </c>
      <c r="J1574" s="13"/>
      <c r="K1574" s="18"/>
      <c r="L1574" s="19"/>
      <c r="M1574" s="19"/>
      <c r="N1574" s="20"/>
      <c r="O1574" s="22"/>
      <c r="P1574" s="23"/>
      <c r="Q1574" s="37"/>
      <c r="R1574" s="37"/>
    </row>
    <row r="1575" spans="1:18" x14ac:dyDescent="0.2">
      <c r="A1575" s="13"/>
      <c r="B1575" s="18"/>
      <c r="C1575" s="19"/>
      <c r="D1575" s="19"/>
      <c r="E1575" s="20"/>
      <c r="F1575" s="22"/>
      <c r="G1575" s="36"/>
      <c r="H1575" s="37"/>
      <c r="I1575" s="37"/>
      <c r="J1575" s="13"/>
      <c r="K1575" s="18"/>
      <c r="L1575" s="19"/>
      <c r="M1575" s="19"/>
      <c r="N1575" s="20"/>
      <c r="O1575" s="22"/>
      <c r="P1575" s="23"/>
      <c r="Q1575" s="37"/>
      <c r="R1575" s="37"/>
    </row>
    <row r="1576" spans="1:18" x14ac:dyDescent="0.2">
      <c r="A1576" s="13"/>
      <c r="B1576" s="18"/>
      <c r="F1576" s="22"/>
      <c r="G1576" s="36"/>
      <c r="H1576" s="37"/>
      <c r="I1576" s="37"/>
      <c r="J1576" s="13"/>
      <c r="K1576" s="18"/>
      <c r="O1576" s="22"/>
      <c r="P1576" s="36"/>
      <c r="Q1576" s="37"/>
      <c r="R1576" s="37"/>
    </row>
    <row r="1577" spans="1:18" x14ac:dyDescent="0.2">
      <c r="A1577" s="13"/>
      <c r="B1577" s="18"/>
      <c r="C1577" s="19"/>
      <c r="D1577" s="19"/>
      <c r="E1577" s="20"/>
      <c r="F1577" s="22"/>
      <c r="G1577" s="36"/>
      <c r="H1577" s="37"/>
      <c r="I1577" s="37"/>
      <c r="J1577" s="13"/>
      <c r="K1577" s="18"/>
      <c r="L1577" s="19"/>
      <c r="M1577" s="19"/>
      <c r="N1577" s="20"/>
      <c r="O1577" s="22"/>
      <c r="P1577" s="36"/>
      <c r="Q1577" s="37"/>
      <c r="R1577" s="37"/>
    </row>
    <row r="1578" spans="1:18" x14ac:dyDescent="0.2">
      <c r="A1578" s="13"/>
      <c r="B1578" s="18"/>
      <c r="C1578" s="19"/>
      <c r="D1578" s="19"/>
      <c r="E1578" s="20"/>
      <c r="F1578" s="22"/>
      <c r="G1578" s="36"/>
      <c r="H1578" s="37"/>
      <c r="I1578" s="37"/>
      <c r="J1578" s="13"/>
      <c r="K1578" s="18"/>
      <c r="L1578" s="19"/>
      <c r="M1578" s="19"/>
      <c r="N1578" s="20"/>
      <c r="O1578" s="22"/>
      <c r="P1578" s="36"/>
      <c r="Q1578" s="38"/>
      <c r="R1578" s="38"/>
    </row>
    <row r="1579" spans="1:18" x14ac:dyDescent="0.2">
      <c r="A1579" s="13"/>
      <c r="B1579" s="18"/>
      <c r="C1579" s="19"/>
      <c r="D1579" s="19"/>
      <c r="E1579" s="20"/>
      <c r="F1579" s="22"/>
      <c r="G1579" s="36"/>
      <c r="H1579" s="37"/>
      <c r="I1579" s="37"/>
      <c r="J1579" s="13"/>
      <c r="K1579" s="18"/>
      <c r="L1579" s="19"/>
      <c r="M1579" s="19"/>
      <c r="N1579" s="20"/>
      <c r="O1579" s="22"/>
      <c r="P1579" s="36"/>
      <c r="Q1579" s="38"/>
      <c r="R1579" s="38"/>
    </row>
    <row r="1580" spans="1:18" x14ac:dyDescent="0.2">
      <c r="A1580" s="13"/>
      <c r="B1580" s="18"/>
      <c r="C1580" s="19"/>
      <c r="D1580" s="19"/>
      <c r="E1580" s="20"/>
      <c r="F1580" s="22"/>
      <c r="G1580" s="23"/>
      <c r="H1580" s="37"/>
      <c r="I1580" s="37"/>
      <c r="J1580" s="13"/>
      <c r="K1580" s="18"/>
      <c r="L1580" s="19"/>
      <c r="M1580" s="19"/>
      <c r="N1580" s="20"/>
      <c r="O1580" s="22"/>
      <c r="P1580" s="36"/>
      <c r="Q1580" s="38"/>
      <c r="R1580" s="38"/>
    </row>
    <row r="1581" spans="1:18" x14ac:dyDescent="0.2">
      <c r="A1581" s="13"/>
      <c r="B1581" s="18"/>
      <c r="C1581" s="19"/>
      <c r="D1581" s="19"/>
      <c r="E1581" s="20"/>
      <c r="F1581" s="22"/>
      <c r="G1581" s="36"/>
      <c r="H1581" s="38"/>
      <c r="I1581" s="38"/>
      <c r="J1581" s="13"/>
      <c r="K1581" s="18"/>
      <c r="L1581" s="19"/>
      <c r="M1581" s="19"/>
      <c r="N1581" s="20"/>
      <c r="O1581" s="22"/>
      <c r="P1581" s="36"/>
      <c r="Q1581" s="38"/>
      <c r="R1581" s="38"/>
    </row>
    <row r="1582" spans="1:18" x14ac:dyDescent="0.2">
      <c r="A1582" s="13"/>
      <c r="B1582" s="18"/>
      <c r="C1582" s="19"/>
      <c r="D1582" s="19"/>
      <c r="E1582" s="20"/>
      <c r="F1582" s="22"/>
      <c r="G1582" s="36"/>
      <c r="H1582" s="37"/>
      <c r="I1582" s="37"/>
      <c r="J1582" s="13"/>
      <c r="K1582" s="18"/>
      <c r="L1582" s="19"/>
      <c r="M1582" s="19"/>
      <c r="N1582" s="20"/>
      <c r="O1582" s="22"/>
      <c r="P1582" s="36"/>
      <c r="Q1582" s="37"/>
      <c r="R1582" s="37"/>
    </row>
    <row r="1583" spans="1:18" x14ac:dyDescent="0.2">
      <c r="A1583" s="13"/>
      <c r="B1583" s="18"/>
      <c r="C1583" s="19"/>
      <c r="D1583" s="19"/>
      <c r="E1583" s="20"/>
      <c r="F1583" s="22"/>
      <c r="G1583" s="36"/>
      <c r="H1583" s="37"/>
      <c r="I1583" s="37"/>
      <c r="J1583" s="13"/>
      <c r="K1583" s="18"/>
      <c r="L1583" s="19"/>
      <c r="M1583" s="19"/>
      <c r="N1583" s="20"/>
      <c r="O1583" s="22"/>
      <c r="P1583" s="36"/>
      <c r="Q1583" s="37"/>
      <c r="R1583" s="37"/>
    </row>
    <row r="1584" spans="1:18" x14ac:dyDescent="0.2">
      <c r="A1584" s="13"/>
      <c r="B1584" s="18"/>
      <c r="C1584" s="19"/>
      <c r="D1584" s="19"/>
      <c r="E1584" s="20"/>
      <c r="F1584" s="22"/>
      <c r="G1584" s="36"/>
      <c r="H1584" s="37"/>
      <c r="I1584" s="37"/>
      <c r="J1584" s="13"/>
      <c r="K1584" s="18"/>
      <c r="L1584" s="19"/>
      <c r="M1584" s="19"/>
      <c r="N1584" s="20"/>
      <c r="O1584" s="22"/>
      <c r="P1584" s="36"/>
      <c r="Q1584" s="37"/>
      <c r="R1584" s="37"/>
    </row>
    <row r="1585" spans="1:18" x14ac:dyDescent="0.2">
      <c r="A1585" s="13"/>
      <c r="B1585" s="18"/>
      <c r="C1585" s="19"/>
      <c r="D1585" s="19"/>
      <c r="E1585" s="20"/>
      <c r="F1585" s="22"/>
      <c r="G1585" s="22"/>
      <c r="H1585" s="23"/>
      <c r="I1585" s="23"/>
      <c r="J1585" s="13"/>
      <c r="K1585" s="18"/>
      <c r="L1585" s="19"/>
      <c r="M1585" s="19"/>
      <c r="N1585" s="20"/>
      <c r="O1585" s="22"/>
      <c r="P1585" s="22"/>
      <c r="Q1585" s="23"/>
      <c r="R1585" s="23"/>
    </row>
    <row r="1586" spans="1:18" x14ac:dyDescent="0.2">
      <c r="A1586" s="13"/>
      <c r="B1586" s="248" t="s">
        <v>30</v>
      </c>
      <c r="C1586" s="249"/>
      <c r="D1586" s="249"/>
      <c r="E1586" s="250"/>
      <c r="F1586" s="22"/>
      <c r="G1586" s="22"/>
      <c r="H1586" s="23"/>
      <c r="I1586" s="23">
        <f>SUM(I1573:I1585)</f>
        <v>215.50399999999999</v>
      </c>
      <c r="J1586" s="13"/>
      <c r="K1586" s="248" t="s">
        <v>30</v>
      </c>
      <c r="L1586" s="249"/>
      <c r="M1586" s="249"/>
      <c r="N1586" s="250"/>
      <c r="O1586" s="22"/>
      <c r="P1586" s="22"/>
      <c r="Q1586" s="23"/>
      <c r="R1586" s="23">
        <f>SUM(R1573:R1585)</f>
        <v>38.118000000000002</v>
      </c>
    </row>
    <row r="1587" spans="1:18" x14ac:dyDescent="0.2">
      <c r="A1587" s="12" t="s">
        <v>31</v>
      </c>
      <c r="B1587" s="260" t="s">
        <v>32</v>
      </c>
      <c r="C1587" s="261"/>
      <c r="D1587" s="261"/>
      <c r="E1587" s="261"/>
      <c r="F1587" s="161"/>
      <c r="G1587" s="161"/>
      <c r="H1587" s="40"/>
      <c r="I1587" s="41">
        <f>SUM(I1586+I1568)</f>
        <v>413.04399999999998</v>
      </c>
      <c r="J1587" s="12" t="s">
        <v>31</v>
      </c>
      <c r="K1587" s="260" t="s">
        <v>32</v>
      </c>
      <c r="L1587" s="261"/>
      <c r="M1587" s="261"/>
      <c r="N1587" s="261"/>
      <c r="O1587" s="161"/>
      <c r="P1587" s="161"/>
      <c r="Q1587" s="40"/>
      <c r="R1587" s="41">
        <f>SUM(R1586+R1568)</f>
        <v>419.298</v>
      </c>
    </row>
    <row r="1588" spans="1:18" x14ac:dyDescent="0.2">
      <c r="A1588" s="13" t="s">
        <v>33</v>
      </c>
      <c r="B1588" s="345">
        <f>E1555</f>
        <v>1</v>
      </c>
      <c r="C1588" s="346"/>
      <c r="D1588" s="346"/>
      <c r="E1588" s="346"/>
      <c r="F1588" s="346"/>
      <c r="G1588" s="346"/>
      <c r="H1588" s="40"/>
      <c r="I1588" s="41"/>
      <c r="J1588" s="13" t="s">
        <v>33</v>
      </c>
      <c r="K1588" s="321">
        <f>N1555</f>
        <v>15</v>
      </c>
      <c r="L1588" s="322"/>
      <c r="M1588" s="322"/>
      <c r="N1588" s="322"/>
      <c r="O1588" s="322"/>
      <c r="P1588" s="322"/>
      <c r="Q1588" s="40"/>
      <c r="R1588" s="41"/>
    </row>
    <row r="1589" spans="1:18" x14ac:dyDescent="0.2">
      <c r="A1589" s="13" t="s">
        <v>34</v>
      </c>
      <c r="B1589" s="162" t="s">
        <v>35</v>
      </c>
      <c r="C1589" s="43"/>
      <c r="D1589" s="43"/>
      <c r="E1589" s="161"/>
      <c r="F1589" s="163"/>
      <c r="G1589" s="163"/>
      <c r="H1589" s="40"/>
      <c r="I1589" s="41">
        <f>I1587/E1555</f>
        <v>413.04399999999998</v>
      </c>
      <c r="J1589" s="13" t="s">
        <v>34</v>
      </c>
      <c r="K1589" s="162" t="s">
        <v>35</v>
      </c>
      <c r="L1589" s="43"/>
      <c r="M1589" s="43"/>
      <c r="N1589" s="161"/>
      <c r="O1589" s="163"/>
      <c r="P1589" s="163"/>
      <c r="Q1589" s="40"/>
      <c r="R1589" s="41">
        <f>R1587/N1555</f>
        <v>27.953199999999999</v>
      </c>
    </row>
    <row r="1590" spans="1:18" x14ac:dyDescent="0.2">
      <c r="A1590" s="12"/>
      <c r="B1590" s="251" t="s">
        <v>36</v>
      </c>
      <c r="C1590" s="252"/>
      <c r="D1590" s="252"/>
      <c r="E1590" s="253"/>
      <c r="F1590" s="244" t="s">
        <v>37</v>
      </c>
      <c r="G1590" s="244" t="s">
        <v>38</v>
      </c>
      <c r="H1590" s="244" t="s">
        <v>39</v>
      </c>
      <c r="I1590" s="246" t="s">
        <v>15</v>
      </c>
      <c r="J1590" s="12"/>
      <c r="K1590" s="251" t="s">
        <v>36</v>
      </c>
      <c r="L1590" s="252"/>
      <c r="M1590" s="252"/>
      <c r="N1590" s="253"/>
      <c r="O1590" s="244" t="s">
        <v>37</v>
      </c>
      <c r="P1590" s="244" t="s">
        <v>38</v>
      </c>
      <c r="Q1590" s="244" t="s">
        <v>39</v>
      </c>
      <c r="R1590" s="246" t="s">
        <v>15</v>
      </c>
    </row>
    <row r="1591" spans="1:18" x14ac:dyDescent="0.2">
      <c r="A1591" s="13"/>
      <c r="B1591" s="254"/>
      <c r="C1591" s="255"/>
      <c r="D1591" s="255"/>
      <c r="E1591" s="256"/>
      <c r="F1591" s="245"/>
      <c r="G1591" s="245"/>
      <c r="H1591" s="245"/>
      <c r="I1591" s="247"/>
      <c r="J1591" s="13"/>
      <c r="K1591" s="254"/>
      <c r="L1591" s="255"/>
      <c r="M1591" s="255"/>
      <c r="N1591" s="256"/>
      <c r="O1591" s="245"/>
      <c r="P1591" s="245"/>
      <c r="Q1591" s="245"/>
      <c r="R1591" s="247"/>
    </row>
    <row r="1592" spans="1:18" x14ac:dyDescent="0.2">
      <c r="A1592" s="13" t="s">
        <v>40</v>
      </c>
      <c r="B1592" s="18" t="s">
        <v>41</v>
      </c>
      <c r="C1592" s="19"/>
      <c r="D1592" s="19"/>
      <c r="E1592" s="20"/>
      <c r="F1592" s="22"/>
      <c r="G1592" s="22"/>
      <c r="H1592" s="23"/>
      <c r="I1592" s="23"/>
      <c r="J1592" s="13" t="s">
        <v>40</v>
      </c>
      <c r="K1592" s="18" t="s">
        <v>41</v>
      </c>
      <c r="L1592" s="19"/>
      <c r="M1592" s="19"/>
      <c r="N1592" s="20"/>
      <c r="O1592" s="22"/>
      <c r="P1592" s="22"/>
      <c r="Q1592" s="23"/>
      <c r="R1592" s="23"/>
    </row>
    <row r="1593" spans="1:18" x14ac:dyDescent="0.2">
      <c r="A1593" s="13"/>
      <c r="B1593" s="18"/>
      <c r="C1593" s="19"/>
      <c r="D1593" s="19"/>
      <c r="E1593" s="20"/>
      <c r="F1593" s="22"/>
      <c r="G1593" s="22"/>
      <c r="H1593" s="23"/>
      <c r="I1593" s="23"/>
      <c r="J1593" s="13"/>
      <c r="K1593" s="18"/>
      <c r="L1593" s="19"/>
      <c r="M1593" s="19"/>
      <c r="N1593" s="20"/>
      <c r="O1593" s="22"/>
      <c r="P1593" s="22"/>
      <c r="Q1593" s="23"/>
      <c r="R1593" s="23"/>
    </row>
    <row r="1594" spans="1:18" x14ac:dyDescent="0.2">
      <c r="A1594" s="13"/>
      <c r="B1594" s="18" t="s">
        <v>425</v>
      </c>
      <c r="C1594" s="66"/>
      <c r="D1594" s="19"/>
      <c r="E1594" s="20"/>
      <c r="F1594" s="22" t="s">
        <v>227</v>
      </c>
      <c r="G1594" s="62">
        <v>0.48</v>
      </c>
      <c r="H1594" s="107">
        <v>220</v>
      </c>
      <c r="I1594" s="23">
        <f>H1594*G1594</f>
        <v>105.6</v>
      </c>
      <c r="J1594" s="13"/>
      <c r="K1594" s="18" t="s">
        <v>821</v>
      </c>
      <c r="L1594" s="66"/>
      <c r="M1594" s="19"/>
      <c r="N1594" s="20"/>
      <c r="O1594" s="62" t="s">
        <v>1153</v>
      </c>
      <c r="P1594" s="62">
        <v>1.05</v>
      </c>
      <c r="Q1594" s="107">
        <v>509</v>
      </c>
      <c r="R1594" s="23">
        <f>Q1594*P1594</f>
        <v>534.45000000000005</v>
      </c>
    </row>
    <row r="1595" spans="1:18" x14ac:dyDescent="0.2">
      <c r="A1595" s="13"/>
      <c r="B1595" s="18" t="s">
        <v>567</v>
      </c>
      <c r="C1595" s="66"/>
      <c r="D1595" s="19"/>
      <c r="E1595" s="20"/>
      <c r="F1595" s="22" t="s">
        <v>9</v>
      </c>
      <c r="G1595" s="22">
        <v>2.5000000000000001E-2</v>
      </c>
      <c r="H1595" s="107">
        <v>850</v>
      </c>
      <c r="I1595" s="23">
        <f>H1595*G1595</f>
        <v>21.25</v>
      </c>
      <c r="J1595" s="13"/>
      <c r="K1595" s="18" t="s">
        <v>816</v>
      </c>
      <c r="L1595" s="66"/>
      <c r="M1595" s="19"/>
      <c r="N1595" s="20"/>
      <c r="O1595" s="22"/>
      <c r="P1595" s="22"/>
      <c r="Q1595" s="23"/>
      <c r="R1595" s="23"/>
    </row>
    <row r="1596" spans="1:18" x14ac:dyDescent="0.2">
      <c r="A1596" s="13"/>
      <c r="B1596" s="18" t="s">
        <v>496</v>
      </c>
      <c r="C1596" s="66"/>
      <c r="D1596" s="19"/>
      <c r="E1596" s="20"/>
      <c r="F1596" s="22" t="s">
        <v>9</v>
      </c>
      <c r="G1596" s="70">
        <v>0.05</v>
      </c>
      <c r="H1596" s="107">
        <v>650</v>
      </c>
      <c r="I1596" s="23">
        <f>H1596*G1596</f>
        <v>32.5</v>
      </c>
      <c r="J1596" s="13"/>
      <c r="K1596" s="18"/>
      <c r="L1596" s="19"/>
      <c r="M1596" s="19"/>
      <c r="N1596" s="20"/>
      <c r="O1596" s="22"/>
      <c r="P1596" s="22"/>
      <c r="Q1596" s="38"/>
      <c r="R1596" s="38"/>
    </row>
    <row r="1597" spans="1:18" x14ac:dyDescent="0.2">
      <c r="A1597" s="13"/>
      <c r="B1597" s="18" t="s">
        <v>624</v>
      </c>
      <c r="C1597" s="66"/>
      <c r="D1597" s="19"/>
      <c r="E1597" s="20"/>
      <c r="F1597" s="22" t="s">
        <v>413</v>
      </c>
      <c r="G1597" s="62">
        <v>8</v>
      </c>
      <c r="H1597" s="107">
        <v>40</v>
      </c>
      <c r="I1597" s="23">
        <f>(H1597*G1597)/4</f>
        <v>80</v>
      </c>
      <c r="J1597" s="13"/>
      <c r="K1597" s="18"/>
      <c r="L1597" s="19"/>
      <c r="M1597" s="19"/>
      <c r="N1597" s="20"/>
      <c r="O1597" s="22"/>
      <c r="P1597" s="22"/>
      <c r="Q1597" s="38"/>
      <c r="R1597" s="38"/>
    </row>
    <row r="1598" spans="1:18" x14ac:dyDescent="0.2">
      <c r="A1598" s="13"/>
      <c r="B1598" s="18" t="s">
        <v>1305</v>
      </c>
      <c r="C1598" s="66"/>
      <c r="D1598" s="19"/>
      <c r="E1598" s="20"/>
      <c r="F1598" s="22" t="s">
        <v>66</v>
      </c>
      <c r="G1598" s="62">
        <v>3.1</v>
      </c>
      <c r="H1598" s="107">
        <f>3180/6</f>
        <v>530</v>
      </c>
      <c r="I1598" s="23">
        <f>H1598*G1598</f>
        <v>1643</v>
      </c>
      <c r="J1598" s="13"/>
      <c r="K1598" s="18"/>
      <c r="L1598" s="19"/>
      <c r="M1598" s="19"/>
      <c r="N1598" s="20"/>
      <c r="O1598" s="22"/>
      <c r="P1598" s="22"/>
      <c r="Q1598" s="45"/>
      <c r="R1598" s="45"/>
    </row>
    <row r="1599" spans="1:18" x14ac:dyDescent="0.2">
      <c r="A1599" s="13"/>
      <c r="B1599" s="18" t="s">
        <v>627</v>
      </c>
      <c r="C1599" s="66"/>
      <c r="D1599" s="19"/>
      <c r="E1599" s="20"/>
      <c r="F1599" s="22" t="s">
        <v>77</v>
      </c>
      <c r="G1599" s="62">
        <v>2</v>
      </c>
      <c r="H1599" s="107">
        <v>48</v>
      </c>
      <c r="I1599" s="23">
        <f>H1599*G1599</f>
        <v>96</v>
      </c>
      <c r="J1599" s="13"/>
      <c r="K1599" s="18"/>
      <c r="L1599" s="19"/>
      <c r="M1599" s="19"/>
      <c r="N1599" s="20"/>
      <c r="O1599" s="22"/>
      <c r="P1599" s="22"/>
      <c r="Q1599" s="45"/>
      <c r="R1599" s="45"/>
    </row>
    <row r="1600" spans="1:18" x14ac:dyDescent="0.2">
      <c r="A1600" s="13"/>
      <c r="B1600" s="18" t="s">
        <v>1306</v>
      </c>
      <c r="C1600" s="66"/>
      <c r="D1600" s="19"/>
      <c r="E1600" s="20"/>
      <c r="F1600" s="22" t="s">
        <v>80</v>
      </c>
      <c r="G1600" s="62">
        <v>12</v>
      </c>
      <c r="H1600" s="107">
        <v>10</v>
      </c>
      <c r="I1600" s="23">
        <f>H1600*G1600</f>
        <v>120</v>
      </c>
      <c r="J1600" s="13"/>
      <c r="K1600" s="18"/>
      <c r="L1600" s="19"/>
      <c r="M1600" s="19"/>
      <c r="N1600" s="20"/>
      <c r="O1600" s="22"/>
      <c r="P1600" s="22"/>
      <c r="Q1600" s="23"/>
      <c r="R1600" s="23"/>
    </row>
    <row r="1601" spans="1:18" x14ac:dyDescent="0.2">
      <c r="A1601" s="13"/>
      <c r="B1601" s="18" t="s">
        <v>628</v>
      </c>
      <c r="C1601" s="66"/>
      <c r="D1601" s="19"/>
      <c r="E1601" s="20"/>
      <c r="F1601" s="22" t="s">
        <v>80</v>
      </c>
      <c r="G1601" s="23">
        <v>1</v>
      </c>
      <c r="H1601" s="165">
        <v>2800</v>
      </c>
      <c r="I1601" s="23">
        <f>H1601*G1601</f>
        <v>2800</v>
      </c>
      <c r="J1601" s="13"/>
      <c r="K1601" s="18"/>
      <c r="L1601" s="19"/>
      <c r="M1601" s="19"/>
      <c r="N1601" s="20"/>
      <c r="O1601" s="22"/>
      <c r="P1601" s="22"/>
      <c r="Q1601" s="23"/>
      <c r="R1601" s="23"/>
    </row>
    <row r="1602" spans="1:18" x14ac:dyDescent="0.2">
      <c r="A1602" s="13"/>
      <c r="B1602" s="18" t="s">
        <v>629</v>
      </c>
      <c r="C1602" s="19"/>
      <c r="D1602" s="19"/>
      <c r="E1602" s="20"/>
      <c r="F1602" s="22" t="s">
        <v>77</v>
      </c>
      <c r="G1602" s="62">
        <f>ROUND(G1597/100,2)</f>
        <v>0.08</v>
      </c>
      <c r="H1602" s="107">
        <v>68</v>
      </c>
      <c r="I1602" s="23">
        <f>H1602*G1602</f>
        <v>5.44</v>
      </c>
      <c r="J1602" s="13"/>
      <c r="K1602" s="18"/>
      <c r="L1602" s="19"/>
      <c r="M1602" s="19"/>
      <c r="N1602" s="20"/>
      <c r="O1602" s="22"/>
      <c r="P1602" s="22"/>
      <c r="Q1602" s="23"/>
      <c r="R1602" s="23"/>
    </row>
    <row r="1603" spans="1:18" x14ac:dyDescent="0.2">
      <c r="A1603" s="13"/>
      <c r="B1603" s="18"/>
      <c r="C1603" s="19"/>
      <c r="D1603" s="19"/>
      <c r="E1603" s="20"/>
      <c r="F1603" s="22"/>
      <c r="G1603" s="22"/>
      <c r="H1603" s="23"/>
      <c r="I1603" s="23"/>
      <c r="J1603" s="13"/>
      <c r="K1603" s="18"/>
      <c r="L1603" s="19"/>
      <c r="M1603" s="19"/>
      <c r="N1603" s="20"/>
      <c r="O1603" s="22"/>
      <c r="P1603" s="22"/>
      <c r="Q1603" s="23"/>
      <c r="R1603" s="23"/>
    </row>
    <row r="1604" spans="1:18" x14ac:dyDescent="0.2">
      <c r="A1604" s="13"/>
      <c r="B1604" s="18"/>
      <c r="C1604" s="19"/>
      <c r="D1604" s="19"/>
      <c r="E1604" s="20"/>
      <c r="F1604" s="22"/>
      <c r="G1604" s="22"/>
      <c r="H1604" s="23"/>
      <c r="I1604" s="23"/>
      <c r="J1604" s="13"/>
      <c r="K1604" s="18"/>
      <c r="L1604" s="19"/>
      <c r="M1604" s="19"/>
      <c r="N1604" s="20"/>
      <c r="O1604" s="22"/>
      <c r="P1604" s="22"/>
      <c r="Q1604" s="23"/>
      <c r="R1604" s="23"/>
    </row>
    <row r="1605" spans="1:18" x14ac:dyDescent="0.2">
      <c r="A1605" s="13"/>
      <c r="B1605" s="18"/>
      <c r="C1605" s="19"/>
      <c r="D1605" s="19"/>
      <c r="E1605" s="20"/>
      <c r="F1605" s="22"/>
      <c r="G1605" s="22"/>
      <c r="H1605" s="23"/>
      <c r="I1605" s="23"/>
      <c r="J1605" s="13"/>
      <c r="K1605" s="18"/>
      <c r="L1605" s="19"/>
      <c r="M1605" s="19"/>
      <c r="N1605" s="20"/>
      <c r="O1605" s="22"/>
      <c r="P1605" s="22"/>
      <c r="Q1605" s="23"/>
      <c r="R1605" s="23"/>
    </row>
    <row r="1606" spans="1:18" x14ac:dyDescent="0.2">
      <c r="A1606" s="13"/>
      <c r="B1606" s="18"/>
      <c r="C1606" s="19"/>
      <c r="D1606" s="19"/>
      <c r="E1606" s="20"/>
      <c r="F1606" s="22"/>
      <c r="G1606" s="36"/>
      <c r="H1606" s="37"/>
      <c r="I1606" s="37"/>
      <c r="J1606" s="13"/>
      <c r="K1606" s="18"/>
      <c r="L1606" s="19"/>
      <c r="M1606" s="19"/>
      <c r="N1606" s="20"/>
      <c r="O1606" s="22"/>
      <c r="P1606" s="36"/>
      <c r="Q1606" s="37"/>
      <c r="R1606" s="37"/>
    </row>
    <row r="1607" spans="1:18" x14ac:dyDescent="0.2">
      <c r="A1607" s="13"/>
      <c r="B1607" s="248" t="s">
        <v>42</v>
      </c>
      <c r="C1607" s="249"/>
      <c r="D1607" s="249"/>
      <c r="E1607" s="250"/>
      <c r="F1607" s="46"/>
      <c r="G1607" s="46"/>
      <c r="H1607" s="47"/>
      <c r="I1607" s="47">
        <f>SUM(I1594:I1606)</f>
        <v>4903.79</v>
      </c>
      <c r="J1607" s="13"/>
      <c r="K1607" s="248" t="s">
        <v>42</v>
      </c>
      <c r="L1607" s="249"/>
      <c r="M1607" s="249"/>
      <c r="N1607" s="250"/>
      <c r="O1607" s="46"/>
      <c r="P1607" s="46"/>
      <c r="Q1607" s="47"/>
      <c r="R1607" s="47">
        <f>SUM(R1594:R1606)</f>
        <v>534.45000000000005</v>
      </c>
    </row>
    <row r="1608" spans="1:18" x14ac:dyDescent="0.2">
      <c r="A1608" s="12" t="s">
        <v>43</v>
      </c>
      <c r="B1608" s="48" t="s">
        <v>44</v>
      </c>
      <c r="C1608" s="43"/>
      <c r="D1608" s="43"/>
      <c r="E1608" s="161"/>
      <c r="F1608" s="49"/>
      <c r="G1608" s="49"/>
      <c r="H1608" s="50"/>
      <c r="I1608" s="51">
        <f>SUM(I1589+I1607)</f>
        <v>5316.8339999999998</v>
      </c>
      <c r="J1608" s="12" t="s">
        <v>43</v>
      </c>
      <c r="K1608" s="48" t="s">
        <v>44</v>
      </c>
      <c r="L1608" s="43"/>
      <c r="M1608" s="43"/>
      <c r="N1608" s="161"/>
      <c r="O1608" s="49"/>
      <c r="P1608" s="49"/>
      <c r="Q1608" s="50"/>
      <c r="R1608" s="51">
        <f>SUM(R1589+R1607)</f>
        <v>562.40320000000008</v>
      </c>
    </row>
    <row r="1609" spans="1:18" x14ac:dyDescent="0.2">
      <c r="A1609" s="13" t="s">
        <v>45</v>
      </c>
      <c r="B1609" s="48" t="s">
        <v>46</v>
      </c>
      <c r="C1609" s="43"/>
      <c r="D1609" s="43"/>
      <c r="E1609" s="161"/>
      <c r="F1609" s="49"/>
      <c r="G1609" s="52">
        <v>0.09</v>
      </c>
      <c r="H1609" s="53" t="s">
        <v>47</v>
      </c>
      <c r="I1609" s="51">
        <f>G1609*I1608</f>
        <v>478.51505999999995</v>
      </c>
      <c r="J1609" s="13" t="s">
        <v>45</v>
      </c>
      <c r="K1609" s="48" t="s">
        <v>46</v>
      </c>
      <c r="L1609" s="43"/>
      <c r="M1609" s="43"/>
      <c r="N1609" s="161"/>
      <c r="O1609" s="49"/>
      <c r="P1609" s="52">
        <v>0.09</v>
      </c>
      <c r="Q1609" s="53" t="s">
        <v>47</v>
      </c>
      <c r="R1609" s="51">
        <f>P1609*R1608</f>
        <v>50.616288000000004</v>
      </c>
    </row>
    <row r="1610" spans="1:18" x14ac:dyDescent="0.2">
      <c r="A1610" s="13" t="s">
        <v>48</v>
      </c>
      <c r="B1610" s="48" t="s">
        <v>49</v>
      </c>
      <c r="C1610" s="43"/>
      <c r="D1610" s="43"/>
      <c r="E1610" s="161"/>
      <c r="F1610" s="49"/>
      <c r="G1610" s="52">
        <v>0.08</v>
      </c>
      <c r="H1610" s="53" t="s">
        <v>47</v>
      </c>
      <c r="I1610" s="51">
        <f>G1610*I1608</f>
        <v>425.34672</v>
      </c>
      <c r="J1610" s="13" t="s">
        <v>48</v>
      </c>
      <c r="K1610" s="48" t="s">
        <v>49</v>
      </c>
      <c r="L1610" s="43"/>
      <c r="M1610" s="43"/>
      <c r="N1610" s="161"/>
      <c r="O1610" s="49"/>
      <c r="P1610" s="52">
        <v>0.08</v>
      </c>
      <c r="Q1610" s="53" t="s">
        <v>47</v>
      </c>
      <c r="R1610" s="51">
        <f>P1610*R1608</f>
        <v>44.992256000000005</v>
      </c>
    </row>
    <row r="1611" spans="1:18" x14ac:dyDescent="0.2">
      <c r="A1611" s="13" t="s">
        <v>50</v>
      </c>
      <c r="B1611" s="48" t="s">
        <v>51</v>
      </c>
      <c r="C1611" s="43"/>
      <c r="D1611" s="43"/>
      <c r="E1611" s="161"/>
      <c r="F1611" s="49"/>
      <c r="G1611" s="52">
        <v>0.05</v>
      </c>
      <c r="H1611" s="53" t="s">
        <v>52</v>
      </c>
      <c r="I1611" s="51">
        <f>G1611*(I1608+I1609+I1610)</f>
        <v>311.03478900000005</v>
      </c>
      <c r="J1611" s="13" t="s">
        <v>50</v>
      </c>
      <c r="K1611" s="48" t="s">
        <v>51</v>
      </c>
      <c r="L1611" s="43"/>
      <c r="M1611" s="43"/>
      <c r="N1611" s="161"/>
      <c r="O1611" s="49"/>
      <c r="P1611" s="52">
        <v>0.05</v>
      </c>
      <c r="Q1611" s="53" t="s">
        <v>52</v>
      </c>
      <c r="R1611" s="51">
        <f>P1611*(R1608+R1609+R1610)</f>
        <v>32.900587200000011</v>
      </c>
    </row>
    <row r="1612" spans="1:18" x14ac:dyDescent="0.2">
      <c r="A1612" s="54" t="s">
        <v>53</v>
      </c>
      <c r="B1612" s="48" t="s">
        <v>54</v>
      </c>
      <c r="C1612" s="43"/>
      <c r="D1612" s="43"/>
      <c r="E1612" s="161"/>
      <c r="F1612" s="49"/>
      <c r="G1612" s="49"/>
      <c r="H1612" s="55" t="s">
        <v>55</v>
      </c>
      <c r="I1612" s="51">
        <f>SUM(I1608+I1609+I1610+I1611)</f>
        <v>6531.7305690000003</v>
      </c>
      <c r="J1612" s="54" t="s">
        <v>53</v>
      </c>
      <c r="K1612" s="48" t="s">
        <v>54</v>
      </c>
      <c r="L1612" s="43"/>
      <c r="M1612" s="43"/>
      <c r="N1612" s="161"/>
      <c r="O1612" s="49"/>
      <c r="P1612" s="49"/>
      <c r="Q1612" s="55" t="s">
        <v>55</v>
      </c>
      <c r="R1612" s="51">
        <f>SUM(R1608+R1609+R1610+R1611)</f>
        <v>690.91233120000015</v>
      </c>
    </row>
    <row r="1613" spans="1:18" x14ac:dyDescent="0.2">
      <c r="A1613" s="236" t="s">
        <v>0</v>
      </c>
      <c r="B1613" s="236"/>
      <c r="C1613" s="236"/>
      <c r="D1613" s="236"/>
      <c r="E1613" s="236"/>
      <c r="F1613" s="236"/>
      <c r="G1613" s="236"/>
      <c r="H1613" s="236"/>
      <c r="I1613" s="236"/>
      <c r="J1613" s="236" t="s">
        <v>0</v>
      </c>
      <c r="K1613" s="236"/>
      <c r="L1613" s="236"/>
      <c r="M1613" s="236"/>
      <c r="N1613" s="236"/>
      <c r="O1613" s="236"/>
      <c r="P1613" s="236"/>
      <c r="Q1613" s="236"/>
      <c r="R1613" s="236"/>
    </row>
    <row r="1615" spans="1:18" x14ac:dyDescent="0.2">
      <c r="A1615" s="158" t="s">
        <v>1</v>
      </c>
      <c r="C1615" s="4" t="s">
        <v>2</v>
      </c>
      <c r="D1615" s="5" t="s">
        <v>831</v>
      </c>
      <c r="E1615" s="237" t="s">
        <v>832</v>
      </c>
      <c r="F1615" s="237"/>
      <c r="G1615" s="237"/>
      <c r="H1615" s="237"/>
      <c r="J1615" s="158" t="s">
        <v>1</v>
      </c>
      <c r="L1615" s="4" t="s">
        <v>2</v>
      </c>
      <c r="M1615" s="5" t="s">
        <v>824</v>
      </c>
      <c r="N1615" s="237" t="s">
        <v>825</v>
      </c>
      <c r="O1615" s="237"/>
      <c r="P1615" s="237"/>
      <c r="Q1615" s="237"/>
    </row>
    <row r="1616" spans="1:18" x14ac:dyDescent="0.2">
      <c r="A1616" s="158" t="s">
        <v>7</v>
      </c>
      <c r="C1616" s="4" t="s">
        <v>2</v>
      </c>
      <c r="D1616" s="8"/>
      <c r="E1616" s="158" t="s">
        <v>59</v>
      </c>
      <c r="F1616" s="8"/>
      <c r="G1616" s="8"/>
      <c r="H1616" s="8"/>
      <c r="J1616" s="158" t="s">
        <v>7</v>
      </c>
      <c r="L1616" s="4" t="s">
        <v>2</v>
      </c>
      <c r="N1616" s="158" t="s">
        <v>8</v>
      </c>
      <c r="O1616" s="8"/>
      <c r="P1616" s="8"/>
      <c r="Q1616" s="8"/>
    </row>
    <row r="1617" spans="1:18" x14ac:dyDescent="0.2">
      <c r="A1617" s="158" t="s">
        <v>10</v>
      </c>
      <c r="C1617" s="4" t="s">
        <v>2</v>
      </c>
      <c r="D1617" s="8"/>
      <c r="E1617" s="9">
        <v>1</v>
      </c>
      <c r="F1617" s="8"/>
      <c r="G1617" s="8"/>
      <c r="H1617" s="8"/>
      <c r="J1617" s="158" t="s">
        <v>10</v>
      </c>
      <c r="L1617" s="4" t="s">
        <v>2</v>
      </c>
      <c r="N1617" s="9">
        <v>62.5</v>
      </c>
      <c r="O1617" s="8"/>
      <c r="P1617" s="8"/>
      <c r="Q1617" s="8"/>
    </row>
    <row r="1618" spans="1:18" x14ac:dyDescent="0.2">
      <c r="B1618" s="8"/>
      <c r="F1618" s="11"/>
      <c r="G1618" s="8"/>
      <c r="H1618" s="8"/>
      <c r="I1618" s="8"/>
      <c r="K1618" s="8"/>
      <c r="O1618" s="11"/>
      <c r="P1618" s="8"/>
      <c r="Q1618" s="8"/>
      <c r="R1618" s="8"/>
    </row>
    <row r="1619" spans="1:18" x14ac:dyDescent="0.2">
      <c r="A1619" s="12"/>
      <c r="B1619" s="238" t="s">
        <v>11</v>
      </c>
      <c r="C1619" s="239"/>
      <c r="D1619" s="239"/>
      <c r="E1619" s="240"/>
      <c r="F1619" s="244" t="s">
        <v>12</v>
      </c>
      <c r="G1619" s="244" t="s">
        <v>13</v>
      </c>
      <c r="H1619" s="244" t="s">
        <v>14</v>
      </c>
      <c r="I1619" s="246" t="s">
        <v>15</v>
      </c>
      <c r="J1619" s="12"/>
      <c r="K1619" s="238" t="s">
        <v>11</v>
      </c>
      <c r="L1619" s="239"/>
      <c r="M1619" s="239"/>
      <c r="N1619" s="240"/>
      <c r="O1619" s="244" t="s">
        <v>12</v>
      </c>
      <c r="P1619" s="244" t="s">
        <v>13</v>
      </c>
      <c r="Q1619" s="244" t="s">
        <v>14</v>
      </c>
      <c r="R1619" s="246" t="s">
        <v>15</v>
      </c>
    </row>
    <row r="1620" spans="1:18" x14ac:dyDescent="0.2">
      <c r="A1620" s="13"/>
      <c r="B1620" s="241"/>
      <c r="C1620" s="242"/>
      <c r="D1620" s="242"/>
      <c r="E1620" s="243"/>
      <c r="F1620" s="245"/>
      <c r="G1620" s="245"/>
      <c r="H1620" s="245"/>
      <c r="I1620" s="247"/>
      <c r="J1620" s="13"/>
      <c r="K1620" s="241"/>
      <c r="L1620" s="242"/>
      <c r="M1620" s="242"/>
      <c r="N1620" s="243"/>
      <c r="O1620" s="245"/>
      <c r="P1620" s="245"/>
      <c r="Q1620" s="245"/>
      <c r="R1620" s="247"/>
    </row>
    <row r="1621" spans="1:18" x14ac:dyDescent="0.2">
      <c r="A1621" s="13" t="s">
        <v>16</v>
      </c>
      <c r="B1621" s="14" t="s">
        <v>17</v>
      </c>
      <c r="C1621" s="15"/>
      <c r="D1621" s="15"/>
      <c r="E1621" s="16"/>
      <c r="F1621" s="17"/>
      <c r="G1621" s="17"/>
      <c r="H1621" s="17"/>
      <c r="I1621" s="17"/>
      <c r="J1621" s="13" t="s">
        <v>16</v>
      </c>
      <c r="K1621" s="14" t="s">
        <v>17</v>
      </c>
      <c r="L1621" s="15"/>
      <c r="M1621" s="15"/>
      <c r="N1621" s="16"/>
      <c r="O1621" s="17"/>
      <c r="P1621" s="17"/>
      <c r="Q1621" s="17"/>
      <c r="R1621" s="17"/>
    </row>
    <row r="1622" spans="1:18" x14ac:dyDescent="0.2">
      <c r="A1622" s="13"/>
      <c r="B1622" s="18"/>
      <c r="C1622" s="19"/>
      <c r="D1622" s="19"/>
      <c r="E1622" s="20"/>
      <c r="F1622" s="21"/>
      <c r="G1622" s="22"/>
      <c r="H1622" s="21"/>
      <c r="I1622" s="21"/>
      <c r="J1622" s="13"/>
      <c r="K1622" s="18"/>
      <c r="L1622" s="19"/>
      <c r="M1622" s="19"/>
      <c r="N1622" s="20"/>
      <c r="O1622" s="21"/>
      <c r="P1622" s="22"/>
      <c r="Q1622" s="21"/>
      <c r="R1622" s="21"/>
    </row>
    <row r="1623" spans="1:18" x14ac:dyDescent="0.2">
      <c r="A1623" s="13"/>
      <c r="B1623" s="24" t="s">
        <v>18</v>
      </c>
      <c r="C1623" s="25"/>
      <c r="D1623" s="25"/>
      <c r="E1623" s="26"/>
      <c r="F1623" s="22">
        <v>1</v>
      </c>
      <c r="G1623" s="23">
        <v>1</v>
      </c>
      <c r="H1623" s="23">
        <v>69.42</v>
      </c>
      <c r="I1623" s="23">
        <f>F1623*G1623*H1623</f>
        <v>69.42</v>
      </c>
      <c r="J1623" s="13"/>
      <c r="K1623" s="24" t="s">
        <v>18</v>
      </c>
      <c r="L1623" s="25"/>
      <c r="M1623" s="25"/>
      <c r="N1623" s="26"/>
      <c r="O1623" s="22">
        <v>1</v>
      </c>
      <c r="P1623" s="23">
        <v>1</v>
      </c>
      <c r="Q1623" s="23">
        <v>69.42</v>
      </c>
      <c r="R1623" s="23">
        <f>P1623*Q1623*O1623</f>
        <v>69.42</v>
      </c>
    </row>
    <row r="1624" spans="1:18" x14ac:dyDescent="0.2">
      <c r="A1624" s="13"/>
      <c r="B1624" s="257" t="s">
        <v>1178</v>
      </c>
      <c r="C1624" s="258"/>
      <c r="D1624" s="25"/>
      <c r="E1624" s="26"/>
      <c r="F1624" s="22">
        <v>1</v>
      </c>
      <c r="G1624" s="23">
        <v>1</v>
      </c>
      <c r="H1624" s="23">
        <v>50.18</v>
      </c>
      <c r="I1624" s="23">
        <f>F1624*G1624*H1624</f>
        <v>50.18</v>
      </c>
      <c r="J1624" s="13"/>
      <c r="K1624" s="257" t="s">
        <v>1179</v>
      </c>
      <c r="L1624" s="258"/>
      <c r="M1624" s="19"/>
      <c r="N1624" s="20"/>
      <c r="O1624" s="22">
        <v>2</v>
      </c>
      <c r="P1624" s="23">
        <v>1</v>
      </c>
      <c r="Q1624" s="23">
        <v>38.97</v>
      </c>
      <c r="R1624" s="23">
        <f>P1624*Q1624*O1624</f>
        <v>77.94</v>
      </c>
    </row>
    <row r="1625" spans="1:18" x14ac:dyDescent="0.2">
      <c r="A1625" s="13"/>
      <c r="B1625" s="257" t="s">
        <v>1177</v>
      </c>
      <c r="C1625" s="258"/>
      <c r="D1625" s="19"/>
      <c r="E1625" s="20"/>
      <c r="F1625" s="22">
        <v>2</v>
      </c>
      <c r="G1625" s="23">
        <v>1</v>
      </c>
      <c r="H1625" s="23">
        <v>38.97</v>
      </c>
      <c r="I1625" s="23">
        <f>F1625*G1625*H1625</f>
        <v>77.94</v>
      </c>
      <c r="J1625" s="13"/>
      <c r="K1625" s="257"/>
      <c r="L1625" s="258"/>
      <c r="M1625" s="19"/>
      <c r="N1625" s="20"/>
      <c r="O1625" s="22"/>
      <c r="P1625" s="22"/>
      <c r="Q1625" s="23"/>
      <c r="R1625" s="23"/>
    </row>
    <row r="1626" spans="1:18" x14ac:dyDescent="0.2">
      <c r="A1626" s="13"/>
      <c r="B1626" s="159"/>
      <c r="C1626" s="19"/>
      <c r="D1626" s="19"/>
      <c r="E1626" s="20"/>
      <c r="F1626" s="22"/>
      <c r="G1626" s="22"/>
      <c r="H1626" s="29"/>
      <c r="I1626" s="30"/>
      <c r="J1626" s="13"/>
      <c r="K1626" s="159"/>
      <c r="L1626" s="19"/>
      <c r="M1626" s="19"/>
      <c r="N1626" s="20"/>
      <c r="O1626" s="22"/>
      <c r="P1626" s="22"/>
      <c r="Q1626" s="29"/>
      <c r="R1626" s="30"/>
    </row>
    <row r="1627" spans="1:18" x14ac:dyDescent="0.2">
      <c r="A1627" s="13"/>
      <c r="B1627" s="159"/>
      <c r="C1627" s="19"/>
      <c r="D1627" s="19"/>
      <c r="E1627" s="20"/>
      <c r="F1627" s="22"/>
      <c r="G1627" s="22"/>
      <c r="H1627" s="29"/>
      <c r="I1627" s="30"/>
      <c r="J1627" s="13"/>
      <c r="K1627" s="159"/>
      <c r="L1627" s="19"/>
      <c r="M1627" s="19"/>
      <c r="N1627" s="20"/>
      <c r="O1627" s="22"/>
      <c r="P1627" s="22"/>
      <c r="Q1627" s="29"/>
      <c r="R1627" s="30"/>
    </row>
    <row r="1628" spans="1:18" x14ac:dyDescent="0.2">
      <c r="A1628" s="13"/>
      <c r="B1628" s="18"/>
      <c r="C1628" s="19"/>
      <c r="D1628" s="19"/>
      <c r="E1628" s="20"/>
      <c r="F1628" s="22"/>
      <c r="G1628" s="22"/>
      <c r="H1628" s="28"/>
      <c r="I1628" s="23"/>
      <c r="J1628" s="13"/>
      <c r="K1628" s="18"/>
      <c r="L1628" s="19"/>
      <c r="M1628" s="19"/>
      <c r="N1628" s="20"/>
      <c r="O1628" s="22"/>
      <c r="P1628" s="22"/>
      <c r="Q1628" s="28"/>
      <c r="R1628" s="23"/>
    </row>
    <row r="1629" spans="1:18" x14ac:dyDescent="0.2">
      <c r="A1629" s="13"/>
      <c r="B1629" s="18"/>
      <c r="C1629" s="19"/>
      <c r="D1629" s="19"/>
      <c r="E1629" s="20"/>
      <c r="F1629" s="22"/>
      <c r="G1629" s="22"/>
      <c r="H1629" s="23"/>
      <c r="I1629" s="23"/>
      <c r="J1629" s="13"/>
      <c r="K1629" s="18"/>
      <c r="L1629" s="19"/>
      <c r="M1629" s="19"/>
      <c r="N1629" s="20"/>
      <c r="O1629" s="22"/>
      <c r="P1629" s="22"/>
      <c r="Q1629" s="23"/>
      <c r="R1629" s="23"/>
    </row>
    <row r="1630" spans="1:18" x14ac:dyDescent="0.2">
      <c r="A1630" s="13"/>
      <c r="B1630" s="248" t="s">
        <v>20</v>
      </c>
      <c r="C1630" s="249"/>
      <c r="D1630" s="249"/>
      <c r="E1630" s="250"/>
      <c r="F1630" s="31"/>
      <c r="G1630" s="31"/>
      <c r="H1630" s="32"/>
      <c r="I1630" s="32">
        <f>SUM(I1623:I1629)</f>
        <v>197.54</v>
      </c>
      <c r="J1630" s="13"/>
      <c r="K1630" s="248" t="s">
        <v>20</v>
      </c>
      <c r="L1630" s="249"/>
      <c r="M1630" s="249"/>
      <c r="N1630" s="250"/>
      <c r="O1630" s="31"/>
      <c r="P1630" s="31"/>
      <c r="Q1630" s="32"/>
      <c r="R1630" s="32">
        <f>SUM(R1623:R1629)</f>
        <v>147.36000000000001</v>
      </c>
    </row>
    <row r="1631" spans="1:18" x14ac:dyDescent="0.2">
      <c r="A1631" s="12"/>
      <c r="B1631" s="251" t="s">
        <v>21</v>
      </c>
      <c r="C1631" s="252"/>
      <c r="D1631" s="252"/>
      <c r="E1631" s="253"/>
      <c r="F1631" s="244" t="s">
        <v>22</v>
      </c>
      <c r="G1631" s="244" t="s">
        <v>13</v>
      </c>
      <c r="H1631" s="244" t="s">
        <v>14</v>
      </c>
      <c r="I1631" s="246" t="s">
        <v>15</v>
      </c>
      <c r="J1631" s="12"/>
      <c r="K1631" s="251" t="s">
        <v>21</v>
      </c>
      <c r="L1631" s="252"/>
      <c r="M1631" s="252"/>
      <c r="N1631" s="253"/>
      <c r="O1631" s="244" t="s">
        <v>22</v>
      </c>
      <c r="P1631" s="244" t="s">
        <v>13</v>
      </c>
      <c r="Q1631" s="244" t="s">
        <v>14</v>
      </c>
      <c r="R1631" s="246" t="s">
        <v>15</v>
      </c>
    </row>
    <row r="1632" spans="1:18" x14ac:dyDescent="0.2">
      <c r="A1632" s="13"/>
      <c r="B1632" s="254"/>
      <c r="C1632" s="255"/>
      <c r="D1632" s="255"/>
      <c r="E1632" s="256"/>
      <c r="F1632" s="245"/>
      <c r="G1632" s="245"/>
      <c r="H1632" s="245"/>
      <c r="I1632" s="247"/>
      <c r="J1632" s="13"/>
      <c r="K1632" s="254"/>
      <c r="L1632" s="255"/>
      <c r="M1632" s="255"/>
      <c r="N1632" s="256"/>
      <c r="O1632" s="245"/>
      <c r="P1632" s="245"/>
      <c r="Q1632" s="245"/>
      <c r="R1632" s="247"/>
    </row>
    <row r="1633" spans="1:18" x14ac:dyDescent="0.2">
      <c r="A1633" s="13" t="s">
        <v>23</v>
      </c>
      <c r="B1633" s="33" t="s">
        <v>24</v>
      </c>
      <c r="C1633" s="15"/>
      <c r="D1633" s="15"/>
      <c r="E1633" s="16"/>
      <c r="F1633" s="34"/>
      <c r="G1633" s="34"/>
      <c r="H1633" s="35"/>
      <c r="I1633" s="35"/>
      <c r="J1633" s="13" t="s">
        <v>23</v>
      </c>
      <c r="K1633" s="33" t="s">
        <v>24</v>
      </c>
      <c r="L1633" s="15"/>
      <c r="M1633" s="15"/>
      <c r="N1633" s="16"/>
      <c r="O1633" s="34"/>
      <c r="P1633" s="34"/>
      <c r="Q1633" s="35"/>
      <c r="R1633" s="35"/>
    </row>
    <row r="1634" spans="1:18" x14ac:dyDescent="0.2">
      <c r="A1634" s="13"/>
      <c r="B1634" s="18"/>
      <c r="C1634" s="19"/>
      <c r="D1634" s="19"/>
      <c r="E1634" s="20"/>
      <c r="F1634" s="22"/>
      <c r="G1634" s="22"/>
      <c r="H1634" s="23"/>
      <c r="I1634" s="23"/>
      <c r="J1634" s="13"/>
      <c r="K1634" s="18"/>
      <c r="L1634" s="19"/>
      <c r="M1634" s="19"/>
      <c r="N1634" s="20"/>
      <c r="O1634" s="22"/>
      <c r="P1634" s="22"/>
      <c r="Q1634" s="23"/>
      <c r="R1634" s="23"/>
    </row>
    <row r="1635" spans="1:18" x14ac:dyDescent="0.2">
      <c r="A1635" s="13"/>
      <c r="B1635" s="18" t="s">
        <v>1277</v>
      </c>
      <c r="C1635" s="19"/>
      <c r="D1635" s="19"/>
      <c r="E1635" s="20"/>
      <c r="F1635" s="22">
        <v>1</v>
      </c>
      <c r="G1635" s="23">
        <v>0.25</v>
      </c>
      <c r="H1635" s="37">
        <v>783</v>
      </c>
      <c r="I1635" s="37">
        <f>G1635*H1635*F1635</f>
        <v>195.75</v>
      </c>
      <c r="J1635" s="13"/>
      <c r="K1635" s="18" t="s">
        <v>826</v>
      </c>
      <c r="L1635" s="19"/>
      <c r="M1635" s="19"/>
      <c r="N1635" s="20"/>
      <c r="O1635" s="22">
        <v>1</v>
      </c>
      <c r="P1635" s="23">
        <v>1</v>
      </c>
      <c r="Q1635" s="37">
        <f>850*1.12</f>
        <v>952.00000000000011</v>
      </c>
      <c r="R1635" s="37">
        <f>P1635*Q1635*O1635</f>
        <v>952.00000000000011</v>
      </c>
    </row>
    <row r="1636" spans="1:18" x14ac:dyDescent="0.2">
      <c r="A1636" s="13"/>
      <c r="B1636" s="18" t="s">
        <v>125</v>
      </c>
      <c r="C1636" s="66"/>
      <c r="D1636" s="19"/>
      <c r="E1636" s="20"/>
      <c r="F1636" s="22"/>
      <c r="G1636" s="71"/>
      <c r="I1636" s="37">
        <f>I1630*0.1</f>
        <v>19.754000000000001</v>
      </c>
      <c r="J1636" s="13"/>
      <c r="K1636" s="18" t="s">
        <v>1169</v>
      </c>
      <c r="L1636" s="19"/>
      <c r="M1636" s="19"/>
      <c r="N1636" s="20"/>
      <c r="O1636" s="22">
        <v>1</v>
      </c>
      <c r="P1636" s="23">
        <v>1</v>
      </c>
      <c r="Q1636" s="37">
        <v>2450</v>
      </c>
      <c r="R1636" s="37">
        <f>P1636*Q1636*O1636</f>
        <v>2450</v>
      </c>
    </row>
    <row r="1637" spans="1:18" x14ac:dyDescent="0.2">
      <c r="A1637" s="13"/>
      <c r="B1637" s="18"/>
      <c r="C1637" s="19"/>
      <c r="D1637" s="19"/>
      <c r="E1637" s="20"/>
      <c r="F1637" s="22"/>
      <c r="G1637" s="36"/>
      <c r="H1637" s="37"/>
      <c r="I1637" s="37"/>
      <c r="J1637" s="13"/>
      <c r="K1637" s="18" t="s">
        <v>827</v>
      </c>
      <c r="L1637" s="19"/>
      <c r="M1637" s="19"/>
      <c r="N1637" s="20"/>
      <c r="O1637" s="22"/>
      <c r="P1637" s="23"/>
      <c r="Q1637" s="37"/>
      <c r="R1637" s="37"/>
    </row>
    <row r="1638" spans="1:18" x14ac:dyDescent="0.2">
      <c r="A1638" s="13"/>
      <c r="B1638" s="18"/>
      <c r="F1638" s="22"/>
      <c r="G1638" s="36"/>
      <c r="H1638" s="37"/>
      <c r="I1638" s="37"/>
      <c r="J1638" s="13"/>
      <c r="K1638" s="18"/>
      <c r="O1638" s="22"/>
      <c r="P1638" s="36"/>
      <c r="Q1638" s="37"/>
      <c r="R1638" s="37"/>
    </row>
    <row r="1639" spans="1:18" x14ac:dyDescent="0.2">
      <c r="A1639" s="13"/>
      <c r="B1639" s="18"/>
      <c r="C1639" s="19"/>
      <c r="D1639" s="19"/>
      <c r="E1639" s="20"/>
      <c r="F1639" s="22"/>
      <c r="G1639" s="36"/>
      <c r="H1639" s="37"/>
      <c r="I1639" s="37"/>
      <c r="J1639" s="13"/>
      <c r="K1639" s="18"/>
      <c r="L1639" s="19"/>
      <c r="M1639" s="19"/>
      <c r="N1639" s="20"/>
      <c r="O1639" s="22"/>
      <c r="P1639" s="36"/>
      <c r="Q1639" s="37"/>
      <c r="R1639" s="37"/>
    </row>
    <row r="1640" spans="1:18" x14ac:dyDescent="0.2">
      <c r="A1640" s="13"/>
      <c r="B1640" s="18"/>
      <c r="C1640" s="19"/>
      <c r="D1640" s="19"/>
      <c r="E1640" s="20"/>
      <c r="F1640" s="22"/>
      <c r="G1640" s="36"/>
      <c r="H1640" s="37"/>
      <c r="I1640" s="37"/>
      <c r="J1640" s="13"/>
      <c r="K1640" s="18"/>
      <c r="L1640" s="19"/>
      <c r="M1640" s="19"/>
      <c r="N1640" s="20"/>
      <c r="O1640" s="22"/>
      <c r="P1640" s="36"/>
      <c r="Q1640" s="38"/>
      <c r="R1640" s="38"/>
    </row>
    <row r="1641" spans="1:18" x14ac:dyDescent="0.2">
      <c r="A1641" s="13"/>
      <c r="B1641" s="18"/>
      <c r="C1641" s="19"/>
      <c r="D1641" s="19"/>
      <c r="E1641" s="20"/>
      <c r="F1641" s="22"/>
      <c r="G1641" s="36"/>
      <c r="H1641" s="37"/>
      <c r="I1641" s="37"/>
      <c r="J1641" s="13"/>
      <c r="K1641" s="18"/>
      <c r="L1641" s="19"/>
      <c r="M1641" s="19"/>
      <c r="N1641" s="20"/>
      <c r="O1641" s="22"/>
      <c r="P1641" s="36"/>
      <c r="Q1641" s="38"/>
      <c r="R1641" s="38"/>
    </row>
    <row r="1642" spans="1:18" x14ac:dyDescent="0.2">
      <c r="A1642" s="13"/>
      <c r="B1642" s="18"/>
      <c r="C1642" s="19"/>
      <c r="D1642" s="19"/>
      <c r="E1642" s="20"/>
      <c r="F1642" s="22"/>
      <c r="G1642" s="23"/>
      <c r="H1642" s="37"/>
      <c r="I1642" s="37"/>
      <c r="J1642" s="13"/>
      <c r="K1642" s="18"/>
      <c r="L1642" s="19"/>
      <c r="M1642" s="19"/>
      <c r="N1642" s="20"/>
      <c r="O1642" s="22"/>
      <c r="P1642" s="36"/>
      <c r="Q1642" s="38"/>
      <c r="R1642" s="38"/>
    </row>
    <row r="1643" spans="1:18" x14ac:dyDescent="0.2">
      <c r="A1643" s="13"/>
      <c r="B1643" s="18"/>
      <c r="C1643" s="19"/>
      <c r="D1643" s="19"/>
      <c r="E1643" s="20"/>
      <c r="F1643" s="22"/>
      <c r="G1643" s="36"/>
      <c r="H1643" s="38"/>
      <c r="I1643" s="38"/>
      <c r="J1643" s="13"/>
      <c r="K1643" s="18"/>
      <c r="L1643" s="19"/>
      <c r="M1643" s="19"/>
      <c r="N1643" s="20"/>
      <c r="O1643" s="22"/>
      <c r="P1643" s="36"/>
      <c r="Q1643" s="38"/>
      <c r="R1643" s="38"/>
    </row>
    <row r="1644" spans="1:18" x14ac:dyDescent="0.2">
      <c r="A1644" s="13"/>
      <c r="B1644" s="18"/>
      <c r="C1644" s="19"/>
      <c r="D1644" s="19"/>
      <c r="E1644" s="20"/>
      <c r="F1644" s="22"/>
      <c r="G1644" s="36"/>
      <c r="H1644" s="37"/>
      <c r="I1644" s="37"/>
      <c r="J1644" s="13"/>
      <c r="K1644" s="18"/>
      <c r="L1644" s="19"/>
      <c r="M1644" s="19"/>
      <c r="N1644" s="20"/>
      <c r="O1644" s="22"/>
      <c r="P1644" s="36"/>
      <c r="Q1644" s="37"/>
      <c r="R1644" s="37"/>
    </row>
    <row r="1645" spans="1:18" x14ac:dyDescent="0.2">
      <c r="A1645" s="13"/>
      <c r="B1645" s="18"/>
      <c r="C1645" s="19"/>
      <c r="D1645" s="19"/>
      <c r="E1645" s="20"/>
      <c r="F1645" s="22"/>
      <c r="G1645" s="36"/>
      <c r="H1645" s="37"/>
      <c r="I1645" s="37"/>
      <c r="J1645" s="13"/>
      <c r="K1645" s="18"/>
      <c r="L1645" s="19"/>
      <c r="M1645" s="19"/>
      <c r="N1645" s="20"/>
      <c r="O1645" s="22"/>
      <c r="P1645" s="36"/>
      <c r="Q1645" s="37"/>
      <c r="R1645" s="37"/>
    </row>
    <row r="1646" spans="1:18" x14ac:dyDescent="0.2">
      <c r="A1646" s="13"/>
      <c r="B1646" s="18"/>
      <c r="C1646" s="19"/>
      <c r="D1646" s="19"/>
      <c r="E1646" s="20"/>
      <c r="F1646" s="22"/>
      <c r="G1646" s="36"/>
      <c r="H1646" s="37"/>
      <c r="I1646" s="37"/>
      <c r="J1646" s="13"/>
      <c r="K1646" s="18"/>
      <c r="L1646" s="19"/>
      <c r="M1646" s="19"/>
      <c r="N1646" s="20"/>
      <c r="O1646" s="22"/>
      <c r="P1646" s="36"/>
      <c r="Q1646" s="37"/>
      <c r="R1646" s="37"/>
    </row>
    <row r="1647" spans="1:18" x14ac:dyDescent="0.2">
      <c r="A1647" s="13"/>
      <c r="B1647" s="18"/>
      <c r="C1647" s="19"/>
      <c r="D1647" s="19"/>
      <c r="E1647" s="20"/>
      <c r="F1647" s="22"/>
      <c r="G1647" s="22"/>
      <c r="H1647" s="23"/>
      <c r="I1647" s="23"/>
      <c r="J1647" s="13"/>
      <c r="K1647" s="18"/>
      <c r="L1647" s="19"/>
      <c r="M1647" s="19"/>
      <c r="N1647" s="20"/>
      <c r="O1647" s="22"/>
      <c r="P1647" s="22"/>
      <c r="Q1647" s="23"/>
      <c r="R1647" s="23"/>
    </row>
    <row r="1648" spans="1:18" x14ac:dyDescent="0.2">
      <c r="A1648" s="13"/>
      <c r="B1648" s="248" t="s">
        <v>30</v>
      </c>
      <c r="C1648" s="249"/>
      <c r="D1648" s="249"/>
      <c r="E1648" s="250"/>
      <c r="F1648" s="22"/>
      <c r="G1648" s="22"/>
      <c r="H1648" s="23"/>
      <c r="I1648" s="23">
        <f>SUM(I1635:I1647)</f>
        <v>215.50399999999999</v>
      </c>
      <c r="J1648" s="13"/>
      <c r="K1648" s="248" t="s">
        <v>30</v>
      </c>
      <c r="L1648" s="249"/>
      <c r="M1648" s="249"/>
      <c r="N1648" s="250"/>
      <c r="O1648" s="22"/>
      <c r="P1648" s="22"/>
      <c r="Q1648" s="23"/>
      <c r="R1648" s="23">
        <f>SUM(R1635:R1647)</f>
        <v>3402</v>
      </c>
    </row>
    <row r="1649" spans="1:18" x14ac:dyDescent="0.2">
      <c r="A1649" s="12" t="s">
        <v>31</v>
      </c>
      <c r="B1649" s="260" t="s">
        <v>32</v>
      </c>
      <c r="C1649" s="261"/>
      <c r="D1649" s="261"/>
      <c r="E1649" s="261"/>
      <c r="F1649" s="161"/>
      <c r="G1649" s="161"/>
      <c r="H1649" s="40"/>
      <c r="I1649" s="41">
        <f>SUM(I1648+I1630)</f>
        <v>413.04399999999998</v>
      </c>
      <c r="J1649" s="12" t="s">
        <v>31</v>
      </c>
      <c r="K1649" s="260" t="s">
        <v>32</v>
      </c>
      <c r="L1649" s="261"/>
      <c r="M1649" s="261"/>
      <c r="N1649" s="261"/>
      <c r="O1649" s="161"/>
      <c r="P1649" s="161"/>
      <c r="Q1649" s="40"/>
      <c r="R1649" s="41">
        <f>SUM(R1648+R1630)</f>
        <v>3549.36</v>
      </c>
    </row>
    <row r="1650" spans="1:18" x14ac:dyDescent="0.2">
      <c r="A1650" s="13" t="s">
        <v>33</v>
      </c>
      <c r="B1650" s="345">
        <f>E1617</f>
        <v>1</v>
      </c>
      <c r="C1650" s="346"/>
      <c r="D1650" s="346"/>
      <c r="E1650" s="346"/>
      <c r="F1650" s="346"/>
      <c r="G1650" s="346"/>
      <c r="H1650" s="40"/>
      <c r="I1650" s="41"/>
      <c r="J1650" s="13" t="s">
        <v>33</v>
      </c>
      <c r="K1650" s="311">
        <f>N1617</f>
        <v>62.5</v>
      </c>
      <c r="L1650" s="312"/>
      <c r="M1650" s="312"/>
      <c r="N1650" s="312"/>
      <c r="O1650" s="312"/>
      <c r="P1650" s="312"/>
      <c r="Q1650" s="40"/>
      <c r="R1650" s="41"/>
    </row>
    <row r="1651" spans="1:18" x14ac:dyDescent="0.2">
      <c r="A1651" s="13" t="s">
        <v>34</v>
      </c>
      <c r="B1651" s="162" t="s">
        <v>35</v>
      </c>
      <c r="C1651" s="43"/>
      <c r="D1651" s="43"/>
      <c r="E1651" s="161"/>
      <c r="F1651" s="163"/>
      <c r="G1651" s="163"/>
      <c r="H1651" s="40"/>
      <c r="I1651" s="41">
        <f>I1649/E1617</f>
        <v>413.04399999999998</v>
      </c>
      <c r="J1651" s="13" t="s">
        <v>34</v>
      </c>
      <c r="K1651" s="162" t="s">
        <v>35</v>
      </c>
      <c r="L1651" s="43"/>
      <c r="M1651" s="43"/>
      <c r="N1651" s="161"/>
      <c r="O1651" s="163"/>
      <c r="P1651" s="163"/>
      <c r="Q1651" s="40"/>
      <c r="R1651" s="41">
        <f>R1649/N1617</f>
        <v>56.789760000000001</v>
      </c>
    </row>
    <row r="1652" spans="1:18" x14ac:dyDescent="0.2">
      <c r="A1652" s="12"/>
      <c r="B1652" s="251" t="s">
        <v>36</v>
      </c>
      <c r="C1652" s="252"/>
      <c r="D1652" s="252"/>
      <c r="E1652" s="253"/>
      <c r="F1652" s="244" t="s">
        <v>37</v>
      </c>
      <c r="G1652" s="244" t="s">
        <v>38</v>
      </c>
      <c r="H1652" s="244" t="s">
        <v>39</v>
      </c>
      <c r="I1652" s="246" t="s">
        <v>15</v>
      </c>
      <c r="J1652" s="12"/>
      <c r="K1652" s="251" t="s">
        <v>36</v>
      </c>
      <c r="L1652" s="252"/>
      <c r="M1652" s="252"/>
      <c r="N1652" s="253"/>
      <c r="O1652" s="244" t="s">
        <v>37</v>
      </c>
      <c r="P1652" s="244" t="s">
        <v>38</v>
      </c>
      <c r="Q1652" s="244" t="s">
        <v>39</v>
      </c>
      <c r="R1652" s="246" t="s">
        <v>15</v>
      </c>
    </row>
    <row r="1653" spans="1:18" x14ac:dyDescent="0.2">
      <c r="A1653" s="13"/>
      <c r="B1653" s="254"/>
      <c r="C1653" s="255"/>
      <c r="D1653" s="255"/>
      <c r="E1653" s="256"/>
      <c r="F1653" s="245"/>
      <c r="G1653" s="245"/>
      <c r="H1653" s="245"/>
      <c r="I1653" s="247"/>
      <c r="J1653" s="13"/>
      <c r="K1653" s="254"/>
      <c r="L1653" s="255"/>
      <c r="M1653" s="255"/>
      <c r="N1653" s="256"/>
      <c r="O1653" s="245"/>
      <c r="P1653" s="245"/>
      <c r="Q1653" s="245"/>
      <c r="R1653" s="247"/>
    </row>
    <row r="1654" spans="1:18" x14ac:dyDescent="0.2">
      <c r="A1654" s="13" t="s">
        <v>40</v>
      </c>
      <c r="B1654" s="18" t="s">
        <v>41</v>
      </c>
      <c r="C1654" s="19"/>
      <c r="D1654" s="19"/>
      <c r="E1654" s="20"/>
      <c r="F1654" s="22"/>
      <c r="G1654" s="22"/>
      <c r="H1654" s="23"/>
      <c r="I1654" s="23"/>
      <c r="J1654" s="13" t="s">
        <v>40</v>
      </c>
      <c r="K1654" s="18" t="s">
        <v>41</v>
      </c>
      <c r="L1654" s="19"/>
      <c r="M1654" s="19"/>
      <c r="N1654" s="20"/>
      <c r="O1654" s="22"/>
      <c r="P1654" s="22"/>
      <c r="Q1654" s="23"/>
      <c r="R1654" s="23"/>
    </row>
    <row r="1655" spans="1:18" x14ac:dyDescent="0.2">
      <c r="A1655" s="13"/>
      <c r="B1655" s="18"/>
      <c r="C1655" s="19"/>
      <c r="D1655" s="19"/>
      <c r="E1655" s="20"/>
      <c r="F1655" s="22"/>
      <c r="G1655" s="22"/>
      <c r="H1655" s="23"/>
      <c r="I1655" s="23"/>
      <c r="J1655" s="13"/>
      <c r="K1655" s="18"/>
      <c r="L1655" s="19"/>
      <c r="M1655" s="19"/>
      <c r="N1655" s="20"/>
      <c r="O1655" s="22"/>
      <c r="P1655" s="22"/>
      <c r="Q1655" s="23"/>
      <c r="R1655" s="23"/>
    </row>
    <row r="1656" spans="1:18" x14ac:dyDescent="0.2">
      <c r="A1656" s="13"/>
      <c r="B1656" s="18" t="s">
        <v>425</v>
      </c>
      <c r="C1656" s="66"/>
      <c r="D1656" s="19"/>
      <c r="E1656" s="20"/>
      <c r="F1656" s="22" t="s">
        <v>227</v>
      </c>
      <c r="G1656" s="62">
        <v>0.48</v>
      </c>
      <c r="H1656" s="107">
        <v>220</v>
      </c>
      <c r="I1656" s="23">
        <f>H1656*G1656</f>
        <v>105.6</v>
      </c>
      <c r="J1656" s="13"/>
      <c r="K1656" s="18" t="s">
        <v>828</v>
      </c>
      <c r="L1656" s="66"/>
      <c r="M1656" s="19"/>
      <c r="N1656" s="20"/>
      <c r="O1656" s="62" t="s">
        <v>8</v>
      </c>
      <c r="P1656" s="62">
        <v>1.05</v>
      </c>
      <c r="Q1656" s="107">
        <v>45</v>
      </c>
      <c r="R1656" s="23">
        <f>Q1656*P1656</f>
        <v>47.25</v>
      </c>
    </row>
    <row r="1657" spans="1:18" x14ac:dyDescent="0.2">
      <c r="A1657" s="13"/>
      <c r="B1657" s="18" t="s">
        <v>567</v>
      </c>
      <c r="C1657" s="66"/>
      <c r="D1657" s="19"/>
      <c r="E1657" s="20"/>
      <c r="F1657" s="22" t="s">
        <v>9</v>
      </c>
      <c r="G1657" s="22">
        <v>2.5000000000000001E-2</v>
      </c>
      <c r="H1657" s="107">
        <v>850</v>
      </c>
      <c r="I1657" s="23">
        <f>H1657*G1657</f>
        <v>21.25</v>
      </c>
      <c r="J1657" s="13"/>
      <c r="K1657" s="18" t="s">
        <v>829</v>
      </c>
      <c r="L1657" s="66"/>
      <c r="M1657" s="19"/>
      <c r="N1657" s="20"/>
      <c r="O1657" s="22"/>
      <c r="P1657" s="22"/>
      <c r="Q1657" s="23"/>
      <c r="R1657" s="23"/>
    </row>
    <row r="1658" spans="1:18" x14ac:dyDescent="0.2">
      <c r="A1658" s="13"/>
      <c r="B1658" s="18" t="s">
        <v>496</v>
      </c>
      <c r="C1658" s="66"/>
      <c r="D1658" s="19"/>
      <c r="E1658" s="20"/>
      <c r="F1658" s="22" t="s">
        <v>9</v>
      </c>
      <c r="G1658" s="70">
        <v>0.05</v>
      </c>
      <c r="H1658" s="107">
        <v>650</v>
      </c>
      <c r="I1658" s="23">
        <f>H1658*G1658</f>
        <v>32.5</v>
      </c>
      <c r="J1658" s="13"/>
      <c r="K1658" s="18" t="s">
        <v>830</v>
      </c>
      <c r="L1658" s="19"/>
      <c r="M1658" s="19"/>
      <c r="N1658" s="20"/>
      <c r="O1658" s="22"/>
      <c r="P1658" s="22"/>
      <c r="Q1658" s="38"/>
      <c r="R1658" s="38"/>
    </row>
    <row r="1659" spans="1:18" x14ac:dyDescent="0.2">
      <c r="A1659" s="13"/>
      <c r="B1659" s="18" t="s">
        <v>624</v>
      </c>
      <c r="C1659" s="66"/>
      <c r="D1659" s="19"/>
      <c r="E1659" s="20"/>
      <c r="F1659" s="22" t="s">
        <v>413</v>
      </c>
      <c r="G1659" s="62">
        <v>8</v>
      </c>
      <c r="H1659" s="107">
        <v>40</v>
      </c>
      <c r="I1659" s="23">
        <f>(H1659*G1659)/4</f>
        <v>80</v>
      </c>
      <c r="J1659" s="13"/>
      <c r="K1659" s="18"/>
      <c r="L1659" s="19"/>
      <c r="M1659" s="19"/>
      <c r="N1659" s="20"/>
      <c r="O1659" s="22"/>
      <c r="P1659" s="22"/>
      <c r="Q1659" s="38"/>
      <c r="R1659" s="38"/>
    </row>
    <row r="1660" spans="1:18" x14ac:dyDescent="0.2">
      <c r="A1660" s="13"/>
      <c r="B1660" s="18" t="s">
        <v>1305</v>
      </c>
      <c r="C1660" s="66"/>
      <c r="D1660" s="19"/>
      <c r="E1660" s="20"/>
      <c r="F1660" s="22" t="s">
        <v>66</v>
      </c>
      <c r="G1660" s="62">
        <v>3.1</v>
      </c>
      <c r="H1660" s="107">
        <f>3180/6</f>
        <v>530</v>
      </c>
      <c r="I1660" s="23">
        <f>H1660*G1660</f>
        <v>1643</v>
      </c>
      <c r="J1660" s="13"/>
      <c r="K1660" s="18"/>
      <c r="L1660" s="19"/>
      <c r="M1660" s="19"/>
      <c r="N1660" s="20"/>
      <c r="O1660" s="22"/>
      <c r="P1660" s="22"/>
      <c r="Q1660" s="45"/>
      <c r="R1660" s="45"/>
    </row>
    <row r="1661" spans="1:18" x14ac:dyDescent="0.2">
      <c r="A1661" s="13"/>
      <c r="B1661" s="18" t="s">
        <v>627</v>
      </c>
      <c r="C1661" s="66"/>
      <c r="D1661" s="19"/>
      <c r="E1661" s="20"/>
      <c r="F1661" s="22" t="s">
        <v>77</v>
      </c>
      <c r="G1661" s="62">
        <v>2</v>
      </c>
      <c r="H1661" s="107">
        <v>48</v>
      </c>
      <c r="I1661" s="23">
        <f>H1661*G1661</f>
        <v>96</v>
      </c>
      <c r="J1661" s="13"/>
      <c r="K1661" s="18"/>
      <c r="L1661" s="19"/>
      <c r="M1661" s="19"/>
      <c r="N1661" s="20"/>
      <c r="O1661" s="22"/>
      <c r="P1661" s="22"/>
      <c r="Q1661" s="45"/>
      <c r="R1661" s="45"/>
    </row>
    <row r="1662" spans="1:18" x14ac:dyDescent="0.2">
      <c r="A1662" s="13"/>
      <c r="B1662" s="18" t="s">
        <v>1306</v>
      </c>
      <c r="C1662" s="66"/>
      <c r="D1662" s="19"/>
      <c r="E1662" s="20"/>
      <c r="F1662" s="22" t="s">
        <v>80</v>
      </c>
      <c r="G1662" s="62">
        <v>12</v>
      </c>
      <c r="H1662" s="107">
        <v>10</v>
      </c>
      <c r="I1662" s="23">
        <f>H1662*G1662</f>
        <v>120</v>
      </c>
      <c r="J1662" s="13"/>
      <c r="K1662" s="18"/>
      <c r="L1662" s="19"/>
      <c r="M1662" s="19"/>
      <c r="N1662" s="20"/>
      <c r="O1662" s="22"/>
      <c r="P1662" s="22"/>
      <c r="Q1662" s="23"/>
      <c r="R1662" s="23"/>
    </row>
    <row r="1663" spans="1:18" x14ac:dyDescent="0.2">
      <c r="A1663" s="13"/>
      <c r="B1663" s="18" t="s">
        <v>628</v>
      </c>
      <c r="C1663" s="66"/>
      <c r="D1663" s="19"/>
      <c r="E1663" s="20"/>
      <c r="F1663" s="22" t="s">
        <v>80</v>
      </c>
      <c r="G1663" s="62">
        <v>1</v>
      </c>
      <c r="H1663" s="165">
        <v>4200</v>
      </c>
      <c r="I1663" s="23">
        <f>H1663*G1663</f>
        <v>4200</v>
      </c>
      <c r="J1663" s="13"/>
      <c r="K1663" s="18"/>
      <c r="L1663" s="19"/>
      <c r="M1663" s="19"/>
      <c r="N1663" s="20"/>
      <c r="O1663" s="22"/>
      <c r="P1663" s="22"/>
      <c r="Q1663" s="23"/>
      <c r="R1663" s="23"/>
    </row>
    <row r="1664" spans="1:18" x14ac:dyDescent="0.2">
      <c r="A1664" s="13"/>
      <c r="B1664" s="18" t="s">
        <v>629</v>
      </c>
      <c r="C1664" s="19"/>
      <c r="D1664" s="19"/>
      <c r="E1664" s="20"/>
      <c r="F1664" s="22" t="s">
        <v>77</v>
      </c>
      <c r="G1664" s="62">
        <f>ROUND(G1659/100,2)</f>
        <v>0.08</v>
      </c>
      <c r="H1664" s="107">
        <v>68</v>
      </c>
      <c r="I1664" s="23">
        <f>H1664*G1664</f>
        <v>5.44</v>
      </c>
      <c r="J1664" s="13"/>
      <c r="K1664" s="18"/>
      <c r="L1664" s="19"/>
      <c r="M1664" s="19"/>
      <c r="N1664" s="20"/>
      <c r="O1664" s="22"/>
      <c r="P1664" s="22"/>
      <c r="Q1664" s="23"/>
      <c r="R1664" s="23"/>
    </row>
    <row r="1665" spans="1:18" x14ac:dyDescent="0.2">
      <c r="A1665" s="13"/>
      <c r="B1665" s="18"/>
      <c r="C1665" s="19"/>
      <c r="D1665" s="19"/>
      <c r="E1665" s="20"/>
      <c r="F1665" s="22"/>
      <c r="G1665" s="22"/>
      <c r="H1665" s="23"/>
      <c r="I1665" s="23"/>
      <c r="J1665" s="13"/>
      <c r="K1665" s="18"/>
      <c r="L1665" s="19"/>
      <c r="M1665" s="19"/>
      <c r="N1665" s="20"/>
      <c r="O1665" s="22"/>
      <c r="P1665" s="22"/>
      <c r="Q1665" s="23"/>
      <c r="R1665" s="23"/>
    </row>
    <row r="1666" spans="1:18" x14ac:dyDescent="0.2">
      <c r="A1666" s="13"/>
      <c r="B1666" s="18"/>
      <c r="C1666" s="19"/>
      <c r="D1666" s="19"/>
      <c r="E1666" s="20"/>
      <c r="F1666" s="22"/>
      <c r="G1666" s="22"/>
      <c r="H1666" s="23"/>
      <c r="I1666" s="23"/>
      <c r="J1666" s="13"/>
      <c r="K1666" s="18"/>
      <c r="L1666" s="19"/>
      <c r="M1666" s="19"/>
      <c r="N1666" s="20"/>
      <c r="O1666" s="22"/>
      <c r="P1666" s="22"/>
      <c r="Q1666" s="23"/>
      <c r="R1666" s="23"/>
    </row>
    <row r="1667" spans="1:18" x14ac:dyDescent="0.2">
      <c r="A1667" s="13"/>
      <c r="B1667" s="18"/>
      <c r="C1667" s="19"/>
      <c r="D1667" s="19"/>
      <c r="E1667" s="20"/>
      <c r="F1667" s="22"/>
      <c r="G1667" s="22"/>
      <c r="H1667" s="23"/>
      <c r="I1667" s="23"/>
      <c r="J1667" s="13"/>
      <c r="K1667" s="18"/>
      <c r="L1667" s="19"/>
      <c r="M1667" s="19"/>
      <c r="N1667" s="20"/>
      <c r="O1667" s="22"/>
      <c r="P1667" s="36"/>
      <c r="Q1667" s="37"/>
      <c r="R1667" s="37"/>
    </row>
    <row r="1668" spans="1:18" x14ac:dyDescent="0.2">
      <c r="A1668" s="13"/>
      <c r="B1668" s="18"/>
      <c r="C1668" s="19"/>
      <c r="D1668" s="19"/>
      <c r="E1668" s="20"/>
      <c r="F1668" s="22"/>
      <c r="G1668" s="36"/>
      <c r="H1668" s="37"/>
      <c r="I1668" s="37"/>
      <c r="J1668" s="13"/>
      <c r="K1668" s="18"/>
      <c r="L1668" s="19"/>
      <c r="M1668" s="19"/>
      <c r="N1668" s="20"/>
      <c r="O1668" s="22"/>
      <c r="P1668" s="36"/>
      <c r="Q1668" s="37"/>
      <c r="R1668" s="37"/>
    </row>
    <row r="1669" spans="1:18" x14ac:dyDescent="0.2">
      <c r="A1669" s="13"/>
      <c r="B1669" s="248" t="s">
        <v>42</v>
      </c>
      <c r="C1669" s="249"/>
      <c r="D1669" s="249"/>
      <c r="E1669" s="250"/>
      <c r="F1669" s="46"/>
      <c r="G1669" s="46"/>
      <c r="H1669" s="47"/>
      <c r="I1669" s="47">
        <f>SUM(I1656:I1668)</f>
        <v>6303.79</v>
      </c>
      <c r="J1669" s="13"/>
      <c r="K1669" s="248" t="s">
        <v>42</v>
      </c>
      <c r="L1669" s="249"/>
      <c r="M1669" s="249"/>
      <c r="N1669" s="250"/>
      <c r="O1669" s="46"/>
      <c r="P1669" s="46"/>
      <c r="Q1669" s="47"/>
      <c r="R1669" s="47">
        <f>SUM(R1656:R1667)</f>
        <v>47.25</v>
      </c>
    </row>
    <row r="1670" spans="1:18" x14ac:dyDescent="0.2">
      <c r="A1670" s="12" t="s">
        <v>43</v>
      </c>
      <c r="B1670" s="48" t="s">
        <v>44</v>
      </c>
      <c r="C1670" s="43"/>
      <c r="D1670" s="43"/>
      <c r="E1670" s="161"/>
      <c r="F1670" s="49"/>
      <c r="G1670" s="49"/>
      <c r="H1670" s="50"/>
      <c r="I1670" s="51">
        <f>SUM(I1651+I1669)</f>
        <v>6716.8339999999998</v>
      </c>
      <c r="J1670" s="12" t="s">
        <v>43</v>
      </c>
      <c r="K1670" s="48" t="s">
        <v>44</v>
      </c>
      <c r="L1670" s="43"/>
      <c r="M1670" s="43"/>
      <c r="N1670" s="161"/>
      <c r="O1670" s="49"/>
      <c r="P1670" s="49"/>
      <c r="Q1670" s="50"/>
      <c r="R1670" s="51">
        <f>SUM(R1651+R1669)</f>
        <v>104.03976</v>
      </c>
    </row>
    <row r="1671" spans="1:18" x14ac:dyDescent="0.2">
      <c r="A1671" s="13" t="s">
        <v>45</v>
      </c>
      <c r="B1671" s="48" t="s">
        <v>46</v>
      </c>
      <c r="C1671" s="43"/>
      <c r="D1671" s="43"/>
      <c r="E1671" s="161"/>
      <c r="F1671" s="49"/>
      <c r="G1671" s="52">
        <v>0.09</v>
      </c>
      <c r="H1671" s="53" t="s">
        <v>47</v>
      </c>
      <c r="I1671" s="51">
        <f>G1671*I1670</f>
        <v>604.51505999999995</v>
      </c>
      <c r="J1671" s="13" t="s">
        <v>45</v>
      </c>
      <c r="K1671" s="48" t="s">
        <v>46</v>
      </c>
      <c r="L1671" s="43"/>
      <c r="M1671" s="43"/>
      <c r="N1671" s="161"/>
      <c r="O1671" s="49"/>
      <c r="P1671" s="52">
        <v>0.09</v>
      </c>
      <c r="Q1671" s="53" t="s">
        <v>47</v>
      </c>
      <c r="R1671" s="51">
        <f>P1671*R1670</f>
        <v>9.3635783999999997</v>
      </c>
    </row>
    <row r="1672" spans="1:18" x14ac:dyDescent="0.2">
      <c r="A1672" s="13" t="s">
        <v>48</v>
      </c>
      <c r="B1672" s="48" t="s">
        <v>49</v>
      </c>
      <c r="C1672" s="43"/>
      <c r="D1672" s="43"/>
      <c r="E1672" s="161"/>
      <c r="F1672" s="49"/>
      <c r="G1672" s="52">
        <v>0.08</v>
      </c>
      <c r="H1672" s="53" t="s">
        <v>47</v>
      </c>
      <c r="I1672" s="51">
        <f>G1672*I1670</f>
        <v>537.34672</v>
      </c>
      <c r="J1672" s="13" t="s">
        <v>48</v>
      </c>
      <c r="K1672" s="48" t="s">
        <v>49</v>
      </c>
      <c r="L1672" s="43"/>
      <c r="M1672" s="43"/>
      <c r="N1672" s="161"/>
      <c r="O1672" s="49"/>
      <c r="P1672" s="52">
        <v>0.08</v>
      </c>
      <c r="Q1672" s="53" t="s">
        <v>47</v>
      </c>
      <c r="R1672" s="51">
        <f>P1672*R1670</f>
        <v>8.3231807999999994</v>
      </c>
    </row>
    <row r="1673" spans="1:18" x14ac:dyDescent="0.2">
      <c r="A1673" s="13" t="s">
        <v>50</v>
      </c>
      <c r="B1673" s="48" t="s">
        <v>51</v>
      </c>
      <c r="C1673" s="43"/>
      <c r="D1673" s="43"/>
      <c r="E1673" s="161"/>
      <c r="F1673" s="49"/>
      <c r="G1673" s="52">
        <v>0.05</v>
      </c>
      <c r="H1673" s="53" t="s">
        <v>52</v>
      </c>
      <c r="I1673" s="51">
        <f>G1673*(I1670+I1671+I1672)</f>
        <v>392.93478900000002</v>
      </c>
      <c r="J1673" s="13" t="s">
        <v>50</v>
      </c>
      <c r="K1673" s="48" t="s">
        <v>51</v>
      </c>
      <c r="L1673" s="43"/>
      <c r="M1673" s="43"/>
      <c r="N1673" s="161"/>
      <c r="O1673" s="49"/>
      <c r="P1673" s="52">
        <v>0.05</v>
      </c>
      <c r="Q1673" s="53" t="s">
        <v>52</v>
      </c>
      <c r="R1673" s="51">
        <f>P1673*(R1670+R1671+R1672)</f>
        <v>6.0863259599999999</v>
      </c>
    </row>
    <row r="1674" spans="1:18" x14ac:dyDescent="0.2">
      <c r="A1674" s="54" t="s">
        <v>53</v>
      </c>
      <c r="B1674" s="48" t="s">
        <v>54</v>
      </c>
      <c r="C1674" s="43"/>
      <c r="D1674" s="43"/>
      <c r="E1674" s="161"/>
      <c r="F1674" s="49"/>
      <c r="G1674" s="49"/>
      <c r="H1674" s="55" t="s">
        <v>55</v>
      </c>
      <c r="I1674" s="51">
        <f>SUM(I1670+I1671+I1672+I1673)</f>
        <v>8251.6305690000008</v>
      </c>
      <c r="J1674" s="54" t="s">
        <v>53</v>
      </c>
      <c r="K1674" s="48" t="s">
        <v>54</v>
      </c>
      <c r="L1674" s="43"/>
      <c r="M1674" s="43"/>
      <c r="N1674" s="161"/>
      <c r="O1674" s="49"/>
      <c r="P1674" s="49"/>
      <c r="Q1674" s="55" t="s">
        <v>55</v>
      </c>
      <c r="R1674" s="51">
        <f>SUM(R1670+R1671+R1672+R1673)</f>
        <v>127.81284515999999</v>
      </c>
    </row>
    <row r="1675" spans="1:18" x14ac:dyDescent="0.2">
      <c r="J1675" s="236" t="s">
        <v>0</v>
      </c>
      <c r="K1675" s="236"/>
      <c r="L1675" s="236"/>
      <c r="M1675" s="236"/>
      <c r="N1675" s="236"/>
      <c r="O1675" s="236"/>
      <c r="P1675" s="236"/>
      <c r="Q1675" s="236"/>
      <c r="R1675" s="236"/>
    </row>
    <row r="1677" spans="1:18" x14ac:dyDescent="0.2">
      <c r="J1677" s="158" t="s">
        <v>1</v>
      </c>
      <c r="L1677" s="4" t="s">
        <v>2</v>
      </c>
      <c r="M1677" s="5" t="s">
        <v>833</v>
      </c>
      <c r="N1677" s="237" t="s">
        <v>825</v>
      </c>
      <c r="O1677" s="237"/>
      <c r="P1677" s="237"/>
      <c r="Q1677" s="237"/>
    </row>
    <row r="1678" spans="1:18" x14ac:dyDescent="0.2">
      <c r="J1678" s="158" t="s">
        <v>7</v>
      </c>
      <c r="L1678" s="4" t="s">
        <v>2</v>
      </c>
      <c r="N1678" s="158" t="s">
        <v>8</v>
      </c>
      <c r="O1678" s="8"/>
      <c r="P1678" s="8"/>
      <c r="Q1678" s="8"/>
    </row>
    <row r="1679" spans="1:18" x14ac:dyDescent="0.2">
      <c r="J1679" s="158" t="s">
        <v>10</v>
      </c>
      <c r="L1679" s="4" t="s">
        <v>2</v>
      </c>
      <c r="N1679" s="9">
        <v>35</v>
      </c>
      <c r="O1679" s="8"/>
      <c r="P1679" s="8"/>
      <c r="Q1679" s="8"/>
    </row>
    <row r="1680" spans="1:18" x14ac:dyDescent="0.2">
      <c r="K1680" s="8"/>
      <c r="O1680" s="11"/>
      <c r="P1680" s="8"/>
      <c r="Q1680" s="8"/>
      <c r="R1680" s="8"/>
    </row>
    <row r="1681" spans="10:18" x14ac:dyDescent="0.2">
      <c r="J1681" s="12"/>
      <c r="K1681" s="238" t="s">
        <v>11</v>
      </c>
      <c r="L1681" s="239"/>
      <c r="M1681" s="239"/>
      <c r="N1681" s="240"/>
      <c r="O1681" s="244" t="s">
        <v>12</v>
      </c>
      <c r="P1681" s="244" t="s">
        <v>13</v>
      </c>
      <c r="Q1681" s="244" t="s">
        <v>14</v>
      </c>
      <c r="R1681" s="246" t="s">
        <v>15</v>
      </c>
    </row>
    <row r="1682" spans="10:18" x14ac:dyDescent="0.2">
      <c r="J1682" s="13"/>
      <c r="K1682" s="241"/>
      <c r="L1682" s="242"/>
      <c r="M1682" s="242"/>
      <c r="N1682" s="243"/>
      <c r="O1682" s="245"/>
      <c r="P1682" s="245"/>
      <c r="Q1682" s="245"/>
      <c r="R1682" s="247"/>
    </row>
    <row r="1683" spans="10:18" x14ac:dyDescent="0.2">
      <c r="J1683" s="13" t="s">
        <v>16</v>
      </c>
      <c r="K1683" s="14" t="s">
        <v>17</v>
      </c>
      <c r="L1683" s="15"/>
      <c r="M1683" s="15"/>
      <c r="N1683" s="16"/>
      <c r="O1683" s="17"/>
      <c r="P1683" s="17"/>
      <c r="Q1683" s="17"/>
      <c r="R1683" s="17"/>
    </row>
    <row r="1684" spans="10:18" x14ac:dyDescent="0.2">
      <c r="J1684" s="13"/>
      <c r="K1684" s="18"/>
      <c r="L1684" s="19"/>
      <c r="M1684" s="19"/>
      <c r="N1684" s="20"/>
      <c r="O1684" s="21"/>
      <c r="P1684" s="22"/>
      <c r="Q1684" s="21"/>
      <c r="R1684" s="21"/>
    </row>
    <row r="1685" spans="10:18" x14ac:dyDescent="0.2">
      <c r="J1685" s="13"/>
      <c r="K1685" s="24" t="s">
        <v>18</v>
      </c>
      <c r="L1685" s="25"/>
      <c r="M1685" s="25"/>
      <c r="N1685" s="26"/>
      <c r="O1685" s="22">
        <v>1</v>
      </c>
      <c r="P1685" s="23">
        <v>1</v>
      </c>
      <c r="Q1685" s="23">
        <v>69.42</v>
      </c>
      <c r="R1685" s="23">
        <f>P1685*Q1685*O1685</f>
        <v>69.42</v>
      </c>
    </row>
    <row r="1686" spans="10:18" x14ac:dyDescent="0.2">
      <c r="J1686" s="13"/>
      <c r="K1686" s="257" t="s">
        <v>1179</v>
      </c>
      <c r="L1686" s="258"/>
      <c r="M1686" s="19"/>
      <c r="N1686" s="20"/>
      <c r="O1686" s="22">
        <v>8</v>
      </c>
      <c r="P1686" s="23">
        <v>1</v>
      </c>
      <c r="Q1686" s="23">
        <v>38.97</v>
      </c>
      <c r="R1686" s="23">
        <f>P1686*Q1686*O1686</f>
        <v>311.76</v>
      </c>
    </row>
    <row r="1687" spans="10:18" x14ac:dyDescent="0.2">
      <c r="J1687" s="13"/>
      <c r="K1687" s="257"/>
      <c r="L1687" s="258"/>
      <c r="M1687" s="19"/>
      <c r="N1687" s="20"/>
      <c r="O1687" s="22"/>
      <c r="P1687" s="22"/>
      <c r="Q1687" s="23"/>
      <c r="R1687" s="23"/>
    </row>
    <row r="1688" spans="10:18" x14ac:dyDescent="0.2">
      <c r="J1688" s="13"/>
      <c r="K1688" s="159"/>
      <c r="L1688" s="19"/>
      <c r="M1688" s="19"/>
      <c r="N1688" s="20"/>
      <c r="O1688" s="22"/>
      <c r="P1688" s="22"/>
      <c r="Q1688" s="29"/>
      <c r="R1688" s="30"/>
    </row>
    <row r="1689" spans="10:18" x14ac:dyDescent="0.2">
      <c r="J1689" s="13"/>
      <c r="K1689" s="159"/>
      <c r="L1689" s="19"/>
      <c r="M1689" s="19"/>
      <c r="N1689" s="20"/>
      <c r="O1689" s="22"/>
      <c r="P1689" s="22"/>
      <c r="Q1689" s="29"/>
      <c r="R1689" s="30"/>
    </row>
    <row r="1690" spans="10:18" x14ac:dyDescent="0.2">
      <c r="J1690" s="13"/>
      <c r="K1690" s="18"/>
      <c r="L1690" s="19"/>
      <c r="M1690" s="19"/>
      <c r="N1690" s="20"/>
      <c r="O1690" s="22"/>
      <c r="P1690" s="22"/>
      <c r="Q1690" s="28"/>
      <c r="R1690" s="23"/>
    </row>
    <row r="1691" spans="10:18" x14ac:dyDescent="0.2">
      <c r="J1691" s="13"/>
      <c r="K1691" s="18"/>
      <c r="L1691" s="19"/>
      <c r="M1691" s="19"/>
      <c r="N1691" s="20"/>
      <c r="O1691" s="22"/>
      <c r="P1691" s="22"/>
      <c r="Q1691" s="23"/>
      <c r="R1691" s="23"/>
    </row>
    <row r="1692" spans="10:18" x14ac:dyDescent="0.2">
      <c r="J1692" s="13"/>
      <c r="K1692" s="248" t="s">
        <v>20</v>
      </c>
      <c r="L1692" s="249"/>
      <c r="M1692" s="249"/>
      <c r="N1692" s="250"/>
      <c r="O1692" s="31"/>
      <c r="P1692" s="31"/>
      <c r="Q1692" s="32"/>
      <c r="R1692" s="32">
        <f>SUM(R1685:R1691)</f>
        <v>381.18</v>
      </c>
    </row>
    <row r="1693" spans="10:18" x14ac:dyDescent="0.2">
      <c r="J1693" s="12"/>
      <c r="K1693" s="251" t="s">
        <v>21</v>
      </c>
      <c r="L1693" s="252"/>
      <c r="M1693" s="252"/>
      <c r="N1693" s="253"/>
      <c r="O1693" s="244" t="s">
        <v>22</v>
      </c>
      <c r="P1693" s="244" t="s">
        <v>13</v>
      </c>
      <c r="Q1693" s="244" t="s">
        <v>14</v>
      </c>
      <c r="R1693" s="246" t="s">
        <v>15</v>
      </c>
    </row>
    <row r="1694" spans="10:18" x14ac:dyDescent="0.2">
      <c r="J1694" s="13"/>
      <c r="K1694" s="254"/>
      <c r="L1694" s="255"/>
      <c r="M1694" s="255"/>
      <c r="N1694" s="256"/>
      <c r="O1694" s="245"/>
      <c r="P1694" s="245"/>
      <c r="Q1694" s="245"/>
      <c r="R1694" s="247"/>
    </row>
    <row r="1695" spans="10:18" x14ac:dyDescent="0.2">
      <c r="J1695" s="13" t="s">
        <v>23</v>
      </c>
      <c r="K1695" s="33" t="s">
        <v>24</v>
      </c>
      <c r="L1695" s="15"/>
      <c r="M1695" s="15"/>
      <c r="N1695" s="16"/>
      <c r="O1695" s="34"/>
      <c r="P1695" s="34"/>
      <c r="Q1695" s="35"/>
      <c r="R1695" s="35"/>
    </row>
    <row r="1696" spans="10:18" x14ac:dyDescent="0.2">
      <c r="J1696" s="13"/>
      <c r="K1696" s="18"/>
      <c r="L1696" s="19"/>
      <c r="M1696" s="19"/>
      <c r="N1696" s="20"/>
      <c r="O1696" s="22"/>
      <c r="P1696" s="22"/>
      <c r="Q1696" s="23"/>
      <c r="R1696" s="23"/>
    </row>
    <row r="1697" spans="10:18" x14ac:dyDescent="0.2">
      <c r="J1697" s="13"/>
      <c r="K1697" s="18" t="s">
        <v>1312</v>
      </c>
      <c r="L1697" s="19"/>
      <c r="M1697" s="19"/>
      <c r="N1697" s="20"/>
      <c r="O1697" s="22">
        <v>1</v>
      </c>
      <c r="P1697" s="23">
        <v>0.5</v>
      </c>
      <c r="Q1697" s="37">
        <v>2450</v>
      </c>
      <c r="R1697" s="37">
        <f>P1697*Q1697*O1697</f>
        <v>1225</v>
      </c>
    </row>
    <row r="1698" spans="10:18" x14ac:dyDescent="0.2">
      <c r="J1698" s="13"/>
      <c r="K1698" s="18" t="s">
        <v>92</v>
      </c>
      <c r="L1698" s="19"/>
      <c r="M1698" s="19"/>
      <c r="N1698" s="20"/>
      <c r="O1698" s="22"/>
      <c r="P1698" s="36"/>
      <c r="Q1698" s="7"/>
      <c r="R1698" s="37">
        <f>R1692*0.1</f>
        <v>38.118000000000002</v>
      </c>
    </row>
    <row r="1699" spans="10:18" x14ac:dyDescent="0.2">
      <c r="J1699" s="13"/>
      <c r="K1699" s="18"/>
      <c r="L1699" s="19"/>
      <c r="M1699" s="19"/>
      <c r="N1699" s="20"/>
      <c r="O1699" s="22"/>
      <c r="P1699" s="23"/>
      <c r="Q1699" s="37"/>
      <c r="R1699" s="37"/>
    </row>
    <row r="1700" spans="10:18" x14ac:dyDescent="0.2">
      <c r="J1700" s="13"/>
      <c r="K1700" s="18"/>
      <c r="O1700" s="22"/>
      <c r="P1700" s="36"/>
      <c r="Q1700" s="37"/>
      <c r="R1700" s="37"/>
    </row>
    <row r="1701" spans="10:18" x14ac:dyDescent="0.2">
      <c r="J1701" s="13"/>
      <c r="K1701" s="18"/>
      <c r="L1701" s="19"/>
      <c r="M1701" s="19"/>
      <c r="N1701" s="20"/>
      <c r="O1701" s="22"/>
      <c r="P1701" s="36"/>
      <c r="Q1701" s="37"/>
      <c r="R1701" s="37"/>
    </row>
    <row r="1702" spans="10:18" x14ac:dyDescent="0.2">
      <c r="J1702" s="13"/>
      <c r="K1702" s="18"/>
      <c r="L1702" s="19"/>
      <c r="M1702" s="19"/>
      <c r="N1702" s="20"/>
      <c r="O1702" s="22"/>
      <c r="P1702" s="36"/>
      <c r="Q1702" s="38"/>
      <c r="R1702" s="38"/>
    </row>
    <row r="1703" spans="10:18" x14ac:dyDescent="0.2">
      <c r="J1703" s="13"/>
      <c r="K1703" s="18"/>
      <c r="L1703" s="19"/>
      <c r="M1703" s="19"/>
      <c r="N1703" s="20"/>
      <c r="O1703" s="22"/>
      <c r="P1703" s="36"/>
      <c r="Q1703" s="38"/>
      <c r="R1703" s="38"/>
    </row>
    <row r="1704" spans="10:18" x14ac:dyDescent="0.2">
      <c r="J1704" s="13"/>
      <c r="K1704" s="18"/>
      <c r="L1704" s="19"/>
      <c r="M1704" s="19"/>
      <c r="N1704" s="20"/>
      <c r="O1704" s="22"/>
      <c r="P1704" s="36"/>
      <c r="Q1704" s="38"/>
      <c r="R1704" s="38"/>
    </row>
    <row r="1705" spans="10:18" x14ac:dyDescent="0.2">
      <c r="J1705" s="13"/>
      <c r="K1705" s="18"/>
      <c r="L1705" s="19"/>
      <c r="M1705" s="19"/>
      <c r="N1705" s="20"/>
      <c r="O1705" s="22"/>
      <c r="P1705" s="36"/>
      <c r="Q1705" s="38"/>
      <c r="R1705" s="38"/>
    </row>
    <row r="1706" spans="10:18" x14ac:dyDescent="0.2">
      <c r="J1706" s="13"/>
      <c r="K1706" s="18"/>
      <c r="L1706" s="19"/>
      <c r="M1706" s="19"/>
      <c r="N1706" s="20"/>
      <c r="O1706" s="22"/>
      <c r="P1706" s="36"/>
      <c r="Q1706" s="37"/>
      <c r="R1706" s="37"/>
    </row>
    <row r="1707" spans="10:18" x14ac:dyDescent="0.2">
      <c r="J1707" s="13"/>
      <c r="K1707" s="18"/>
      <c r="L1707" s="19"/>
      <c r="M1707" s="19"/>
      <c r="N1707" s="20"/>
      <c r="O1707" s="22"/>
      <c r="P1707" s="36"/>
      <c r="Q1707" s="37"/>
      <c r="R1707" s="37"/>
    </row>
    <row r="1708" spans="10:18" x14ac:dyDescent="0.2">
      <c r="J1708" s="13"/>
      <c r="K1708" s="18"/>
      <c r="L1708" s="19"/>
      <c r="M1708" s="19"/>
      <c r="N1708" s="20"/>
      <c r="O1708" s="22"/>
      <c r="P1708" s="36"/>
      <c r="Q1708" s="37"/>
      <c r="R1708" s="37"/>
    </row>
    <row r="1709" spans="10:18" x14ac:dyDescent="0.2">
      <c r="J1709" s="13"/>
      <c r="K1709" s="18"/>
      <c r="L1709" s="19"/>
      <c r="M1709" s="19"/>
      <c r="N1709" s="20"/>
      <c r="O1709" s="22"/>
      <c r="P1709" s="22"/>
      <c r="Q1709" s="23"/>
      <c r="R1709" s="23"/>
    </row>
    <row r="1710" spans="10:18" x14ac:dyDescent="0.2">
      <c r="J1710" s="13"/>
      <c r="K1710" s="248" t="s">
        <v>30</v>
      </c>
      <c r="L1710" s="249"/>
      <c r="M1710" s="249"/>
      <c r="N1710" s="250"/>
      <c r="O1710" s="22"/>
      <c r="P1710" s="22"/>
      <c r="Q1710" s="23"/>
      <c r="R1710" s="23">
        <f>SUM(R1697:R1709)</f>
        <v>1263.1179999999999</v>
      </c>
    </row>
    <row r="1711" spans="10:18" x14ac:dyDescent="0.2">
      <c r="J1711" s="12" t="s">
        <v>31</v>
      </c>
      <c r="K1711" s="260" t="s">
        <v>32</v>
      </c>
      <c r="L1711" s="261"/>
      <c r="M1711" s="261"/>
      <c r="N1711" s="261"/>
      <c r="O1711" s="161"/>
      <c r="P1711" s="161"/>
      <c r="Q1711" s="40"/>
      <c r="R1711" s="41">
        <f>SUM(R1710+R1692)</f>
        <v>1644.298</v>
      </c>
    </row>
    <row r="1712" spans="10:18" x14ac:dyDescent="0.2">
      <c r="J1712" s="13" t="s">
        <v>33</v>
      </c>
      <c r="K1712" s="305">
        <f>N1679</f>
        <v>35</v>
      </c>
      <c r="L1712" s="306"/>
      <c r="M1712" s="306"/>
      <c r="N1712" s="306"/>
      <c r="O1712" s="306"/>
      <c r="P1712" s="306"/>
      <c r="Q1712" s="40"/>
      <c r="R1712" s="41"/>
    </row>
    <row r="1713" spans="10:18" x14ac:dyDescent="0.2">
      <c r="J1713" s="13" t="s">
        <v>34</v>
      </c>
      <c r="K1713" s="162" t="s">
        <v>35</v>
      </c>
      <c r="L1713" s="43"/>
      <c r="M1713" s="43"/>
      <c r="N1713" s="161"/>
      <c r="O1713" s="163"/>
      <c r="P1713" s="163"/>
      <c r="Q1713" s="40"/>
      <c r="R1713" s="41">
        <f>R1711/N1679</f>
        <v>46.979942857142859</v>
      </c>
    </row>
    <row r="1714" spans="10:18" x14ac:dyDescent="0.2">
      <c r="J1714" s="12"/>
      <c r="K1714" s="251" t="s">
        <v>36</v>
      </c>
      <c r="L1714" s="252"/>
      <c r="M1714" s="252"/>
      <c r="N1714" s="253"/>
      <c r="O1714" s="244" t="s">
        <v>37</v>
      </c>
      <c r="P1714" s="244" t="s">
        <v>38</v>
      </c>
      <c r="Q1714" s="244" t="s">
        <v>39</v>
      </c>
      <c r="R1714" s="246" t="s">
        <v>15</v>
      </c>
    </row>
    <row r="1715" spans="10:18" x14ac:dyDescent="0.2">
      <c r="J1715" s="13"/>
      <c r="K1715" s="254"/>
      <c r="L1715" s="255"/>
      <c r="M1715" s="255"/>
      <c r="N1715" s="256"/>
      <c r="O1715" s="245"/>
      <c r="P1715" s="245"/>
      <c r="Q1715" s="245"/>
      <c r="R1715" s="247"/>
    </row>
    <row r="1716" spans="10:18" x14ac:dyDescent="0.2">
      <c r="J1716" s="13" t="s">
        <v>40</v>
      </c>
      <c r="K1716" s="18" t="s">
        <v>41</v>
      </c>
      <c r="L1716" s="19"/>
      <c r="M1716" s="19"/>
      <c r="N1716" s="20"/>
      <c r="O1716" s="22"/>
      <c r="P1716" s="22"/>
      <c r="Q1716" s="23"/>
      <c r="R1716" s="23"/>
    </row>
    <row r="1717" spans="10:18" x14ac:dyDescent="0.2">
      <c r="J1717" s="13"/>
      <c r="K1717" s="18"/>
      <c r="L1717" s="19"/>
      <c r="M1717" s="19"/>
      <c r="N1717" s="20"/>
      <c r="O1717" s="22"/>
      <c r="P1717" s="22"/>
      <c r="Q1717" s="23"/>
      <c r="R1717" s="23"/>
    </row>
    <row r="1718" spans="10:18" x14ac:dyDescent="0.2">
      <c r="J1718" s="13"/>
      <c r="K1718" s="18" t="s">
        <v>834</v>
      </c>
      <c r="L1718" s="66"/>
      <c r="M1718" s="19"/>
      <c r="N1718" s="20"/>
      <c r="O1718" s="62" t="s">
        <v>8</v>
      </c>
      <c r="P1718" s="62">
        <v>1.05</v>
      </c>
      <c r="Q1718" s="107">
        <v>70</v>
      </c>
      <c r="R1718" s="23">
        <f>Q1718*P1718</f>
        <v>73.5</v>
      </c>
    </row>
    <row r="1719" spans="10:18" x14ac:dyDescent="0.2">
      <c r="J1719" s="13"/>
      <c r="K1719" s="18" t="s">
        <v>835</v>
      </c>
      <c r="L1719" s="66"/>
      <c r="M1719" s="19"/>
      <c r="N1719" s="20"/>
      <c r="O1719" s="22"/>
      <c r="P1719" s="22"/>
      <c r="Q1719" s="23"/>
      <c r="R1719" s="23"/>
    </row>
    <row r="1720" spans="10:18" x14ac:dyDescent="0.2">
      <c r="J1720" s="13"/>
      <c r="K1720" s="18"/>
      <c r="L1720" s="19"/>
      <c r="M1720" s="19"/>
      <c r="N1720" s="20"/>
      <c r="O1720" s="22"/>
      <c r="P1720" s="22"/>
      <c r="Q1720" s="38"/>
      <c r="R1720" s="38"/>
    </row>
    <row r="1721" spans="10:18" x14ac:dyDescent="0.2">
      <c r="J1721" s="13"/>
      <c r="K1721" s="18"/>
      <c r="L1721" s="19"/>
      <c r="M1721" s="19"/>
      <c r="N1721" s="20"/>
      <c r="O1721" s="22"/>
      <c r="P1721" s="22"/>
      <c r="Q1721" s="38"/>
      <c r="R1721" s="38"/>
    </row>
    <row r="1722" spans="10:18" x14ac:dyDescent="0.2">
      <c r="J1722" s="13"/>
      <c r="K1722" s="18"/>
      <c r="L1722" s="19"/>
      <c r="M1722" s="19"/>
      <c r="N1722" s="20"/>
      <c r="O1722" s="22"/>
      <c r="P1722" s="22"/>
      <c r="Q1722" s="45"/>
      <c r="R1722" s="45"/>
    </row>
    <row r="1723" spans="10:18" x14ac:dyDescent="0.2">
      <c r="J1723" s="13"/>
      <c r="K1723" s="18"/>
      <c r="L1723" s="19"/>
      <c r="M1723" s="19"/>
      <c r="N1723" s="20"/>
      <c r="O1723" s="22"/>
      <c r="P1723" s="22"/>
      <c r="Q1723" s="45"/>
      <c r="R1723" s="45"/>
    </row>
    <row r="1724" spans="10:18" x14ac:dyDescent="0.2">
      <c r="J1724" s="13"/>
      <c r="K1724" s="18"/>
      <c r="L1724" s="19"/>
      <c r="M1724" s="19"/>
      <c r="N1724" s="20"/>
      <c r="O1724" s="22"/>
      <c r="P1724" s="22"/>
      <c r="Q1724" s="23"/>
      <c r="R1724" s="23"/>
    </row>
    <row r="1725" spans="10:18" x14ac:dyDescent="0.2">
      <c r="J1725" s="13"/>
      <c r="K1725" s="18"/>
      <c r="L1725" s="19"/>
      <c r="M1725" s="19"/>
      <c r="N1725" s="20"/>
      <c r="O1725" s="22"/>
      <c r="P1725" s="22"/>
      <c r="Q1725" s="23"/>
      <c r="R1725" s="23"/>
    </row>
    <row r="1726" spans="10:18" x14ac:dyDescent="0.2">
      <c r="J1726" s="13"/>
      <c r="K1726" s="18"/>
      <c r="L1726" s="19"/>
      <c r="M1726" s="19"/>
      <c r="N1726" s="20"/>
      <c r="O1726" s="22"/>
      <c r="P1726" s="22"/>
      <c r="Q1726" s="23"/>
      <c r="R1726" s="23"/>
    </row>
    <row r="1727" spans="10:18" x14ac:dyDescent="0.2">
      <c r="J1727" s="13"/>
      <c r="K1727" s="18"/>
      <c r="L1727" s="19"/>
      <c r="M1727" s="19"/>
      <c r="N1727" s="20"/>
      <c r="O1727" s="22"/>
      <c r="P1727" s="22"/>
      <c r="Q1727" s="23"/>
      <c r="R1727" s="23"/>
    </row>
    <row r="1728" spans="10:18" x14ac:dyDescent="0.2">
      <c r="J1728" s="13"/>
      <c r="K1728" s="18"/>
      <c r="L1728" s="19"/>
      <c r="M1728" s="19"/>
      <c r="N1728" s="20"/>
      <c r="O1728" s="22"/>
      <c r="P1728" s="22"/>
      <c r="Q1728" s="23"/>
      <c r="R1728" s="23"/>
    </row>
    <row r="1729" spans="10:18" x14ac:dyDescent="0.2">
      <c r="J1729" s="13"/>
      <c r="K1729" s="18"/>
      <c r="L1729" s="19"/>
      <c r="M1729" s="19"/>
      <c r="N1729" s="20"/>
      <c r="O1729" s="22"/>
      <c r="P1729" s="36"/>
      <c r="Q1729" s="37"/>
      <c r="R1729" s="37"/>
    </row>
    <row r="1730" spans="10:18" x14ac:dyDescent="0.2">
      <c r="J1730" s="13"/>
      <c r="K1730" s="18"/>
      <c r="L1730" s="19"/>
      <c r="M1730" s="19"/>
      <c r="N1730" s="20"/>
      <c r="O1730" s="22"/>
      <c r="P1730" s="36"/>
      <c r="Q1730" s="37"/>
      <c r="R1730" s="37"/>
    </row>
    <row r="1731" spans="10:18" x14ac:dyDescent="0.2">
      <c r="J1731" s="13"/>
      <c r="K1731" s="248" t="s">
        <v>42</v>
      </c>
      <c r="L1731" s="249"/>
      <c r="M1731" s="249"/>
      <c r="N1731" s="250"/>
      <c r="O1731" s="46"/>
      <c r="P1731" s="46"/>
      <c r="Q1731" s="47"/>
      <c r="R1731" s="47">
        <f>SUM(R1718:R1729)</f>
        <v>73.5</v>
      </c>
    </row>
    <row r="1732" spans="10:18" x14ac:dyDescent="0.2">
      <c r="J1732" s="12" t="s">
        <v>43</v>
      </c>
      <c r="K1732" s="48" t="s">
        <v>44</v>
      </c>
      <c r="L1732" s="43"/>
      <c r="M1732" s="43"/>
      <c r="N1732" s="161"/>
      <c r="O1732" s="49"/>
      <c r="P1732" s="49"/>
      <c r="Q1732" s="50"/>
      <c r="R1732" s="51">
        <f>SUM(R1713+R1731)</f>
        <v>120.47994285714286</v>
      </c>
    </row>
    <row r="1733" spans="10:18" x14ac:dyDescent="0.2">
      <c r="J1733" s="13" t="s">
        <v>45</v>
      </c>
      <c r="K1733" s="48" t="s">
        <v>46</v>
      </c>
      <c r="L1733" s="43"/>
      <c r="M1733" s="43"/>
      <c r="N1733" s="161"/>
      <c r="O1733" s="49"/>
      <c r="P1733" s="52">
        <v>0.09</v>
      </c>
      <c r="Q1733" s="53" t="s">
        <v>47</v>
      </c>
      <c r="R1733" s="51">
        <f>P1733*R1732</f>
        <v>10.843194857142857</v>
      </c>
    </row>
    <row r="1734" spans="10:18" x14ac:dyDescent="0.2">
      <c r="J1734" s="13" t="s">
        <v>48</v>
      </c>
      <c r="K1734" s="48" t="s">
        <v>49</v>
      </c>
      <c r="L1734" s="43"/>
      <c r="M1734" s="43"/>
      <c r="N1734" s="161"/>
      <c r="O1734" s="49"/>
      <c r="P1734" s="52">
        <v>0.08</v>
      </c>
      <c r="Q1734" s="53" t="s">
        <v>47</v>
      </c>
      <c r="R1734" s="51">
        <f>P1734*R1732</f>
        <v>9.6383954285714282</v>
      </c>
    </row>
    <row r="1735" spans="10:18" x14ac:dyDescent="0.2">
      <c r="J1735" s="13" t="s">
        <v>50</v>
      </c>
      <c r="K1735" s="48" t="s">
        <v>51</v>
      </c>
      <c r="L1735" s="43"/>
      <c r="M1735" s="43"/>
      <c r="N1735" s="161"/>
      <c r="O1735" s="49"/>
      <c r="P1735" s="52">
        <v>0.05</v>
      </c>
      <c r="Q1735" s="53" t="s">
        <v>52</v>
      </c>
      <c r="R1735" s="51">
        <f>P1735*(R1732+R1733+R1734)</f>
        <v>7.0480766571428575</v>
      </c>
    </row>
    <row r="1736" spans="10:18" x14ac:dyDescent="0.2">
      <c r="J1736" s="54" t="s">
        <v>53</v>
      </c>
      <c r="K1736" s="48" t="s">
        <v>54</v>
      </c>
      <c r="L1736" s="43"/>
      <c r="M1736" s="43"/>
      <c r="N1736" s="161"/>
      <c r="O1736" s="49"/>
      <c r="P1736" s="49"/>
      <c r="Q1736" s="55" t="s">
        <v>55</v>
      </c>
      <c r="R1736" s="51">
        <f>SUM(R1732+R1733+R1734+R1735)</f>
        <v>148.00960980000002</v>
      </c>
    </row>
  </sheetData>
  <sheetProtection selectLockedCells="1" selectUnlockedCells="1"/>
  <mergeCells count="1327">
    <mergeCell ref="O1714:O1715"/>
    <mergeCell ref="P1714:P1715"/>
    <mergeCell ref="Q1714:Q1715"/>
    <mergeCell ref="R1714:R1715"/>
    <mergeCell ref="B1669:E1669"/>
    <mergeCell ref="K1731:N1731"/>
    <mergeCell ref="B1649:E1649"/>
    <mergeCell ref="K1711:N1711"/>
    <mergeCell ref="B1650:G1650"/>
    <mergeCell ref="K1712:P1712"/>
    <mergeCell ref="B1652:E1653"/>
    <mergeCell ref="F1652:F1653"/>
    <mergeCell ref="G1652:G1653"/>
    <mergeCell ref="H1652:H1653"/>
    <mergeCell ref="I1652:I1653"/>
    <mergeCell ref="K1714:N1715"/>
    <mergeCell ref="O1693:O1694"/>
    <mergeCell ref="P1693:P1694"/>
    <mergeCell ref="Q1693:Q1694"/>
    <mergeCell ref="R1693:R1694"/>
    <mergeCell ref="K1710:N1710"/>
    <mergeCell ref="K1687:L1687"/>
    <mergeCell ref="K1692:N1692"/>
    <mergeCell ref="K1693:N1694"/>
    <mergeCell ref="O1681:O1682"/>
    <mergeCell ref="P1681:P1682"/>
    <mergeCell ref="Q1681:Q1682"/>
    <mergeCell ref="R1681:R1682"/>
    <mergeCell ref="K1686:L1686"/>
    <mergeCell ref="A1613:I1613"/>
    <mergeCell ref="J1675:R1675"/>
    <mergeCell ref="E1615:H1615"/>
    <mergeCell ref="N1677:Q1677"/>
    <mergeCell ref="B1619:E1620"/>
    <mergeCell ref="F1619:F1620"/>
    <mergeCell ref="G1619:G1620"/>
    <mergeCell ref="H1619:H1620"/>
    <mergeCell ref="I1619:I1620"/>
    <mergeCell ref="K1681:N1682"/>
    <mergeCell ref="O1652:O1653"/>
    <mergeCell ref="P1652:P1653"/>
    <mergeCell ref="Q1652:Q1653"/>
    <mergeCell ref="R1652:R1653"/>
    <mergeCell ref="B1648:E1648"/>
    <mergeCell ref="B1625:C1625"/>
    <mergeCell ref="B1630:E1630"/>
    <mergeCell ref="B1631:E1632"/>
    <mergeCell ref="F1631:F1632"/>
    <mergeCell ref="G1631:G1632"/>
    <mergeCell ref="H1631:H1632"/>
    <mergeCell ref="I1631:I1632"/>
    <mergeCell ref="K1669:N1669"/>
    <mergeCell ref="K1649:N1649"/>
    <mergeCell ref="B1588:G1588"/>
    <mergeCell ref="K1650:P1650"/>
    <mergeCell ref="B1590:E1591"/>
    <mergeCell ref="F1590:F1591"/>
    <mergeCell ref="G1590:G1591"/>
    <mergeCell ref="H1590:H1591"/>
    <mergeCell ref="I1590:I1591"/>
    <mergeCell ref="K1652:N1653"/>
    <mergeCell ref="O1631:O1632"/>
    <mergeCell ref="P1631:P1632"/>
    <mergeCell ref="Q1631:Q1632"/>
    <mergeCell ref="R1631:R1632"/>
    <mergeCell ref="B1586:E1586"/>
    <mergeCell ref="K1648:N1648"/>
    <mergeCell ref="K1625:L1625"/>
    <mergeCell ref="B1624:C1624"/>
    <mergeCell ref="K1630:N1630"/>
    <mergeCell ref="B1569:E1570"/>
    <mergeCell ref="F1569:F1570"/>
    <mergeCell ref="G1569:G1570"/>
    <mergeCell ref="H1569:H1570"/>
    <mergeCell ref="I1569:I1570"/>
    <mergeCell ref="K1631:N1632"/>
    <mergeCell ref="O1619:O1620"/>
    <mergeCell ref="P1619:P1620"/>
    <mergeCell ref="Q1619:Q1620"/>
    <mergeCell ref="R1619:R1620"/>
    <mergeCell ref="B1562:C1562"/>
    <mergeCell ref="K1624:L1624"/>
    <mergeCell ref="A1551:I1551"/>
    <mergeCell ref="J1613:R1613"/>
    <mergeCell ref="E1553:H1553"/>
    <mergeCell ref="N1615:Q1615"/>
    <mergeCell ref="B1557:E1558"/>
    <mergeCell ref="F1557:F1558"/>
    <mergeCell ref="G1557:G1558"/>
    <mergeCell ref="H1557:H1558"/>
    <mergeCell ref="I1557:I1558"/>
    <mergeCell ref="K1619:N1620"/>
    <mergeCell ref="O1590:O1591"/>
    <mergeCell ref="P1590:P1591"/>
    <mergeCell ref="Q1590:Q1591"/>
    <mergeCell ref="R1590:R1591"/>
    <mergeCell ref="B1607:E1607"/>
    <mergeCell ref="K1607:N1607"/>
    <mergeCell ref="B1587:E1587"/>
    <mergeCell ref="K1587:N1587"/>
    <mergeCell ref="B1526:G1526"/>
    <mergeCell ref="K1588:P1588"/>
    <mergeCell ref="B1528:E1529"/>
    <mergeCell ref="F1528:F1529"/>
    <mergeCell ref="G1528:G1529"/>
    <mergeCell ref="H1528:H1529"/>
    <mergeCell ref="I1528:I1529"/>
    <mergeCell ref="K1590:N1591"/>
    <mergeCell ref="O1569:O1570"/>
    <mergeCell ref="P1569:P1570"/>
    <mergeCell ref="Q1569:Q1570"/>
    <mergeCell ref="R1569:R1570"/>
    <mergeCell ref="B1524:E1524"/>
    <mergeCell ref="K1586:N1586"/>
    <mergeCell ref="B1563:C1563"/>
    <mergeCell ref="K1563:L1563"/>
    <mergeCell ref="B1568:E1568"/>
    <mergeCell ref="K1568:N1568"/>
    <mergeCell ref="B1507:E1508"/>
    <mergeCell ref="F1507:F1508"/>
    <mergeCell ref="G1507:G1508"/>
    <mergeCell ref="H1507:H1508"/>
    <mergeCell ref="I1507:I1508"/>
    <mergeCell ref="K1569:N1570"/>
    <mergeCell ref="O1557:O1558"/>
    <mergeCell ref="P1557:P1558"/>
    <mergeCell ref="Q1557:Q1558"/>
    <mergeCell ref="R1557:R1558"/>
    <mergeCell ref="B1500:C1500"/>
    <mergeCell ref="K1562:L1562"/>
    <mergeCell ref="A1489:I1489"/>
    <mergeCell ref="J1551:R1551"/>
    <mergeCell ref="E1491:H1491"/>
    <mergeCell ref="N1553:Q1553"/>
    <mergeCell ref="B1495:E1496"/>
    <mergeCell ref="F1495:F1496"/>
    <mergeCell ref="G1495:G1496"/>
    <mergeCell ref="H1495:H1496"/>
    <mergeCell ref="I1495:I1496"/>
    <mergeCell ref="K1557:N1558"/>
    <mergeCell ref="O1528:O1529"/>
    <mergeCell ref="P1528:P1529"/>
    <mergeCell ref="Q1528:Q1529"/>
    <mergeCell ref="R1528:R1529"/>
    <mergeCell ref="B1545:E1545"/>
    <mergeCell ref="K1545:N1545"/>
    <mergeCell ref="B1525:E1525"/>
    <mergeCell ref="K1525:N1525"/>
    <mergeCell ref="B1464:G1464"/>
    <mergeCell ref="K1526:P1526"/>
    <mergeCell ref="B1466:E1467"/>
    <mergeCell ref="F1466:F1467"/>
    <mergeCell ref="G1466:G1467"/>
    <mergeCell ref="H1466:H1467"/>
    <mergeCell ref="I1466:I1467"/>
    <mergeCell ref="K1528:N1529"/>
    <mergeCell ref="O1507:O1508"/>
    <mergeCell ref="P1507:P1508"/>
    <mergeCell ref="Q1507:Q1508"/>
    <mergeCell ref="R1507:R1508"/>
    <mergeCell ref="B1462:E1462"/>
    <mergeCell ref="K1524:N1524"/>
    <mergeCell ref="B1501:C1501"/>
    <mergeCell ref="B1506:E1506"/>
    <mergeCell ref="K1501:L1501"/>
    <mergeCell ref="B1444:E1444"/>
    <mergeCell ref="K1506:N1506"/>
    <mergeCell ref="B1445:E1446"/>
    <mergeCell ref="F1445:F1446"/>
    <mergeCell ref="G1445:G1446"/>
    <mergeCell ref="H1445:H1446"/>
    <mergeCell ref="I1445:I1446"/>
    <mergeCell ref="K1507:N1508"/>
    <mergeCell ref="O1495:O1496"/>
    <mergeCell ref="P1495:P1496"/>
    <mergeCell ref="Q1495:Q1496"/>
    <mergeCell ref="R1495:R1496"/>
    <mergeCell ref="B1438:C1438"/>
    <mergeCell ref="K1500:L1500"/>
    <mergeCell ref="A1427:I1427"/>
    <mergeCell ref="J1489:R1489"/>
    <mergeCell ref="E1429:H1429"/>
    <mergeCell ref="N1491:Q1491"/>
    <mergeCell ref="B1433:E1434"/>
    <mergeCell ref="F1433:F1434"/>
    <mergeCell ref="G1433:G1434"/>
    <mergeCell ref="H1433:H1434"/>
    <mergeCell ref="I1433:I1434"/>
    <mergeCell ref="K1495:N1496"/>
    <mergeCell ref="O1466:O1467"/>
    <mergeCell ref="P1466:P1467"/>
    <mergeCell ref="Q1466:Q1467"/>
    <mergeCell ref="R1466:R1467"/>
    <mergeCell ref="B1483:E1483"/>
    <mergeCell ref="K1444:N1444"/>
    <mergeCell ref="B1463:E1463"/>
    <mergeCell ref="K1445:N1446"/>
    <mergeCell ref="P1433:P1434"/>
    <mergeCell ref="Q1433:Q1434"/>
    <mergeCell ref="R1433:R1434"/>
    <mergeCell ref="B1376:C1376"/>
    <mergeCell ref="K1438:L1438"/>
    <mergeCell ref="B1377:C1377"/>
    <mergeCell ref="K1439:L1439"/>
    <mergeCell ref="B1421:E1421"/>
    <mergeCell ref="K1483:N1483"/>
    <mergeCell ref="B1401:E1401"/>
    <mergeCell ref="K1463:N1463"/>
    <mergeCell ref="B1402:G1402"/>
    <mergeCell ref="K1464:P1464"/>
    <mergeCell ref="B1404:E1405"/>
    <mergeCell ref="F1404:F1405"/>
    <mergeCell ref="G1404:G1405"/>
    <mergeCell ref="H1404:H1405"/>
    <mergeCell ref="I1404:I1405"/>
    <mergeCell ref="K1466:N1467"/>
    <mergeCell ref="O1445:O1446"/>
    <mergeCell ref="P1445:P1446"/>
    <mergeCell ref="Q1445:Q1446"/>
    <mergeCell ref="R1445:R1446"/>
    <mergeCell ref="B1400:E1400"/>
    <mergeCell ref="K1462:N1462"/>
    <mergeCell ref="J1427:R1427"/>
    <mergeCell ref="B1439:C1439"/>
    <mergeCell ref="N1429:Q1429"/>
    <mergeCell ref="B1371:E1372"/>
    <mergeCell ref="F1371:F1372"/>
    <mergeCell ref="G1371:G1372"/>
    <mergeCell ref="H1371:H1372"/>
    <mergeCell ref="I1371:I1372"/>
    <mergeCell ref="K1433:N1434"/>
    <mergeCell ref="O1433:O1434"/>
    <mergeCell ref="O1404:O1405"/>
    <mergeCell ref="P1404:P1405"/>
    <mergeCell ref="Q1404:Q1405"/>
    <mergeCell ref="R1404:R1405"/>
    <mergeCell ref="B1359:E1359"/>
    <mergeCell ref="K1421:N1421"/>
    <mergeCell ref="B1339:E1339"/>
    <mergeCell ref="K1401:N1401"/>
    <mergeCell ref="B1340:G1340"/>
    <mergeCell ref="K1402:P1402"/>
    <mergeCell ref="B1342:E1343"/>
    <mergeCell ref="F1342:F1343"/>
    <mergeCell ref="G1342:G1343"/>
    <mergeCell ref="H1342:H1343"/>
    <mergeCell ref="I1342:I1343"/>
    <mergeCell ref="K1404:N1405"/>
    <mergeCell ref="O1383:O1384"/>
    <mergeCell ref="P1383:P1384"/>
    <mergeCell ref="Q1383:Q1384"/>
    <mergeCell ref="R1383:R1384"/>
    <mergeCell ref="B1380:C1380"/>
    <mergeCell ref="B1381:C1381"/>
    <mergeCell ref="B1382:E1382"/>
    <mergeCell ref="K1400:N1400"/>
    <mergeCell ref="K1382:N1382"/>
    <mergeCell ref="B1321:E1322"/>
    <mergeCell ref="F1321:F1322"/>
    <mergeCell ref="G1321:G1322"/>
    <mergeCell ref="H1321:H1322"/>
    <mergeCell ref="I1321:I1322"/>
    <mergeCell ref="K1383:N1384"/>
    <mergeCell ref="P1371:P1372"/>
    <mergeCell ref="Q1371:Q1372"/>
    <mergeCell ref="R1371:R1372"/>
    <mergeCell ref="B1314:C1314"/>
    <mergeCell ref="K1376:L1376"/>
    <mergeCell ref="B1315:C1315"/>
    <mergeCell ref="K1377:L1377"/>
    <mergeCell ref="A1365:I1365"/>
    <mergeCell ref="J1365:R1365"/>
    <mergeCell ref="N1367:Q1367"/>
    <mergeCell ref="B1383:E1384"/>
    <mergeCell ref="F1383:F1384"/>
    <mergeCell ref="G1383:G1384"/>
    <mergeCell ref="H1383:H1384"/>
    <mergeCell ref="I1383:I1384"/>
    <mergeCell ref="K1371:N1372"/>
    <mergeCell ref="O1371:O1372"/>
    <mergeCell ref="O1342:O1343"/>
    <mergeCell ref="P1342:P1343"/>
    <mergeCell ref="Q1342:Q1343"/>
    <mergeCell ref="R1342:R1343"/>
    <mergeCell ref="B1297:E1297"/>
    <mergeCell ref="K1359:N1359"/>
    <mergeCell ref="B1277:E1277"/>
    <mergeCell ref="K1339:N1339"/>
    <mergeCell ref="B1278:G1278"/>
    <mergeCell ref="K1340:P1340"/>
    <mergeCell ref="B1280:E1281"/>
    <mergeCell ref="F1280:F1281"/>
    <mergeCell ref="G1280:G1281"/>
    <mergeCell ref="H1280:H1281"/>
    <mergeCell ref="I1280:I1281"/>
    <mergeCell ref="K1342:N1343"/>
    <mergeCell ref="O1321:O1322"/>
    <mergeCell ref="P1321:P1322"/>
    <mergeCell ref="Q1321:Q1322"/>
    <mergeCell ref="R1321:R1322"/>
    <mergeCell ref="B1338:E1338"/>
    <mergeCell ref="K1338:N1338"/>
    <mergeCell ref="B1318:C1318"/>
    <mergeCell ref="B1319:C1319"/>
    <mergeCell ref="B1320:E1320"/>
    <mergeCell ref="K1320:N1320"/>
    <mergeCell ref="B1259:E1260"/>
    <mergeCell ref="F1259:F1260"/>
    <mergeCell ref="G1259:G1260"/>
    <mergeCell ref="H1259:H1260"/>
    <mergeCell ref="I1259:I1260"/>
    <mergeCell ref="K1321:N1322"/>
    <mergeCell ref="P1309:P1310"/>
    <mergeCell ref="Q1309:Q1310"/>
    <mergeCell ref="R1309:R1310"/>
    <mergeCell ref="B1252:C1252"/>
    <mergeCell ref="K1314:L1314"/>
    <mergeCell ref="B1253:C1253"/>
    <mergeCell ref="K1315:L1315"/>
    <mergeCell ref="A1303:I1303"/>
    <mergeCell ref="J1303:R1303"/>
    <mergeCell ref="N1305:Q1305"/>
    <mergeCell ref="B1309:E1310"/>
    <mergeCell ref="F1309:F1310"/>
    <mergeCell ref="G1309:G1310"/>
    <mergeCell ref="H1309:H1310"/>
    <mergeCell ref="I1309:I1310"/>
    <mergeCell ref="K1309:N1310"/>
    <mergeCell ref="O1309:O1310"/>
    <mergeCell ref="O1280:O1281"/>
    <mergeCell ref="P1280:P1281"/>
    <mergeCell ref="Q1280:Q1281"/>
    <mergeCell ref="R1280:R1281"/>
    <mergeCell ref="B1235:E1235"/>
    <mergeCell ref="K1297:N1297"/>
    <mergeCell ref="B1215:E1215"/>
    <mergeCell ref="K1277:N1277"/>
    <mergeCell ref="B1216:G1216"/>
    <mergeCell ref="K1278:P1278"/>
    <mergeCell ref="B1218:E1219"/>
    <mergeCell ref="F1218:F1219"/>
    <mergeCell ref="G1218:G1219"/>
    <mergeCell ref="H1218:H1219"/>
    <mergeCell ref="I1218:I1219"/>
    <mergeCell ref="K1280:N1281"/>
    <mergeCell ref="O1259:O1260"/>
    <mergeCell ref="P1259:P1260"/>
    <mergeCell ref="Q1259:Q1260"/>
    <mergeCell ref="R1259:R1260"/>
    <mergeCell ref="B1276:E1276"/>
    <mergeCell ref="K1276:N1276"/>
    <mergeCell ref="B1256:C1256"/>
    <mergeCell ref="B1257:C1257"/>
    <mergeCell ref="B1258:E1258"/>
    <mergeCell ref="K1258:N1258"/>
    <mergeCell ref="B1197:E1198"/>
    <mergeCell ref="F1197:F1198"/>
    <mergeCell ref="G1197:G1198"/>
    <mergeCell ref="H1197:H1198"/>
    <mergeCell ref="I1197:I1198"/>
    <mergeCell ref="K1259:N1260"/>
    <mergeCell ref="P1247:P1248"/>
    <mergeCell ref="Q1247:Q1248"/>
    <mergeCell ref="R1247:R1248"/>
    <mergeCell ref="B1190:C1190"/>
    <mergeCell ref="K1252:L1252"/>
    <mergeCell ref="B1191:C1191"/>
    <mergeCell ref="K1253:L1253"/>
    <mergeCell ref="A1241:I1241"/>
    <mergeCell ref="J1241:R1241"/>
    <mergeCell ref="N1243:Q1243"/>
    <mergeCell ref="B1247:E1248"/>
    <mergeCell ref="F1247:F1248"/>
    <mergeCell ref="G1247:G1248"/>
    <mergeCell ref="H1247:H1248"/>
    <mergeCell ref="I1247:I1248"/>
    <mergeCell ref="K1247:N1248"/>
    <mergeCell ref="O1247:O1248"/>
    <mergeCell ref="O1218:O1219"/>
    <mergeCell ref="P1218:P1219"/>
    <mergeCell ref="Q1218:Q1219"/>
    <mergeCell ref="R1218:R1219"/>
    <mergeCell ref="B1173:E1173"/>
    <mergeCell ref="K1235:N1235"/>
    <mergeCell ref="B1153:E1153"/>
    <mergeCell ref="K1215:N1215"/>
    <mergeCell ref="B1154:G1154"/>
    <mergeCell ref="K1216:P1216"/>
    <mergeCell ref="B1156:E1157"/>
    <mergeCell ref="F1156:F1157"/>
    <mergeCell ref="G1156:G1157"/>
    <mergeCell ref="H1156:H1157"/>
    <mergeCell ref="I1156:I1157"/>
    <mergeCell ref="K1218:N1219"/>
    <mergeCell ref="O1197:O1198"/>
    <mergeCell ref="P1197:P1198"/>
    <mergeCell ref="Q1197:Q1198"/>
    <mergeCell ref="R1197:R1198"/>
    <mergeCell ref="B1214:E1214"/>
    <mergeCell ref="K1214:N1214"/>
    <mergeCell ref="B1194:C1194"/>
    <mergeCell ref="B1195:C1195"/>
    <mergeCell ref="B1196:E1196"/>
    <mergeCell ref="K1196:N1196"/>
    <mergeCell ref="B1135:E1136"/>
    <mergeCell ref="F1135:F1136"/>
    <mergeCell ref="G1135:G1136"/>
    <mergeCell ref="H1135:H1136"/>
    <mergeCell ref="I1135:I1136"/>
    <mergeCell ref="K1197:N1198"/>
    <mergeCell ref="P1185:P1186"/>
    <mergeCell ref="Q1185:Q1186"/>
    <mergeCell ref="R1185:R1186"/>
    <mergeCell ref="B1128:C1128"/>
    <mergeCell ref="K1190:L1190"/>
    <mergeCell ref="B1129:C1129"/>
    <mergeCell ref="K1191:L1191"/>
    <mergeCell ref="A1179:I1179"/>
    <mergeCell ref="J1179:R1179"/>
    <mergeCell ref="N1181:Q1181"/>
    <mergeCell ref="B1185:E1186"/>
    <mergeCell ref="F1185:F1186"/>
    <mergeCell ref="G1185:G1186"/>
    <mergeCell ref="H1185:H1186"/>
    <mergeCell ref="I1185:I1186"/>
    <mergeCell ref="K1185:N1186"/>
    <mergeCell ref="O1185:O1186"/>
    <mergeCell ref="O1156:O1157"/>
    <mergeCell ref="P1156:P1157"/>
    <mergeCell ref="Q1156:Q1157"/>
    <mergeCell ref="R1156:R1157"/>
    <mergeCell ref="B1111:E1111"/>
    <mergeCell ref="K1173:N1173"/>
    <mergeCell ref="B1091:E1091"/>
    <mergeCell ref="K1153:N1153"/>
    <mergeCell ref="B1092:G1092"/>
    <mergeCell ref="K1154:P1154"/>
    <mergeCell ref="B1094:E1095"/>
    <mergeCell ref="F1094:F1095"/>
    <mergeCell ref="G1094:G1095"/>
    <mergeCell ref="H1094:H1095"/>
    <mergeCell ref="I1094:I1095"/>
    <mergeCell ref="K1156:N1157"/>
    <mergeCell ref="O1135:O1136"/>
    <mergeCell ref="P1135:P1136"/>
    <mergeCell ref="Q1135:Q1136"/>
    <mergeCell ref="R1135:R1136"/>
    <mergeCell ref="B1152:E1152"/>
    <mergeCell ref="K1152:N1152"/>
    <mergeCell ref="B1132:C1132"/>
    <mergeCell ref="B1133:C1133"/>
    <mergeCell ref="B1134:E1134"/>
    <mergeCell ref="K1129:L1129"/>
    <mergeCell ref="B1072:E1072"/>
    <mergeCell ref="K1134:N1134"/>
    <mergeCell ref="B1073:E1074"/>
    <mergeCell ref="F1073:F1074"/>
    <mergeCell ref="G1073:G1074"/>
    <mergeCell ref="H1073:H1074"/>
    <mergeCell ref="I1073:I1074"/>
    <mergeCell ref="K1135:N1136"/>
    <mergeCell ref="O1123:O1124"/>
    <mergeCell ref="P1123:P1124"/>
    <mergeCell ref="Q1123:Q1124"/>
    <mergeCell ref="R1123:R1124"/>
    <mergeCell ref="B1066:C1066"/>
    <mergeCell ref="K1128:L1128"/>
    <mergeCell ref="A1117:I1117"/>
    <mergeCell ref="J1117:R1117"/>
    <mergeCell ref="B1123:E1124"/>
    <mergeCell ref="F1123:F1124"/>
    <mergeCell ref="G1123:G1124"/>
    <mergeCell ref="H1123:H1124"/>
    <mergeCell ref="I1123:I1124"/>
    <mergeCell ref="N1119:Q1119"/>
    <mergeCell ref="B1061:E1062"/>
    <mergeCell ref="F1061:F1062"/>
    <mergeCell ref="G1061:G1062"/>
    <mergeCell ref="H1061:H1062"/>
    <mergeCell ref="I1061:I1062"/>
    <mergeCell ref="K1123:N1124"/>
    <mergeCell ref="O1094:O1095"/>
    <mergeCell ref="P1094:P1095"/>
    <mergeCell ref="Q1094:Q1095"/>
    <mergeCell ref="R1094:R1095"/>
    <mergeCell ref="B1049:E1049"/>
    <mergeCell ref="K1111:N1111"/>
    <mergeCell ref="B1029:E1029"/>
    <mergeCell ref="K1091:N1091"/>
    <mergeCell ref="B1030:G1030"/>
    <mergeCell ref="K1092:P1092"/>
    <mergeCell ref="B1032:E1033"/>
    <mergeCell ref="F1032:F1033"/>
    <mergeCell ref="G1032:G1033"/>
    <mergeCell ref="H1032:H1033"/>
    <mergeCell ref="I1032:I1033"/>
    <mergeCell ref="K1094:N1095"/>
    <mergeCell ref="O1073:O1074"/>
    <mergeCell ref="P1073:P1074"/>
    <mergeCell ref="Q1073:Q1074"/>
    <mergeCell ref="R1073:R1074"/>
    <mergeCell ref="B1090:E1090"/>
    <mergeCell ref="K1090:N1090"/>
    <mergeCell ref="B1067:C1067"/>
    <mergeCell ref="K1067:L1067"/>
    <mergeCell ref="B1010:E1010"/>
    <mergeCell ref="K1072:N1072"/>
    <mergeCell ref="B1011:E1012"/>
    <mergeCell ref="F1011:F1012"/>
    <mergeCell ref="G1011:G1012"/>
    <mergeCell ref="H1011:H1012"/>
    <mergeCell ref="I1011:I1012"/>
    <mergeCell ref="K1073:N1074"/>
    <mergeCell ref="O1061:O1062"/>
    <mergeCell ref="P1061:P1062"/>
    <mergeCell ref="Q1061:Q1062"/>
    <mergeCell ref="R1061:R1062"/>
    <mergeCell ref="B1004:C1004"/>
    <mergeCell ref="K1066:L1066"/>
    <mergeCell ref="A1055:I1055"/>
    <mergeCell ref="J1055:R1055"/>
    <mergeCell ref="E1057:H1057"/>
    <mergeCell ref="K1061:N1062"/>
    <mergeCell ref="O1032:O1033"/>
    <mergeCell ref="P1032:P1033"/>
    <mergeCell ref="Q1032:Q1033"/>
    <mergeCell ref="R1032:R1033"/>
    <mergeCell ref="B986:E986"/>
    <mergeCell ref="K1049:N1049"/>
    <mergeCell ref="B967:E967"/>
    <mergeCell ref="K1029:N1029"/>
    <mergeCell ref="B968:G968"/>
    <mergeCell ref="K1030:P1030"/>
    <mergeCell ref="B970:E971"/>
    <mergeCell ref="F970:F971"/>
    <mergeCell ref="G970:G971"/>
    <mergeCell ref="H970:H971"/>
    <mergeCell ref="I970:I971"/>
    <mergeCell ref="K1032:N1033"/>
    <mergeCell ref="O1011:O1012"/>
    <mergeCell ref="P1011:P1012"/>
    <mergeCell ref="Q1011:Q1012"/>
    <mergeCell ref="R1011:R1012"/>
    <mergeCell ref="B1028:E1028"/>
    <mergeCell ref="K1028:N1028"/>
    <mergeCell ref="B1005:C1005"/>
    <mergeCell ref="K1010:N1010"/>
    <mergeCell ref="B949:E950"/>
    <mergeCell ref="F949:F950"/>
    <mergeCell ref="G949:G950"/>
    <mergeCell ref="H949:H950"/>
    <mergeCell ref="I949:I950"/>
    <mergeCell ref="K1011:N1012"/>
    <mergeCell ref="Q999:Q1000"/>
    <mergeCell ref="R999:R1000"/>
    <mergeCell ref="B942:C942"/>
    <mergeCell ref="K1004:L1004"/>
    <mergeCell ref="B943:C943"/>
    <mergeCell ref="K1005:L1005"/>
    <mergeCell ref="A993:I993"/>
    <mergeCell ref="J993:R993"/>
    <mergeCell ref="E995:H995"/>
    <mergeCell ref="N1057:Q1057"/>
    <mergeCell ref="B999:E1000"/>
    <mergeCell ref="F999:F1000"/>
    <mergeCell ref="G999:G1000"/>
    <mergeCell ref="H999:H1000"/>
    <mergeCell ref="I999:I1000"/>
    <mergeCell ref="K999:N1000"/>
    <mergeCell ref="O999:O1000"/>
    <mergeCell ref="P999:P1000"/>
    <mergeCell ref="O970:O971"/>
    <mergeCell ref="P970:P971"/>
    <mergeCell ref="Q970:Q971"/>
    <mergeCell ref="R970:R971"/>
    <mergeCell ref="B925:E925"/>
    <mergeCell ref="K987:N987"/>
    <mergeCell ref="B905:E905"/>
    <mergeCell ref="K967:N967"/>
    <mergeCell ref="B906:G906"/>
    <mergeCell ref="K968:P968"/>
    <mergeCell ref="B908:E909"/>
    <mergeCell ref="F908:F909"/>
    <mergeCell ref="G908:G909"/>
    <mergeCell ref="H908:H909"/>
    <mergeCell ref="I908:I909"/>
    <mergeCell ref="K970:N971"/>
    <mergeCell ref="O949:O950"/>
    <mergeCell ref="P949:P950"/>
    <mergeCell ref="Q949:Q950"/>
    <mergeCell ref="R949:R950"/>
    <mergeCell ref="B966:E966"/>
    <mergeCell ref="K966:N966"/>
    <mergeCell ref="B946:C946"/>
    <mergeCell ref="B947:C947"/>
    <mergeCell ref="B948:E948"/>
    <mergeCell ref="K948:N948"/>
    <mergeCell ref="B887:E888"/>
    <mergeCell ref="F887:F888"/>
    <mergeCell ref="G887:G888"/>
    <mergeCell ref="H887:H888"/>
    <mergeCell ref="I887:I888"/>
    <mergeCell ref="K949:N950"/>
    <mergeCell ref="Q937:Q938"/>
    <mergeCell ref="R937:R938"/>
    <mergeCell ref="B880:C880"/>
    <mergeCell ref="K942:L942"/>
    <mergeCell ref="B881:C881"/>
    <mergeCell ref="K943:L943"/>
    <mergeCell ref="A931:I931"/>
    <mergeCell ref="J931:R931"/>
    <mergeCell ref="B937:E938"/>
    <mergeCell ref="F937:F938"/>
    <mergeCell ref="G937:G938"/>
    <mergeCell ref="H937:H938"/>
    <mergeCell ref="I937:I938"/>
    <mergeCell ref="K937:N938"/>
    <mergeCell ref="O937:O938"/>
    <mergeCell ref="P937:P938"/>
    <mergeCell ref="O908:O909"/>
    <mergeCell ref="P908:P909"/>
    <mergeCell ref="Q908:Q909"/>
    <mergeCell ref="R908:R909"/>
    <mergeCell ref="B863:E863"/>
    <mergeCell ref="K925:N925"/>
    <mergeCell ref="B843:E843"/>
    <mergeCell ref="K905:N905"/>
    <mergeCell ref="B844:G844"/>
    <mergeCell ref="K906:P906"/>
    <mergeCell ref="B846:E847"/>
    <mergeCell ref="F846:F847"/>
    <mergeCell ref="G846:G847"/>
    <mergeCell ref="H846:H847"/>
    <mergeCell ref="I846:I847"/>
    <mergeCell ref="K908:N909"/>
    <mergeCell ref="O887:O888"/>
    <mergeCell ref="P887:P888"/>
    <mergeCell ref="Q887:Q888"/>
    <mergeCell ref="R887:R888"/>
    <mergeCell ref="B904:E904"/>
    <mergeCell ref="K904:N904"/>
    <mergeCell ref="B884:C884"/>
    <mergeCell ref="B885:C885"/>
    <mergeCell ref="B886:E886"/>
    <mergeCell ref="K886:N886"/>
    <mergeCell ref="B825:E826"/>
    <mergeCell ref="F825:F826"/>
    <mergeCell ref="G825:G826"/>
    <mergeCell ref="H825:H826"/>
    <mergeCell ref="I825:I826"/>
    <mergeCell ref="K887:N888"/>
    <mergeCell ref="Q875:Q876"/>
    <mergeCell ref="R875:R876"/>
    <mergeCell ref="B818:C818"/>
    <mergeCell ref="K880:L880"/>
    <mergeCell ref="B819:C819"/>
    <mergeCell ref="K881:L881"/>
    <mergeCell ref="A869:I869"/>
    <mergeCell ref="J869:R869"/>
    <mergeCell ref="B875:E876"/>
    <mergeCell ref="F875:F876"/>
    <mergeCell ref="G875:G876"/>
    <mergeCell ref="H875:H876"/>
    <mergeCell ref="I875:I876"/>
    <mergeCell ref="K875:N876"/>
    <mergeCell ref="O875:O876"/>
    <mergeCell ref="P875:P876"/>
    <mergeCell ref="O846:O847"/>
    <mergeCell ref="P846:P847"/>
    <mergeCell ref="Q846:Q847"/>
    <mergeCell ref="R846:R847"/>
    <mergeCell ref="B801:E801"/>
    <mergeCell ref="K863:N863"/>
    <mergeCell ref="B781:E781"/>
    <mergeCell ref="K843:N843"/>
    <mergeCell ref="B782:G782"/>
    <mergeCell ref="K844:P844"/>
    <mergeCell ref="B784:E785"/>
    <mergeCell ref="F784:F785"/>
    <mergeCell ref="G784:G785"/>
    <mergeCell ref="H784:H785"/>
    <mergeCell ref="I784:I785"/>
    <mergeCell ref="K846:N847"/>
    <mergeCell ref="O825:O826"/>
    <mergeCell ref="P825:P826"/>
    <mergeCell ref="Q825:Q826"/>
    <mergeCell ref="R825:R826"/>
    <mergeCell ref="B842:E842"/>
    <mergeCell ref="K842:N842"/>
    <mergeCell ref="B822:C822"/>
    <mergeCell ref="B823:C823"/>
    <mergeCell ref="B824:E824"/>
    <mergeCell ref="K824:N824"/>
    <mergeCell ref="B763:E764"/>
    <mergeCell ref="F763:F764"/>
    <mergeCell ref="G763:G764"/>
    <mergeCell ref="H763:H764"/>
    <mergeCell ref="I763:I764"/>
    <mergeCell ref="K825:N826"/>
    <mergeCell ref="Q813:Q814"/>
    <mergeCell ref="R813:R814"/>
    <mergeCell ref="B756:C756"/>
    <mergeCell ref="K818:L818"/>
    <mergeCell ref="B757:C757"/>
    <mergeCell ref="K819:L819"/>
    <mergeCell ref="A807:I807"/>
    <mergeCell ref="J807:R807"/>
    <mergeCell ref="B813:E814"/>
    <mergeCell ref="F813:F814"/>
    <mergeCell ref="G813:G814"/>
    <mergeCell ref="H813:H814"/>
    <mergeCell ref="I813:I814"/>
    <mergeCell ref="K813:N814"/>
    <mergeCell ref="O813:O814"/>
    <mergeCell ref="P813:P814"/>
    <mergeCell ref="O784:O785"/>
    <mergeCell ref="P784:P785"/>
    <mergeCell ref="Q784:Q785"/>
    <mergeCell ref="R784:R785"/>
    <mergeCell ref="B739:E739"/>
    <mergeCell ref="K801:N801"/>
    <mergeCell ref="B719:E719"/>
    <mergeCell ref="K781:N781"/>
    <mergeCell ref="B720:G720"/>
    <mergeCell ref="K782:P782"/>
    <mergeCell ref="B722:E723"/>
    <mergeCell ref="F722:F723"/>
    <mergeCell ref="G722:G723"/>
    <mergeCell ref="H722:H723"/>
    <mergeCell ref="I722:I723"/>
    <mergeCell ref="K784:N785"/>
    <mergeCell ref="O763:O764"/>
    <mergeCell ref="P763:P764"/>
    <mergeCell ref="Q763:Q764"/>
    <mergeCell ref="R763:R764"/>
    <mergeCell ref="B780:E780"/>
    <mergeCell ref="K780:N780"/>
    <mergeCell ref="B760:C760"/>
    <mergeCell ref="B761:C761"/>
    <mergeCell ref="B762:E762"/>
    <mergeCell ref="K762:N762"/>
    <mergeCell ref="B701:E702"/>
    <mergeCell ref="F701:F702"/>
    <mergeCell ref="G701:G702"/>
    <mergeCell ref="H701:H702"/>
    <mergeCell ref="I701:I702"/>
    <mergeCell ref="K763:N764"/>
    <mergeCell ref="Q751:Q752"/>
    <mergeCell ref="R751:R752"/>
    <mergeCell ref="B694:C694"/>
    <mergeCell ref="K756:L756"/>
    <mergeCell ref="B695:C695"/>
    <mergeCell ref="K757:L757"/>
    <mergeCell ref="O701:O702"/>
    <mergeCell ref="P701:P702"/>
    <mergeCell ref="Q701:Q702"/>
    <mergeCell ref="R701:R702"/>
    <mergeCell ref="A745:I745"/>
    <mergeCell ref="J745:R745"/>
    <mergeCell ref="B751:E752"/>
    <mergeCell ref="F751:F752"/>
    <mergeCell ref="G751:G752"/>
    <mergeCell ref="H751:H752"/>
    <mergeCell ref="I751:I752"/>
    <mergeCell ref="G689:G690"/>
    <mergeCell ref="H689:H690"/>
    <mergeCell ref="I689:I690"/>
    <mergeCell ref="K751:N752"/>
    <mergeCell ref="O751:O752"/>
    <mergeCell ref="P751:P752"/>
    <mergeCell ref="O722:O723"/>
    <mergeCell ref="P722:P723"/>
    <mergeCell ref="Q722:Q723"/>
    <mergeCell ref="R722:R723"/>
    <mergeCell ref="B677:E677"/>
    <mergeCell ref="K739:N739"/>
    <mergeCell ref="B657:E657"/>
    <mergeCell ref="K719:N719"/>
    <mergeCell ref="B658:G658"/>
    <mergeCell ref="K720:P720"/>
    <mergeCell ref="B660:E661"/>
    <mergeCell ref="F660:F661"/>
    <mergeCell ref="G660:G661"/>
    <mergeCell ref="H660:H661"/>
    <mergeCell ref="I660:I661"/>
    <mergeCell ref="K722:N723"/>
    <mergeCell ref="K657:N657"/>
    <mergeCell ref="K658:P658"/>
    <mergeCell ref="K660:N661"/>
    <mergeCell ref="O660:O661"/>
    <mergeCell ref="P660:P661"/>
    <mergeCell ref="Q660:Q661"/>
    <mergeCell ref="B718:E718"/>
    <mergeCell ref="B698:C698"/>
    <mergeCell ref="B699:C699"/>
    <mergeCell ref="B700:E700"/>
    <mergeCell ref="B656:E656"/>
    <mergeCell ref="K718:N718"/>
    <mergeCell ref="B636:C636"/>
    <mergeCell ref="B637:C637"/>
    <mergeCell ref="B638:E638"/>
    <mergeCell ref="K700:N700"/>
    <mergeCell ref="B639:E640"/>
    <mergeCell ref="F639:F640"/>
    <mergeCell ref="G639:G640"/>
    <mergeCell ref="H639:H640"/>
    <mergeCell ref="I639:I640"/>
    <mergeCell ref="K701:N702"/>
    <mergeCell ref="Q689:Q690"/>
    <mergeCell ref="R689:R690"/>
    <mergeCell ref="B632:C632"/>
    <mergeCell ref="K694:L694"/>
    <mergeCell ref="B633:C633"/>
    <mergeCell ref="K695:L695"/>
    <mergeCell ref="K632:L632"/>
    <mergeCell ref="K633:L633"/>
    <mergeCell ref="K638:N638"/>
    <mergeCell ref="K639:N640"/>
    <mergeCell ref="O639:O640"/>
    <mergeCell ref="P639:P640"/>
    <mergeCell ref="Q639:Q640"/>
    <mergeCell ref="R639:R640"/>
    <mergeCell ref="K656:N656"/>
    <mergeCell ref="R660:R661"/>
    <mergeCell ref="A683:I683"/>
    <mergeCell ref="K677:N677"/>
    <mergeCell ref="B689:E690"/>
    <mergeCell ref="F689:F690"/>
    <mergeCell ref="A621:I621"/>
    <mergeCell ref="J683:R683"/>
    <mergeCell ref="B627:E628"/>
    <mergeCell ref="F627:F628"/>
    <mergeCell ref="G627:G628"/>
    <mergeCell ref="H627:H628"/>
    <mergeCell ref="I627:I628"/>
    <mergeCell ref="K689:N690"/>
    <mergeCell ref="O689:O690"/>
    <mergeCell ref="P689:P690"/>
    <mergeCell ref="O598:O599"/>
    <mergeCell ref="P598:P599"/>
    <mergeCell ref="Q598:Q599"/>
    <mergeCell ref="R598:R599"/>
    <mergeCell ref="B615:E615"/>
    <mergeCell ref="K615:N615"/>
    <mergeCell ref="B595:E595"/>
    <mergeCell ref="K595:N595"/>
    <mergeCell ref="B596:G596"/>
    <mergeCell ref="K596:P596"/>
    <mergeCell ref="B598:E599"/>
    <mergeCell ref="F598:F599"/>
    <mergeCell ref="G598:G599"/>
    <mergeCell ref="H598:H599"/>
    <mergeCell ref="I598:I599"/>
    <mergeCell ref="K598:N599"/>
    <mergeCell ref="J621:R621"/>
    <mergeCell ref="K627:N628"/>
    <mergeCell ref="O627:O628"/>
    <mergeCell ref="P627:P628"/>
    <mergeCell ref="Q627:Q628"/>
    <mergeCell ref="R627:R628"/>
    <mergeCell ref="O577:O578"/>
    <mergeCell ref="P577:P578"/>
    <mergeCell ref="Q577:Q578"/>
    <mergeCell ref="R577:R578"/>
    <mergeCell ref="B594:E594"/>
    <mergeCell ref="K594:N594"/>
    <mergeCell ref="B574:C574"/>
    <mergeCell ref="B575:C575"/>
    <mergeCell ref="B576:E576"/>
    <mergeCell ref="K576:N576"/>
    <mergeCell ref="B577:E578"/>
    <mergeCell ref="F577:F578"/>
    <mergeCell ref="G577:G578"/>
    <mergeCell ref="H577:H578"/>
    <mergeCell ref="I577:I578"/>
    <mergeCell ref="K577:N578"/>
    <mergeCell ref="Q565:Q566"/>
    <mergeCell ref="R565:R566"/>
    <mergeCell ref="B570:C570"/>
    <mergeCell ref="K570:L570"/>
    <mergeCell ref="B571:C571"/>
    <mergeCell ref="K571:L571"/>
    <mergeCell ref="B565:E566"/>
    <mergeCell ref="F565:F566"/>
    <mergeCell ref="G565:G566"/>
    <mergeCell ref="H565:H566"/>
    <mergeCell ref="I565:I566"/>
    <mergeCell ref="K565:N566"/>
    <mergeCell ref="O565:O566"/>
    <mergeCell ref="P565:P566"/>
    <mergeCell ref="K534:P534"/>
    <mergeCell ref="B536:E537"/>
    <mergeCell ref="F536:F537"/>
    <mergeCell ref="G536:G537"/>
    <mergeCell ref="H536:H537"/>
    <mergeCell ref="I536:I537"/>
    <mergeCell ref="K536:N537"/>
    <mergeCell ref="O515:O516"/>
    <mergeCell ref="P515:P516"/>
    <mergeCell ref="Q515:Q516"/>
    <mergeCell ref="R515:R516"/>
    <mergeCell ref="B532:E532"/>
    <mergeCell ref="K532:N532"/>
    <mergeCell ref="B515:E516"/>
    <mergeCell ref="F515:F516"/>
    <mergeCell ref="G515:G516"/>
    <mergeCell ref="H515:H516"/>
    <mergeCell ref="I515:I516"/>
    <mergeCell ref="K515:N516"/>
    <mergeCell ref="B512:C512"/>
    <mergeCell ref="B513:C513"/>
    <mergeCell ref="B514:E514"/>
    <mergeCell ref="K514:N514"/>
    <mergeCell ref="A559:I559"/>
    <mergeCell ref="J559:R559"/>
    <mergeCell ref="P503:P504"/>
    <mergeCell ref="Q503:Q504"/>
    <mergeCell ref="R503:R504"/>
    <mergeCell ref="B508:C508"/>
    <mergeCell ref="K508:L508"/>
    <mergeCell ref="B509:C509"/>
    <mergeCell ref="K509:L509"/>
    <mergeCell ref="A497:I497"/>
    <mergeCell ref="J497:R497"/>
    <mergeCell ref="N499:Q499"/>
    <mergeCell ref="B503:E504"/>
    <mergeCell ref="F503:F504"/>
    <mergeCell ref="G503:G504"/>
    <mergeCell ref="H503:H504"/>
    <mergeCell ref="I503:I504"/>
    <mergeCell ref="K503:N504"/>
    <mergeCell ref="O503:O504"/>
    <mergeCell ref="O536:O537"/>
    <mergeCell ref="P536:P537"/>
    <mergeCell ref="Q536:Q537"/>
    <mergeCell ref="R536:R537"/>
    <mergeCell ref="B553:E553"/>
    <mergeCell ref="K553:N553"/>
    <mergeCell ref="B533:E533"/>
    <mergeCell ref="K533:N533"/>
    <mergeCell ref="B534:G534"/>
    <mergeCell ref="O474:O475"/>
    <mergeCell ref="P474:P475"/>
    <mergeCell ref="Q474:Q475"/>
    <mergeCell ref="R474:R475"/>
    <mergeCell ref="B491:E491"/>
    <mergeCell ref="K491:N491"/>
    <mergeCell ref="B471:E471"/>
    <mergeCell ref="K471:N471"/>
    <mergeCell ref="B472:G472"/>
    <mergeCell ref="K472:P472"/>
    <mergeCell ref="B474:E475"/>
    <mergeCell ref="F474:F475"/>
    <mergeCell ref="G474:G475"/>
    <mergeCell ref="H474:H475"/>
    <mergeCell ref="I474:I475"/>
    <mergeCell ref="K474:N475"/>
    <mergeCell ref="O453:O454"/>
    <mergeCell ref="P453:P454"/>
    <mergeCell ref="Q453:Q454"/>
    <mergeCell ref="R453:R454"/>
    <mergeCell ref="B470:E470"/>
    <mergeCell ref="K470:N470"/>
    <mergeCell ref="B453:E454"/>
    <mergeCell ref="F453:F454"/>
    <mergeCell ref="G453:G454"/>
    <mergeCell ref="H453:H454"/>
    <mergeCell ref="I453:I454"/>
    <mergeCell ref="K453:N454"/>
    <mergeCell ref="B447:C447"/>
    <mergeCell ref="K447:L447"/>
    <mergeCell ref="B452:E452"/>
    <mergeCell ref="K452:N452"/>
    <mergeCell ref="O441:O442"/>
    <mergeCell ref="P441:P442"/>
    <mergeCell ref="Q441:Q442"/>
    <mergeCell ref="R441:R442"/>
    <mergeCell ref="B446:C446"/>
    <mergeCell ref="K446:L446"/>
    <mergeCell ref="A435:I435"/>
    <mergeCell ref="J435:R435"/>
    <mergeCell ref="E437:H437"/>
    <mergeCell ref="N437:Q437"/>
    <mergeCell ref="B441:E442"/>
    <mergeCell ref="F441:F442"/>
    <mergeCell ref="G441:G442"/>
    <mergeCell ref="H441:H442"/>
    <mergeCell ref="I441:I442"/>
    <mergeCell ref="K441:N442"/>
    <mergeCell ref="O412:O413"/>
    <mergeCell ref="P412:P413"/>
    <mergeCell ref="Q412:Q413"/>
    <mergeCell ref="R412:R413"/>
    <mergeCell ref="B429:E429"/>
    <mergeCell ref="K429:N429"/>
    <mergeCell ref="B409:E409"/>
    <mergeCell ref="K409:N409"/>
    <mergeCell ref="B410:G410"/>
    <mergeCell ref="K410:P410"/>
    <mergeCell ref="B412:E413"/>
    <mergeCell ref="F412:F413"/>
    <mergeCell ref="G412:G413"/>
    <mergeCell ref="H412:H413"/>
    <mergeCell ref="I412:I413"/>
    <mergeCell ref="K412:N413"/>
    <mergeCell ref="O391:O392"/>
    <mergeCell ref="P391:P392"/>
    <mergeCell ref="Q391:Q392"/>
    <mergeCell ref="R391:R392"/>
    <mergeCell ref="B408:E408"/>
    <mergeCell ref="K408:N408"/>
    <mergeCell ref="B391:E392"/>
    <mergeCell ref="F391:F392"/>
    <mergeCell ref="G391:G392"/>
    <mergeCell ref="H391:H392"/>
    <mergeCell ref="I391:I392"/>
    <mergeCell ref="K391:N392"/>
    <mergeCell ref="B385:C385"/>
    <mergeCell ref="K385:L385"/>
    <mergeCell ref="B390:E390"/>
    <mergeCell ref="K390:N390"/>
    <mergeCell ref="O379:O380"/>
    <mergeCell ref="P379:P380"/>
    <mergeCell ref="Q379:Q380"/>
    <mergeCell ref="R379:R380"/>
    <mergeCell ref="B384:C384"/>
    <mergeCell ref="K384:L384"/>
    <mergeCell ref="A373:I373"/>
    <mergeCell ref="J373:R373"/>
    <mergeCell ref="E375:H375"/>
    <mergeCell ref="N375:Q375"/>
    <mergeCell ref="B379:E380"/>
    <mergeCell ref="F379:F380"/>
    <mergeCell ref="G379:G380"/>
    <mergeCell ref="H379:H380"/>
    <mergeCell ref="I379:I380"/>
    <mergeCell ref="K379:N380"/>
    <mergeCell ref="O350:O351"/>
    <mergeCell ref="P350:P351"/>
    <mergeCell ref="Q350:Q351"/>
    <mergeCell ref="R350:R351"/>
    <mergeCell ref="B367:E367"/>
    <mergeCell ref="K367:N367"/>
    <mergeCell ref="B347:E347"/>
    <mergeCell ref="K347:N347"/>
    <mergeCell ref="B348:G348"/>
    <mergeCell ref="K348:P348"/>
    <mergeCell ref="B350:E351"/>
    <mergeCell ref="F350:F351"/>
    <mergeCell ref="G350:G351"/>
    <mergeCell ref="H350:H351"/>
    <mergeCell ref="I350:I351"/>
    <mergeCell ref="K350:N351"/>
    <mergeCell ref="O329:O330"/>
    <mergeCell ref="P329:P330"/>
    <mergeCell ref="Q329:Q330"/>
    <mergeCell ref="R329:R330"/>
    <mergeCell ref="B346:E346"/>
    <mergeCell ref="K346:N346"/>
    <mergeCell ref="B326:C326"/>
    <mergeCell ref="B327:C327"/>
    <mergeCell ref="B328:E328"/>
    <mergeCell ref="K328:N328"/>
    <mergeCell ref="B329:E330"/>
    <mergeCell ref="F329:F330"/>
    <mergeCell ref="G329:G330"/>
    <mergeCell ref="H329:H330"/>
    <mergeCell ref="I329:I330"/>
    <mergeCell ref="K329:N330"/>
    <mergeCell ref="P317:P318"/>
    <mergeCell ref="Q317:Q318"/>
    <mergeCell ref="R317:R318"/>
    <mergeCell ref="B322:C322"/>
    <mergeCell ref="K322:L322"/>
    <mergeCell ref="B323:C323"/>
    <mergeCell ref="K323:L323"/>
    <mergeCell ref="A311:I311"/>
    <mergeCell ref="J311:R311"/>
    <mergeCell ref="N313:Q313"/>
    <mergeCell ref="B317:E318"/>
    <mergeCell ref="F317:F318"/>
    <mergeCell ref="G317:G318"/>
    <mergeCell ref="H317:H318"/>
    <mergeCell ref="I317:I318"/>
    <mergeCell ref="K317:N318"/>
    <mergeCell ref="O317:O318"/>
    <mergeCell ref="O288:O289"/>
    <mergeCell ref="P288:P289"/>
    <mergeCell ref="Q288:Q289"/>
    <mergeCell ref="R288:R289"/>
    <mergeCell ref="B305:E305"/>
    <mergeCell ref="K305:N305"/>
    <mergeCell ref="B285:E285"/>
    <mergeCell ref="K285:N285"/>
    <mergeCell ref="B286:G286"/>
    <mergeCell ref="K286:P286"/>
    <mergeCell ref="B288:E289"/>
    <mergeCell ref="F288:F289"/>
    <mergeCell ref="G288:G289"/>
    <mergeCell ref="H288:H289"/>
    <mergeCell ref="I288:I289"/>
    <mergeCell ref="K288:N289"/>
    <mergeCell ref="O267:O268"/>
    <mergeCell ref="P267:P268"/>
    <mergeCell ref="Q267:Q268"/>
    <mergeCell ref="R267:R268"/>
    <mergeCell ref="B284:E284"/>
    <mergeCell ref="K284:N284"/>
    <mergeCell ref="B264:C264"/>
    <mergeCell ref="B265:C265"/>
    <mergeCell ref="B266:E266"/>
    <mergeCell ref="K266:N266"/>
    <mergeCell ref="B267:E268"/>
    <mergeCell ref="F267:F268"/>
    <mergeCell ref="G267:G268"/>
    <mergeCell ref="H267:H268"/>
    <mergeCell ref="I267:I268"/>
    <mergeCell ref="K267:N268"/>
    <mergeCell ref="P255:P256"/>
    <mergeCell ref="Q255:Q256"/>
    <mergeCell ref="R255:R256"/>
    <mergeCell ref="B260:C260"/>
    <mergeCell ref="K260:L260"/>
    <mergeCell ref="B261:C261"/>
    <mergeCell ref="K261:L261"/>
    <mergeCell ref="A249:I249"/>
    <mergeCell ref="J249:R249"/>
    <mergeCell ref="N251:Q251"/>
    <mergeCell ref="B255:E256"/>
    <mergeCell ref="F255:F256"/>
    <mergeCell ref="G255:G256"/>
    <mergeCell ref="H255:H256"/>
    <mergeCell ref="I255:I256"/>
    <mergeCell ref="K255:N256"/>
    <mergeCell ref="O255:O256"/>
    <mergeCell ref="O226:O227"/>
    <mergeCell ref="P226:P227"/>
    <mergeCell ref="Q226:Q227"/>
    <mergeCell ref="R226:R227"/>
    <mergeCell ref="B243:E243"/>
    <mergeCell ref="K243:N243"/>
    <mergeCell ref="B223:E223"/>
    <mergeCell ref="K223:N223"/>
    <mergeCell ref="B224:G224"/>
    <mergeCell ref="K224:P224"/>
    <mergeCell ref="B226:E227"/>
    <mergeCell ref="F226:F227"/>
    <mergeCell ref="G226:G227"/>
    <mergeCell ref="H226:H227"/>
    <mergeCell ref="I226:I227"/>
    <mergeCell ref="K226:N227"/>
    <mergeCell ref="O205:O206"/>
    <mergeCell ref="P205:P206"/>
    <mergeCell ref="Q205:Q206"/>
    <mergeCell ref="R205:R206"/>
    <mergeCell ref="B222:E222"/>
    <mergeCell ref="K222:N222"/>
    <mergeCell ref="B202:C202"/>
    <mergeCell ref="B203:C203"/>
    <mergeCell ref="B204:E204"/>
    <mergeCell ref="K204:N204"/>
    <mergeCell ref="B205:E206"/>
    <mergeCell ref="F205:F206"/>
    <mergeCell ref="G205:G206"/>
    <mergeCell ref="H205:H206"/>
    <mergeCell ref="I205:I206"/>
    <mergeCell ref="K205:N206"/>
    <mergeCell ref="P193:P194"/>
    <mergeCell ref="Q193:Q194"/>
    <mergeCell ref="R193:R194"/>
    <mergeCell ref="B198:C198"/>
    <mergeCell ref="K198:L198"/>
    <mergeCell ref="B199:C199"/>
    <mergeCell ref="K199:L199"/>
    <mergeCell ref="A187:I187"/>
    <mergeCell ref="J187:R187"/>
    <mergeCell ref="N189:Q189"/>
    <mergeCell ref="B193:E194"/>
    <mergeCell ref="F193:F194"/>
    <mergeCell ref="G193:G194"/>
    <mergeCell ref="H193:H194"/>
    <mergeCell ref="I193:I194"/>
    <mergeCell ref="K193:N194"/>
    <mergeCell ref="O193:O194"/>
    <mergeCell ref="O164:O165"/>
    <mergeCell ref="P164:P165"/>
    <mergeCell ref="Q164:Q165"/>
    <mergeCell ref="R164:R165"/>
    <mergeCell ref="B181:E181"/>
    <mergeCell ref="K181:N181"/>
    <mergeCell ref="B161:E161"/>
    <mergeCell ref="K161:N161"/>
    <mergeCell ref="B162:G162"/>
    <mergeCell ref="K162:P162"/>
    <mergeCell ref="B164:E165"/>
    <mergeCell ref="F164:F165"/>
    <mergeCell ref="G164:G165"/>
    <mergeCell ref="H164:H165"/>
    <mergeCell ref="I164:I165"/>
    <mergeCell ref="K164:N165"/>
    <mergeCell ref="O143:O144"/>
    <mergeCell ref="P143:P144"/>
    <mergeCell ref="Q143:Q144"/>
    <mergeCell ref="R143:R144"/>
    <mergeCell ref="B160:E160"/>
    <mergeCell ref="K160:N160"/>
    <mergeCell ref="B137:C137"/>
    <mergeCell ref="K137:L137"/>
    <mergeCell ref="B142:E142"/>
    <mergeCell ref="K142:N142"/>
    <mergeCell ref="B143:E144"/>
    <mergeCell ref="F143:F144"/>
    <mergeCell ref="G143:G144"/>
    <mergeCell ref="H143:H144"/>
    <mergeCell ref="I143:I144"/>
    <mergeCell ref="K143:N144"/>
    <mergeCell ref="O131:O132"/>
    <mergeCell ref="P131:P132"/>
    <mergeCell ref="Q131:Q132"/>
    <mergeCell ref="R131:R132"/>
    <mergeCell ref="B136:C136"/>
    <mergeCell ref="K136:L136"/>
    <mergeCell ref="A125:I125"/>
    <mergeCell ref="J125:R125"/>
    <mergeCell ref="E127:H127"/>
    <mergeCell ref="N127:Q127"/>
    <mergeCell ref="B131:E132"/>
    <mergeCell ref="F131:F132"/>
    <mergeCell ref="G131:G132"/>
    <mergeCell ref="H131:H132"/>
    <mergeCell ref="I131:I132"/>
    <mergeCell ref="K131:N132"/>
    <mergeCell ref="O102:O103"/>
    <mergeCell ref="P102:P103"/>
    <mergeCell ref="Q102:Q103"/>
    <mergeCell ref="R102:R103"/>
    <mergeCell ref="B119:E119"/>
    <mergeCell ref="K119:N119"/>
    <mergeCell ref="B99:E99"/>
    <mergeCell ref="K99:N99"/>
    <mergeCell ref="B100:G100"/>
    <mergeCell ref="K100:P100"/>
    <mergeCell ref="B102:E103"/>
    <mergeCell ref="F102:F103"/>
    <mergeCell ref="G102:G103"/>
    <mergeCell ref="H102:H103"/>
    <mergeCell ref="I102:I103"/>
    <mergeCell ref="K102:N103"/>
    <mergeCell ref="O81:O82"/>
    <mergeCell ref="P81:P82"/>
    <mergeCell ref="Q81:Q82"/>
    <mergeCell ref="R81:R82"/>
    <mergeCell ref="B98:E98"/>
    <mergeCell ref="K98:N98"/>
    <mergeCell ref="B80:E80"/>
    <mergeCell ref="K80:N80"/>
    <mergeCell ref="B81:E82"/>
    <mergeCell ref="F81:F82"/>
    <mergeCell ref="G81:G82"/>
    <mergeCell ref="H81:H82"/>
    <mergeCell ref="I81:I82"/>
    <mergeCell ref="K81:N82"/>
    <mergeCell ref="P69:P70"/>
    <mergeCell ref="Q69:Q70"/>
    <mergeCell ref="R69:R70"/>
    <mergeCell ref="B74:C74"/>
    <mergeCell ref="K74:L74"/>
    <mergeCell ref="B75:C75"/>
    <mergeCell ref="K75:L75"/>
    <mergeCell ref="A63:I63"/>
    <mergeCell ref="J63:R63"/>
    <mergeCell ref="N65:Q65"/>
    <mergeCell ref="B69:E70"/>
    <mergeCell ref="F69:F70"/>
    <mergeCell ref="G69:G70"/>
    <mergeCell ref="H69:H70"/>
    <mergeCell ref="I69:I70"/>
    <mergeCell ref="K69:N70"/>
    <mergeCell ref="O69:O70"/>
    <mergeCell ref="O40:O41"/>
    <mergeCell ref="P40:P41"/>
    <mergeCell ref="Q40:Q41"/>
    <mergeCell ref="R40:R41"/>
    <mergeCell ref="B57:E57"/>
    <mergeCell ref="K57:N57"/>
    <mergeCell ref="B37:E37"/>
    <mergeCell ref="K37:N37"/>
    <mergeCell ref="B38:G38"/>
    <mergeCell ref="K38:P38"/>
    <mergeCell ref="B40:E41"/>
    <mergeCell ref="F40:F41"/>
    <mergeCell ref="G40:G41"/>
    <mergeCell ref="H40:H41"/>
    <mergeCell ref="I40:I41"/>
    <mergeCell ref="K40:N41"/>
    <mergeCell ref="A1:I1"/>
    <mergeCell ref="J1:R1"/>
    <mergeCell ref="E3:H3"/>
    <mergeCell ref="N3:Q3"/>
    <mergeCell ref="B7:E8"/>
    <mergeCell ref="F7:F8"/>
    <mergeCell ref="G7:G8"/>
    <mergeCell ref="H7:H8"/>
    <mergeCell ref="I7:I8"/>
    <mergeCell ref="K7:N8"/>
    <mergeCell ref="O19:O20"/>
    <mergeCell ref="P19:P20"/>
    <mergeCell ref="Q19:Q20"/>
    <mergeCell ref="R19:R20"/>
    <mergeCell ref="B36:E36"/>
    <mergeCell ref="K36:N36"/>
    <mergeCell ref="B13:C13"/>
    <mergeCell ref="K13:L13"/>
    <mergeCell ref="B18:E18"/>
    <mergeCell ref="K18:N18"/>
    <mergeCell ref="B19:E20"/>
    <mergeCell ref="F19:F20"/>
    <mergeCell ref="G19:G20"/>
    <mergeCell ref="H19:H20"/>
    <mergeCell ref="I19:I20"/>
    <mergeCell ref="K19:N20"/>
    <mergeCell ref="O7:O8"/>
    <mergeCell ref="P7:P8"/>
    <mergeCell ref="Q7:Q8"/>
    <mergeCell ref="R7:R8"/>
    <mergeCell ref="B12:C12"/>
    <mergeCell ref="K12:L12"/>
  </mergeCells>
  <printOptions horizontalCentered="1"/>
  <pageMargins left="0.5" right="0" top="1" bottom="0.75" header="0" footer="0"/>
  <pageSetup paperSize="9" scale="79" orientation="portrait" horizontalDpi="4294967294" verticalDpi="200" r:id="rId1"/>
  <rowBreaks count="26" manualBreakCount="26">
    <brk id="62" max="17" man="1"/>
    <brk id="124" max="17" man="1"/>
    <brk id="186" max="17" man="1"/>
    <brk id="248" max="17" man="1"/>
    <brk id="310" max="17" man="1"/>
    <brk id="372" max="17" man="1"/>
    <brk id="434" max="17" man="1"/>
    <brk id="496" max="17" man="1"/>
    <brk id="558" max="17" man="1"/>
    <brk id="620" max="17" man="1"/>
    <brk id="682" max="17" man="1"/>
    <brk id="744" max="17" man="1"/>
    <brk id="806" max="17" man="1"/>
    <brk id="868" max="17" man="1"/>
    <brk id="930" max="17" man="1"/>
    <brk id="992" max="17" man="1"/>
    <brk id="1054" max="17" man="1"/>
    <brk id="1116" max="17" man="1"/>
    <brk id="1178" max="17" man="1"/>
    <brk id="1240" max="17" man="1"/>
    <brk id="1302" max="17" man="1"/>
    <brk id="1364" max="17" man="1"/>
    <brk id="1426" max="17" man="1"/>
    <brk id="1488" max="17" man="1"/>
    <brk id="1550" max="17" man="1"/>
    <brk id="1612" max="1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D339"/>
  <sheetViews>
    <sheetView tabSelected="1" view="pageBreakPreview" zoomScaleSheetLayoutView="100" workbookViewId="0">
      <selection activeCell="B156" sqref="B156"/>
    </sheetView>
  </sheetViews>
  <sheetFormatPr defaultColWidth="9.14453125" defaultRowHeight="15" x14ac:dyDescent="0.15"/>
  <cols>
    <col min="1" max="1" width="4.03515625" style="137" hidden="1" customWidth="1"/>
    <col min="2" max="2" width="15.19921875" style="137" customWidth="1"/>
    <col min="3" max="3" width="75.734375" style="113" customWidth="1"/>
    <col min="4" max="4" width="10.89453125" style="137" hidden="1" customWidth="1"/>
    <col min="5" max="16384" width="9.14453125" style="113"/>
  </cols>
  <sheetData>
    <row r="1" spans="1:4" s="110" customFormat="1" ht="23.25" customHeight="1" x14ac:dyDescent="0.15">
      <c r="A1" s="108"/>
      <c r="B1" s="108" t="s">
        <v>849</v>
      </c>
      <c r="C1" s="108" t="s">
        <v>850</v>
      </c>
      <c r="D1" s="109" t="s">
        <v>851</v>
      </c>
    </row>
    <row r="2" spans="1:4" ht="7.5" customHeight="1" x14ac:dyDescent="0.15">
      <c r="A2" s="111"/>
      <c r="B2" s="111"/>
      <c r="C2" s="112"/>
      <c r="D2" s="111"/>
    </row>
    <row r="3" spans="1:4" s="117" customFormat="1" x14ac:dyDescent="0.15">
      <c r="A3" s="114">
        <v>1</v>
      </c>
      <c r="B3" s="115" t="s">
        <v>852</v>
      </c>
      <c r="C3" s="116" t="s">
        <v>853</v>
      </c>
      <c r="D3" s="114"/>
    </row>
    <row r="4" spans="1:4" x14ac:dyDescent="0.15">
      <c r="A4" s="118">
        <v>1</v>
      </c>
      <c r="B4" s="119" t="s">
        <v>3</v>
      </c>
      <c r="C4" s="120" t="s">
        <v>854</v>
      </c>
      <c r="D4" s="118">
        <v>1</v>
      </c>
    </row>
    <row r="5" spans="1:4" ht="15.75" x14ac:dyDescent="0.2">
      <c r="A5" s="118">
        <v>2</v>
      </c>
      <c r="B5" s="119" t="s">
        <v>56</v>
      </c>
      <c r="C5" s="120" t="s">
        <v>855</v>
      </c>
      <c r="D5" s="118">
        <v>2</v>
      </c>
    </row>
    <row r="6" spans="1:4" ht="15.75" x14ac:dyDescent="0.2">
      <c r="A6" s="118"/>
      <c r="B6" s="119" t="s">
        <v>67</v>
      </c>
      <c r="C6" s="120" t="s">
        <v>856</v>
      </c>
      <c r="D6" s="118">
        <v>3</v>
      </c>
    </row>
    <row r="7" spans="1:4" ht="15.75" x14ac:dyDescent="0.2">
      <c r="A7" s="118">
        <v>3</v>
      </c>
      <c r="B7" s="119" t="s">
        <v>69</v>
      </c>
      <c r="C7" s="120" t="s">
        <v>857</v>
      </c>
      <c r="D7" s="118">
        <v>4</v>
      </c>
    </row>
    <row r="8" spans="1:4" ht="15.75" x14ac:dyDescent="0.2">
      <c r="A8" s="118"/>
      <c r="B8" s="119" t="s">
        <v>84</v>
      </c>
      <c r="C8" s="120" t="s">
        <v>858</v>
      </c>
      <c r="D8" s="118">
        <v>5</v>
      </c>
    </row>
    <row r="9" spans="1:4" x14ac:dyDescent="0.15">
      <c r="A9" s="118">
        <v>4</v>
      </c>
      <c r="B9" s="119" t="s">
        <v>88</v>
      </c>
      <c r="C9" s="120" t="s">
        <v>89</v>
      </c>
      <c r="D9" s="118">
        <v>6</v>
      </c>
    </row>
    <row r="10" spans="1:4" x14ac:dyDescent="0.15">
      <c r="A10" s="118">
        <v>5</v>
      </c>
      <c r="B10" s="119" t="s">
        <v>93</v>
      </c>
      <c r="C10" s="121" t="s">
        <v>94</v>
      </c>
      <c r="D10" s="118">
        <v>7</v>
      </c>
    </row>
    <row r="11" spans="1:4" x14ac:dyDescent="0.15">
      <c r="A11" s="118">
        <v>5</v>
      </c>
      <c r="B11" s="119" t="s">
        <v>93</v>
      </c>
      <c r="C11" s="121" t="s">
        <v>104</v>
      </c>
      <c r="D11" s="118">
        <v>8</v>
      </c>
    </row>
    <row r="12" spans="1:4" x14ac:dyDescent="0.15">
      <c r="A12" s="118"/>
      <c r="B12" s="119" t="s">
        <v>93</v>
      </c>
      <c r="C12" s="122" t="s">
        <v>112</v>
      </c>
      <c r="D12" s="118">
        <v>9</v>
      </c>
    </row>
    <row r="13" spans="1:4" x14ac:dyDescent="0.15">
      <c r="A13" s="118"/>
      <c r="B13" s="119" t="s">
        <v>93</v>
      </c>
      <c r="C13" s="121" t="s">
        <v>115</v>
      </c>
      <c r="D13" s="118">
        <v>10</v>
      </c>
    </row>
    <row r="14" spans="1:4" x14ac:dyDescent="0.15">
      <c r="A14" s="118">
        <v>6</v>
      </c>
      <c r="B14" s="119" t="s">
        <v>119</v>
      </c>
      <c r="C14" s="121" t="s">
        <v>120</v>
      </c>
      <c r="D14" s="118">
        <v>11</v>
      </c>
    </row>
    <row r="15" spans="1:4" x14ac:dyDescent="0.15">
      <c r="A15" s="118"/>
      <c r="B15" s="119" t="s">
        <v>127</v>
      </c>
      <c r="C15" s="121" t="s">
        <v>128</v>
      </c>
      <c r="D15" s="118">
        <v>12</v>
      </c>
    </row>
    <row r="16" spans="1:4" x14ac:dyDescent="0.15">
      <c r="A16" s="118">
        <v>7</v>
      </c>
      <c r="B16" s="119" t="s">
        <v>131</v>
      </c>
      <c r="C16" s="121" t="s">
        <v>132</v>
      </c>
      <c r="D16" s="118">
        <v>13</v>
      </c>
    </row>
    <row r="17" spans="1:4" x14ac:dyDescent="0.15">
      <c r="A17" s="118"/>
      <c r="B17" s="119" t="s">
        <v>138</v>
      </c>
      <c r="C17" s="121" t="s">
        <v>139</v>
      </c>
      <c r="D17" s="118">
        <v>14</v>
      </c>
    </row>
    <row r="18" spans="1:4" x14ac:dyDescent="0.15">
      <c r="A18" s="118">
        <v>8</v>
      </c>
      <c r="B18" s="119" t="s">
        <v>142</v>
      </c>
      <c r="C18" s="121" t="s">
        <v>143</v>
      </c>
      <c r="D18" s="118">
        <v>15</v>
      </c>
    </row>
    <row r="19" spans="1:4" x14ac:dyDescent="0.15">
      <c r="A19" s="118"/>
      <c r="B19" s="119" t="s">
        <v>160</v>
      </c>
      <c r="C19" s="121" t="s">
        <v>161</v>
      </c>
      <c r="D19" s="118">
        <v>16</v>
      </c>
    </row>
    <row r="20" spans="1:4" ht="15.75" x14ac:dyDescent="0.2">
      <c r="A20" s="118"/>
      <c r="B20" s="119" t="s">
        <v>174</v>
      </c>
      <c r="C20" s="120" t="s">
        <v>859</v>
      </c>
      <c r="D20" s="118">
        <v>17</v>
      </c>
    </row>
    <row r="21" spans="1:4" x14ac:dyDescent="0.15">
      <c r="A21" s="118">
        <v>9</v>
      </c>
      <c r="B21" s="119" t="s">
        <v>178</v>
      </c>
      <c r="C21" s="120" t="s">
        <v>179</v>
      </c>
      <c r="D21" s="118">
        <v>18</v>
      </c>
    </row>
    <row r="22" spans="1:4" x14ac:dyDescent="0.15">
      <c r="A22" s="118">
        <v>9</v>
      </c>
      <c r="B22" s="119" t="s">
        <v>188</v>
      </c>
      <c r="C22" s="120" t="s">
        <v>860</v>
      </c>
      <c r="D22" s="118">
        <v>19</v>
      </c>
    </row>
    <row r="23" spans="1:4" x14ac:dyDescent="0.15">
      <c r="A23" s="118"/>
      <c r="B23" s="119" t="s">
        <v>195</v>
      </c>
      <c r="C23" s="120" t="s">
        <v>196</v>
      </c>
      <c r="D23" s="118">
        <v>20</v>
      </c>
    </row>
    <row r="24" spans="1:4" x14ac:dyDescent="0.15">
      <c r="A24" s="118"/>
      <c r="B24" s="119" t="s">
        <v>201</v>
      </c>
      <c r="C24" s="120" t="s">
        <v>202</v>
      </c>
      <c r="D24" s="118">
        <v>21</v>
      </c>
    </row>
    <row r="25" spans="1:4" x14ac:dyDescent="0.15">
      <c r="A25" s="118">
        <v>10</v>
      </c>
      <c r="B25" s="119" t="s">
        <v>205</v>
      </c>
      <c r="C25" s="120" t="s">
        <v>206</v>
      </c>
      <c r="D25" s="118">
        <v>22</v>
      </c>
    </row>
    <row r="26" spans="1:4" x14ac:dyDescent="0.15">
      <c r="A26" s="118"/>
      <c r="B26" s="119" t="s">
        <v>209</v>
      </c>
      <c r="C26" s="120" t="s">
        <v>861</v>
      </c>
      <c r="D26" s="118">
        <v>23</v>
      </c>
    </row>
    <row r="27" spans="1:4" x14ac:dyDescent="0.15">
      <c r="A27" s="118">
        <v>11</v>
      </c>
      <c r="B27" s="119" t="s">
        <v>213</v>
      </c>
      <c r="C27" s="120" t="s">
        <v>214</v>
      </c>
      <c r="D27" s="118">
        <v>24</v>
      </c>
    </row>
    <row r="28" spans="1:4" x14ac:dyDescent="0.15">
      <c r="A28" s="118">
        <v>12</v>
      </c>
      <c r="B28" s="119" t="s">
        <v>218</v>
      </c>
      <c r="C28" s="120" t="s">
        <v>6</v>
      </c>
      <c r="D28" s="118">
        <v>25</v>
      </c>
    </row>
    <row r="29" spans="1:4" x14ac:dyDescent="0.15">
      <c r="A29" s="118"/>
      <c r="B29" s="119" t="s">
        <v>5</v>
      </c>
      <c r="C29" s="120" t="s">
        <v>862</v>
      </c>
      <c r="D29" s="118">
        <v>26</v>
      </c>
    </row>
    <row r="30" spans="1:4" x14ac:dyDescent="0.15">
      <c r="A30" s="118">
        <v>13</v>
      </c>
      <c r="B30" s="119" t="s">
        <v>57</v>
      </c>
      <c r="C30" s="120" t="s">
        <v>863</v>
      </c>
      <c r="D30" s="118">
        <v>27</v>
      </c>
    </row>
    <row r="31" spans="1:4" x14ac:dyDescent="0.15">
      <c r="A31" s="118"/>
      <c r="B31" s="119" t="s">
        <v>68</v>
      </c>
      <c r="C31" s="120" t="s">
        <v>58</v>
      </c>
      <c r="D31" s="118">
        <v>28</v>
      </c>
    </row>
    <row r="32" spans="1:4" x14ac:dyDescent="0.15">
      <c r="A32" s="118"/>
      <c r="B32" s="119" t="s">
        <v>70</v>
      </c>
      <c r="C32" s="120" t="s">
        <v>71</v>
      </c>
      <c r="D32" s="118">
        <v>29</v>
      </c>
    </row>
    <row r="33" spans="1:4" x14ac:dyDescent="0.15">
      <c r="A33" s="118"/>
      <c r="B33" s="119" t="s">
        <v>85</v>
      </c>
      <c r="C33" s="120" t="s">
        <v>86</v>
      </c>
      <c r="D33" s="118">
        <v>30</v>
      </c>
    </row>
    <row r="34" spans="1:4" x14ac:dyDescent="0.15">
      <c r="A34" s="118">
        <v>14</v>
      </c>
      <c r="B34" s="119" t="s">
        <v>90</v>
      </c>
      <c r="C34" s="120" t="s">
        <v>91</v>
      </c>
      <c r="D34" s="118">
        <v>31</v>
      </c>
    </row>
    <row r="35" spans="1:4" x14ac:dyDescent="0.15">
      <c r="A35" s="118">
        <v>15</v>
      </c>
      <c r="B35" s="119" t="s">
        <v>95</v>
      </c>
      <c r="C35" s="120" t="s">
        <v>96</v>
      </c>
      <c r="D35" s="118">
        <v>32</v>
      </c>
    </row>
    <row r="36" spans="1:4" x14ac:dyDescent="0.15">
      <c r="A36" s="118"/>
      <c r="B36" s="119" t="s">
        <v>105</v>
      </c>
      <c r="C36" s="120" t="s">
        <v>106</v>
      </c>
      <c r="D36" s="118">
        <v>33</v>
      </c>
    </row>
    <row r="37" spans="1:4" x14ac:dyDescent="0.15">
      <c r="A37" s="118"/>
      <c r="B37" s="119" t="s">
        <v>113</v>
      </c>
      <c r="C37" s="120" t="s">
        <v>114</v>
      </c>
      <c r="D37" s="118">
        <v>34</v>
      </c>
    </row>
    <row r="38" spans="1:4" x14ac:dyDescent="0.15">
      <c r="A38" s="118">
        <v>16</v>
      </c>
      <c r="B38" s="119" t="s">
        <v>116</v>
      </c>
      <c r="C38" s="120" t="s">
        <v>117</v>
      </c>
      <c r="D38" s="118">
        <v>35</v>
      </c>
    </row>
    <row r="39" spans="1:4" x14ac:dyDescent="0.15">
      <c r="A39" s="118"/>
      <c r="B39" s="119" t="s">
        <v>121</v>
      </c>
      <c r="C39" s="120" t="s">
        <v>122</v>
      </c>
      <c r="D39" s="118">
        <v>36</v>
      </c>
    </row>
    <row r="40" spans="1:4" x14ac:dyDescent="0.15">
      <c r="A40" s="118"/>
      <c r="B40" s="119" t="s">
        <v>129</v>
      </c>
      <c r="C40" s="120" t="s">
        <v>130</v>
      </c>
      <c r="D40" s="118">
        <v>37</v>
      </c>
    </row>
    <row r="41" spans="1:4" x14ac:dyDescent="0.15">
      <c r="A41" s="118">
        <v>17</v>
      </c>
      <c r="B41" s="119" t="s">
        <v>133</v>
      </c>
      <c r="C41" s="120" t="s">
        <v>134</v>
      </c>
      <c r="D41" s="118">
        <v>38</v>
      </c>
    </row>
    <row r="42" spans="1:4" x14ac:dyDescent="0.15">
      <c r="A42" s="118">
        <v>18</v>
      </c>
      <c r="B42" s="119" t="s">
        <v>140</v>
      </c>
      <c r="C42" s="120" t="s">
        <v>141</v>
      </c>
      <c r="D42" s="118">
        <v>39</v>
      </c>
    </row>
    <row r="43" spans="1:4" x14ac:dyDescent="0.15">
      <c r="A43" s="118">
        <v>19</v>
      </c>
      <c r="B43" s="119" t="s">
        <v>144</v>
      </c>
      <c r="C43" s="120" t="s">
        <v>145</v>
      </c>
      <c r="D43" s="118">
        <v>40</v>
      </c>
    </row>
    <row r="44" spans="1:4" x14ac:dyDescent="0.15">
      <c r="A44" s="118"/>
      <c r="B44" s="119" t="s">
        <v>162</v>
      </c>
      <c r="C44" s="120" t="s">
        <v>163</v>
      </c>
      <c r="D44" s="118">
        <v>41</v>
      </c>
    </row>
    <row r="45" spans="1:4" x14ac:dyDescent="0.15">
      <c r="A45" s="118">
        <v>20</v>
      </c>
      <c r="B45" s="119" t="s">
        <v>176</v>
      </c>
      <c r="C45" s="120" t="s">
        <v>177</v>
      </c>
      <c r="D45" s="118">
        <v>42</v>
      </c>
    </row>
    <row r="46" spans="1:4" x14ac:dyDescent="0.15">
      <c r="A46" s="118">
        <v>21</v>
      </c>
      <c r="B46" s="119" t="s">
        <v>180</v>
      </c>
      <c r="C46" s="120" t="s">
        <v>864</v>
      </c>
      <c r="D46" s="118">
        <v>43</v>
      </c>
    </row>
    <row r="47" spans="1:4" x14ac:dyDescent="0.15">
      <c r="A47" s="118">
        <v>21</v>
      </c>
      <c r="B47" s="119" t="s">
        <v>190</v>
      </c>
      <c r="C47" s="120" t="s">
        <v>191</v>
      </c>
      <c r="D47" s="118">
        <v>44</v>
      </c>
    </row>
    <row r="48" spans="1:4" x14ac:dyDescent="0.15">
      <c r="A48" s="118">
        <v>22</v>
      </c>
      <c r="B48" s="119" t="s">
        <v>197</v>
      </c>
      <c r="C48" s="120" t="s">
        <v>865</v>
      </c>
      <c r="D48" s="118">
        <v>45</v>
      </c>
    </row>
    <row r="49" spans="1:4" x14ac:dyDescent="0.15">
      <c r="A49" s="118">
        <v>23</v>
      </c>
      <c r="B49" s="119" t="s">
        <v>203</v>
      </c>
      <c r="C49" s="120" t="s">
        <v>866</v>
      </c>
      <c r="D49" s="118">
        <v>46</v>
      </c>
    </row>
    <row r="50" spans="1:4" x14ac:dyDescent="0.15">
      <c r="A50" s="118">
        <v>24</v>
      </c>
      <c r="B50" s="119" t="s">
        <v>207</v>
      </c>
      <c r="C50" s="120" t="s">
        <v>208</v>
      </c>
      <c r="D50" s="118">
        <v>47</v>
      </c>
    </row>
    <row r="51" spans="1:4" x14ac:dyDescent="0.15">
      <c r="A51" s="118">
        <v>25</v>
      </c>
      <c r="B51" s="119" t="s">
        <v>211</v>
      </c>
      <c r="C51" s="120" t="s">
        <v>212</v>
      </c>
      <c r="D51" s="118">
        <v>48</v>
      </c>
    </row>
    <row r="52" spans="1:4" x14ac:dyDescent="0.15">
      <c r="A52" s="118">
        <v>26</v>
      </c>
      <c r="B52" s="119" t="s">
        <v>215</v>
      </c>
      <c r="C52" s="120" t="s">
        <v>216</v>
      </c>
      <c r="D52" s="118">
        <v>49</v>
      </c>
    </row>
    <row r="53" spans="1:4" x14ac:dyDescent="0.15">
      <c r="A53" s="118">
        <v>27</v>
      </c>
      <c r="B53" s="119" t="s">
        <v>219</v>
      </c>
      <c r="C53" s="120" t="s">
        <v>220</v>
      </c>
      <c r="D53" s="118">
        <v>50</v>
      </c>
    </row>
    <row r="54" spans="1:4" s="117" customFormat="1" x14ac:dyDescent="0.15">
      <c r="A54" s="114"/>
      <c r="B54" s="115" t="s">
        <v>867</v>
      </c>
      <c r="C54" s="116" t="s">
        <v>868</v>
      </c>
      <c r="D54" s="114"/>
    </row>
    <row r="55" spans="1:4" x14ac:dyDescent="0.15">
      <c r="A55" s="118">
        <v>30</v>
      </c>
      <c r="B55" s="118">
        <v>200</v>
      </c>
      <c r="C55" s="120" t="s">
        <v>222</v>
      </c>
      <c r="D55" s="118">
        <v>51</v>
      </c>
    </row>
    <row r="56" spans="1:4" x14ac:dyDescent="0.15">
      <c r="A56" s="118">
        <v>30</v>
      </c>
      <c r="B56" s="119" t="s">
        <v>230</v>
      </c>
      <c r="C56" s="120" t="s">
        <v>869</v>
      </c>
      <c r="D56" s="118">
        <v>52</v>
      </c>
    </row>
    <row r="57" spans="1:4" x14ac:dyDescent="0.15">
      <c r="A57" s="118">
        <v>31</v>
      </c>
      <c r="B57" s="119">
        <v>201</v>
      </c>
      <c r="C57" s="120" t="s">
        <v>235</v>
      </c>
      <c r="D57" s="118">
        <v>53</v>
      </c>
    </row>
    <row r="58" spans="1:4" x14ac:dyDescent="0.15">
      <c r="A58" s="118">
        <v>31</v>
      </c>
      <c r="B58" s="119" t="s">
        <v>240</v>
      </c>
      <c r="C58" s="120" t="s">
        <v>241</v>
      </c>
      <c r="D58" s="118">
        <v>54</v>
      </c>
    </row>
    <row r="59" spans="1:4" x14ac:dyDescent="0.15">
      <c r="A59" s="118">
        <v>32</v>
      </c>
      <c r="B59" s="119">
        <v>202</v>
      </c>
      <c r="C59" s="120" t="s">
        <v>245</v>
      </c>
      <c r="D59" s="118">
        <v>55</v>
      </c>
    </row>
    <row r="60" spans="1:4" x14ac:dyDescent="0.15">
      <c r="A60" s="118">
        <v>33</v>
      </c>
      <c r="B60" s="119">
        <v>203</v>
      </c>
      <c r="C60" s="120" t="s">
        <v>223</v>
      </c>
      <c r="D60" s="118">
        <v>56</v>
      </c>
    </row>
    <row r="61" spans="1:4" x14ac:dyDescent="0.15">
      <c r="A61" s="118">
        <v>34</v>
      </c>
      <c r="B61" s="119">
        <v>204</v>
      </c>
      <c r="C61" s="120" t="s">
        <v>232</v>
      </c>
      <c r="D61" s="118">
        <v>57</v>
      </c>
    </row>
    <row r="62" spans="1:4" x14ac:dyDescent="0.15">
      <c r="A62" s="118">
        <v>35</v>
      </c>
      <c r="B62" s="119">
        <v>205</v>
      </c>
      <c r="C62" s="120" t="s">
        <v>236</v>
      </c>
      <c r="D62" s="118">
        <v>58</v>
      </c>
    </row>
    <row r="63" spans="1:4" x14ac:dyDescent="0.15">
      <c r="A63" s="118">
        <v>36</v>
      </c>
      <c r="B63" s="119">
        <v>206</v>
      </c>
      <c r="C63" s="120" t="s">
        <v>242</v>
      </c>
      <c r="D63" s="118">
        <v>59</v>
      </c>
    </row>
    <row r="64" spans="1:4" s="117" customFormat="1" x14ac:dyDescent="0.15">
      <c r="A64" s="114"/>
      <c r="B64" s="115" t="s">
        <v>870</v>
      </c>
      <c r="C64" s="116" t="s">
        <v>871</v>
      </c>
      <c r="D64" s="114"/>
    </row>
    <row r="65" spans="1:4" x14ac:dyDescent="0.15">
      <c r="A65" s="118">
        <v>38</v>
      </c>
      <c r="B65" s="119" t="s">
        <v>248</v>
      </c>
      <c r="C65" s="120" t="s">
        <v>249</v>
      </c>
      <c r="D65" s="118">
        <v>60</v>
      </c>
    </row>
    <row r="66" spans="1:4" x14ac:dyDescent="0.15">
      <c r="A66" s="118">
        <v>39</v>
      </c>
      <c r="B66" s="119" t="s">
        <v>272</v>
      </c>
      <c r="C66" s="120" t="s">
        <v>273</v>
      </c>
      <c r="D66" s="118">
        <v>61</v>
      </c>
    </row>
    <row r="67" spans="1:4" x14ac:dyDescent="0.15">
      <c r="A67" s="118">
        <v>40</v>
      </c>
      <c r="B67" s="119" t="s">
        <v>284</v>
      </c>
      <c r="C67" s="120" t="s">
        <v>285</v>
      </c>
      <c r="D67" s="118">
        <v>62</v>
      </c>
    </row>
    <row r="68" spans="1:4" x14ac:dyDescent="0.15">
      <c r="A68" s="118">
        <v>41</v>
      </c>
      <c r="B68" s="119" t="s">
        <v>292</v>
      </c>
      <c r="C68" s="120" t="s">
        <v>293</v>
      </c>
      <c r="D68" s="118">
        <v>63</v>
      </c>
    </row>
    <row r="69" spans="1:4" x14ac:dyDescent="0.15">
      <c r="A69" s="118">
        <v>42</v>
      </c>
      <c r="B69" s="119" t="s">
        <v>297</v>
      </c>
      <c r="C69" s="120" t="s">
        <v>298</v>
      </c>
      <c r="D69" s="118">
        <v>64</v>
      </c>
    </row>
    <row r="70" spans="1:4" x14ac:dyDescent="0.15">
      <c r="A70" s="118">
        <v>43</v>
      </c>
      <c r="B70" s="119" t="s">
        <v>303</v>
      </c>
      <c r="C70" s="120" t="s">
        <v>304</v>
      </c>
      <c r="D70" s="118">
        <v>65</v>
      </c>
    </row>
    <row r="71" spans="1:4" x14ac:dyDescent="0.15">
      <c r="A71" s="118">
        <v>44</v>
      </c>
      <c r="B71" s="119" t="s">
        <v>309</v>
      </c>
      <c r="C71" s="120" t="s">
        <v>310</v>
      </c>
      <c r="D71" s="118">
        <v>66</v>
      </c>
    </row>
    <row r="72" spans="1:4" x14ac:dyDescent="0.15">
      <c r="A72" s="118">
        <v>45</v>
      </c>
      <c r="B72" s="119" t="s">
        <v>318</v>
      </c>
      <c r="C72" s="120" t="s">
        <v>319</v>
      </c>
      <c r="D72" s="118">
        <v>67</v>
      </c>
    </row>
    <row r="73" spans="1:4" x14ac:dyDescent="0.15">
      <c r="A73" s="118">
        <v>46</v>
      </c>
      <c r="B73" s="119" t="s">
        <v>324</v>
      </c>
      <c r="C73" s="120" t="s">
        <v>325</v>
      </c>
      <c r="D73" s="118">
        <v>68</v>
      </c>
    </row>
    <row r="74" spans="1:4" x14ac:dyDescent="0.15">
      <c r="A74" s="118">
        <v>47</v>
      </c>
      <c r="B74" s="119" t="s">
        <v>328</v>
      </c>
      <c r="C74" s="120" t="s">
        <v>329</v>
      </c>
      <c r="D74" s="118">
        <v>69</v>
      </c>
    </row>
    <row r="75" spans="1:4" x14ac:dyDescent="0.15">
      <c r="A75" s="118">
        <v>48</v>
      </c>
      <c r="B75" s="119" t="s">
        <v>332</v>
      </c>
      <c r="C75" s="120" t="s">
        <v>333</v>
      </c>
      <c r="D75" s="118">
        <v>70</v>
      </c>
    </row>
    <row r="76" spans="1:4" x14ac:dyDescent="0.15">
      <c r="A76" s="118">
        <v>49</v>
      </c>
      <c r="B76" s="119" t="s">
        <v>336</v>
      </c>
      <c r="C76" s="120" t="s">
        <v>337</v>
      </c>
      <c r="D76" s="118">
        <v>71</v>
      </c>
    </row>
    <row r="77" spans="1:4" x14ac:dyDescent="0.15">
      <c r="A77" s="118">
        <v>50</v>
      </c>
      <c r="B77" s="119" t="s">
        <v>347</v>
      </c>
      <c r="C77" s="120" t="s">
        <v>348</v>
      </c>
      <c r="D77" s="118">
        <v>72</v>
      </c>
    </row>
    <row r="78" spans="1:4" x14ac:dyDescent="0.15">
      <c r="A78" s="118">
        <v>51</v>
      </c>
      <c r="B78" s="119" t="s">
        <v>352</v>
      </c>
      <c r="C78" s="120" t="s">
        <v>353</v>
      </c>
      <c r="D78" s="118">
        <v>73</v>
      </c>
    </row>
    <row r="79" spans="1:4" x14ac:dyDescent="0.15">
      <c r="A79" s="118">
        <v>52</v>
      </c>
      <c r="B79" s="119" t="s">
        <v>357</v>
      </c>
      <c r="C79" s="120" t="s">
        <v>358</v>
      </c>
      <c r="D79" s="118">
        <v>74</v>
      </c>
    </row>
    <row r="80" spans="1:4" x14ac:dyDescent="0.15">
      <c r="A80" s="118">
        <v>53</v>
      </c>
      <c r="B80" s="119" t="s">
        <v>361</v>
      </c>
      <c r="C80" s="120" t="s">
        <v>362</v>
      </c>
      <c r="D80" s="118">
        <v>75</v>
      </c>
    </row>
    <row r="81" spans="1:4" x14ac:dyDescent="0.15">
      <c r="A81" s="118">
        <v>54</v>
      </c>
      <c r="B81" s="119" t="s">
        <v>365</v>
      </c>
      <c r="C81" s="120" t="s">
        <v>366</v>
      </c>
      <c r="D81" s="118">
        <v>76</v>
      </c>
    </row>
    <row r="82" spans="1:4" x14ac:dyDescent="0.15">
      <c r="A82" s="118">
        <v>55</v>
      </c>
      <c r="B82" s="119" t="s">
        <v>370</v>
      </c>
      <c r="C82" s="120" t="s">
        <v>371</v>
      </c>
      <c r="D82" s="118">
        <v>77</v>
      </c>
    </row>
    <row r="83" spans="1:4" x14ac:dyDescent="0.15">
      <c r="A83" s="118">
        <v>56</v>
      </c>
      <c r="B83" s="119" t="s">
        <v>380</v>
      </c>
      <c r="C83" s="120" t="s">
        <v>381</v>
      </c>
      <c r="D83" s="118">
        <v>78</v>
      </c>
    </row>
    <row r="84" spans="1:4" x14ac:dyDescent="0.15">
      <c r="A84" s="118">
        <v>57</v>
      </c>
      <c r="B84" s="119" t="s">
        <v>384</v>
      </c>
      <c r="C84" s="120" t="s">
        <v>872</v>
      </c>
      <c r="D84" s="118">
        <v>79</v>
      </c>
    </row>
    <row r="85" spans="1:4" x14ac:dyDescent="0.15">
      <c r="A85" s="118">
        <v>57</v>
      </c>
      <c r="B85" s="119" t="s">
        <v>395</v>
      </c>
      <c r="C85" s="120" t="s">
        <v>873</v>
      </c>
      <c r="D85" s="118">
        <v>80</v>
      </c>
    </row>
    <row r="86" spans="1:4" x14ac:dyDescent="0.15">
      <c r="A86" s="118">
        <v>57</v>
      </c>
      <c r="B86" s="119" t="s">
        <v>400</v>
      </c>
      <c r="C86" s="120" t="s">
        <v>874</v>
      </c>
      <c r="D86" s="118">
        <v>81</v>
      </c>
    </row>
    <row r="87" spans="1:4" ht="16.5" customHeight="1" x14ac:dyDescent="0.15">
      <c r="A87" s="123">
        <v>58</v>
      </c>
      <c r="B87" s="124" t="s">
        <v>250</v>
      </c>
      <c r="C87" s="121" t="s">
        <v>251</v>
      </c>
      <c r="D87" s="118">
        <v>82</v>
      </c>
    </row>
    <row r="88" spans="1:4" x14ac:dyDescent="0.15">
      <c r="A88" s="118">
        <v>59</v>
      </c>
      <c r="B88" s="119">
        <v>307</v>
      </c>
      <c r="C88" s="120" t="s">
        <v>875</v>
      </c>
      <c r="D88" s="118">
        <v>83</v>
      </c>
    </row>
    <row r="89" spans="1:4" x14ac:dyDescent="0.15">
      <c r="A89" s="118">
        <v>60</v>
      </c>
      <c r="B89" s="119" t="s">
        <v>286</v>
      </c>
      <c r="C89" s="120" t="s">
        <v>876</v>
      </c>
      <c r="D89" s="118">
        <v>84</v>
      </c>
    </row>
    <row r="90" spans="1:4" x14ac:dyDescent="0.15">
      <c r="A90" s="118"/>
      <c r="B90" s="119" t="s">
        <v>294</v>
      </c>
      <c r="C90" s="120" t="s">
        <v>877</v>
      </c>
      <c r="D90" s="118">
        <v>85</v>
      </c>
    </row>
    <row r="91" spans="1:4" x14ac:dyDescent="0.15">
      <c r="A91" s="118">
        <v>61</v>
      </c>
      <c r="B91" s="119">
        <v>309</v>
      </c>
      <c r="C91" s="120" t="s">
        <v>299</v>
      </c>
      <c r="D91" s="118">
        <v>86</v>
      </c>
    </row>
    <row r="92" spans="1:4" x14ac:dyDescent="0.15">
      <c r="A92" s="118">
        <v>62</v>
      </c>
      <c r="B92" s="119" t="s">
        <v>305</v>
      </c>
      <c r="C92" s="120" t="s">
        <v>878</v>
      </c>
      <c r="D92" s="118">
        <v>87</v>
      </c>
    </row>
    <row r="93" spans="1:4" x14ac:dyDescent="0.15">
      <c r="A93" s="118">
        <v>62</v>
      </c>
      <c r="B93" s="119" t="s">
        <v>311</v>
      </c>
      <c r="C93" s="120" t="s">
        <v>879</v>
      </c>
      <c r="D93" s="118">
        <v>88</v>
      </c>
    </row>
    <row r="94" spans="1:4" x14ac:dyDescent="0.15">
      <c r="A94" s="118">
        <v>62</v>
      </c>
      <c r="B94" s="119" t="s">
        <v>320</v>
      </c>
      <c r="C94" s="120" t="s">
        <v>880</v>
      </c>
      <c r="D94" s="118">
        <v>89</v>
      </c>
    </row>
    <row r="95" spans="1:4" x14ac:dyDescent="0.15">
      <c r="A95" s="118"/>
      <c r="B95" s="119" t="s">
        <v>326</v>
      </c>
      <c r="C95" s="120" t="s">
        <v>881</v>
      </c>
      <c r="D95" s="118">
        <v>90</v>
      </c>
    </row>
    <row r="96" spans="1:4" x14ac:dyDescent="0.15">
      <c r="A96" s="118"/>
      <c r="B96" s="119" t="s">
        <v>330</v>
      </c>
      <c r="C96" s="120" t="s">
        <v>882</v>
      </c>
      <c r="D96" s="118">
        <v>91</v>
      </c>
    </row>
    <row r="97" spans="1:4" x14ac:dyDescent="0.15">
      <c r="A97" s="118"/>
      <c r="B97" s="119" t="s">
        <v>334</v>
      </c>
      <c r="C97" s="120" t="s">
        <v>883</v>
      </c>
      <c r="D97" s="118">
        <v>92</v>
      </c>
    </row>
    <row r="98" spans="1:4" x14ac:dyDescent="0.15">
      <c r="A98" s="118">
        <v>63</v>
      </c>
      <c r="B98" s="119" t="s">
        <v>338</v>
      </c>
      <c r="C98" s="120" t="s">
        <v>339</v>
      </c>
      <c r="D98" s="118">
        <v>93</v>
      </c>
    </row>
    <row r="99" spans="1:4" x14ac:dyDescent="0.15">
      <c r="A99" s="118"/>
      <c r="B99" s="119" t="s">
        <v>349</v>
      </c>
      <c r="C99" s="120" t="s">
        <v>350</v>
      </c>
      <c r="D99" s="118">
        <v>94</v>
      </c>
    </row>
    <row r="100" spans="1:4" x14ac:dyDescent="0.15">
      <c r="A100" s="118"/>
      <c r="B100" s="119" t="s">
        <v>354</v>
      </c>
      <c r="C100" s="120" t="s">
        <v>355</v>
      </c>
      <c r="D100" s="118">
        <v>95</v>
      </c>
    </row>
    <row r="101" spans="1:4" x14ac:dyDescent="0.15">
      <c r="A101" s="118"/>
      <c r="B101" s="119" t="s">
        <v>359</v>
      </c>
      <c r="C101" s="120" t="s">
        <v>360</v>
      </c>
      <c r="D101" s="118">
        <v>96</v>
      </c>
    </row>
    <row r="102" spans="1:4" x14ac:dyDescent="0.15">
      <c r="A102" s="118"/>
      <c r="B102" s="119" t="s">
        <v>363</v>
      </c>
      <c r="C102" s="120" t="s">
        <v>364</v>
      </c>
      <c r="D102" s="118">
        <v>97</v>
      </c>
    </row>
    <row r="103" spans="1:4" x14ac:dyDescent="0.15">
      <c r="A103" s="118"/>
      <c r="B103" s="119" t="s">
        <v>367</v>
      </c>
      <c r="C103" s="120" t="s">
        <v>368</v>
      </c>
      <c r="D103" s="118">
        <v>98</v>
      </c>
    </row>
    <row r="104" spans="1:4" x14ac:dyDescent="0.15">
      <c r="A104" s="118"/>
      <c r="B104" s="119" t="s">
        <v>372</v>
      </c>
      <c r="C104" s="120" t="s">
        <v>373</v>
      </c>
      <c r="D104" s="118">
        <v>99</v>
      </c>
    </row>
    <row r="105" spans="1:4" x14ac:dyDescent="0.15">
      <c r="A105" s="118"/>
      <c r="B105" s="119" t="s">
        <v>382</v>
      </c>
      <c r="C105" s="120" t="s">
        <v>383</v>
      </c>
      <c r="D105" s="118">
        <v>100</v>
      </c>
    </row>
    <row r="106" spans="1:4" x14ac:dyDescent="0.15">
      <c r="A106" s="118"/>
      <c r="B106" s="119" t="s">
        <v>386</v>
      </c>
      <c r="C106" s="120" t="s">
        <v>387</v>
      </c>
      <c r="D106" s="118">
        <v>101</v>
      </c>
    </row>
    <row r="107" spans="1:4" x14ac:dyDescent="0.15">
      <c r="A107" s="118"/>
      <c r="B107" s="119" t="s">
        <v>396</v>
      </c>
      <c r="C107" s="120" t="s">
        <v>397</v>
      </c>
      <c r="D107" s="118">
        <v>102</v>
      </c>
    </row>
    <row r="108" spans="1:4" x14ac:dyDescent="0.15">
      <c r="A108" s="118"/>
      <c r="B108" s="119" t="s">
        <v>402</v>
      </c>
      <c r="C108" s="120" t="s">
        <v>884</v>
      </c>
      <c r="D108" s="118">
        <v>103</v>
      </c>
    </row>
    <row r="109" spans="1:4" x14ac:dyDescent="0.15">
      <c r="A109" s="118">
        <v>64</v>
      </c>
      <c r="B109" s="119" t="s">
        <v>252</v>
      </c>
      <c r="C109" s="120" t="s">
        <v>253</v>
      </c>
      <c r="D109" s="118">
        <v>104</v>
      </c>
    </row>
    <row r="110" spans="1:4" s="117" customFormat="1" x14ac:dyDescent="0.15">
      <c r="A110" s="114"/>
      <c r="B110" s="115" t="s">
        <v>885</v>
      </c>
      <c r="C110" s="116" t="s">
        <v>886</v>
      </c>
      <c r="D110" s="114"/>
    </row>
    <row r="111" spans="1:4" x14ac:dyDescent="0.15">
      <c r="A111" s="118"/>
      <c r="B111" s="119">
        <v>404</v>
      </c>
      <c r="C111" s="120" t="s">
        <v>405</v>
      </c>
      <c r="D111" s="118">
        <v>105</v>
      </c>
    </row>
    <row r="112" spans="1:4" x14ac:dyDescent="0.15">
      <c r="A112" s="118"/>
      <c r="B112" s="119">
        <v>405</v>
      </c>
      <c r="C112" s="120" t="s">
        <v>410</v>
      </c>
      <c r="D112" s="118">
        <v>106</v>
      </c>
    </row>
    <row r="113" spans="1:4" ht="15.75" x14ac:dyDescent="0.2">
      <c r="A113" s="118">
        <v>65</v>
      </c>
      <c r="B113" s="118" t="s">
        <v>420</v>
      </c>
      <c r="C113" s="120" t="s">
        <v>887</v>
      </c>
      <c r="D113" s="118">
        <v>107</v>
      </c>
    </row>
    <row r="114" spans="1:4" ht="15.75" x14ac:dyDescent="0.2">
      <c r="A114" s="118"/>
      <c r="B114" s="119" t="s">
        <v>429</v>
      </c>
      <c r="C114" s="120" t="s">
        <v>888</v>
      </c>
      <c r="D114" s="118">
        <v>108</v>
      </c>
    </row>
    <row r="115" spans="1:4" ht="15.75" x14ac:dyDescent="0.2">
      <c r="A115" s="118">
        <v>66</v>
      </c>
      <c r="B115" s="118" t="s">
        <v>434</v>
      </c>
      <c r="C115" s="120" t="s">
        <v>889</v>
      </c>
      <c r="D115" s="118">
        <v>109</v>
      </c>
    </row>
    <row r="116" spans="1:4" ht="15.75" x14ac:dyDescent="0.2">
      <c r="A116" s="118"/>
      <c r="B116" s="118" t="s">
        <v>439</v>
      </c>
      <c r="C116" s="120" t="s">
        <v>890</v>
      </c>
      <c r="D116" s="118">
        <v>110</v>
      </c>
    </row>
    <row r="117" spans="1:4" ht="15.75" x14ac:dyDescent="0.2">
      <c r="A117" s="118">
        <v>67</v>
      </c>
      <c r="B117" s="118" t="s">
        <v>444</v>
      </c>
      <c r="C117" s="120" t="s">
        <v>891</v>
      </c>
      <c r="D117" s="118">
        <v>111</v>
      </c>
    </row>
    <row r="118" spans="1:4" ht="15.75" x14ac:dyDescent="0.2">
      <c r="A118" s="118"/>
      <c r="B118" s="118" t="s">
        <v>451</v>
      </c>
      <c r="C118" s="120" t="s">
        <v>892</v>
      </c>
      <c r="D118" s="118">
        <v>112</v>
      </c>
    </row>
    <row r="119" spans="1:4" x14ac:dyDescent="0.15">
      <c r="A119" s="118">
        <v>69</v>
      </c>
      <c r="B119" s="118" t="s">
        <v>457</v>
      </c>
      <c r="C119" s="120" t="s">
        <v>458</v>
      </c>
      <c r="D119" s="118">
        <v>113</v>
      </c>
    </row>
    <row r="120" spans="1:4" x14ac:dyDescent="0.15">
      <c r="A120" s="118">
        <v>70</v>
      </c>
      <c r="B120" s="119" t="s">
        <v>467</v>
      </c>
      <c r="C120" s="120" t="s">
        <v>893</v>
      </c>
      <c r="D120" s="118">
        <v>114</v>
      </c>
    </row>
    <row r="121" spans="1:4" x14ac:dyDescent="0.15">
      <c r="A121" s="118">
        <v>71</v>
      </c>
      <c r="B121" s="118" t="s">
        <v>473</v>
      </c>
      <c r="C121" s="120" t="s">
        <v>894</v>
      </c>
      <c r="D121" s="118">
        <v>115</v>
      </c>
    </row>
    <row r="122" spans="1:4" x14ac:dyDescent="0.15">
      <c r="A122" s="118"/>
      <c r="B122" s="125">
        <v>502</v>
      </c>
      <c r="C122" s="120" t="s">
        <v>479</v>
      </c>
      <c r="D122" s="118">
        <v>116</v>
      </c>
    </row>
    <row r="123" spans="1:4" x14ac:dyDescent="0.15">
      <c r="A123" s="118">
        <v>75</v>
      </c>
      <c r="B123" s="125" t="s">
        <v>489</v>
      </c>
      <c r="C123" s="120" t="s">
        <v>490</v>
      </c>
      <c r="D123" s="118">
        <v>117</v>
      </c>
    </row>
    <row r="124" spans="1:4" x14ac:dyDescent="0.15">
      <c r="A124" s="118">
        <v>76</v>
      </c>
      <c r="B124" s="125" t="s">
        <v>505</v>
      </c>
      <c r="C124" s="120" t="s">
        <v>506</v>
      </c>
      <c r="D124" s="118">
        <v>118</v>
      </c>
    </row>
    <row r="125" spans="1:4" x14ac:dyDescent="0.15">
      <c r="A125" s="118">
        <v>77</v>
      </c>
      <c r="B125" s="125" t="s">
        <v>512</v>
      </c>
      <c r="C125" s="120" t="s">
        <v>513</v>
      </c>
      <c r="D125" s="118">
        <v>119</v>
      </c>
    </row>
    <row r="126" spans="1:4" ht="7.5" hidden="1" customHeight="1" x14ac:dyDescent="0.15">
      <c r="A126" s="111"/>
      <c r="B126" s="125"/>
      <c r="C126" s="126"/>
      <c r="D126" s="118">
        <v>120</v>
      </c>
    </row>
    <row r="127" spans="1:4" s="117" customFormat="1" hidden="1" x14ac:dyDescent="0.15">
      <c r="A127" s="127"/>
      <c r="B127" s="125" t="s">
        <v>895</v>
      </c>
      <c r="C127" s="126" t="s">
        <v>896</v>
      </c>
      <c r="D127" s="118">
        <v>121</v>
      </c>
    </row>
    <row r="128" spans="1:4" x14ac:dyDescent="0.15">
      <c r="A128" s="118">
        <v>81</v>
      </c>
      <c r="B128" s="119" t="s">
        <v>518</v>
      </c>
      <c r="C128" s="120" t="s">
        <v>897</v>
      </c>
      <c r="D128" s="118">
        <v>122</v>
      </c>
    </row>
    <row r="129" spans="1:4" x14ac:dyDescent="0.15">
      <c r="A129" s="118"/>
      <c r="B129" s="119" t="s">
        <v>527</v>
      </c>
      <c r="C129" s="120" t="s">
        <v>898</v>
      </c>
      <c r="D129" s="118">
        <v>123</v>
      </c>
    </row>
    <row r="130" spans="1:4" x14ac:dyDescent="0.15">
      <c r="A130" s="118">
        <v>82</v>
      </c>
      <c r="B130" s="119" t="s">
        <v>532</v>
      </c>
      <c r="C130" s="120" t="s">
        <v>899</v>
      </c>
      <c r="D130" s="118">
        <v>124</v>
      </c>
    </row>
    <row r="131" spans="1:4" x14ac:dyDescent="0.15">
      <c r="A131" s="118">
        <v>82</v>
      </c>
      <c r="B131" s="119" t="s">
        <v>539</v>
      </c>
      <c r="C131" s="120" t="s">
        <v>540</v>
      </c>
      <c r="D131" s="118">
        <v>125</v>
      </c>
    </row>
    <row r="132" spans="1:4" x14ac:dyDescent="0.15">
      <c r="A132" s="118">
        <v>82</v>
      </c>
      <c r="B132" s="119" t="s">
        <v>543</v>
      </c>
      <c r="C132" s="120" t="s">
        <v>544</v>
      </c>
      <c r="D132" s="118">
        <v>126</v>
      </c>
    </row>
    <row r="133" spans="1:4" x14ac:dyDescent="0.15">
      <c r="A133" s="118">
        <v>82</v>
      </c>
      <c r="B133" s="119" t="s">
        <v>552</v>
      </c>
      <c r="C133" s="120" t="s">
        <v>553</v>
      </c>
      <c r="D133" s="118">
        <v>127</v>
      </c>
    </row>
    <row r="134" spans="1:4" x14ac:dyDescent="0.15">
      <c r="A134" s="118">
        <v>82</v>
      </c>
      <c r="B134" s="119" t="s">
        <v>556</v>
      </c>
      <c r="C134" s="120" t="s">
        <v>557</v>
      </c>
      <c r="D134" s="118">
        <v>128</v>
      </c>
    </row>
    <row r="135" spans="1:4" x14ac:dyDescent="0.15">
      <c r="A135" s="118">
        <v>83</v>
      </c>
      <c r="B135" s="119" t="s">
        <v>559</v>
      </c>
      <c r="C135" s="120" t="s">
        <v>900</v>
      </c>
      <c r="D135" s="118">
        <v>129</v>
      </c>
    </row>
    <row r="136" spans="1:4" x14ac:dyDescent="0.15">
      <c r="A136" s="118">
        <v>83</v>
      </c>
      <c r="B136" s="119" t="s">
        <v>574</v>
      </c>
      <c r="C136" s="120" t="s">
        <v>901</v>
      </c>
      <c r="D136" s="118">
        <v>130</v>
      </c>
    </row>
    <row r="137" spans="1:4" x14ac:dyDescent="0.15">
      <c r="A137" s="118">
        <v>83</v>
      </c>
      <c r="B137" s="119" t="s">
        <v>580</v>
      </c>
      <c r="C137" s="120" t="s">
        <v>902</v>
      </c>
      <c r="D137" s="118">
        <v>131</v>
      </c>
    </row>
    <row r="138" spans="1:4" x14ac:dyDescent="0.15">
      <c r="A138" s="118">
        <v>83</v>
      </c>
      <c r="B138" s="119" t="s">
        <v>594</v>
      </c>
      <c r="C138" s="120" t="s">
        <v>903</v>
      </c>
      <c r="D138" s="118">
        <v>132</v>
      </c>
    </row>
    <row r="139" spans="1:4" x14ac:dyDescent="0.15">
      <c r="A139" s="118">
        <v>83</v>
      </c>
      <c r="B139" s="119" t="s">
        <v>603</v>
      </c>
      <c r="C139" s="120" t="s">
        <v>904</v>
      </c>
      <c r="D139" s="118">
        <v>133</v>
      </c>
    </row>
    <row r="140" spans="1:4" x14ac:dyDescent="0.15">
      <c r="A140" s="118">
        <v>84</v>
      </c>
      <c r="B140" s="119" t="s">
        <v>608</v>
      </c>
      <c r="C140" s="120" t="s">
        <v>609</v>
      </c>
      <c r="D140" s="118">
        <v>134</v>
      </c>
    </row>
    <row r="141" spans="1:4" x14ac:dyDescent="0.15">
      <c r="A141" s="118">
        <v>84</v>
      </c>
      <c r="B141" s="119" t="s">
        <v>615</v>
      </c>
      <c r="C141" s="120" t="s">
        <v>616</v>
      </c>
      <c r="D141" s="118">
        <v>135</v>
      </c>
    </row>
    <row r="142" spans="1:4" x14ac:dyDescent="0.15">
      <c r="A142" s="118">
        <v>84</v>
      </c>
      <c r="B142" s="119" t="s">
        <v>422</v>
      </c>
      <c r="C142" s="120" t="s">
        <v>423</v>
      </c>
      <c r="D142" s="118">
        <v>136</v>
      </c>
    </row>
    <row r="143" spans="1:4" x14ac:dyDescent="0.15">
      <c r="A143" s="118">
        <v>84</v>
      </c>
      <c r="B143" s="119" t="s">
        <v>431</v>
      </c>
      <c r="C143" s="120" t="s">
        <v>432</v>
      </c>
      <c r="D143" s="118">
        <v>137</v>
      </c>
    </row>
    <row r="144" spans="1:4" x14ac:dyDescent="0.15">
      <c r="A144" s="118">
        <v>84</v>
      </c>
      <c r="B144" s="119" t="s">
        <v>436</v>
      </c>
      <c r="C144" s="120" t="s">
        <v>437</v>
      </c>
      <c r="D144" s="118">
        <v>138</v>
      </c>
    </row>
    <row r="145" spans="1:4" x14ac:dyDescent="0.15">
      <c r="A145" s="118">
        <v>84</v>
      </c>
      <c r="B145" s="119" t="s">
        <v>441</v>
      </c>
      <c r="C145" s="120" t="s">
        <v>442</v>
      </c>
      <c r="D145" s="118">
        <v>139</v>
      </c>
    </row>
    <row r="146" spans="1:4" x14ac:dyDescent="0.15">
      <c r="A146" s="118">
        <v>85</v>
      </c>
      <c r="B146" s="119" t="s">
        <v>446</v>
      </c>
      <c r="C146" s="120" t="s">
        <v>447</v>
      </c>
      <c r="D146" s="118">
        <v>140</v>
      </c>
    </row>
    <row r="147" spans="1:4" x14ac:dyDescent="0.15">
      <c r="A147" s="118">
        <v>86</v>
      </c>
      <c r="B147" s="119" t="s">
        <v>453</v>
      </c>
      <c r="C147" s="120" t="s">
        <v>905</v>
      </c>
      <c r="D147" s="118">
        <v>141</v>
      </c>
    </row>
    <row r="148" spans="1:4" x14ac:dyDescent="0.15">
      <c r="A148" s="118">
        <v>87</v>
      </c>
      <c r="B148" s="119" t="s">
        <v>459</v>
      </c>
      <c r="C148" s="120" t="s">
        <v>906</v>
      </c>
      <c r="D148" s="118">
        <v>142</v>
      </c>
    </row>
    <row r="149" spans="1:4" x14ac:dyDescent="0.15">
      <c r="A149" s="118">
        <v>88</v>
      </c>
      <c r="B149" s="119" t="s">
        <v>469</v>
      </c>
      <c r="C149" s="120" t="s">
        <v>907</v>
      </c>
      <c r="D149" s="118">
        <v>143</v>
      </c>
    </row>
    <row r="150" spans="1:4" x14ac:dyDescent="0.15">
      <c r="A150" s="118">
        <v>89</v>
      </c>
      <c r="B150" s="119" t="s">
        <v>475</v>
      </c>
      <c r="C150" s="120" t="s">
        <v>908</v>
      </c>
      <c r="D150" s="118">
        <v>144</v>
      </c>
    </row>
    <row r="151" spans="1:4" x14ac:dyDescent="0.15">
      <c r="A151" s="118">
        <v>90</v>
      </c>
      <c r="B151" s="119" t="s">
        <v>480</v>
      </c>
      <c r="C151" s="120" t="s">
        <v>909</v>
      </c>
      <c r="D151" s="118">
        <v>145</v>
      </c>
    </row>
    <row r="152" spans="1:4" x14ac:dyDescent="0.15">
      <c r="A152" s="118">
        <v>91</v>
      </c>
      <c r="B152" s="119" t="s">
        <v>491</v>
      </c>
      <c r="C152" s="120" t="s">
        <v>910</v>
      </c>
      <c r="D152" s="118">
        <v>146</v>
      </c>
    </row>
    <row r="153" spans="1:4" x14ac:dyDescent="0.15">
      <c r="A153" s="118">
        <v>92</v>
      </c>
      <c r="B153" s="119" t="s">
        <v>507</v>
      </c>
      <c r="C153" s="120" t="s">
        <v>911</v>
      </c>
      <c r="D153" s="118">
        <v>147</v>
      </c>
    </row>
    <row r="154" spans="1:4" x14ac:dyDescent="0.15">
      <c r="A154" s="118">
        <v>93</v>
      </c>
      <c r="B154" s="119" t="s">
        <v>514</v>
      </c>
      <c r="C154" s="120" t="s">
        <v>912</v>
      </c>
      <c r="D154" s="118">
        <v>148</v>
      </c>
    </row>
    <row r="155" spans="1:4" x14ac:dyDescent="0.15">
      <c r="A155" s="118">
        <v>94</v>
      </c>
      <c r="B155" s="119" t="s">
        <v>520</v>
      </c>
      <c r="C155" s="120" t="s">
        <v>521</v>
      </c>
      <c r="D155" s="118">
        <v>149</v>
      </c>
    </row>
    <row r="156" spans="1:4" x14ac:dyDescent="0.15">
      <c r="A156" s="118">
        <v>95</v>
      </c>
      <c r="B156" s="119">
        <v>506</v>
      </c>
      <c r="C156" s="120" t="s">
        <v>529</v>
      </c>
      <c r="D156" s="118">
        <v>150</v>
      </c>
    </row>
    <row r="157" spans="1:4" ht="7.5" hidden="1" customHeight="1" x14ac:dyDescent="0.15">
      <c r="A157" s="111"/>
      <c r="B157" s="128"/>
      <c r="C157" s="126"/>
      <c r="D157" s="118">
        <v>151</v>
      </c>
    </row>
    <row r="158" spans="1:4" s="117" customFormat="1" hidden="1" x14ac:dyDescent="0.15">
      <c r="A158" s="127"/>
      <c r="B158" s="128" t="s">
        <v>913</v>
      </c>
      <c r="C158" s="126" t="s">
        <v>914</v>
      </c>
      <c r="D158" s="118">
        <v>152</v>
      </c>
    </row>
    <row r="159" spans="1:4" x14ac:dyDescent="0.15">
      <c r="A159" s="118">
        <v>96</v>
      </c>
      <c r="B159" s="119">
        <v>507</v>
      </c>
      <c r="C159" s="120" t="s">
        <v>534</v>
      </c>
      <c r="D159" s="118">
        <v>153</v>
      </c>
    </row>
    <row r="160" spans="1:4" x14ac:dyDescent="0.15">
      <c r="A160" s="118">
        <v>97</v>
      </c>
      <c r="B160" s="119">
        <v>508</v>
      </c>
      <c r="C160" s="120" t="s">
        <v>915</v>
      </c>
      <c r="D160" s="118">
        <v>154</v>
      </c>
    </row>
    <row r="161" spans="1:4" x14ac:dyDescent="0.15">
      <c r="A161" s="118">
        <v>98</v>
      </c>
      <c r="B161" s="119" t="s">
        <v>545</v>
      </c>
      <c r="C161" s="120" t="s">
        <v>916</v>
      </c>
      <c r="D161" s="118">
        <v>155</v>
      </c>
    </row>
    <row r="162" spans="1:4" x14ac:dyDescent="0.15">
      <c r="A162" s="118">
        <v>99</v>
      </c>
      <c r="B162" s="119" t="s">
        <v>554</v>
      </c>
      <c r="C162" s="120" t="s">
        <v>917</v>
      </c>
      <c r="D162" s="118">
        <v>156</v>
      </c>
    </row>
    <row r="163" spans="1:4" x14ac:dyDescent="0.15">
      <c r="A163" s="118"/>
      <c r="B163" s="119" t="s">
        <v>558</v>
      </c>
      <c r="C163" s="120" t="s">
        <v>918</v>
      </c>
      <c r="D163" s="118">
        <v>157</v>
      </c>
    </row>
    <row r="164" spans="1:4" x14ac:dyDescent="0.15">
      <c r="A164" s="118">
        <v>100</v>
      </c>
      <c r="B164" s="119" t="s">
        <v>561</v>
      </c>
      <c r="C164" s="120" t="s">
        <v>919</v>
      </c>
      <c r="D164" s="118">
        <v>158</v>
      </c>
    </row>
    <row r="165" spans="1:4" x14ac:dyDescent="0.15">
      <c r="A165" s="118">
        <v>101</v>
      </c>
      <c r="B165" s="119" t="s">
        <v>576</v>
      </c>
      <c r="C165" s="120" t="s">
        <v>577</v>
      </c>
      <c r="D165" s="118">
        <v>159</v>
      </c>
    </row>
    <row r="166" spans="1:4" x14ac:dyDescent="0.15">
      <c r="A166" s="118">
        <v>102</v>
      </c>
      <c r="B166" s="119" t="s">
        <v>582</v>
      </c>
      <c r="C166" s="120" t="s">
        <v>583</v>
      </c>
      <c r="D166" s="118">
        <v>160</v>
      </c>
    </row>
    <row r="167" spans="1:4" x14ac:dyDescent="0.15">
      <c r="A167" s="118">
        <v>103</v>
      </c>
      <c r="B167" s="119" t="s">
        <v>596</v>
      </c>
      <c r="C167" s="120" t="s">
        <v>597</v>
      </c>
      <c r="D167" s="118">
        <v>161</v>
      </c>
    </row>
    <row r="168" spans="1:4" x14ac:dyDescent="0.15">
      <c r="A168" s="118">
        <v>104</v>
      </c>
      <c r="B168" s="119" t="s">
        <v>605</v>
      </c>
      <c r="C168" s="120" t="s">
        <v>606</v>
      </c>
      <c r="D168" s="118">
        <v>162</v>
      </c>
    </row>
    <row r="169" spans="1:4" x14ac:dyDescent="0.15">
      <c r="A169" s="118">
        <v>105</v>
      </c>
      <c r="B169" s="119" t="s">
        <v>610</v>
      </c>
      <c r="C169" s="120" t="s">
        <v>611</v>
      </c>
      <c r="D169" s="118">
        <v>163</v>
      </c>
    </row>
    <row r="170" spans="1:4" s="117" customFormat="1" x14ac:dyDescent="0.15">
      <c r="A170" s="114"/>
      <c r="B170" s="115" t="s">
        <v>920</v>
      </c>
      <c r="C170" s="116" t="s">
        <v>921</v>
      </c>
      <c r="D170" s="114"/>
    </row>
    <row r="171" spans="1:4" x14ac:dyDescent="0.15">
      <c r="A171" s="118">
        <v>106</v>
      </c>
      <c r="B171" s="119" t="s">
        <v>617</v>
      </c>
      <c r="C171" s="120" t="s">
        <v>922</v>
      </c>
      <c r="D171" s="118">
        <v>164</v>
      </c>
    </row>
    <row r="172" spans="1:4" x14ac:dyDescent="0.15">
      <c r="A172" s="118">
        <v>107</v>
      </c>
      <c r="B172" s="119" t="s">
        <v>630</v>
      </c>
      <c r="C172" s="120" t="s">
        <v>923</v>
      </c>
      <c r="D172" s="118">
        <v>165</v>
      </c>
    </row>
    <row r="173" spans="1:4" x14ac:dyDescent="0.15">
      <c r="A173" s="118">
        <v>108</v>
      </c>
      <c r="B173" s="119" t="s">
        <v>637</v>
      </c>
      <c r="C173" s="120" t="s">
        <v>638</v>
      </c>
      <c r="D173" s="118">
        <v>166</v>
      </c>
    </row>
    <row r="174" spans="1:4" x14ac:dyDescent="0.15">
      <c r="A174" s="118">
        <v>109</v>
      </c>
      <c r="B174" s="119" t="s">
        <v>641</v>
      </c>
      <c r="C174" s="120" t="s">
        <v>642</v>
      </c>
      <c r="D174" s="118">
        <v>167</v>
      </c>
    </row>
    <row r="175" spans="1:4" x14ac:dyDescent="0.15">
      <c r="A175" s="118">
        <v>110</v>
      </c>
      <c r="B175" s="119" t="s">
        <v>647</v>
      </c>
      <c r="C175" s="120" t="s">
        <v>648</v>
      </c>
      <c r="D175" s="118">
        <v>168</v>
      </c>
    </row>
    <row r="176" spans="1:4" x14ac:dyDescent="0.15">
      <c r="A176" s="118">
        <v>111</v>
      </c>
      <c r="B176" s="119" t="s">
        <v>652</v>
      </c>
      <c r="C176" s="120" t="s">
        <v>924</v>
      </c>
      <c r="D176" s="118">
        <v>169</v>
      </c>
    </row>
    <row r="177" spans="1:4" x14ac:dyDescent="0.15">
      <c r="A177" s="118">
        <v>112</v>
      </c>
      <c r="B177" s="119" t="s">
        <v>657</v>
      </c>
      <c r="C177" s="120" t="s">
        <v>658</v>
      </c>
      <c r="D177" s="118">
        <v>170</v>
      </c>
    </row>
    <row r="178" spans="1:4" x14ac:dyDescent="0.15">
      <c r="A178" s="118">
        <v>112</v>
      </c>
      <c r="B178" s="119" t="s">
        <v>667</v>
      </c>
      <c r="C178" s="120" t="s">
        <v>925</v>
      </c>
      <c r="D178" s="118">
        <v>171</v>
      </c>
    </row>
    <row r="179" spans="1:4" x14ac:dyDescent="0.15">
      <c r="A179" s="118">
        <v>113</v>
      </c>
      <c r="B179" s="119" t="s">
        <v>671</v>
      </c>
      <c r="C179" s="120" t="s">
        <v>926</v>
      </c>
      <c r="D179" s="118">
        <v>172</v>
      </c>
    </row>
    <row r="180" spans="1:4" x14ac:dyDescent="0.15">
      <c r="A180" s="118">
        <v>113</v>
      </c>
      <c r="B180" s="119" t="s">
        <v>680</v>
      </c>
      <c r="C180" s="120" t="s">
        <v>927</v>
      </c>
      <c r="D180" s="118">
        <v>173</v>
      </c>
    </row>
    <row r="181" spans="1:4" x14ac:dyDescent="0.15">
      <c r="A181" s="118">
        <v>114</v>
      </c>
      <c r="B181" s="119" t="s">
        <v>688</v>
      </c>
      <c r="C181" s="120" t="s">
        <v>928</v>
      </c>
      <c r="D181" s="118">
        <v>174</v>
      </c>
    </row>
    <row r="182" spans="1:4" x14ac:dyDescent="0.15">
      <c r="A182" s="118">
        <v>114</v>
      </c>
      <c r="B182" s="119" t="s">
        <v>693</v>
      </c>
      <c r="C182" s="120" t="s">
        <v>929</v>
      </c>
      <c r="D182" s="118">
        <v>175</v>
      </c>
    </row>
    <row r="183" spans="1:4" x14ac:dyDescent="0.15">
      <c r="A183" s="118">
        <v>115</v>
      </c>
      <c r="B183" s="119" t="s">
        <v>698</v>
      </c>
      <c r="C183" s="120" t="s">
        <v>930</v>
      </c>
      <c r="D183" s="118">
        <v>176</v>
      </c>
    </row>
    <row r="184" spans="1:4" x14ac:dyDescent="0.15">
      <c r="A184" s="118">
        <v>115</v>
      </c>
      <c r="B184" s="119" t="s">
        <v>710</v>
      </c>
      <c r="C184" s="120" t="s">
        <v>711</v>
      </c>
      <c r="D184" s="118">
        <v>177</v>
      </c>
    </row>
    <row r="185" spans="1:4" x14ac:dyDescent="0.15">
      <c r="A185" s="118">
        <v>116</v>
      </c>
      <c r="B185" s="119" t="s">
        <v>717</v>
      </c>
      <c r="C185" s="120" t="s">
        <v>718</v>
      </c>
      <c r="D185" s="118">
        <v>178</v>
      </c>
    </row>
    <row r="186" spans="1:4" x14ac:dyDescent="0.15">
      <c r="A186" s="118">
        <v>117</v>
      </c>
      <c r="B186" s="119" t="s">
        <v>729</v>
      </c>
      <c r="C186" s="120" t="s">
        <v>730</v>
      </c>
      <c r="D186" s="118">
        <v>179</v>
      </c>
    </row>
    <row r="187" spans="1:4" x14ac:dyDescent="0.15">
      <c r="A187" s="118">
        <v>119</v>
      </c>
      <c r="B187" s="119" t="s">
        <v>931</v>
      </c>
      <c r="C187" s="120" t="s">
        <v>932</v>
      </c>
      <c r="D187" s="118">
        <v>180</v>
      </c>
    </row>
    <row r="188" spans="1:4" x14ac:dyDescent="0.15">
      <c r="A188" s="118">
        <v>120</v>
      </c>
      <c r="B188" s="119" t="s">
        <v>933</v>
      </c>
      <c r="C188" s="120" t="s">
        <v>767</v>
      </c>
      <c r="D188" s="118">
        <v>181</v>
      </c>
    </row>
    <row r="189" spans="1:4" x14ac:dyDescent="0.15">
      <c r="A189" s="118">
        <v>121</v>
      </c>
      <c r="B189" s="119" t="s">
        <v>772</v>
      </c>
      <c r="C189" s="120" t="s">
        <v>773</v>
      </c>
      <c r="D189" s="118">
        <v>182</v>
      </c>
    </row>
    <row r="190" spans="1:4" x14ac:dyDescent="0.15">
      <c r="A190" s="118">
        <v>122</v>
      </c>
      <c r="B190" s="119" t="s">
        <v>780</v>
      </c>
      <c r="C190" s="120" t="s">
        <v>781</v>
      </c>
      <c r="D190" s="118">
        <v>183</v>
      </c>
    </row>
    <row r="191" spans="1:4" x14ac:dyDescent="0.15">
      <c r="A191" s="118">
        <v>123</v>
      </c>
      <c r="B191" s="119" t="s">
        <v>791</v>
      </c>
      <c r="C191" s="120" t="s">
        <v>792</v>
      </c>
      <c r="D191" s="118">
        <v>184</v>
      </c>
    </row>
    <row r="192" spans="1:4" x14ac:dyDescent="0.15">
      <c r="A192" s="118">
        <v>124</v>
      </c>
      <c r="B192" s="119" t="s">
        <v>796</v>
      </c>
      <c r="C192" s="120" t="s">
        <v>934</v>
      </c>
      <c r="D192" s="118">
        <v>185</v>
      </c>
    </row>
    <row r="193" spans="1:4" x14ac:dyDescent="0.15">
      <c r="A193" s="118">
        <v>125</v>
      </c>
      <c r="B193" s="119" t="s">
        <v>805</v>
      </c>
      <c r="C193" s="120" t="s">
        <v>935</v>
      </c>
      <c r="D193" s="118">
        <v>186</v>
      </c>
    </row>
    <row r="194" spans="1:4" x14ac:dyDescent="0.15">
      <c r="A194" s="118">
        <v>126</v>
      </c>
      <c r="B194" s="119" t="s">
        <v>811</v>
      </c>
      <c r="C194" s="120" t="s">
        <v>812</v>
      </c>
      <c r="D194" s="118">
        <v>187</v>
      </c>
    </row>
    <row r="195" spans="1:4" x14ac:dyDescent="0.15">
      <c r="A195" s="118">
        <v>126</v>
      </c>
      <c r="B195" s="119" t="s">
        <v>818</v>
      </c>
      <c r="C195" s="120" t="s">
        <v>819</v>
      </c>
      <c r="D195" s="118">
        <v>188</v>
      </c>
    </row>
    <row r="196" spans="1:4" x14ac:dyDescent="0.15">
      <c r="A196" s="118">
        <v>126</v>
      </c>
      <c r="B196" s="119" t="s">
        <v>822</v>
      </c>
      <c r="C196" s="120" t="s">
        <v>823</v>
      </c>
      <c r="D196" s="118">
        <v>189</v>
      </c>
    </row>
    <row r="197" spans="1:4" x14ac:dyDescent="0.15">
      <c r="A197" s="118">
        <v>126</v>
      </c>
      <c r="B197" s="119" t="s">
        <v>831</v>
      </c>
      <c r="C197" s="120" t="s">
        <v>832</v>
      </c>
      <c r="D197" s="118">
        <v>190</v>
      </c>
    </row>
    <row r="198" spans="1:4" x14ac:dyDescent="0.15">
      <c r="A198" s="118">
        <v>126</v>
      </c>
      <c r="B198" s="119" t="s">
        <v>619</v>
      </c>
      <c r="C198" s="120" t="s">
        <v>620</v>
      </c>
      <c r="D198" s="118">
        <v>191</v>
      </c>
    </row>
    <row r="199" spans="1:4" x14ac:dyDescent="0.15">
      <c r="A199" s="118">
        <v>126</v>
      </c>
      <c r="B199" s="119" t="s">
        <v>632</v>
      </c>
      <c r="C199" s="120" t="s">
        <v>633</v>
      </c>
      <c r="D199" s="118">
        <v>192</v>
      </c>
    </row>
    <row r="200" spans="1:4" x14ac:dyDescent="0.15">
      <c r="A200" s="118">
        <v>128</v>
      </c>
      <c r="B200" s="119" t="s">
        <v>639</v>
      </c>
      <c r="C200" s="120" t="s">
        <v>936</v>
      </c>
      <c r="D200" s="118">
        <v>193</v>
      </c>
    </row>
    <row r="201" spans="1:4" x14ac:dyDescent="0.15">
      <c r="A201" s="118">
        <v>128</v>
      </c>
      <c r="B201" s="119" t="s">
        <v>643</v>
      </c>
      <c r="C201" s="120" t="s">
        <v>937</v>
      </c>
      <c r="D201" s="118">
        <v>194</v>
      </c>
    </row>
    <row r="202" spans="1:4" x14ac:dyDescent="0.15">
      <c r="A202" s="118">
        <v>128</v>
      </c>
      <c r="B202" s="119" t="s">
        <v>649</v>
      </c>
      <c r="C202" s="120" t="s">
        <v>938</v>
      </c>
      <c r="D202" s="118">
        <v>195</v>
      </c>
    </row>
    <row r="203" spans="1:4" x14ac:dyDescent="0.15">
      <c r="A203" s="118">
        <v>128</v>
      </c>
      <c r="B203" s="119" t="s">
        <v>654</v>
      </c>
      <c r="C203" s="120" t="s">
        <v>939</v>
      </c>
      <c r="D203" s="118">
        <v>196</v>
      </c>
    </row>
    <row r="204" spans="1:4" x14ac:dyDescent="0.15">
      <c r="A204" s="118">
        <v>129</v>
      </c>
      <c r="B204" s="119" t="s">
        <v>659</v>
      </c>
      <c r="C204" s="120" t="s">
        <v>940</v>
      </c>
      <c r="D204" s="118">
        <v>197</v>
      </c>
    </row>
    <row r="205" spans="1:4" x14ac:dyDescent="0.15">
      <c r="A205" s="118">
        <v>130</v>
      </c>
      <c r="B205" s="119" t="s">
        <v>668</v>
      </c>
      <c r="C205" s="120" t="s">
        <v>941</v>
      </c>
      <c r="D205" s="118">
        <v>198</v>
      </c>
    </row>
    <row r="206" spans="1:4" x14ac:dyDescent="0.15">
      <c r="A206" s="118">
        <v>130</v>
      </c>
      <c r="B206" s="119" t="s">
        <v>673</v>
      </c>
      <c r="C206" s="120" t="s">
        <v>942</v>
      </c>
      <c r="D206" s="118">
        <v>199</v>
      </c>
    </row>
    <row r="207" spans="1:4" x14ac:dyDescent="0.15">
      <c r="A207" s="118">
        <v>131</v>
      </c>
      <c r="B207" s="119" t="s">
        <v>943</v>
      </c>
      <c r="C207" s="120" t="s">
        <v>944</v>
      </c>
      <c r="D207" s="118">
        <v>200</v>
      </c>
    </row>
    <row r="208" spans="1:4" x14ac:dyDescent="0.15">
      <c r="A208" s="118">
        <v>132</v>
      </c>
      <c r="B208" s="119" t="s">
        <v>945</v>
      </c>
      <c r="C208" s="120" t="s">
        <v>946</v>
      </c>
      <c r="D208" s="118">
        <v>201</v>
      </c>
    </row>
    <row r="209" spans="1:4" x14ac:dyDescent="0.15">
      <c r="A209" s="118">
        <v>133</v>
      </c>
      <c r="B209" s="119" t="s">
        <v>690</v>
      </c>
      <c r="C209" s="120" t="s">
        <v>691</v>
      </c>
      <c r="D209" s="118">
        <v>202</v>
      </c>
    </row>
    <row r="210" spans="1:4" x14ac:dyDescent="0.15">
      <c r="A210" s="118">
        <v>134</v>
      </c>
      <c r="B210" s="119" t="s">
        <v>695</v>
      </c>
      <c r="C210" s="120" t="s">
        <v>696</v>
      </c>
      <c r="D210" s="118">
        <v>203</v>
      </c>
    </row>
    <row r="211" spans="1:4" x14ac:dyDescent="0.15">
      <c r="A211" s="118">
        <v>135</v>
      </c>
      <c r="B211" s="119">
        <v>609</v>
      </c>
      <c r="C211" s="120" t="s">
        <v>700</v>
      </c>
      <c r="D211" s="118">
        <v>204</v>
      </c>
    </row>
    <row r="212" spans="1:4" x14ac:dyDescent="0.15">
      <c r="A212" s="118">
        <v>136</v>
      </c>
      <c r="B212" s="119">
        <v>610</v>
      </c>
      <c r="C212" s="120" t="s">
        <v>712</v>
      </c>
      <c r="D212" s="118">
        <v>205</v>
      </c>
    </row>
    <row r="213" spans="1:4" x14ac:dyDescent="0.15">
      <c r="A213" s="118">
        <v>137</v>
      </c>
      <c r="B213" s="119" t="s">
        <v>719</v>
      </c>
      <c r="C213" s="120" t="s">
        <v>720</v>
      </c>
      <c r="D213" s="118">
        <v>206</v>
      </c>
    </row>
    <row r="214" spans="1:4" x14ac:dyDescent="0.15">
      <c r="A214" s="118">
        <v>138</v>
      </c>
      <c r="B214" s="119" t="s">
        <v>731</v>
      </c>
      <c r="C214" s="120" t="s">
        <v>732</v>
      </c>
      <c r="D214" s="118">
        <v>207</v>
      </c>
    </row>
    <row r="215" spans="1:4" x14ac:dyDescent="0.15">
      <c r="A215" s="118">
        <v>139</v>
      </c>
      <c r="B215" s="119" t="s">
        <v>748</v>
      </c>
      <c r="C215" s="129" t="s">
        <v>749</v>
      </c>
      <c r="D215" s="118">
        <v>208</v>
      </c>
    </row>
    <row r="216" spans="1:4" ht="16.5" customHeight="1" x14ac:dyDescent="0.15">
      <c r="A216" s="118">
        <v>140</v>
      </c>
      <c r="B216" s="119" t="s">
        <v>768</v>
      </c>
      <c r="C216" s="129" t="s">
        <v>769</v>
      </c>
      <c r="D216" s="118">
        <v>209</v>
      </c>
    </row>
    <row r="217" spans="1:4" x14ac:dyDescent="0.15">
      <c r="A217" s="118"/>
      <c r="B217" s="119">
        <v>613</v>
      </c>
      <c r="C217" s="129" t="s">
        <v>774</v>
      </c>
      <c r="D217" s="118">
        <v>210</v>
      </c>
    </row>
    <row r="218" spans="1:4" x14ac:dyDescent="0.15">
      <c r="A218" s="118">
        <v>128</v>
      </c>
      <c r="B218" s="119" t="s">
        <v>782</v>
      </c>
      <c r="C218" s="120" t="s">
        <v>783</v>
      </c>
      <c r="D218" s="118">
        <v>211</v>
      </c>
    </row>
    <row r="219" spans="1:4" x14ac:dyDescent="0.15">
      <c r="A219" s="118">
        <v>128</v>
      </c>
      <c r="B219" s="119" t="s">
        <v>793</v>
      </c>
      <c r="C219" s="120" t="s">
        <v>794</v>
      </c>
      <c r="D219" s="118">
        <v>212</v>
      </c>
    </row>
    <row r="220" spans="1:4" x14ac:dyDescent="0.15">
      <c r="A220" s="118"/>
      <c r="B220" s="119" t="s">
        <v>797</v>
      </c>
      <c r="C220" s="129" t="s">
        <v>947</v>
      </c>
      <c r="D220" s="118">
        <v>213</v>
      </c>
    </row>
    <row r="221" spans="1:4" x14ac:dyDescent="0.15">
      <c r="A221" s="118"/>
      <c r="B221" s="119" t="s">
        <v>807</v>
      </c>
      <c r="C221" s="129" t="s">
        <v>948</v>
      </c>
      <c r="D221" s="118">
        <v>214</v>
      </c>
    </row>
    <row r="222" spans="1:4" x14ac:dyDescent="0.15">
      <c r="A222" s="118"/>
      <c r="B222" s="119" t="s">
        <v>813</v>
      </c>
      <c r="C222" s="129" t="s">
        <v>949</v>
      </c>
      <c r="D222" s="118">
        <v>215</v>
      </c>
    </row>
    <row r="223" spans="1:4" x14ac:dyDescent="0.15">
      <c r="A223" s="118"/>
      <c r="B223" s="119" t="s">
        <v>820</v>
      </c>
      <c r="C223" s="129" t="s">
        <v>950</v>
      </c>
      <c r="D223" s="118">
        <v>216</v>
      </c>
    </row>
    <row r="224" spans="1:4" x14ac:dyDescent="0.15">
      <c r="A224" s="118"/>
      <c r="B224" s="119" t="s">
        <v>824</v>
      </c>
      <c r="C224" s="129" t="s">
        <v>951</v>
      </c>
      <c r="D224" s="118">
        <v>217</v>
      </c>
    </row>
    <row r="225" spans="1:4" x14ac:dyDescent="0.15">
      <c r="A225" s="118"/>
      <c r="B225" s="119" t="s">
        <v>833</v>
      </c>
      <c r="C225" s="129" t="s">
        <v>952</v>
      </c>
      <c r="D225" s="118">
        <v>218</v>
      </c>
    </row>
    <row r="226" spans="1:4" s="117" customFormat="1" x14ac:dyDescent="0.15">
      <c r="A226" s="114"/>
      <c r="B226" s="115" t="s">
        <v>953</v>
      </c>
      <c r="C226" s="130" t="s">
        <v>954</v>
      </c>
      <c r="D226" s="114"/>
    </row>
    <row r="227" spans="1:4" x14ac:dyDescent="0.15">
      <c r="A227" s="118"/>
      <c r="B227" s="119" t="s">
        <v>836</v>
      </c>
      <c r="C227" s="129" t="s">
        <v>955</v>
      </c>
      <c r="D227" s="118">
        <v>219</v>
      </c>
    </row>
    <row r="228" spans="1:4" x14ac:dyDescent="0.15">
      <c r="A228" s="118"/>
      <c r="B228" s="119" t="s">
        <v>845</v>
      </c>
      <c r="C228" s="129" t="s">
        <v>956</v>
      </c>
      <c r="D228" s="118">
        <v>220</v>
      </c>
    </row>
    <row r="229" spans="1:4" x14ac:dyDescent="0.15">
      <c r="A229" s="118"/>
      <c r="B229" s="119" t="s">
        <v>838</v>
      </c>
      <c r="C229" s="129" t="s">
        <v>957</v>
      </c>
      <c r="D229" s="118">
        <v>221</v>
      </c>
    </row>
    <row r="230" spans="1:4" x14ac:dyDescent="0.15">
      <c r="A230" s="118"/>
      <c r="B230" s="119" t="s">
        <v>846</v>
      </c>
      <c r="C230" s="129" t="s">
        <v>839</v>
      </c>
      <c r="D230" s="118">
        <v>222</v>
      </c>
    </row>
    <row r="231" spans="1:4" ht="7.5" hidden="1" customHeight="1" x14ac:dyDescent="0.15">
      <c r="A231" s="111"/>
      <c r="B231" s="127"/>
      <c r="C231" s="126"/>
      <c r="D231" s="118">
        <v>223</v>
      </c>
    </row>
    <row r="232" spans="1:4" s="134" customFormat="1" ht="17.25" hidden="1" x14ac:dyDescent="0.2">
      <c r="A232" s="131"/>
      <c r="B232" s="132" t="s">
        <v>958</v>
      </c>
      <c r="C232" s="133" t="s">
        <v>959</v>
      </c>
      <c r="D232" s="118">
        <v>224</v>
      </c>
    </row>
    <row r="233" spans="1:4" ht="7.5" hidden="1" customHeight="1" x14ac:dyDescent="0.15">
      <c r="A233" s="111"/>
      <c r="B233" s="127"/>
      <c r="C233" s="126"/>
      <c r="D233" s="118">
        <v>225</v>
      </c>
    </row>
    <row r="234" spans="1:4" hidden="1" x14ac:dyDescent="0.15">
      <c r="A234" s="118">
        <v>1</v>
      </c>
      <c r="B234" s="118" t="s">
        <v>960</v>
      </c>
      <c r="C234" s="120" t="s">
        <v>961</v>
      </c>
      <c r="D234" s="118">
        <v>226</v>
      </c>
    </row>
    <row r="235" spans="1:4" hidden="1" x14ac:dyDescent="0.15">
      <c r="A235" s="118">
        <v>2</v>
      </c>
      <c r="B235" s="118" t="s">
        <v>962</v>
      </c>
      <c r="C235" s="120" t="s">
        <v>963</v>
      </c>
      <c r="D235" s="118">
        <v>227</v>
      </c>
    </row>
    <row r="236" spans="1:4" hidden="1" x14ac:dyDescent="0.15">
      <c r="A236" s="118">
        <v>3</v>
      </c>
      <c r="B236" s="118" t="s">
        <v>964</v>
      </c>
      <c r="C236" s="120" t="s">
        <v>965</v>
      </c>
      <c r="D236" s="118">
        <v>228</v>
      </c>
    </row>
    <row r="237" spans="1:4" hidden="1" x14ac:dyDescent="0.15">
      <c r="A237" s="118">
        <v>4</v>
      </c>
      <c r="B237" s="118" t="s">
        <v>966</v>
      </c>
      <c r="C237" s="120" t="s">
        <v>967</v>
      </c>
      <c r="D237" s="118">
        <v>229</v>
      </c>
    </row>
    <row r="238" spans="1:4" hidden="1" x14ac:dyDescent="0.15">
      <c r="A238" s="118"/>
      <c r="B238" s="118" t="s">
        <v>968</v>
      </c>
      <c r="C238" s="120" t="s">
        <v>969</v>
      </c>
      <c r="D238" s="118">
        <v>230</v>
      </c>
    </row>
    <row r="239" spans="1:4" hidden="1" x14ac:dyDescent="0.15">
      <c r="A239" s="118">
        <v>5</v>
      </c>
      <c r="B239" s="118" t="s">
        <v>970</v>
      </c>
      <c r="C239" s="120" t="s">
        <v>971</v>
      </c>
      <c r="D239" s="118">
        <v>231</v>
      </c>
    </row>
    <row r="240" spans="1:4" hidden="1" x14ac:dyDescent="0.15">
      <c r="A240" s="118"/>
      <c r="B240" s="118" t="s">
        <v>972</v>
      </c>
      <c r="C240" s="120" t="s">
        <v>973</v>
      </c>
      <c r="D240" s="118">
        <v>232</v>
      </c>
    </row>
    <row r="241" spans="1:4" hidden="1" x14ac:dyDescent="0.15">
      <c r="A241" s="118">
        <v>6</v>
      </c>
      <c r="B241" s="118" t="s">
        <v>974</v>
      </c>
      <c r="C241" s="120" t="s">
        <v>975</v>
      </c>
      <c r="D241" s="118">
        <v>233</v>
      </c>
    </row>
    <row r="242" spans="1:4" hidden="1" x14ac:dyDescent="0.15">
      <c r="A242" s="118">
        <v>7</v>
      </c>
      <c r="B242" s="118" t="s">
        <v>976</v>
      </c>
      <c r="C242" s="120" t="s">
        <v>977</v>
      </c>
      <c r="D242" s="118">
        <v>234</v>
      </c>
    </row>
    <row r="243" spans="1:4" hidden="1" x14ac:dyDescent="0.15">
      <c r="A243" s="118">
        <v>8</v>
      </c>
      <c r="B243" s="118" t="s">
        <v>978</v>
      </c>
      <c r="C243" s="120" t="s">
        <v>979</v>
      </c>
      <c r="D243" s="118">
        <v>235</v>
      </c>
    </row>
    <row r="244" spans="1:4" hidden="1" x14ac:dyDescent="0.15">
      <c r="A244" s="118">
        <v>9</v>
      </c>
      <c r="B244" s="118" t="s">
        <v>980</v>
      </c>
      <c r="C244" s="120" t="s">
        <v>981</v>
      </c>
      <c r="D244" s="118">
        <v>236</v>
      </c>
    </row>
    <row r="245" spans="1:4" hidden="1" x14ac:dyDescent="0.15">
      <c r="A245" s="118">
        <v>10</v>
      </c>
      <c r="B245" s="118" t="s">
        <v>982</v>
      </c>
      <c r="C245" s="120" t="s">
        <v>983</v>
      </c>
      <c r="D245" s="118">
        <v>237</v>
      </c>
    </row>
    <row r="246" spans="1:4" hidden="1" x14ac:dyDescent="0.15">
      <c r="A246" s="118">
        <v>11</v>
      </c>
      <c r="B246" s="118" t="s">
        <v>984</v>
      </c>
      <c r="C246" s="120" t="s">
        <v>985</v>
      </c>
      <c r="D246" s="118">
        <v>238</v>
      </c>
    </row>
    <row r="247" spans="1:4" hidden="1" x14ac:dyDescent="0.15">
      <c r="A247" s="118">
        <v>12</v>
      </c>
      <c r="B247" s="118" t="s">
        <v>986</v>
      </c>
      <c r="C247" s="120" t="s">
        <v>987</v>
      </c>
      <c r="D247" s="118">
        <v>239</v>
      </c>
    </row>
    <row r="248" spans="1:4" hidden="1" x14ac:dyDescent="0.15">
      <c r="A248" s="118">
        <v>13</v>
      </c>
      <c r="B248" s="118" t="s">
        <v>988</v>
      </c>
      <c r="C248" s="120" t="s">
        <v>989</v>
      </c>
      <c r="D248" s="118">
        <v>240</v>
      </c>
    </row>
    <row r="249" spans="1:4" hidden="1" x14ac:dyDescent="0.15">
      <c r="A249" s="118">
        <v>14</v>
      </c>
      <c r="B249" s="118" t="s">
        <v>990</v>
      </c>
      <c r="C249" s="120" t="s">
        <v>991</v>
      </c>
      <c r="D249" s="118">
        <v>241</v>
      </c>
    </row>
    <row r="250" spans="1:4" hidden="1" x14ac:dyDescent="0.15">
      <c r="A250" s="118"/>
      <c r="B250" s="118" t="s">
        <v>992</v>
      </c>
      <c r="C250" s="120" t="s">
        <v>993</v>
      </c>
      <c r="D250" s="118">
        <v>242</v>
      </c>
    </row>
    <row r="251" spans="1:4" hidden="1" x14ac:dyDescent="0.15">
      <c r="A251" s="118">
        <v>15</v>
      </c>
      <c r="B251" s="118" t="s">
        <v>994</v>
      </c>
      <c r="C251" s="120" t="s">
        <v>995</v>
      </c>
      <c r="D251" s="118">
        <v>243</v>
      </c>
    </row>
    <row r="252" spans="1:4" hidden="1" x14ac:dyDescent="0.15">
      <c r="A252" s="118">
        <v>16</v>
      </c>
      <c r="B252" s="118" t="s">
        <v>996</v>
      </c>
      <c r="C252" s="120" t="s">
        <v>997</v>
      </c>
      <c r="D252" s="118">
        <v>244</v>
      </c>
    </row>
    <row r="253" spans="1:4" hidden="1" x14ac:dyDescent="0.15">
      <c r="A253" s="118"/>
      <c r="B253" s="118" t="s">
        <v>996</v>
      </c>
      <c r="C253" s="120" t="s">
        <v>998</v>
      </c>
      <c r="D253" s="118">
        <v>245</v>
      </c>
    </row>
    <row r="254" spans="1:4" hidden="1" x14ac:dyDescent="0.15">
      <c r="A254" s="118"/>
      <c r="B254" s="118" t="s">
        <v>999</v>
      </c>
      <c r="C254" s="120" t="s">
        <v>1000</v>
      </c>
      <c r="D254" s="118">
        <v>246</v>
      </c>
    </row>
    <row r="255" spans="1:4" hidden="1" x14ac:dyDescent="0.15">
      <c r="A255" s="118"/>
      <c r="B255" s="118" t="s">
        <v>999</v>
      </c>
      <c r="C255" s="120" t="s">
        <v>1001</v>
      </c>
      <c r="D255" s="118">
        <v>247</v>
      </c>
    </row>
    <row r="256" spans="1:4" hidden="1" x14ac:dyDescent="0.15">
      <c r="A256" s="118">
        <v>17</v>
      </c>
      <c r="B256" s="118" t="s">
        <v>1002</v>
      </c>
      <c r="C256" s="120" t="s">
        <v>1003</v>
      </c>
      <c r="D256" s="118">
        <v>248</v>
      </c>
    </row>
    <row r="257" spans="1:4" hidden="1" x14ac:dyDescent="0.15">
      <c r="A257" s="118"/>
      <c r="B257" s="118" t="s">
        <v>1004</v>
      </c>
      <c r="C257" s="120" t="s">
        <v>1005</v>
      </c>
      <c r="D257" s="118">
        <v>249</v>
      </c>
    </row>
    <row r="258" spans="1:4" hidden="1" x14ac:dyDescent="0.15">
      <c r="A258" s="118"/>
      <c r="B258" s="118" t="s">
        <v>1006</v>
      </c>
      <c r="C258" s="120" t="s">
        <v>1007</v>
      </c>
      <c r="D258" s="118">
        <v>250</v>
      </c>
    </row>
    <row r="259" spans="1:4" s="135" customFormat="1" hidden="1" x14ac:dyDescent="0.15">
      <c r="A259" s="118"/>
      <c r="B259" s="118" t="s">
        <v>1008</v>
      </c>
      <c r="C259" s="120" t="s">
        <v>1009</v>
      </c>
      <c r="D259" s="118">
        <v>251</v>
      </c>
    </row>
    <row r="260" spans="1:4" s="135" customFormat="1" hidden="1" x14ac:dyDescent="0.15">
      <c r="A260" s="118"/>
      <c r="B260" s="118" t="s">
        <v>1010</v>
      </c>
      <c r="C260" s="120" t="s">
        <v>1011</v>
      </c>
      <c r="D260" s="118">
        <v>252</v>
      </c>
    </row>
    <row r="261" spans="1:4" s="135" customFormat="1" hidden="1" x14ac:dyDescent="0.15">
      <c r="A261" s="118"/>
      <c r="B261" s="118" t="s">
        <v>1012</v>
      </c>
      <c r="C261" s="120" t="s">
        <v>1013</v>
      </c>
      <c r="D261" s="118">
        <v>253</v>
      </c>
    </row>
    <row r="262" spans="1:4" s="135" customFormat="1" hidden="1" x14ac:dyDescent="0.15">
      <c r="A262" s="118"/>
      <c r="B262" s="118" t="s">
        <v>1014</v>
      </c>
      <c r="C262" s="120" t="s">
        <v>1015</v>
      </c>
      <c r="D262" s="118">
        <v>254</v>
      </c>
    </row>
    <row r="263" spans="1:4" s="135" customFormat="1" hidden="1" x14ac:dyDescent="0.15">
      <c r="A263" s="118">
        <v>18</v>
      </c>
      <c r="B263" s="118" t="s">
        <v>1016</v>
      </c>
      <c r="C263" s="120" t="s">
        <v>1017</v>
      </c>
      <c r="D263" s="118">
        <v>255</v>
      </c>
    </row>
    <row r="264" spans="1:4" s="135" customFormat="1" hidden="1" x14ac:dyDescent="0.15">
      <c r="A264" s="118">
        <v>19</v>
      </c>
      <c r="B264" s="118" t="s">
        <v>1018</v>
      </c>
      <c r="C264" s="120" t="s">
        <v>1019</v>
      </c>
      <c r="D264" s="118">
        <v>256</v>
      </c>
    </row>
    <row r="265" spans="1:4" s="135" customFormat="1" hidden="1" x14ac:dyDescent="0.15">
      <c r="A265" s="118">
        <v>20</v>
      </c>
      <c r="B265" s="118" t="s">
        <v>1020</v>
      </c>
      <c r="C265" s="120" t="s">
        <v>1021</v>
      </c>
      <c r="D265" s="118">
        <v>257</v>
      </c>
    </row>
    <row r="266" spans="1:4" s="135" customFormat="1" hidden="1" x14ac:dyDescent="0.15">
      <c r="A266" s="118">
        <v>21</v>
      </c>
      <c r="B266" s="118" t="s">
        <v>1022</v>
      </c>
      <c r="C266" s="120" t="s">
        <v>1023</v>
      </c>
      <c r="D266" s="118">
        <v>258</v>
      </c>
    </row>
    <row r="267" spans="1:4" s="135" customFormat="1" hidden="1" x14ac:dyDescent="0.15">
      <c r="A267" s="118"/>
      <c r="B267" s="118" t="s">
        <v>1024</v>
      </c>
      <c r="C267" s="120" t="s">
        <v>1025</v>
      </c>
      <c r="D267" s="118">
        <v>259</v>
      </c>
    </row>
    <row r="268" spans="1:4" s="135" customFormat="1" hidden="1" x14ac:dyDescent="0.15">
      <c r="A268" s="118">
        <v>22</v>
      </c>
      <c r="B268" s="118" t="s">
        <v>1026</v>
      </c>
      <c r="C268" s="120" t="s">
        <v>1027</v>
      </c>
      <c r="D268" s="118">
        <v>260</v>
      </c>
    </row>
    <row r="269" spans="1:4" s="135" customFormat="1" hidden="1" x14ac:dyDescent="0.15">
      <c r="A269" s="118"/>
      <c r="B269" s="118" t="s">
        <v>1028</v>
      </c>
      <c r="C269" s="120" t="s">
        <v>1029</v>
      </c>
      <c r="D269" s="118">
        <v>261</v>
      </c>
    </row>
    <row r="270" spans="1:4" s="135" customFormat="1" hidden="1" x14ac:dyDescent="0.15">
      <c r="A270" s="118"/>
      <c r="B270" s="118" t="s">
        <v>1030</v>
      </c>
      <c r="C270" s="120" t="s">
        <v>1031</v>
      </c>
      <c r="D270" s="118">
        <v>262</v>
      </c>
    </row>
    <row r="271" spans="1:4" s="135" customFormat="1" hidden="1" x14ac:dyDescent="0.15">
      <c r="A271" s="118"/>
      <c r="B271" s="118" t="s">
        <v>1032</v>
      </c>
      <c r="C271" s="120" t="s">
        <v>1033</v>
      </c>
      <c r="D271" s="118">
        <v>263</v>
      </c>
    </row>
    <row r="272" spans="1:4" s="135" customFormat="1" hidden="1" x14ac:dyDescent="0.15">
      <c r="A272" s="118">
        <v>23</v>
      </c>
      <c r="B272" s="118" t="s">
        <v>1034</v>
      </c>
      <c r="C272" s="120" t="s">
        <v>1035</v>
      </c>
      <c r="D272" s="118">
        <v>264</v>
      </c>
    </row>
    <row r="273" spans="1:4" s="135" customFormat="1" hidden="1" x14ac:dyDescent="0.15">
      <c r="A273" s="118">
        <v>24</v>
      </c>
      <c r="B273" s="118" t="s">
        <v>1036</v>
      </c>
      <c r="C273" s="120" t="s">
        <v>1037</v>
      </c>
      <c r="D273" s="118">
        <v>265</v>
      </c>
    </row>
    <row r="274" spans="1:4" s="135" customFormat="1" hidden="1" x14ac:dyDescent="0.15">
      <c r="A274" s="118"/>
      <c r="B274" s="118" t="s">
        <v>1038</v>
      </c>
      <c r="C274" s="120" t="s">
        <v>1039</v>
      </c>
      <c r="D274" s="118">
        <v>266</v>
      </c>
    </row>
    <row r="275" spans="1:4" hidden="1" x14ac:dyDescent="0.15">
      <c r="A275" s="118"/>
      <c r="B275" s="118" t="s">
        <v>1040</v>
      </c>
      <c r="C275" s="120" t="s">
        <v>1041</v>
      </c>
      <c r="D275" s="118">
        <v>267</v>
      </c>
    </row>
    <row r="276" spans="1:4" hidden="1" x14ac:dyDescent="0.15">
      <c r="A276" s="118"/>
      <c r="B276" s="118" t="s">
        <v>1042</v>
      </c>
      <c r="C276" s="120" t="s">
        <v>1043</v>
      </c>
      <c r="D276" s="118">
        <v>268</v>
      </c>
    </row>
    <row r="277" spans="1:4" hidden="1" x14ac:dyDescent="0.15">
      <c r="A277" s="118"/>
      <c r="B277" s="118" t="s">
        <v>1044</v>
      </c>
      <c r="C277" s="120" t="s">
        <v>1045</v>
      </c>
      <c r="D277" s="118">
        <v>269</v>
      </c>
    </row>
    <row r="278" spans="1:4" hidden="1" x14ac:dyDescent="0.15">
      <c r="A278" s="118"/>
      <c r="B278" s="118" t="s">
        <v>1046</v>
      </c>
      <c r="C278" s="120" t="s">
        <v>1047</v>
      </c>
      <c r="D278" s="118">
        <v>270</v>
      </c>
    </row>
    <row r="279" spans="1:4" hidden="1" x14ac:dyDescent="0.15">
      <c r="A279" s="118"/>
      <c r="B279" s="118" t="s">
        <v>1048</v>
      </c>
      <c r="C279" s="120" t="s">
        <v>1049</v>
      </c>
      <c r="D279" s="118">
        <v>271</v>
      </c>
    </row>
    <row r="280" spans="1:4" hidden="1" x14ac:dyDescent="0.15">
      <c r="A280" s="118"/>
      <c r="B280" s="118" t="s">
        <v>1050</v>
      </c>
      <c r="C280" s="120" t="s">
        <v>1051</v>
      </c>
      <c r="D280" s="118">
        <v>272</v>
      </c>
    </row>
    <row r="281" spans="1:4" ht="7.5" hidden="1" customHeight="1" x14ac:dyDescent="0.15">
      <c r="A281" s="111"/>
      <c r="B281" s="127"/>
      <c r="C281" s="126"/>
      <c r="D281" s="118">
        <v>273</v>
      </c>
    </row>
    <row r="282" spans="1:4" s="117" customFormat="1" hidden="1" x14ac:dyDescent="0.15">
      <c r="A282" s="127"/>
      <c r="B282" s="127" t="s">
        <v>1052</v>
      </c>
      <c r="C282" s="126" t="s">
        <v>1053</v>
      </c>
      <c r="D282" s="118">
        <v>274</v>
      </c>
    </row>
    <row r="283" spans="1:4" hidden="1" x14ac:dyDescent="0.15">
      <c r="A283" s="118">
        <v>25</v>
      </c>
      <c r="B283" s="118" t="s">
        <v>1054</v>
      </c>
      <c r="C283" s="120" t="s">
        <v>1055</v>
      </c>
      <c r="D283" s="118">
        <v>275</v>
      </c>
    </row>
    <row r="284" spans="1:4" hidden="1" x14ac:dyDescent="0.15">
      <c r="A284" s="118"/>
      <c r="B284" s="118" t="s">
        <v>1056</v>
      </c>
      <c r="C284" s="120" t="s">
        <v>1057</v>
      </c>
      <c r="D284" s="118">
        <v>276</v>
      </c>
    </row>
    <row r="285" spans="1:4" ht="7.5" hidden="1" customHeight="1" x14ac:dyDescent="0.15">
      <c r="A285" s="111"/>
      <c r="B285" s="127"/>
      <c r="C285" s="126"/>
      <c r="D285" s="118">
        <v>277</v>
      </c>
    </row>
    <row r="286" spans="1:4" s="117" customFormat="1" hidden="1" x14ac:dyDescent="0.15">
      <c r="A286" s="127"/>
      <c r="B286" s="127" t="s">
        <v>1058</v>
      </c>
      <c r="C286" s="126" t="s">
        <v>1059</v>
      </c>
      <c r="D286" s="118">
        <v>278</v>
      </c>
    </row>
    <row r="287" spans="1:4" hidden="1" x14ac:dyDescent="0.15">
      <c r="A287" s="118">
        <v>26</v>
      </c>
      <c r="B287" s="118">
        <v>402</v>
      </c>
      <c r="C287" s="120" t="s">
        <v>1060</v>
      </c>
      <c r="D287" s="118">
        <v>279</v>
      </c>
    </row>
    <row r="288" spans="1:4" ht="7.5" hidden="1" customHeight="1" x14ac:dyDescent="0.15">
      <c r="A288" s="111"/>
      <c r="B288" s="127"/>
      <c r="C288" s="126"/>
      <c r="D288" s="118">
        <v>280</v>
      </c>
    </row>
    <row r="289" spans="1:4" s="117" customFormat="1" hidden="1" x14ac:dyDescent="0.15">
      <c r="A289" s="127"/>
      <c r="B289" s="127" t="s">
        <v>1061</v>
      </c>
      <c r="C289" s="126" t="s">
        <v>1062</v>
      </c>
      <c r="D289" s="118">
        <v>281</v>
      </c>
    </row>
    <row r="290" spans="1:4" hidden="1" x14ac:dyDescent="0.15">
      <c r="A290" s="118">
        <v>27</v>
      </c>
      <c r="B290" s="118" t="s">
        <v>1063</v>
      </c>
      <c r="C290" s="120" t="s">
        <v>1064</v>
      </c>
      <c r="D290" s="118">
        <v>282</v>
      </c>
    </row>
    <row r="291" spans="1:4" hidden="1" x14ac:dyDescent="0.15">
      <c r="A291" s="118">
        <v>28</v>
      </c>
      <c r="B291" s="118" t="s">
        <v>1065</v>
      </c>
      <c r="C291" s="120" t="s">
        <v>1064</v>
      </c>
      <c r="D291" s="118">
        <v>283</v>
      </c>
    </row>
    <row r="292" spans="1:4" hidden="1" x14ac:dyDescent="0.15">
      <c r="A292" s="118">
        <v>29</v>
      </c>
      <c r="B292" s="118" t="s">
        <v>1066</v>
      </c>
      <c r="C292" s="120" t="s">
        <v>1067</v>
      </c>
      <c r="D292" s="118">
        <v>284</v>
      </c>
    </row>
    <row r="293" spans="1:4" hidden="1" x14ac:dyDescent="0.15">
      <c r="A293" s="118">
        <v>30</v>
      </c>
      <c r="B293" s="118" t="s">
        <v>1068</v>
      </c>
      <c r="C293" s="120" t="s">
        <v>1067</v>
      </c>
      <c r="D293" s="118">
        <v>285</v>
      </c>
    </row>
    <row r="294" spans="1:4" hidden="1" x14ac:dyDescent="0.15">
      <c r="A294" s="118">
        <v>31</v>
      </c>
      <c r="B294" s="118" t="s">
        <v>1069</v>
      </c>
      <c r="C294" s="120" t="s">
        <v>1070</v>
      </c>
      <c r="D294" s="118">
        <v>286</v>
      </c>
    </row>
    <row r="295" spans="1:4" hidden="1" x14ac:dyDescent="0.15">
      <c r="A295" s="118">
        <v>32</v>
      </c>
      <c r="B295" s="118" t="s">
        <v>1071</v>
      </c>
      <c r="C295" s="120" t="s">
        <v>1070</v>
      </c>
      <c r="D295" s="118">
        <v>287</v>
      </c>
    </row>
    <row r="296" spans="1:4" hidden="1" x14ac:dyDescent="0.15">
      <c r="A296" s="118">
        <v>33</v>
      </c>
      <c r="B296" s="118" t="s">
        <v>1072</v>
      </c>
      <c r="C296" s="120" t="s">
        <v>1064</v>
      </c>
      <c r="D296" s="118">
        <v>288</v>
      </c>
    </row>
    <row r="297" spans="1:4" ht="7.5" hidden="1" customHeight="1" x14ac:dyDescent="0.15">
      <c r="A297" s="111"/>
      <c r="B297" s="127"/>
      <c r="C297" s="126"/>
      <c r="D297" s="118">
        <v>289</v>
      </c>
    </row>
    <row r="298" spans="1:4" s="117" customFormat="1" hidden="1" x14ac:dyDescent="0.15">
      <c r="A298" s="127"/>
      <c r="B298" s="127" t="s">
        <v>1073</v>
      </c>
      <c r="C298" s="126" t="s">
        <v>1074</v>
      </c>
      <c r="D298" s="118">
        <v>290</v>
      </c>
    </row>
    <row r="299" spans="1:4" hidden="1" x14ac:dyDescent="0.15">
      <c r="A299" s="118">
        <v>34</v>
      </c>
      <c r="B299" s="118" t="s">
        <v>1075</v>
      </c>
      <c r="C299" s="120" t="s">
        <v>1076</v>
      </c>
      <c r="D299" s="118">
        <v>291</v>
      </c>
    </row>
    <row r="300" spans="1:4" hidden="1" x14ac:dyDescent="0.15">
      <c r="A300" s="118"/>
      <c r="B300" s="118" t="s">
        <v>1077</v>
      </c>
      <c r="C300" s="120" t="s">
        <v>1078</v>
      </c>
      <c r="D300" s="118">
        <v>292</v>
      </c>
    </row>
    <row r="301" spans="1:4" hidden="1" x14ac:dyDescent="0.15">
      <c r="A301" s="118"/>
      <c r="B301" s="118" t="s">
        <v>1079</v>
      </c>
      <c r="C301" s="120" t="s">
        <v>1080</v>
      </c>
      <c r="D301" s="118">
        <v>293</v>
      </c>
    </row>
    <row r="302" spans="1:4" ht="7.5" hidden="1" customHeight="1" x14ac:dyDescent="0.15">
      <c r="A302" s="111"/>
      <c r="B302" s="127"/>
      <c r="C302" s="126"/>
      <c r="D302" s="118">
        <v>294</v>
      </c>
    </row>
    <row r="303" spans="1:4" s="117" customFormat="1" hidden="1" x14ac:dyDescent="0.15">
      <c r="A303" s="127"/>
      <c r="B303" s="127" t="s">
        <v>1081</v>
      </c>
      <c r="C303" s="126" t="s">
        <v>1082</v>
      </c>
      <c r="D303" s="118">
        <v>295</v>
      </c>
    </row>
    <row r="304" spans="1:4" hidden="1" x14ac:dyDescent="0.15">
      <c r="A304" s="118">
        <v>35</v>
      </c>
      <c r="B304" s="118" t="s">
        <v>1083</v>
      </c>
      <c r="C304" s="120" t="s">
        <v>1084</v>
      </c>
      <c r="D304" s="118">
        <v>296</v>
      </c>
    </row>
    <row r="305" spans="1:4" hidden="1" x14ac:dyDescent="0.15">
      <c r="A305" s="118">
        <v>36</v>
      </c>
      <c r="B305" s="118" t="s">
        <v>1085</v>
      </c>
      <c r="C305" s="120" t="s">
        <v>1086</v>
      </c>
      <c r="D305" s="118">
        <v>297</v>
      </c>
    </row>
    <row r="306" spans="1:4" hidden="1" x14ac:dyDescent="0.15">
      <c r="A306" s="118">
        <v>37</v>
      </c>
      <c r="B306" s="118" t="s">
        <v>1087</v>
      </c>
      <c r="C306" s="120" t="s">
        <v>1088</v>
      </c>
      <c r="D306" s="118">
        <v>298</v>
      </c>
    </row>
    <row r="307" spans="1:4" hidden="1" x14ac:dyDescent="0.15">
      <c r="A307" s="118">
        <v>38</v>
      </c>
      <c r="B307" s="118" t="s">
        <v>1089</v>
      </c>
      <c r="C307" s="120" t="s">
        <v>1090</v>
      </c>
      <c r="D307" s="118">
        <v>299</v>
      </c>
    </row>
    <row r="308" spans="1:4" hidden="1" x14ac:dyDescent="0.15">
      <c r="A308" s="118">
        <v>39</v>
      </c>
      <c r="B308" s="118" t="s">
        <v>1091</v>
      </c>
      <c r="C308" s="120" t="s">
        <v>1092</v>
      </c>
      <c r="D308" s="118">
        <v>300</v>
      </c>
    </row>
    <row r="309" spans="1:4" ht="7.5" hidden="1" customHeight="1" x14ac:dyDescent="0.15">
      <c r="A309" s="111"/>
      <c r="B309" s="127"/>
      <c r="C309" s="126"/>
      <c r="D309" s="118">
        <v>301</v>
      </c>
    </row>
    <row r="310" spans="1:4" hidden="1" x14ac:dyDescent="0.15">
      <c r="A310" s="111"/>
      <c r="B310" s="127" t="s">
        <v>1093</v>
      </c>
      <c r="C310" s="126" t="s">
        <v>1094</v>
      </c>
      <c r="D310" s="118">
        <v>302</v>
      </c>
    </row>
    <row r="311" spans="1:4" hidden="1" x14ac:dyDescent="0.15">
      <c r="A311" s="118">
        <v>40</v>
      </c>
      <c r="B311" s="118" t="s">
        <v>1095</v>
      </c>
      <c r="C311" s="120" t="s">
        <v>1096</v>
      </c>
      <c r="D311" s="118">
        <v>303</v>
      </c>
    </row>
    <row r="312" spans="1:4" hidden="1" x14ac:dyDescent="0.15">
      <c r="A312" s="118"/>
      <c r="B312" s="118" t="s">
        <v>1097</v>
      </c>
      <c r="C312" s="120" t="s">
        <v>1098</v>
      </c>
      <c r="D312" s="118">
        <v>304</v>
      </c>
    </row>
    <row r="313" spans="1:4" hidden="1" x14ac:dyDescent="0.15">
      <c r="A313" s="118"/>
      <c r="B313" s="118" t="s">
        <v>1099</v>
      </c>
      <c r="C313" s="120" t="s">
        <v>1100</v>
      </c>
      <c r="D313" s="118">
        <v>305</v>
      </c>
    </row>
    <row r="314" spans="1:4" hidden="1" x14ac:dyDescent="0.15">
      <c r="A314" s="118"/>
      <c r="B314" s="118" t="s">
        <v>1101</v>
      </c>
      <c r="C314" s="120" t="s">
        <v>1102</v>
      </c>
      <c r="D314" s="118">
        <v>306</v>
      </c>
    </row>
    <row r="315" spans="1:4" hidden="1" x14ac:dyDescent="0.15">
      <c r="A315" s="118"/>
      <c r="B315" s="118" t="s">
        <v>1103</v>
      </c>
      <c r="C315" s="120" t="s">
        <v>1104</v>
      </c>
      <c r="D315" s="118">
        <v>307</v>
      </c>
    </row>
    <row r="316" spans="1:4" hidden="1" x14ac:dyDescent="0.15">
      <c r="A316" s="118"/>
      <c r="B316" s="118" t="s">
        <v>1105</v>
      </c>
      <c r="C316" s="120" t="s">
        <v>1106</v>
      </c>
      <c r="D316" s="118">
        <v>308</v>
      </c>
    </row>
    <row r="317" spans="1:4" hidden="1" x14ac:dyDescent="0.15">
      <c r="A317" s="118"/>
      <c r="B317" s="118" t="s">
        <v>1107</v>
      </c>
      <c r="C317" s="120" t="s">
        <v>1108</v>
      </c>
      <c r="D317" s="118">
        <v>309</v>
      </c>
    </row>
    <row r="318" spans="1:4" hidden="1" x14ac:dyDescent="0.15">
      <c r="A318" s="118">
        <v>41</v>
      </c>
      <c r="B318" s="118" t="s">
        <v>1109</v>
      </c>
      <c r="C318" s="120" t="s">
        <v>1110</v>
      </c>
      <c r="D318" s="118">
        <v>310</v>
      </c>
    </row>
    <row r="319" spans="1:4" ht="7.5" hidden="1" customHeight="1" x14ac:dyDescent="0.15">
      <c r="A319" s="111"/>
      <c r="B319" s="127"/>
      <c r="C319" s="126"/>
      <c r="D319" s="118">
        <v>311</v>
      </c>
    </row>
    <row r="320" spans="1:4" s="136" customFormat="1" hidden="1" x14ac:dyDescent="0.15">
      <c r="A320" s="111"/>
      <c r="B320" s="127" t="s">
        <v>1111</v>
      </c>
      <c r="C320" s="126" t="s">
        <v>1112</v>
      </c>
      <c r="D320" s="118">
        <v>312</v>
      </c>
    </row>
    <row r="321" spans="1:4" s="136" customFormat="1" ht="7.5" hidden="1" customHeight="1" x14ac:dyDescent="0.15">
      <c r="A321" s="111"/>
      <c r="B321" s="127"/>
      <c r="C321" s="126"/>
      <c r="D321" s="118">
        <v>313</v>
      </c>
    </row>
    <row r="322" spans="1:4" s="136" customFormat="1" hidden="1" x14ac:dyDescent="0.15">
      <c r="A322" s="111"/>
      <c r="B322" s="127" t="s">
        <v>1113</v>
      </c>
      <c r="C322" s="126" t="s">
        <v>1114</v>
      </c>
      <c r="D322" s="118">
        <v>314</v>
      </c>
    </row>
    <row r="323" spans="1:4" s="136" customFormat="1" ht="7.5" hidden="1" customHeight="1" x14ac:dyDescent="0.15">
      <c r="A323" s="111"/>
      <c r="B323" s="127"/>
      <c r="C323" s="126"/>
      <c r="D323" s="118">
        <v>315</v>
      </c>
    </row>
    <row r="324" spans="1:4" s="136" customFormat="1" hidden="1" x14ac:dyDescent="0.15">
      <c r="A324" s="111"/>
      <c r="B324" s="127" t="s">
        <v>1115</v>
      </c>
      <c r="C324" s="126" t="s">
        <v>1116</v>
      </c>
      <c r="D324" s="118">
        <v>316</v>
      </c>
    </row>
    <row r="325" spans="1:4" ht="7.5" hidden="1" customHeight="1" x14ac:dyDescent="0.15">
      <c r="A325" s="111"/>
      <c r="B325" s="127"/>
      <c r="C325" s="126"/>
      <c r="D325" s="118">
        <v>317</v>
      </c>
    </row>
    <row r="326" spans="1:4" s="117" customFormat="1" hidden="1" x14ac:dyDescent="0.15">
      <c r="A326" s="127"/>
      <c r="B326" s="127" t="s">
        <v>1117</v>
      </c>
      <c r="C326" s="126" t="s">
        <v>1118</v>
      </c>
      <c r="D326" s="118">
        <v>318</v>
      </c>
    </row>
    <row r="327" spans="1:4" hidden="1" x14ac:dyDescent="0.15">
      <c r="A327" s="118">
        <v>42</v>
      </c>
      <c r="B327" s="118" t="s">
        <v>1119</v>
      </c>
      <c r="C327" s="120" t="s">
        <v>1120</v>
      </c>
      <c r="D327" s="118">
        <v>319</v>
      </c>
    </row>
    <row r="328" spans="1:4" hidden="1" x14ac:dyDescent="0.15">
      <c r="A328" s="118">
        <v>43</v>
      </c>
      <c r="B328" s="118" t="s">
        <v>1121</v>
      </c>
      <c r="C328" s="120" t="s">
        <v>1122</v>
      </c>
      <c r="D328" s="118">
        <v>320</v>
      </c>
    </row>
    <row r="329" spans="1:4" ht="7.5" hidden="1" customHeight="1" x14ac:dyDescent="0.15">
      <c r="A329" s="111"/>
      <c r="B329" s="127"/>
      <c r="C329" s="126"/>
      <c r="D329" s="118">
        <v>321</v>
      </c>
    </row>
    <row r="330" spans="1:4" hidden="1" x14ac:dyDescent="0.15">
      <c r="A330" s="111"/>
      <c r="B330" s="127" t="s">
        <v>1123</v>
      </c>
      <c r="C330" s="126" t="s">
        <v>1124</v>
      </c>
      <c r="D330" s="118">
        <v>322</v>
      </c>
    </row>
    <row r="331" spans="1:4" ht="7.5" hidden="1" customHeight="1" x14ac:dyDescent="0.15">
      <c r="A331" s="111"/>
      <c r="B331" s="127"/>
      <c r="C331" s="126"/>
      <c r="D331" s="118">
        <v>323</v>
      </c>
    </row>
    <row r="332" spans="1:4" hidden="1" x14ac:dyDescent="0.15">
      <c r="A332" s="111"/>
      <c r="B332" s="127" t="s">
        <v>1125</v>
      </c>
      <c r="C332" s="126" t="s">
        <v>1126</v>
      </c>
      <c r="D332" s="118">
        <v>324</v>
      </c>
    </row>
    <row r="333" spans="1:4" ht="7.5" hidden="1" customHeight="1" x14ac:dyDescent="0.15">
      <c r="A333" s="111"/>
      <c r="B333" s="127"/>
      <c r="C333" s="126"/>
      <c r="D333" s="118">
        <v>325</v>
      </c>
    </row>
    <row r="334" spans="1:4" hidden="1" x14ac:dyDescent="0.15">
      <c r="A334" s="118">
        <v>44</v>
      </c>
      <c r="B334" s="118">
        <v>412</v>
      </c>
      <c r="C334" s="120" t="s">
        <v>1127</v>
      </c>
      <c r="D334" s="118">
        <v>326</v>
      </c>
    </row>
    <row r="335" spans="1:4" ht="7.5" hidden="1" customHeight="1" x14ac:dyDescent="0.15">
      <c r="A335" s="111"/>
      <c r="B335" s="127"/>
      <c r="C335" s="126"/>
      <c r="D335" s="118">
        <v>327</v>
      </c>
    </row>
    <row r="336" spans="1:4" hidden="1" x14ac:dyDescent="0.15">
      <c r="B336" s="135">
        <v>413</v>
      </c>
      <c r="C336" s="138" t="s">
        <v>1128</v>
      </c>
      <c r="D336" s="118">
        <v>328</v>
      </c>
    </row>
    <row r="337" spans="4:4" hidden="1" x14ac:dyDescent="0.15">
      <c r="D337" s="118">
        <v>329</v>
      </c>
    </row>
    <row r="338" spans="4:4" ht="15.75" hidden="1" customHeight="1" x14ac:dyDescent="0.15">
      <c r="D338" s="118">
        <v>330</v>
      </c>
    </row>
    <row r="339" spans="4:4" hidden="1" x14ac:dyDescent="0.15">
      <c r="D339" s="118">
        <v>331</v>
      </c>
    </row>
  </sheetData>
  <sheetProtection selectLockedCells="1" selectUnlockedCells="1"/>
  <hyperlinks>
    <hyperlink ref="B5" location="'ITEM 100'!D65" display="100(2)a" xr:uid="{00000000-0004-0000-0600-000000000000}"/>
    <hyperlink ref="B6" location="'ITEM 100'!D127" display="100(2)b" xr:uid="{00000000-0004-0000-0600-000001000000}"/>
    <hyperlink ref="B7" location="'ITEM 100'!D189" display="100(3)a" xr:uid="{00000000-0004-0000-0600-000002000000}"/>
    <hyperlink ref="B8" location="'ITEM 100'!D251" display="100(3)b" xr:uid="{00000000-0004-0000-0600-000003000000}"/>
    <hyperlink ref="B9" location="'ITEM 100'!D313" display="101(1)" xr:uid="{00000000-0004-0000-0600-000004000000}"/>
    <hyperlink ref="B10" location="'ITEM 100'!D375" display="101(2)" xr:uid="{00000000-0004-0000-0600-000005000000}"/>
    <hyperlink ref="B11" location="'ITEM 100'!D437" display="101(2)" xr:uid="{00000000-0004-0000-0600-000006000000}"/>
    <hyperlink ref="B12" location="'ITEM 100'!D499" display="101(2)" xr:uid="{00000000-0004-0000-0600-000007000000}"/>
    <hyperlink ref="B13" location="'ITEM 100'!D561" display="101(2)" xr:uid="{00000000-0004-0000-0600-000008000000}"/>
    <hyperlink ref="B15" location="'ITEM 100'!D685" display="101(2)b" xr:uid="{00000000-0004-0000-0600-000009000000}"/>
    <hyperlink ref="B14" location="'ITEM 100'!D623" display="101(2)a" xr:uid="{00000000-0004-0000-0600-00000A000000}"/>
    <hyperlink ref="B16" location="'ITEM 100'!D747" display="101(2)c" xr:uid="{00000000-0004-0000-0600-00000B000000}"/>
    <hyperlink ref="B17" location="'ITEM 100'!D809" display="101(2)d" xr:uid="{00000000-0004-0000-0600-00000C000000}"/>
    <hyperlink ref="B18" location="'ITEM 100'!D871" display="101(2)e" xr:uid="{00000000-0004-0000-0600-00000D000000}"/>
    <hyperlink ref="B19" location="'ITEM 100'!D933" display="101(2)f" xr:uid="{00000000-0004-0000-0600-00000E000000}"/>
    <hyperlink ref="B20" location="'ITEM 100'!D995" display="101(2)g" xr:uid="{00000000-0004-0000-0600-00000F000000}"/>
    <hyperlink ref="B21" location="'ITEM 100'!D1057" display="101(3)a.1" xr:uid="{00000000-0004-0000-0600-000010000000}"/>
    <hyperlink ref="B22" location="'ITEM 100'!D1119" display="101(3)a.2" xr:uid="{00000000-0004-0000-0600-000011000000}"/>
    <hyperlink ref="B23" location="'ITEM 100'!D1181" display="101(3)b" xr:uid="{00000000-0004-0000-0600-000012000000}"/>
    <hyperlink ref="B24" location="'ITEM 100'!D1243" display="101(3)c" xr:uid="{00000000-0004-0000-0600-000013000000}"/>
    <hyperlink ref="B25" location="'ITEM 100'!D1305" display="101(4)a" xr:uid="{00000000-0004-0000-0600-000014000000}"/>
    <hyperlink ref="B26" location="'ITEM 100'!D1367" display="101(4)b" xr:uid="{00000000-0004-0000-0600-000015000000}"/>
    <hyperlink ref="B27" location="'ITEM 100'!D1429" display="102(1)" xr:uid="{00000000-0004-0000-0600-000016000000}"/>
    <hyperlink ref="B28" location="'ITEM 100'!D1491" display="102(2)a" xr:uid="{00000000-0004-0000-0600-000017000000}"/>
    <hyperlink ref="B29" location="'ITEM 100'!M3" display="102(2)b" xr:uid="{00000000-0004-0000-0600-000018000000}"/>
    <hyperlink ref="B29:B53" location="'ITEM 100'!M3" display="102(2)b" xr:uid="{00000000-0004-0000-0600-000019000000}"/>
    <hyperlink ref="B30" location="'ITEM 100'!M65" display="102(3)a" xr:uid="{00000000-0004-0000-0600-00001A000000}"/>
    <hyperlink ref="B31" location="'ITEM 100'!M127" display="102(3)b" xr:uid="{00000000-0004-0000-0600-00001B000000}"/>
    <hyperlink ref="B32" location="'ITEM 100'!M189" display="102(3)c" xr:uid="{00000000-0004-0000-0600-00001C000000}"/>
    <hyperlink ref="B33" location="'ITEM 100'!M251" display="102(3)d" xr:uid="{00000000-0004-0000-0600-00001D000000}"/>
    <hyperlink ref="B34" location="'ITEM 100'!M313" display="102(4)" xr:uid="{00000000-0004-0000-0600-00001E000000}"/>
    <hyperlink ref="B35" location="'ITEM 100'!M375" display="103(1)a" xr:uid="{00000000-0004-0000-0600-00001F000000}"/>
    <hyperlink ref="B36" location="'ITEM 100'!M437" display="103(1)b" xr:uid="{00000000-0004-0000-0600-000020000000}"/>
    <hyperlink ref="B37" location="'ITEM 100'!M499" display="103(1)c" xr:uid="{00000000-0004-0000-0600-000021000000}"/>
    <hyperlink ref="B38" location="'ITEM 100'!M561" display="103(2)a" xr:uid="{00000000-0004-0000-0600-000022000000}"/>
    <hyperlink ref="B39" location="'ITEM 100'!M623" display="103(2)b" xr:uid="{00000000-0004-0000-0600-000023000000}"/>
    <hyperlink ref="B40" location="'ITEM 100'!M685" display="103(2)c" xr:uid="{00000000-0004-0000-0600-000024000000}"/>
    <hyperlink ref="B41" location="'ITEM 100'!M747" display="103(3)" xr:uid="{00000000-0004-0000-0600-000025000000}"/>
    <hyperlink ref="B42" location="'ITEM 100'!M809" display="103(4)" xr:uid="{00000000-0004-0000-0600-000026000000}"/>
    <hyperlink ref="B43" location="'ITEM 100'!M871" display="103(5)a" xr:uid="{00000000-0004-0000-0600-000027000000}"/>
    <hyperlink ref="B44" location="'ITEM 100'!M933" display="103(5)b" xr:uid="{00000000-0004-0000-0600-000028000000}"/>
    <hyperlink ref="B45" location="'ITEM 100'!M995" display="103(6)" xr:uid="{00000000-0004-0000-0600-000029000000}"/>
    <hyperlink ref="B46" location="'ITEM 100'!M1057" display="104(1)a" xr:uid="{00000000-0004-0000-0600-00002A000000}"/>
    <hyperlink ref="B47" location="'ITEM 100'!M1119" display="104(1)b" xr:uid="{00000000-0004-0000-0600-00002B000000}"/>
    <hyperlink ref="B48" location="'ITEM 100'!M1181" display="104(2)" xr:uid="{00000000-0004-0000-0600-00002C000000}"/>
    <hyperlink ref="B49" location="'ITEM 100'!M1243" display="104(3)" xr:uid="{00000000-0004-0000-0600-00002D000000}"/>
    <hyperlink ref="B50" location="'ITEM 100'!M1305" display="104(4)" xr:uid="{00000000-0004-0000-0600-00002E000000}"/>
    <hyperlink ref="B51" location="'ITEM 100'!M1367" display="105(1)" xr:uid="{00000000-0004-0000-0600-00002F000000}"/>
    <hyperlink ref="B52" location="'ITEM 100'!M1429" display="105(2)" xr:uid="{00000000-0004-0000-0600-000030000000}"/>
    <hyperlink ref="B53" location="'ITEM 100'!M1491" display="105(3)" xr:uid="{00000000-0004-0000-0600-000031000000}"/>
    <hyperlink ref="B55" location="'ITEM 200'!D3" display="'ITEM 200'!D3" xr:uid="{00000000-0004-0000-0600-000032000000}"/>
    <hyperlink ref="B56" location="'ITEM 200'!D65" display="200(1)" xr:uid="{00000000-0004-0000-0600-000033000000}"/>
    <hyperlink ref="B57" location="'ITEM 200'!D127" display="'ITEM 200'!D127" xr:uid="{00000000-0004-0000-0600-000034000000}"/>
    <hyperlink ref="B57:B63" location="'ITEM 200'!D127" display="'ITEM 200'!D127" xr:uid="{00000000-0004-0000-0600-000035000000}"/>
    <hyperlink ref="B58" location="'ITEM 200'!D189" display="201(1)" xr:uid="{00000000-0004-0000-0600-000036000000}"/>
    <hyperlink ref="B59" location="'ITEM 200'!D251" display="'ITEM 200'!D251" xr:uid="{00000000-0004-0000-0600-000037000000}"/>
    <hyperlink ref="B60" location="'ITEM 200'!M3" display="'ITEM 200'!M3" xr:uid="{00000000-0004-0000-0600-000038000000}"/>
    <hyperlink ref="B61" location="'ITEM 200'!M65" display="'ITEM 200'!M65" xr:uid="{00000000-0004-0000-0600-000039000000}"/>
    <hyperlink ref="B62" location="'ITEM 200'!M127" display="'ITEM 200'!M127" xr:uid="{00000000-0004-0000-0600-00003A000000}"/>
    <hyperlink ref="B63" location="'ITEM 200'!M189" display="'ITEM 200'!M189" xr:uid="{00000000-0004-0000-0600-00003B000000}"/>
    <hyperlink ref="B65" location="'ITEM 300'!D3" display="300(1)" xr:uid="{00000000-0004-0000-0600-00003C000000}"/>
    <hyperlink ref="B65:B86" location="'ITEM 300'!D3" display="300(1)" xr:uid="{00000000-0004-0000-0600-00003D000000}"/>
    <hyperlink ref="B87:B109" location="'ITEM 300'!M3" display="306(2)" xr:uid="{00000000-0004-0000-0600-00003E000000}"/>
    <hyperlink ref="B66" location="'ITEM 300'!D65" display="300(2)" xr:uid="{00000000-0004-0000-0600-00003F000000}"/>
    <hyperlink ref="B67" location="'ITEM 300'!D127" display="301(1)" xr:uid="{00000000-0004-0000-0600-000040000000}"/>
    <hyperlink ref="B68" location="'ITEM 300'!D189" display="301(2)" xr:uid="{00000000-0004-0000-0600-000041000000}"/>
    <hyperlink ref="B69" location="'ITEM 300'!D251" display="302(1)" xr:uid="{00000000-0004-0000-0600-000042000000}"/>
    <hyperlink ref="B70" location="'ITEM 300'!D313" display="302(2)" xr:uid="{00000000-0004-0000-0600-000043000000}"/>
    <hyperlink ref="B71" location="'ITEM 300'!D375" display="303(1)" xr:uid="{00000000-0004-0000-0600-000044000000}"/>
    <hyperlink ref="B72" location="'ITEM 300'!D437" display="303(2)" xr:uid="{00000000-0004-0000-0600-000045000000}"/>
    <hyperlink ref="B73" location="'ITEM 300'!D499" display="303(3)" xr:uid="{00000000-0004-0000-0600-000046000000}"/>
    <hyperlink ref="B74" location="'ITEM 300'!D561" display="303(4)" xr:uid="{00000000-0004-0000-0600-000047000000}"/>
    <hyperlink ref="B75" location="'ITEM 300'!D623" display="304(1)" xr:uid="{00000000-0004-0000-0600-000048000000}"/>
    <hyperlink ref="B76" location="'ITEM 300'!D685" display="304(2)" xr:uid="{00000000-0004-0000-0600-000049000000}"/>
    <hyperlink ref="B77" location="'ITEM 300'!D747" display="304(3)" xr:uid="{00000000-0004-0000-0600-00004A000000}"/>
    <hyperlink ref="B78" location="'ITEM 300'!D809" display="304(4)" xr:uid="{00000000-0004-0000-0600-00004B000000}"/>
    <hyperlink ref="B79" location="'ITEM 300'!D871" display="304(5)" xr:uid="{00000000-0004-0000-0600-00004C000000}"/>
    <hyperlink ref="B80" location="'ITEM 300'!D933" display="305(1)" xr:uid="{00000000-0004-0000-0600-00004D000000}"/>
    <hyperlink ref="B81" location="'ITEM 300'!D995" display="305(2)" xr:uid="{00000000-0004-0000-0600-00004E000000}"/>
    <hyperlink ref="B82" location="'ITEM 300'!D1057" display="305(3)" xr:uid="{00000000-0004-0000-0600-00004F000000}"/>
    <hyperlink ref="B83" location="'ITEM 300'!D1119" display="305(4)" xr:uid="{00000000-0004-0000-0600-000050000000}"/>
    <hyperlink ref="B84" location="'ITEM 300'!D1181" display="306(a)" xr:uid="{00000000-0004-0000-0600-000051000000}"/>
    <hyperlink ref="B85" location="'ITEM 300'!D1243" display="306(b)" xr:uid="{00000000-0004-0000-0600-000052000000}"/>
    <hyperlink ref="B86" location="'ITEM 300'!D1305" display="306(1)" xr:uid="{00000000-0004-0000-0600-000053000000}"/>
    <hyperlink ref="B88" location="'ITEM 300'!M65" display="'ITEM 300'!M65" xr:uid="{00000000-0004-0000-0600-000054000000}"/>
    <hyperlink ref="B89" location="'ITEM 300'!M127" display="308(a)" xr:uid="{00000000-0004-0000-0600-000055000000}"/>
    <hyperlink ref="B90" location="'ITEM 300'!M189" display="308(b)" xr:uid="{00000000-0004-0000-0600-000056000000}"/>
    <hyperlink ref="B91" location="'ITEM 300'!M251" display="'ITEM 300'!M251" xr:uid="{00000000-0004-0000-0600-000057000000}"/>
    <hyperlink ref="B92" location="'ITEM 300'!M313" display="310(a.1)" xr:uid="{00000000-0004-0000-0600-000058000000}"/>
    <hyperlink ref="B93" location="'ITEM 300'!M375" display="310(a.2)" xr:uid="{00000000-0004-0000-0600-000059000000}"/>
    <hyperlink ref="B94" location="'ITEM 300'!M437" display="310(a.3)" xr:uid="{00000000-0004-0000-0600-00005A000000}"/>
    <hyperlink ref="B95" location="'ITEM 300'!M499" display="310(b.1)" xr:uid="{00000000-0004-0000-0600-00005B000000}"/>
    <hyperlink ref="B96" location="'ITEM 300'!M561" display="310(b.2)" xr:uid="{00000000-0004-0000-0600-00005C000000}"/>
    <hyperlink ref="B97" location="'ITEM 300'!M623" display="310(b.3)" xr:uid="{00000000-0004-0000-0600-00005D000000}"/>
    <hyperlink ref="B98" location="'ITEM 300'!M685" display="311(1)a.1" xr:uid="{00000000-0004-0000-0600-00005E000000}"/>
    <hyperlink ref="B99" location="'ITEM 300'!M747" display="311(1)a.2" xr:uid="{00000000-0004-0000-0600-00005F000000}"/>
    <hyperlink ref="B100" location="'ITEM 300'!M809" display="311(1)a.3" xr:uid="{00000000-0004-0000-0600-000060000000}"/>
    <hyperlink ref="B101" location="'ITEM 300'!M871" display="311(1)a.4" xr:uid="{00000000-0004-0000-0600-000061000000}"/>
    <hyperlink ref="B102" location="'ITEM 300'!M933" display="311(1)a.5" xr:uid="{00000000-0004-0000-0600-000062000000}"/>
    <hyperlink ref="B103" location="'ITEM 300'!M995" display="311(1)a.6" xr:uid="{00000000-0004-0000-0600-000063000000}"/>
    <hyperlink ref="B104" location="'ITEM 300'!M1057" display="311(1)b.1" xr:uid="{00000000-0004-0000-0600-000064000000}"/>
    <hyperlink ref="B105" location="'ITEM 300'!M1119" display="311(1)b.2" xr:uid="{00000000-0004-0000-0600-000065000000}"/>
    <hyperlink ref="B106" location="'ITEM 300'!M1181" display="311(1)b.3" xr:uid="{00000000-0004-0000-0600-000066000000}"/>
    <hyperlink ref="B107" location="'ITEM 300'!M1243" display="311(1)b.4" xr:uid="{00000000-0004-0000-0600-000067000000}"/>
    <hyperlink ref="B109" location="'ITEM 300'!V3" display="311(2)" xr:uid="{00000000-0004-0000-0600-000068000000}"/>
    <hyperlink ref="B113" location="'ITEM 500'!D3" display="500(1)a" xr:uid="{00000000-0004-0000-0600-000069000000}"/>
    <hyperlink ref="B111" location="'ITEM 400'!D3" display="'ITEM 400'!D3" xr:uid="{00000000-0004-0000-0600-00006A000000}"/>
    <hyperlink ref="B112" location="'ITEM 400'!D65" display="'ITEM 400'!D65" xr:uid="{00000000-0004-0000-0600-00006B000000}"/>
    <hyperlink ref="B115" location="'ITEM 500'!D127" display="500(1)c" xr:uid="{00000000-0004-0000-0600-00006C000000}"/>
    <hyperlink ref="B116" location="'ITEM 500'!D189" display="500(1)d" xr:uid="{00000000-0004-0000-0600-00006D000000}"/>
    <hyperlink ref="B117" location="'ITEM 500'!D251" display="500(1)e" xr:uid="{00000000-0004-0000-0600-00006E000000}"/>
    <hyperlink ref="B118" location="'ITEM 500'!D313" display="500(1)f" xr:uid="{00000000-0004-0000-0600-00006F000000}"/>
    <hyperlink ref="B119" location="'ITEM 500'!D375" display="501(1)" xr:uid="{00000000-0004-0000-0600-000070000000}"/>
    <hyperlink ref="B120" location="'ITEM 500'!D437" display="501(2)" xr:uid="{00000000-0004-0000-0600-000071000000}"/>
    <hyperlink ref="B121" location="'ITEM 500'!D499" display="501(3)" xr:uid="{00000000-0004-0000-0600-000072000000}"/>
    <hyperlink ref="B123" location="'ITEM 500'!D623" display="502(4)" xr:uid="{00000000-0004-0000-0600-000073000000}"/>
    <hyperlink ref="B124" location="'ITEM 500'!D685" display="502(5)" xr:uid="{00000000-0004-0000-0600-000074000000}"/>
    <hyperlink ref="B125" location="'ITEM 500'!D747" display="502(6)" xr:uid="{00000000-0004-0000-0600-000075000000}"/>
    <hyperlink ref="B128" location="'ITEM 500'!D809" display="503(a)" xr:uid="{00000000-0004-0000-0600-000076000000}"/>
    <hyperlink ref="B129" location="'ITEM 500'!D871" display="503(b)" xr:uid="{00000000-0004-0000-0600-000077000000}"/>
    <hyperlink ref="B130" location="'ITEM 500'!D933" display="504(1)a" xr:uid="{00000000-0004-0000-0600-000078000000}"/>
    <hyperlink ref="B131" location="'ITEM 500'!D995" display="504(1)b" xr:uid="{00000000-0004-0000-0600-000079000000}"/>
    <hyperlink ref="B132" location="'ITEM 500'!D1057" display="504(1)c" xr:uid="{00000000-0004-0000-0600-00007A000000}"/>
    <hyperlink ref="B133" location="'ITEM 500'!D1119" display="504(1)d" xr:uid="{00000000-0004-0000-0600-00007B000000}"/>
    <hyperlink ref="B134" location="'ITEM 500'!D1181" display="504(1)e" xr:uid="{00000000-0004-0000-0600-00007C000000}"/>
    <hyperlink ref="B135" location="'ITEM 500'!D1243" display="504(2)a" xr:uid="{00000000-0004-0000-0600-00007D000000}"/>
    <hyperlink ref="B136" location="'ITEM 500'!D1305" display="504(2)b" xr:uid="{00000000-0004-0000-0600-00007E000000}"/>
    <hyperlink ref="B137" location="'ITEM 500'!D1367" display="504(2)c" xr:uid="{00000000-0004-0000-0600-00007F000000}"/>
    <hyperlink ref="B138" location="'ITEM 500'!D1429" display="504(2)d" xr:uid="{00000000-0004-0000-0600-000080000000}"/>
    <hyperlink ref="B139" location="'ITEM 500'!D1491" display="504(2)e" xr:uid="{00000000-0004-0000-0600-000081000000}"/>
    <hyperlink ref="B140" location="'ITEM 500'!D1553" display="504(3)a" xr:uid="{00000000-0004-0000-0600-000082000000}"/>
    <hyperlink ref="B141" location="'ITEM 500'!D1615" display="504(3)b" xr:uid="{00000000-0004-0000-0600-000083000000}"/>
    <hyperlink ref="B142" location="'ITEM 500'!M3" display="504(3)c" xr:uid="{00000000-0004-0000-0600-000084000000}"/>
    <hyperlink ref="B122" location="'ITEM 500'!D561" display="'ITEM 500'!D561" xr:uid="{00000000-0004-0000-0600-000085000000}"/>
    <hyperlink ref="B114" location="'ITEM 500'!D65" display="500(1)b" xr:uid="{00000000-0004-0000-0600-000086000000}"/>
    <hyperlink ref="B143:B169" location="'ITEM 500'!M3" display="504(3)d" xr:uid="{00000000-0004-0000-0600-000087000000}"/>
    <hyperlink ref="B143" location="'ITEM 500'!M65" display="504(3)d" xr:uid="{00000000-0004-0000-0600-000088000000}"/>
    <hyperlink ref="B144" location="'ITEM 500'!M127" display="504(3)e" xr:uid="{00000000-0004-0000-0600-000089000000}"/>
    <hyperlink ref="B145" location="'ITEM 500'!M189" display="504(3)f" xr:uid="{00000000-0004-0000-0600-00008A000000}"/>
    <hyperlink ref="B146" location="'ITEM 500'!M251" display="504(4)" xr:uid="{00000000-0004-0000-0600-00008B000000}"/>
    <hyperlink ref="B147" location="'ITEM 500'!M313" display="505(1)" xr:uid="{00000000-0004-0000-0600-00008C000000}"/>
    <hyperlink ref="B148" location="'ITEM 500'!M375" display="505(2)" xr:uid="{00000000-0004-0000-0600-00008D000000}"/>
    <hyperlink ref="B149" location="'ITEM 500'!M437" display="505(3)" xr:uid="{00000000-0004-0000-0600-00008E000000}"/>
    <hyperlink ref="B150" location="'ITEM 500'!M499" display="505(4)" xr:uid="{00000000-0004-0000-0600-00008F000000}"/>
    <hyperlink ref="B151" location="'ITEM 500'!M561" display="505(5)" xr:uid="{00000000-0004-0000-0600-000090000000}"/>
    <hyperlink ref="B152" location="'ITEM 500'!M623" display="505(6)" xr:uid="{00000000-0004-0000-0600-000091000000}"/>
    <hyperlink ref="B153" location="'ITEM 500'!M685" display="505(7)" xr:uid="{00000000-0004-0000-0600-000092000000}"/>
    <hyperlink ref="B154" location="'ITEM 500'!M747" display="505(8)" xr:uid="{00000000-0004-0000-0600-000093000000}"/>
    <hyperlink ref="B155" location="'ITEM 500'!M809" display="505(9)" xr:uid="{00000000-0004-0000-0600-000094000000}"/>
    <hyperlink ref="B156" location="'ITEM 500'!M871" display="'ITEM 500'!M871" xr:uid="{00000000-0004-0000-0600-000095000000}"/>
    <hyperlink ref="B159" location="'ITEM 500'!M933" display="'ITEM 500'!M933" xr:uid="{00000000-0004-0000-0600-000096000000}"/>
    <hyperlink ref="B160" location="'ITEM 500'!M995" display="'ITEM 500'!M995" xr:uid="{00000000-0004-0000-0600-000097000000}"/>
    <hyperlink ref="B161" location="'ITEM 500'!M1057" display="509(a)" xr:uid="{00000000-0004-0000-0600-000098000000}"/>
    <hyperlink ref="B162" location="'ITEM 500'!M1119" display="509(b.1)" xr:uid="{00000000-0004-0000-0600-000099000000}"/>
    <hyperlink ref="B163" location="'ITEM 500'!M1181" display="509(b.2)" xr:uid="{00000000-0004-0000-0600-00009A000000}"/>
    <hyperlink ref="B164" location="'ITEM 500'!M1243" display="509(c)" xr:uid="{00000000-0004-0000-0600-00009B000000}"/>
    <hyperlink ref="B165" location="'ITEM 500'!M1305" display="510(1)" xr:uid="{00000000-0004-0000-0600-00009C000000}"/>
    <hyperlink ref="B166" location="'ITEM 500'!M1367" display="510(2)" xr:uid="{00000000-0004-0000-0600-00009D000000}"/>
    <hyperlink ref="B167" location="'ITEM 500'!M1429" display="511(1)" xr:uid="{00000000-0004-0000-0600-00009E000000}"/>
    <hyperlink ref="B168" location="'ITEM 500'!M1491" display="511(2)" xr:uid="{00000000-0004-0000-0600-00009F000000}"/>
    <hyperlink ref="B169" location="'ITEM 500'!M1553" display="511(3)" xr:uid="{00000000-0004-0000-0600-0000A0000000}"/>
    <hyperlink ref="B171" location="'ITEM 600'!D3" display="600(1)" xr:uid="{00000000-0004-0000-0600-0000A1000000}"/>
    <hyperlink ref="B172:B197" location="'ITEM 600'!D3" display="600(2)" xr:uid="{00000000-0004-0000-0600-0000A2000000}"/>
    <hyperlink ref="B172" location="'ITEM 600'!D65" display="600(2)" xr:uid="{00000000-0004-0000-0600-0000A3000000}"/>
    <hyperlink ref="B173" location="'ITEM 600'!D127" display="600(3)" xr:uid="{00000000-0004-0000-0600-0000A4000000}"/>
    <hyperlink ref="B174" location="'ITEM 600'!D189" display="600(4)" xr:uid="{00000000-0004-0000-0600-0000A5000000}"/>
    <hyperlink ref="B175" location="'ITEM 600'!D251" display="600(5)" xr:uid="{00000000-0004-0000-0600-0000A6000000}"/>
    <hyperlink ref="B176" location="'ITEM 600'!D313" display="600(6)" xr:uid="{00000000-0004-0000-0600-0000A7000000}"/>
    <hyperlink ref="B177" location="'ITEM 600'!D375" display="601(a)" xr:uid="{00000000-0004-0000-0600-0000A8000000}"/>
    <hyperlink ref="B178" location="'ITEM 600'!D437" display="601(b)" xr:uid="{00000000-0004-0000-0600-0000A9000000}"/>
    <hyperlink ref="B179" location="'ITEM 600'!D499" display="602(1)a" xr:uid="{00000000-0004-0000-0600-0000AA000000}"/>
    <hyperlink ref="B180" location="'ITEM 600'!D561" display="602(1)b" xr:uid="{00000000-0004-0000-0600-0000AB000000}"/>
    <hyperlink ref="B181" location="'ITEM 600'!D623" display="602(2)a" xr:uid="{00000000-0004-0000-0600-0000AC000000}"/>
    <hyperlink ref="B182" location="'ITEM 600'!D685" display="602(2)b" xr:uid="{00000000-0004-0000-0600-0000AD000000}"/>
    <hyperlink ref="B183" location="'ITEM 600'!D747" display="602(3)a" xr:uid="{00000000-0004-0000-0600-0000AE000000}"/>
    <hyperlink ref="B184" location="'ITEM 600'!D809" display="602(3)b" xr:uid="{00000000-0004-0000-0600-0000AF000000}"/>
    <hyperlink ref="B185" location="'ITEM 600'!D871" display="602(4)" xr:uid="{00000000-0004-0000-0600-0000B0000000}"/>
    <hyperlink ref="B186" location="'ITEM 600'!D933" display="603(1)" xr:uid="{00000000-0004-0000-0600-0000B1000000}"/>
    <hyperlink ref="B187" location="'ITEM 600'!D995" display="603(3)a" xr:uid="{00000000-0004-0000-0600-0000B2000000}"/>
    <hyperlink ref="B188" location="'ITEM 600'!D1057" display="603(3)b" xr:uid="{00000000-0004-0000-0600-0000B3000000}"/>
    <hyperlink ref="B189" location="'ITEM 600'!D1119" display="603(4)" xr:uid="{00000000-0004-0000-0600-0000B4000000}"/>
    <hyperlink ref="B190" location="'ITEM 600'!D1181" display="604(1)" xr:uid="{00000000-0004-0000-0600-0000B5000000}"/>
    <hyperlink ref="B191" location="'ITEM 600'!D1243" display="604(2)" xr:uid="{00000000-0004-0000-0600-0000B6000000}"/>
    <hyperlink ref="B192" location="'ITEM 600'!D1305" display="604(3)" xr:uid="{00000000-0004-0000-0600-0000B7000000}"/>
    <hyperlink ref="B193" location="'ITEM 600'!D1367" display="604(4)" xr:uid="{00000000-0004-0000-0600-0000B8000000}"/>
    <hyperlink ref="B194" location="'ITEM 600'!D1429" display="605(1)a" xr:uid="{00000000-0004-0000-0600-0000B9000000}"/>
    <hyperlink ref="B195" location="'ITEM 600'!D1491" display="605(1)b" xr:uid="{00000000-0004-0000-0600-0000BA000000}"/>
    <hyperlink ref="B196" location="'ITEM 600'!D1553" display="605(2)a" xr:uid="{00000000-0004-0000-0600-0000BB000000}"/>
    <hyperlink ref="B197" location="'ITEM 600'!D1615" display="605(2)b" xr:uid="{00000000-0004-0000-0600-0000BC000000}"/>
    <hyperlink ref="B198" location="'ITEM 600'!M3" display="605(2)c" xr:uid="{00000000-0004-0000-0600-0000BD000000}"/>
    <hyperlink ref="B199:B225" location="'ITEM 600'!M3" display="605(2)d" xr:uid="{00000000-0004-0000-0600-0000BE000000}"/>
    <hyperlink ref="B199" location="'ITEM 600'!M65" display="605(2)d" xr:uid="{00000000-0004-0000-0600-0000BF000000}"/>
    <hyperlink ref="B200" location="'ITEM 600'!M127" display="605(3)a" xr:uid="{00000000-0004-0000-0600-0000C0000000}"/>
    <hyperlink ref="B201" location="'ITEM 600'!M189" display="605(3)b" xr:uid="{00000000-0004-0000-0600-0000C1000000}"/>
    <hyperlink ref="B202" location="'ITEM 600'!M251" display="605(3)c" xr:uid="{00000000-0004-0000-0600-0000C2000000}"/>
    <hyperlink ref="B203" location="'ITEM 600'!M313" display="605(3)d" xr:uid="{00000000-0004-0000-0600-0000C3000000}"/>
    <hyperlink ref="B204" location="'ITEM 600'!M375" display="606(1)" xr:uid="{00000000-0004-0000-0600-0000C4000000}"/>
    <hyperlink ref="B205" location="'ITEM 600'!M437" display="606(2)a" xr:uid="{00000000-0004-0000-0600-0000C5000000}"/>
    <hyperlink ref="B206" location="'ITEM 600'!M499" display="606(2)b" xr:uid="{00000000-0004-0000-0600-0000C6000000}"/>
    <hyperlink ref="B207" location="'ITEM 600'!M561" display="607(1)" xr:uid="{00000000-0004-0000-0600-0000C7000000}"/>
    <hyperlink ref="B208" location="'ITEM 600'!M561" display="607(2)" xr:uid="{00000000-0004-0000-0600-0000C8000000}"/>
    <hyperlink ref="B209" location="'ITEM 600'!M623" display="608(1)" xr:uid="{00000000-0004-0000-0600-0000C9000000}"/>
    <hyperlink ref="B210" location="'ITEM 600'!M685" display="608(2)" xr:uid="{00000000-0004-0000-0600-0000CA000000}"/>
    <hyperlink ref="B211" location="'ITEM 600'!M747" display="'ITEM 600'!M747" xr:uid="{00000000-0004-0000-0600-0000CB000000}"/>
    <hyperlink ref="B212" location="'ITEM 600'!M809" display="'ITEM 600'!M809" xr:uid="{00000000-0004-0000-0600-0000CC000000}"/>
    <hyperlink ref="B213" location="'ITEM 600'!M871" display="611(1)" xr:uid="{00000000-0004-0000-0600-0000CD000000}"/>
    <hyperlink ref="B214" location="'ITEM 600'!M933" display="611(2)" xr:uid="{00000000-0004-0000-0600-0000CE000000}"/>
    <hyperlink ref="B215" location="'ITEM 600'!M995" display="612(1)" xr:uid="{00000000-0004-0000-0600-0000CF000000}"/>
    <hyperlink ref="B216" location="'ITEM 600'!M1057" display="612(2)" xr:uid="{00000000-0004-0000-0600-0000D0000000}"/>
    <hyperlink ref="B217" location="'ITEM 600'!M1119" display="'ITEM 600'!M1119" xr:uid="{00000000-0004-0000-0600-0000D1000000}"/>
    <hyperlink ref="B218" location="'ITEM 600'!M1181" display="620(a)" xr:uid="{00000000-0004-0000-0600-0000D2000000}"/>
    <hyperlink ref="B219" location="'ITEM 600'!M1243" display="620(b)" xr:uid="{00000000-0004-0000-0600-0000D3000000}"/>
    <hyperlink ref="B220" location="'ITEM 600'!M1305" display="622(1)a" xr:uid="{00000000-0004-0000-0600-0000D4000000}"/>
    <hyperlink ref="B221" location="'ITEM 600'!M1367" display="622(1)b" xr:uid="{00000000-0004-0000-0600-0000D5000000}"/>
    <hyperlink ref="B222" location="'ITEM 600'!M1429" display="622(2)a" xr:uid="{00000000-0004-0000-0600-0000D6000000}"/>
    <hyperlink ref="B223" location="'ITEM 600'!M1491" display="622(2)b" xr:uid="{00000000-0004-0000-0600-0000D7000000}"/>
    <hyperlink ref="B224" location="'ITEM 600'!M1553" display="622(3)a" xr:uid="{00000000-0004-0000-0600-0000D8000000}"/>
    <hyperlink ref="B225" location="'ITEM 600'!M1615" display="622(3)b" xr:uid="{00000000-0004-0000-0600-0000D9000000}"/>
    <hyperlink ref="B227:B230" location="'SPL ITEMS'!D3" display="SPL 2(a)" xr:uid="{00000000-0004-0000-0600-0000DA000000}"/>
    <hyperlink ref="B228" location="'SPL ITEMS'!D65" display="SPL 2(b)" xr:uid="{00000000-0004-0000-0600-0000DB000000}"/>
    <hyperlink ref="B229" location="'SPL ITEMS'!M3" display="SPL 3(a)" xr:uid="{00000000-0004-0000-0600-0000DC000000}"/>
    <hyperlink ref="B230" location="'SPL ITEMS'!M65" display="SPL 3(b)" xr:uid="{00000000-0004-0000-0600-0000DD000000}"/>
    <hyperlink ref="B108" location="'ITEM 300'!M1305" display="311(1)c" xr:uid="{00000000-0004-0000-0600-0000DE000000}"/>
    <hyperlink ref="B3" location="'ITEM 100'!D3" display="100(1)" xr:uid="{00000000-0004-0000-0600-0000DF000000}"/>
    <hyperlink ref="B4" location="'ITEM 100'!D3" display="100(1)" xr:uid="{00000000-0004-0000-0600-0000E0000000}"/>
  </hyperlinks>
  <printOptions horizontalCentered="1"/>
  <pageMargins left="0.5" right="0" top="1" bottom="0.75" header="0.3" footer="0.3"/>
  <pageSetup paperSize="9" scale="95" orientation="portrait" horizontalDpi="4294967293" r:id="rId1"/>
  <rowBreaks count="4" manualBreakCount="4">
    <brk id="47" max="3" man="1"/>
    <brk id="92" max="3" man="1"/>
    <brk id="230" max="3" man="1"/>
    <brk id="268" max="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R307"/>
  <sheetViews>
    <sheetView view="pageBreakPreview" topLeftCell="A114" zoomScale="80" zoomScaleNormal="70" zoomScaleSheetLayoutView="80" workbookViewId="0">
      <selection activeCell="H144" sqref="H144"/>
    </sheetView>
  </sheetViews>
  <sheetFormatPr defaultColWidth="9.14453125" defaultRowHeight="15" x14ac:dyDescent="0.2"/>
  <cols>
    <col min="1" max="1" width="3.2265625" style="7" customWidth="1"/>
    <col min="2" max="2" width="17.75390625" style="7" customWidth="1"/>
    <col min="3" max="3" width="2.6875" style="7" customWidth="1"/>
    <col min="4" max="4" width="11.56640625" style="7" customWidth="1"/>
    <col min="5" max="5" width="13.44921875" style="7" customWidth="1"/>
    <col min="6" max="8" width="17.08203125" style="7" customWidth="1"/>
    <col min="9" max="9" width="23.9453125" style="7" customWidth="1"/>
    <col min="10" max="10" width="3.2265625" style="10" customWidth="1"/>
    <col min="11" max="11" width="17.75390625" style="3" customWidth="1"/>
    <col min="12" max="12" width="2.6875" style="4" customWidth="1"/>
    <col min="13" max="13" width="11.56640625" style="4" customWidth="1"/>
    <col min="14" max="14" width="13.44921875" style="5" customWidth="1"/>
    <col min="15" max="17" width="17.08203125" style="3" customWidth="1"/>
    <col min="18" max="18" width="23.9453125" style="3" customWidth="1"/>
    <col min="19" max="16384" width="9.14453125" style="7"/>
  </cols>
  <sheetData>
    <row r="1" spans="1:18" s="1" customFormat="1" x14ac:dyDescent="0.2">
      <c r="A1" s="236" t="s">
        <v>0</v>
      </c>
      <c r="B1" s="236"/>
      <c r="C1" s="236"/>
      <c r="D1" s="236"/>
      <c r="E1" s="236"/>
      <c r="F1" s="236"/>
      <c r="G1" s="236"/>
      <c r="H1" s="236"/>
      <c r="I1" s="236"/>
      <c r="J1" s="236" t="s">
        <v>0</v>
      </c>
      <c r="K1" s="236"/>
      <c r="L1" s="236"/>
      <c r="M1" s="236"/>
      <c r="N1" s="236"/>
      <c r="O1" s="236"/>
      <c r="P1" s="236"/>
      <c r="Q1" s="236"/>
      <c r="R1" s="236"/>
    </row>
    <row r="2" spans="1:18" x14ac:dyDescent="0.2">
      <c r="A2" s="10"/>
      <c r="B2" s="3"/>
      <c r="C2" s="4"/>
      <c r="D2" s="4"/>
      <c r="E2" s="5"/>
      <c r="F2" s="3"/>
      <c r="G2" s="3"/>
      <c r="H2" s="3"/>
      <c r="I2" s="3"/>
    </row>
    <row r="3" spans="1:18" x14ac:dyDescent="0.2">
      <c r="A3" s="2" t="s">
        <v>1</v>
      </c>
      <c r="B3" s="3"/>
      <c r="C3" s="4" t="s">
        <v>2</v>
      </c>
      <c r="D3" s="5" t="s">
        <v>836</v>
      </c>
      <c r="E3" s="237" t="s">
        <v>837</v>
      </c>
      <c r="F3" s="237"/>
      <c r="G3" s="237"/>
      <c r="H3" s="237"/>
      <c r="I3" s="3"/>
      <c r="J3" s="2" t="s">
        <v>1</v>
      </c>
      <c r="L3" s="4" t="s">
        <v>2</v>
      </c>
      <c r="M3" s="5" t="s">
        <v>838</v>
      </c>
      <c r="N3" s="237" t="s">
        <v>839</v>
      </c>
      <c r="O3" s="237"/>
      <c r="P3" s="237"/>
      <c r="Q3" s="237"/>
    </row>
    <row r="4" spans="1:18" x14ac:dyDescent="0.2">
      <c r="A4" s="2" t="s">
        <v>7</v>
      </c>
      <c r="B4" s="3"/>
      <c r="C4" s="4" t="s">
        <v>2</v>
      </c>
      <c r="D4" s="4"/>
      <c r="E4" s="2" t="s">
        <v>8</v>
      </c>
      <c r="F4" s="8"/>
      <c r="G4" s="8"/>
      <c r="H4" s="8"/>
      <c r="I4" s="3"/>
      <c r="J4" s="2" t="s">
        <v>7</v>
      </c>
      <c r="L4" s="4" t="s">
        <v>2</v>
      </c>
      <c r="N4" s="2" t="s">
        <v>80</v>
      </c>
      <c r="O4" s="8"/>
      <c r="P4" s="8"/>
      <c r="Q4" s="8"/>
    </row>
    <row r="5" spans="1:18" x14ac:dyDescent="0.2">
      <c r="A5" s="2" t="s">
        <v>10</v>
      </c>
      <c r="B5" s="3"/>
      <c r="C5" s="4" t="s">
        <v>2</v>
      </c>
      <c r="D5" s="4"/>
      <c r="E5" s="9">
        <v>35</v>
      </c>
      <c r="F5" s="8"/>
      <c r="G5" s="8"/>
      <c r="H5" s="8"/>
      <c r="I5" s="3"/>
      <c r="J5" s="2" t="s">
        <v>10</v>
      </c>
      <c r="L5" s="4" t="s">
        <v>2</v>
      </c>
      <c r="N5" s="9">
        <v>60</v>
      </c>
      <c r="O5" s="8"/>
      <c r="P5" s="8"/>
      <c r="Q5" s="8"/>
    </row>
    <row r="6" spans="1:18" x14ac:dyDescent="0.2">
      <c r="A6" s="10"/>
      <c r="B6" s="8"/>
      <c r="C6" s="4"/>
      <c r="D6" s="4"/>
      <c r="E6" s="5"/>
      <c r="F6" s="11"/>
      <c r="G6" s="8"/>
      <c r="H6" s="8"/>
      <c r="I6" s="8"/>
      <c r="K6" s="8"/>
      <c r="O6" s="11"/>
      <c r="P6" s="8"/>
      <c r="Q6" s="8"/>
      <c r="R6" s="8"/>
    </row>
    <row r="7" spans="1:18" x14ac:dyDescent="0.2">
      <c r="A7" s="12"/>
      <c r="B7" s="238" t="s">
        <v>11</v>
      </c>
      <c r="C7" s="239"/>
      <c r="D7" s="239"/>
      <c r="E7" s="240"/>
      <c r="F7" s="244" t="s">
        <v>12</v>
      </c>
      <c r="G7" s="244" t="s">
        <v>13</v>
      </c>
      <c r="H7" s="244" t="s">
        <v>14</v>
      </c>
      <c r="I7" s="246" t="s">
        <v>15</v>
      </c>
      <c r="J7" s="12"/>
      <c r="K7" s="238" t="s">
        <v>11</v>
      </c>
      <c r="L7" s="239"/>
      <c r="M7" s="239"/>
      <c r="N7" s="240"/>
      <c r="O7" s="244" t="s">
        <v>12</v>
      </c>
      <c r="P7" s="244" t="s">
        <v>13</v>
      </c>
      <c r="Q7" s="244" t="s">
        <v>14</v>
      </c>
      <c r="R7" s="246" t="s">
        <v>15</v>
      </c>
    </row>
    <row r="8" spans="1:18" x14ac:dyDescent="0.2">
      <c r="A8" s="13"/>
      <c r="B8" s="241"/>
      <c r="C8" s="242"/>
      <c r="D8" s="242"/>
      <c r="E8" s="243"/>
      <c r="F8" s="245"/>
      <c r="G8" s="245"/>
      <c r="H8" s="245"/>
      <c r="I8" s="247"/>
      <c r="J8" s="13"/>
      <c r="K8" s="241"/>
      <c r="L8" s="242"/>
      <c r="M8" s="242"/>
      <c r="N8" s="243"/>
      <c r="O8" s="245"/>
      <c r="P8" s="245"/>
      <c r="Q8" s="245"/>
      <c r="R8" s="247"/>
    </row>
    <row r="9" spans="1:18" x14ac:dyDescent="0.2">
      <c r="A9" s="13" t="s">
        <v>16</v>
      </c>
      <c r="B9" s="14" t="s">
        <v>17</v>
      </c>
      <c r="C9" s="15"/>
      <c r="D9" s="15"/>
      <c r="E9" s="16"/>
      <c r="F9" s="17"/>
      <c r="G9" s="17"/>
      <c r="H9" s="17"/>
      <c r="I9" s="17"/>
      <c r="J9" s="13" t="s">
        <v>16</v>
      </c>
      <c r="K9" s="14" t="s">
        <v>17</v>
      </c>
      <c r="L9" s="15"/>
      <c r="M9" s="15"/>
      <c r="N9" s="16"/>
      <c r="O9" s="17"/>
      <c r="P9" s="17"/>
      <c r="Q9" s="17"/>
      <c r="R9" s="17"/>
    </row>
    <row r="10" spans="1:18" x14ac:dyDescent="0.2">
      <c r="A10" s="13"/>
      <c r="B10" s="18"/>
      <c r="C10" s="19"/>
      <c r="D10" s="19"/>
      <c r="E10" s="20"/>
      <c r="F10" s="21"/>
      <c r="G10" s="22"/>
      <c r="H10" s="21"/>
      <c r="I10" s="21"/>
      <c r="J10" s="13"/>
      <c r="K10" s="18"/>
      <c r="L10" s="19"/>
      <c r="M10" s="19"/>
      <c r="N10" s="20"/>
      <c r="O10" s="21"/>
      <c r="P10" s="22"/>
      <c r="Q10" s="21"/>
      <c r="R10" s="21"/>
    </row>
    <row r="11" spans="1:18" x14ac:dyDescent="0.2">
      <c r="A11" s="13"/>
      <c r="B11" s="24" t="s">
        <v>18</v>
      </c>
      <c r="C11" s="25"/>
      <c r="D11" s="25"/>
      <c r="E11" s="26"/>
      <c r="F11" s="22">
        <v>1</v>
      </c>
      <c r="G11" s="22">
        <v>1</v>
      </c>
      <c r="H11" s="23">
        <v>109.19</v>
      </c>
      <c r="I11" s="23">
        <f>G11*H11*F11</f>
        <v>109.19</v>
      </c>
      <c r="J11" s="13"/>
      <c r="K11" s="24" t="s">
        <v>18</v>
      </c>
      <c r="L11" s="25"/>
      <c r="M11" s="25"/>
      <c r="N11" s="26"/>
      <c r="O11" s="22">
        <v>1</v>
      </c>
      <c r="P11" s="22">
        <v>1</v>
      </c>
      <c r="Q11" s="23">
        <v>109.19</v>
      </c>
      <c r="R11" s="23">
        <f>P11*Q11*O11</f>
        <v>109.19</v>
      </c>
    </row>
    <row r="12" spans="1:18" x14ac:dyDescent="0.2">
      <c r="A12" s="13"/>
      <c r="B12" s="24" t="s">
        <v>60</v>
      </c>
      <c r="C12" s="25"/>
      <c r="D12" s="25"/>
      <c r="E12" s="26"/>
      <c r="F12" s="22">
        <v>1</v>
      </c>
      <c r="G12" s="22">
        <v>1</v>
      </c>
      <c r="H12" s="23">
        <v>79.7</v>
      </c>
      <c r="I12" s="23">
        <f>G12*H12*F12</f>
        <v>79.7</v>
      </c>
      <c r="J12" s="13"/>
      <c r="K12" s="257" t="s">
        <v>19</v>
      </c>
      <c r="L12" s="258"/>
      <c r="M12" s="19"/>
      <c r="N12" s="20"/>
      <c r="O12" s="22">
        <v>10</v>
      </c>
      <c r="P12" s="22">
        <v>1</v>
      </c>
      <c r="Q12" s="23">
        <v>61.44</v>
      </c>
      <c r="R12" s="23">
        <f>P12*Q12*O12</f>
        <v>614.4</v>
      </c>
    </row>
    <row r="13" spans="1:18" x14ac:dyDescent="0.2">
      <c r="A13" s="13"/>
      <c r="B13" s="257" t="s">
        <v>61</v>
      </c>
      <c r="C13" s="258"/>
      <c r="D13" s="19"/>
      <c r="E13" s="20"/>
      <c r="F13" s="22">
        <v>2</v>
      </c>
      <c r="G13" s="22">
        <v>1</v>
      </c>
      <c r="H13" s="23">
        <v>61.44</v>
      </c>
      <c r="I13" s="23">
        <f>G13*H13*F13</f>
        <v>122.88</v>
      </c>
      <c r="J13" s="13"/>
      <c r="K13" s="257"/>
      <c r="L13" s="258"/>
      <c r="M13" s="19"/>
      <c r="N13" s="20"/>
      <c r="O13" s="22"/>
      <c r="P13" s="22"/>
      <c r="Q13" s="23"/>
      <c r="R13" s="23"/>
    </row>
    <row r="14" spans="1:18" ht="15" customHeight="1" x14ac:dyDescent="0.2">
      <c r="A14" s="13"/>
      <c r="B14" s="27"/>
      <c r="C14" s="19"/>
      <c r="D14" s="19"/>
      <c r="E14" s="20"/>
      <c r="F14" s="22"/>
      <c r="G14" s="22"/>
      <c r="H14" s="29"/>
      <c r="I14" s="30"/>
      <c r="J14" s="13"/>
      <c r="K14" s="27"/>
      <c r="L14" s="19"/>
      <c r="M14" s="19"/>
      <c r="N14" s="20"/>
      <c r="O14" s="22"/>
      <c r="P14" s="22"/>
      <c r="Q14" s="29"/>
      <c r="R14" s="30"/>
    </row>
    <row r="15" spans="1:18" x14ac:dyDescent="0.2">
      <c r="A15" s="13"/>
      <c r="B15" s="27"/>
      <c r="C15" s="19"/>
      <c r="D15" s="19"/>
      <c r="E15" s="20"/>
      <c r="F15" s="22"/>
      <c r="G15" s="22"/>
      <c r="H15" s="29"/>
      <c r="I15" s="30"/>
      <c r="J15" s="13"/>
      <c r="K15" s="27"/>
      <c r="L15" s="19"/>
      <c r="M15" s="19"/>
      <c r="N15" s="20"/>
      <c r="O15" s="22"/>
      <c r="P15" s="22"/>
      <c r="Q15" s="29"/>
      <c r="R15" s="30"/>
    </row>
    <row r="16" spans="1:18" x14ac:dyDescent="0.2">
      <c r="A16" s="13"/>
      <c r="B16" s="18"/>
      <c r="C16" s="19"/>
      <c r="D16" s="19"/>
      <c r="E16" s="20"/>
      <c r="F16" s="22"/>
      <c r="G16" s="22"/>
      <c r="H16" s="28"/>
      <c r="I16" s="23"/>
      <c r="J16" s="13"/>
      <c r="K16" s="18"/>
      <c r="L16" s="19"/>
      <c r="M16" s="19"/>
      <c r="N16" s="20"/>
      <c r="O16" s="22"/>
      <c r="P16" s="22"/>
      <c r="Q16" s="28"/>
      <c r="R16" s="23"/>
    </row>
    <row r="17" spans="1:18" x14ac:dyDescent="0.2">
      <c r="A17" s="13"/>
      <c r="B17" s="18"/>
      <c r="C17" s="19"/>
      <c r="D17" s="19"/>
      <c r="E17" s="20"/>
      <c r="F17" s="22"/>
      <c r="G17" s="22"/>
      <c r="H17" s="23"/>
      <c r="I17" s="23"/>
      <c r="J17" s="13"/>
      <c r="K17" s="18"/>
      <c r="L17" s="19"/>
      <c r="M17" s="19"/>
      <c r="N17" s="20"/>
      <c r="O17" s="22"/>
      <c r="P17" s="22"/>
      <c r="Q17" s="23"/>
      <c r="R17" s="23"/>
    </row>
    <row r="18" spans="1:18" x14ac:dyDescent="0.2">
      <c r="A18" s="13"/>
      <c r="B18" s="248" t="s">
        <v>20</v>
      </c>
      <c r="C18" s="249"/>
      <c r="D18" s="249"/>
      <c r="E18" s="250"/>
      <c r="F18" s="31"/>
      <c r="G18" s="31"/>
      <c r="H18" s="32"/>
      <c r="I18" s="32">
        <f>SUM(I11:I17)</f>
        <v>311.77</v>
      </c>
      <c r="J18" s="13"/>
      <c r="K18" s="248" t="s">
        <v>20</v>
      </c>
      <c r="L18" s="249"/>
      <c r="M18" s="249"/>
      <c r="N18" s="250"/>
      <c r="O18" s="31"/>
      <c r="P18" s="31"/>
      <c r="Q18" s="32"/>
      <c r="R18" s="32">
        <f>SUM(R11:R17)</f>
        <v>723.58999999999992</v>
      </c>
    </row>
    <row r="19" spans="1:18" x14ac:dyDescent="0.2">
      <c r="A19" s="12"/>
      <c r="B19" s="251" t="s">
        <v>21</v>
      </c>
      <c r="C19" s="252"/>
      <c r="D19" s="252"/>
      <c r="E19" s="253"/>
      <c r="F19" s="244" t="s">
        <v>22</v>
      </c>
      <c r="G19" s="244" t="s">
        <v>13</v>
      </c>
      <c r="H19" s="244" t="s">
        <v>840</v>
      </c>
      <c r="I19" s="246" t="s">
        <v>15</v>
      </c>
      <c r="J19" s="12"/>
      <c r="K19" s="251" t="s">
        <v>21</v>
      </c>
      <c r="L19" s="252"/>
      <c r="M19" s="252"/>
      <c r="N19" s="253"/>
      <c r="O19" s="244" t="s">
        <v>22</v>
      </c>
      <c r="P19" s="244" t="s">
        <v>13</v>
      </c>
      <c r="Q19" s="244" t="s">
        <v>14</v>
      </c>
      <c r="R19" s="246" t="s">
        <v>15</v>
      </c>
    </row>
    <row r="20" spans="1:18" x14ac:dyDescent="0.2">
      <c r="A20" s="13"/>
      <c r="B20" s="254"/>
      <c r="C20" s="255"/>
      <c r="D20" s="255"/>
      <c r="E20" s="256"/>
      <c r="F20" s="245"/>
      <c r="G20" s="245"/>
      <c r="H20" s="245"/>
      <c r="I20" s="247"/>
      <c r="J20" s="13"/>
      <c r="K20" s="254"/>
      <c r="L20" s="255"/>
      <c r="M20" s="255"/>
      <c r="N20" s="256"/>
      <c r="O20" s="245"/>
      <c r="P20" s="245"/>
      <c r="Q20" s="245"/>
      <c r="R20" s="247"/>
    </row>
    <row r="21" spans="1:18" x14ac:dyDescent="0.2">
      <c r="A21" s="13" t="s">
        <v>23</v>
      </c>
      <c r="B21" s="33" t="s">
        <v>24</v>
      </c>
      <c r="C21" s="15"/>
      <c r="D21" s="15"/>
      <c r="E21" s="16"/>
      <c r="F21" s="34"/>
      <c r="G21" s="34"/>
      <c r="H21" s="35"/>
      <c r="I21" s="35"/>
      <c r="J21" s="13" t="s">
        <v>23</v>
      </c>
      <c r="K21" s="33" t="s">
        <v>24</v>
      </c>
      <c r="L21" s="15"/>
      <c r="M21" s="15"/>
      <c r="N21" s="16"/>
      <c r="O21" s="34"/>
      <c r="P21" s="34"/>
      <c r="Q21" s="35"/>
      <c r="R21" s="35"/>
    </row>
    <row r="22" spans="1:18" x14ac:dyDescent="0.2">
      <c r="A22" s="13"/>
      <c r="B22" s="18"/>
      <c r="C22" s="19"/>
      <c r="D22" s="19"/>
      <c r="E22" s="20"/>
      <c r="F22" s="22"/>
      <c r="G22" s="22"/>
      <c r="H22" s="23"/>
      <c r="I22" s="23"/>
      <c r="J22" s="13"/>
      <c r="K22" s="18"/>
      <c r="L22" s="19"/>
      <c r="M22" s="19"/>
      <c r="N22" s="20"/>
      <c r="O22" s="22"/>
      <c r="P22" s="22"/>
      <c r="Q22" s="23"/>
      <c r="R22" s="23"/>
    </row>
    <row r="23" spans="1:18" x14ac:dyDescent="0.2">
      <c r="A23" s="13"/>
      <c r="B23" s="18" t="s">
        <v>97</v>
      </c>
      <c r="C23" s="19"/>
      <c r="D23" s="19"/>
      <c r="E23" s="20"/>
      <c r="F23" s="22">
        <v>1</v>
      </c>
      <c r="G23" s="23">
        <v>1</v>
      </c>
      <c r="H23" s="37">
        <f>ROUND(1537*1.35,2)</f>
        <v>2074.9499999999998</v>
      </c>
      <c r="I23" s="37">
        <f>F23*G23*H23</f>
        <v>2074.9499999999998</v>
      </c>
      <c r="J23" s="13"/>
      <c r="K23" s="18" t="s">
        <v>622</v>
      </c>
      <c r="L23" s="66"/>
      <c r="M23" s="19"/>
      <c r="N23" s="20"/>
      <c r="O23" s="22">
        <v>1</v>
      </c>
      <c r="P23" s="23">
        <v>0.25</v>
      </c>
      <c r="Q23" s="37">
        <v>712</v>
      </c>
      <c r="R23" s="37">
        <f>O23*P23*Q23</f>
        <v>178</v>
      </c>
    </row>
    <row r="24" spans="1:18" ht="17.25" customHeight="1" x14ac:dyDescent="0.2">
      <c r="A24" s="13"/>
      <c r="B24" s="18" t="s">
        <v>184</v>
      </c>
      <c r="C24" s="66"/>
      <c r="D24" s="19"/>
      <c r="E24" s="20"/>
      <c r="F24" s="22">
        <v>1</v>
      </c>
      <c r="G24" s="23">
        <v>0.75</v>
      </c>
      <c r="H24" s="37">
        <v>1507</v>
      </c>
      <c r="I24" s="37">
        <f>F24*G24*H24</f>
        <v>1130.25</v>
      </c>
      <c r="J24" s="13"/>
      <c r="K24" s="18" t="s">
        <v>136</v>
      </c>
      <c r="L24" s="66"/>
      <c r="M24" s="19"/>
      <c r="N24" s="20"/>
      <c r="O24" s="22">
        <v>1</v>
      </c>
      <c r="P24" s="23">
        <v>0.25</v>
      </c>
      <c r="Q24" s="37">
        <v>1065</v>
      </c>
      <c r="R24" s="37">
        <f>O24*P24*Q24</f>
        <v>266.25</v>
      </c>
    </row>
    <row r="25" spans="1:18" ht="17.25" customHeight="1" x14ac:dyDescent="0.2">
      <c r="A25" s="13"/>
      <c r="B25" s="18" t="s">
        <v>185</v>
      </c>
      <c r="C25" s="66"/>
      <c r="D25" s="19"/>
      <c r="E25" s="20"/>
      <c r="F25" s="22">
        <v>1</v>
      </c>
      <c r="G25" s="23">
        <v>0.1</v>
      </c>
      <c r="H25" s="37">
        <v>1065</v>
      </c>
      <c r="I25" s="37">
        <f>F25*G25*H25</f>
        <v>106.5</v>
      </c>
      <c r="J25" s="13"/>
      <c r="K25" s="18" t="s">
        <v>92</v>
      </c>
      <c r="L25" s="66"/>
      <c r="M25" s="19"/>
      <c r="N25" s="20"/>
      <c r="O25" s="22"/>
      <c r="P25" s="23"/>
      <c r="R25" s="37">
        <f>R18*0.1</f>
        <v>72.358999999999995</v>
      </c>
    </row>
    <row r="26" spans="1:18" x14ac:dyDescent="0.2">
      <c r="A26" s="13"/>
      <c r="B26" s="18"/>
      <c r="C26" s="66"/>
      <c r="D26" s="4"/>
      <c r="E26" s="5"/>
      <c r="F26" s="22"/>
      <c r="G26" s="23"/>
      <c r="H26" s="37"/>
      <c r="I26" s="37"/>
      <c r="J26" s="13"/>
      <c r="K26" s="18"/>
      <c r="L26" s="66"/>
      <c r="O26" s="22"/>
      <c r="P26" s="23"/>
      <c r="Q26" s="37"/>
      <c r="R26" s="37"/>
    </row>
    <row r="27" spans="1:18" x14ac:dyDescent="0.2">
      <c r="A27" s="13"/>
      <c r="B27" s="18"/>
      <c r="C27" s="19"/>
      <c r="D27" s="19"/>
      <c r="E27" s="20"/>
      <c r="F27" s="22"/>
      <c r="G27" s="36"/>
      <c r="H27" s="37"/>
      <c r="I27" s="37"/>
      <c r="J27" s="13"/>
      <c r="K27" s="18"/>
      <c r="L27" s="19"/>
      <c r="M27" s="19"/>
      <c r="N27" s="20"/>
      <c r="O27" s="22"/>
      <c r="P27" s="36"/>
      <c r="Q27" s="37"/>
      <c r="R27" s="37"/>
    </row>
    <row r="28" spans="1:18" x14ac:dyDescent="0.2">
      <c r="A28" s="13"/>
      <c r="B28" s="18"/>
      <c r="C28" s="19"/>
      <c r="D28" s="19"/>
      <c r="E28" s="20"/>
      <c r="F28" s="22"/>
      <c r="G28" s="36"/>
      <c r="H28" s="37"/>
      <c r="I28" s="37"/>
      <c r="J28" s="13"/>
      <c r="K28" s="18"/>
      <c r="L28" s="19"/>
      <c r="M28" s="19"/>
      <c r="N28" s="20"/>
      <c r="O28" s="22"/>
      <c r="P28" s="36"/>
      <c r="Q28" s="37"/>
      <c r="R28" s="37"/>
    </row>
    <row r="29" spans="1:18" x14ac:dyDescent="0.2">
      <c r="A29" s="13"/>
      <c r="B29" s="18"/>
      <c r="C29" s="19"/>
      <c r="D29" s="19"/>
      <c r="E29" s="20"/>
      <c r="F29" s="22"/>
      <c r="G29" s="36"/>
      <c r="H29" s="37"/>
      <c r="I29" s="37"/>
      <c r="J29" s="13"/>
      <c r="K29" s="18"/>
      <c r="L29" s="19"/>
      <c r="M29" s="19"/>
      <c r="N29" s="20"/>
      <c r="O29" s="22"/>
      <c r="P29" s="36"/>
      <c r="Q29" s="37"/>
      <c r="R29" s="37"/>
    </row>
    <row r="30" spans="1:18" x14ac:dyDescent="0.2">
      <c r="A30" s="13"/>
      <c r="B30" s="18"/>
      <c r="C30" s="19"/>
      <c r="D30" s="19"/>
      <c r="E30" s="20"/>
      <c r="F30" s="22"/>
      <c r="G30" s="23"/>
      <c r="H30" s="37"/>
      <c r="I30" s="37"/>
      <c r="J30" s="13"/>
      <c r="K30" s="18"/>
      <c r="L30" s="19"/>
      <c r="M30" s="19"/>
      <c r="N30" s="20"/>
      <c r="O30" s="22"/>
      <c r="P30" s="23"/>
      <c r="Q30" s="37"/>
      <c r="R30" s="37"/>
    </row>
    <row r="31" spans="1:18" x14ac:dyDescent="0.2">
      <c r="A31" s="13"/>
      <c r="B31" s="18"/>
      <c r="C31" s="19"/>
      <c r="D31" s="19"/>
      <c r="E31" s="20"/>
      <c r="F31" s="22"/>
      <c r="G31" s="23"/>
      <c r="H31" s="37"/>
      <c r="I31" s="37"/>
      <c r="J31" s="13"/>
      <c r="K31" s="18"/>
      <c r="L31" s="19"/>
      <c r="M31" s="19"/>
      <c r="N31" s="20"/>
      <c r="O31" s="22"/>
      <c r="P31" s="23"/>
      <c r="Q31" s="37"/>
      <c r="R31" s="37"/>
    </row>
    <row r="32" spans="1:18" x14ac:dyDescent="0.2">
      <c r="A32" s="13"/>
      <c r="F32" s="72"/>
      <c r="G32" s="72"/>
      <c r="H32" s="72"/>
      <c r="I32" s="72"/>
      <c r="J32" s="13"/>
      <c r="K32" s="7"/>
      <c r="L32" s="7"/>
      <c r="M32" s="7"/>
      <c r="N32" s="7"/>
      <c r="O32" s="72"/>
      <c r="P32" s="72"/>
      <c r="Q32" s="72"/>
      <c r="R32" s="72"/>
    </row>
    <row r="33" spans="1:18" x14ac:dyDescent="0.2">
      <c r="A33" s="13"/>
      <c r="B33" s="18"/>
      <c r="C33" s="19"/>
      <c r="D33" s="19"/>
      <c r="E33" s="20"/>
      <c r="F33" s="22"/>
      <c r="G33" s="36"/>
      <c r="H33" s="37"/>
      <c r="I33" s="37"/>
      <c r="J33" s="13"/>
      <c r="K33" s="18"/>
      <c r="L33" s="19"/>
      <c r="M33" s="19"/>
      <c r="N33" s="20"/>
      <c r="O33" s="22"/>
      <c r="P33" s="36"/>
      <c r="Q33" s="37"/>
      <c r="R33" s="37"/>
    </row>
    <row r="34" spans="1:18" ht="15" customHeight="1" x14ac:dyDescent="0.2">
      <c r="A34" s="13"/>
      <c r="B34" s="18"/>
      <c r="C34" s="19"/>
      <c r="D34" s="19"/>
      <c r="E34" s="20"/>
      <c r="F34" s="22"/>
      <c r="G34" s="36"/>
      <c r="H34" s="37"/>
      <c r="I34" s="37"/>
      <c r="J34" s="13"/>
      <c r="K34" s="18"/>
      <c r="L34" s="19"/>
      <c r="M34" s="19"/>
      <c r="N34" s="20"/>
      <c r="O34" s="22"/>
      <c r="P34" s="36"/>
      <c r="Q34" s="37"/>
      <c r="R34" s="37"/>
    </row>
    <row r="35" spans="1:18" x14ac:dyDescent="0.2">
      <c r="A35" s="13"/>
      <c r="B35" s="18"/>
      <c r="C35" s="19"/>
      <c r="D35" s="19"/>
      <c r="E35" s="20"/>
      <c r="F35" s="22"/>
      <c r="G35" s="22"/>
      <c r="H35" s="23"/>
      <c r="I35" s="23"/>
      <c r="J35" s="13"/>
      <c r="K35" s="18"/>
      <c r="L35" s="19"/>
      <c r="M35" s="19"/>
      <c r="N35" s="20"/>
      <c r="O35" s="22"/>
      <c r="P35" s="22"/>
      <c r="Q35" s="23"/>
      <c r="R35" s="23"/>
    </row>
    <row r="36" spans="1:18" x14ac:dyDescent="0.2">
      <c r="A36" s="13"/>
      <c r="B36" s="248" t="s">
        <v>30</v>
      </c>
      <c r="C36" s="249"/>
      <c r="D36" s="249"/>
      <c r="E36" s="250"/>
      <c r="F36" s="22"/>
      <c r="G36" s="22"/>
      <c r="H36" s="23"/>
      <c r="I36" s="23">
        <f>SUM(I23:I35)</f>
        <v>3311.7</v>
      </c>
      <c r="J36" s="13"/>
      <c r="K36" s="248" t="s">
        <v>30</v>
      </c>
      <c r="L36" s="249"/>
      <c r="M36" s="249"/>
      <c r="N36" s="250"/>
      <c r="O36" s="22"/>
      <c r="P36" s="22"/>
      <c r="Q36" s="23"/>
      <c r="R36" s="23">
        <f>SUM(R23:R35)</f>
        <v>516.60900000000004</v>
      </c>
    </row>
    <row r="37" spans="1:18" x14ac:dyDescent="0.2">
      <c r="A37" s="12" t="s">
        <v>31</v>
      </c>
      <c r="B37" s="260" t="s">
        <v>32</v>
      </c>
      <c r="C37" s="261"/>
      <c r="D37" s="261"/>
      <c r="E37" s="261"/>
      <c r="F37" s="39"/>
      <c r="G37" s="39"/>
      <c r="H37" s="40"/>
      <c r="I37" s="41">
        <f>SUM(I36+I18)</f>
        <v>3623.47</v>
      </c>
      <c r="J37" s="12" t="s">
        <v>31</v>
      </c>
      <c r="K37" s="260" t="s">
        <v>32</v>
      </c>
      <c r="L37" s="261"/>
      <c r="M37" s="261"/>
      <c r="N37" s="261"/>
      <c r="O37" s="39"/>
      <c r="P37" s="39"/>
      <c r="Q37" s="40"/>
      <c r="R37" s="41">
        <f>SUM(R36+R18)</f>
        <v>1240.1990000000001</v>
      </c>
    </row>
    <row r="38" spans="1:18" x14ac:dyDescent="0.2">
      <c r="A38" s="13" t="s">
        <v>33</v>
      </c>
      <c r="B38" s="382">
        <f>E5</f>
        <v>35</v>
      </c>
      <c r="C38" s="383"/>
      <c r="D38" s="383"/>
      <c r="E38" s="383"/>
      <c r="F38" s="383"/>
      <c r="G38" s="383"/>
      <c r="H38" s="40"/>
      <c r="I38" s="41"/>
      <c r="J38" s="13" t="s">
        <v>33</v>
      </c>
      <c r="K38" s="384">
        <f>N5</f>
        <v>60</v>
      </c>
      <c r="L38" s="385"/>
      <c r="M38" s="385"/>
      <c r="N38" s="385"/>
      <c r="O38" s="385"/>
      <c r="P38" s="385"/>
      <c r="Q38" s="40"/>
      <c r="R38" s="41"/>
    </row>
    <row r="39" spans="1:18" x14ac:dyDescent="0.2">
      <c r="A39" s="13" t="s">
        <v>34</v>
      </c>
      <c r="B39" s="42" t="s">
        <v>35</v>
      </c>
      <c r="C39" s="43"/>
      <c r="D39" s="43"/>
      <c r="E39" s="39"/>
      <c r="F39" s="44"/>
      <c r="G39" s="44"/>
      <c r="H39" s="40"/>
      <c r="I39" s="41">
        <f>I37/E5</f>
        <v>103.52771428571428</v>
      </c>
      <c r="J39" s="13" t="s">
        <v>34</v>
      </c>
      <c r="K39" s="42" t="s">
        <v>35</v>
      </c>
      <c r="L39" s="43"/>
      <c r="M39" s="43"/>
      <c r="N39" s="39"/>
      <c r="O39" s="44"/>
      <c r="P39" s="44"/>
      <c r="Q39" s="40"/>
      <c r="R39" s="41">
        <f>R37/N5</f>
        <v>20.669983333333334</v>
      </c>
    </row>
    <row r="40" spans="1:18" x14ac:dyDescent="0.2">
      <c r="A40" s="12"/>
      <c r="B40" s="251" t="s">
        <v>36</v>
      </c>
      <c r="C40" s="252"/>
      <c r="D40" s="252"/>
      <c r="E40" s="253"/>
      <c r="F40" s="244" t="s">
        <v>37</v>
      </c>
      <c r="G40" s="244" t="s">
        <v>38</v>
      </c>
      <c r="H40" s="244" t="s">
        <v>39</v>
      </c>
      <c r="I40" s="246" t="s">
        <v>15</v>
      </c>
      <c r="J40" s="12"/>
      <c r="K40" s="251" t="s">
        <v>36</v>
      </c>
      <c r="L40" s="252"/>
      <c r="M40" s="252"/>
      <c r="N40" s="253"/>
      <c r="O40" s="244" t="s">
        <v>37</v>
      </c>
      <c r="P40" s="244" t="s">
        <v>38</v>
      </c>
      <c r="Q40" s="244" t="s">
        <v>39</v>
      </c>
      <c r="R40" s="246" t="s">
        <v>15</v>
      </c>
    </row>
    <row r="41" spans="1:18" x14ac:dyDescent="0.2">
      <c r="A41" s="13"/>
      <c r="B41" s="254"/>
      <c r="C41" s="255"/>
      <c r="D41" s="255"/>
      <c r="E41" s="256"/>
      <c r="F41" s="245"/>
      <c r="G41" s="245"/>
      <c r="H41" s="245"/>
      <c r="I41" s="247"/>
      <c r="J41" s="13"/>
      <c r="K41" s="254"/>
      <c r="L41" s="255"/>
      <c r="M41" s="255"/>
      <c r="N41" s="256"/>
      <c r="O41" s="245"/>
      <c r="P41" s="245"/>
      <c r="Q41" s="245"/>
      <c r="R41" s="247"/>
    </row>
    <row r="42" spans="1:18" x14ac:dyDescent="0.2">
      <c r="A42" s="13" t="s">
        <v>40</v>
      </c>
      <c r="B42" s="18" t="s">
        <v>41</v>
      </c>
      <c r="C42" s="19"/>
      <c r="D42" s="19"/>
      <c r="E42" s="20"/>
      <c r="F42" s="22"/>
      <c r="G42" s="22"/>
      <c r="H42" s="23"/>
      <c r="I42" s="23"/>
      <c r="J42" s="13" t="s">
        <v>40</v>
      </c>
      <c r="K42" s="18" t="s">
        <v>41</v>
      </c>
      <c r="L42" s="19"/>
      <c r="M42" s="19"/>
      <c r="N42" s="20"/>
      <c r="O42" s="22"/>
      <c r="P42" s="22"/>
      <c r="Q42" s="23"/>
      <c r="R42" s="23"/>
    </row>
    <row r="43" spans="1:18" x14ac:dyDescent="0.2">
      <c r="A43" s="13"/>
      <c r="B43" s="18"/>
      <c r="C43" s="19"/>
      <c r="D43" s="19"/>
      <c r="E43" s="20"/>
      <c r="F43" s="22"/>
      <c r="G43" s="22"/>
      <c r="H43" s="23"/>
      <c r="I43" s="23"/>
      <c r="J43" s="13"/>
      <c r="K43" s="18"/>
      <c r="L43" s="19"/>
      <c r="M43" s="19"/>
      <c r="N43" s="20"/>
      <c r="O43" s="22"/>
      <c r="P43" s="22"/>
      <c r="Q43" s="23"/>
      <c r="R43" s="23"/>
    </row>
    <row r="44" spans="1:18" x14ac:dyDescent="0.2">
      <c r="A44" s="13"/>
      <c r="B44" s="24"/>
      <c r="C44" s="25"/>
      <c r="D44" s="25"/>
      <c r="E44" s="20"/>
      <c r="F44" s="62"/>
      <c r="G44" s="62"/>
      <c r="H44" s="23"/>
      <c r="I44" s="23"/>
      <c r="J44" s="13"/>
      <c r="K44" s="18" t="s">
        <v>841</v>
      </c>
      <c r="L44" s="66"/>
      <c r="M44" s="19"/>
      <c r="N44" s="20"/>
      <c r="O44" s="62" t="s">
        <v>80</v>
      </c>
      <c r="P44" s="64">
        <v>1</v>
      </c>
      <c r="Q44" s="23">
        <v>50</v>
      </c>
      <c r="R44" s="23">
        <f>Q44*P44</f>
        <v>50</v>
      </c>
    </row>
    <row r="45" spans="1:18" x14ac:dyDescent="0.2">
      <c r="A45" s="13"/>
      <c r="B45" s="24"/>
      <c r="C45" s="25"/>
      <c r="D45" s="25"/>
      <c r="E45" s="20"/>
      <c r="F45" s="62"/>
      <c r="G45" s="62"/>
      <c r="H45" s="23"/>
      <c r="I45" s="23"/>
      <c r="J45" s="13"/>
      <c r="K45" s="18" t="s">
        <v>842</v>
      </c>
      <c r="L45" s="66"/>
      <c r="M45" s="19"/>
      <c r="N45" s="20"/>
      <c r="O45" s="62" t="s">
        <v>413</v>
      </c>
      <c r="P45" s="64">
        <v>8</v>
      </c>
      <c r="Q45" s="23">
        <v>20</v>
      </c>
      <c r="R45" s="23">
        <f>P45*Q45</f>
        <v>160</v>
      </c>
    </row>
    <row r="46" spans="1:18" x14ac:dyDescent="0.2">
      <c r="A46" s="13"/>
      <c r="B46" s="18"/>
      <c r="C46" s="19"/>
      <c r="D46" s="19"/>
      <c r="E46" s="20"/>
      <c r="F46" s="62"/>
      <c r="G46" s="62"/>
      <c r="H46" s="23"/>
      <c r="I46" s="23"/>
      <c r="J46" s="13"/>
      <c r="K46" s="18" t="s">
        <v>843</v>
      </c>
      <c r="L46" s="66"/>
      <c r="M46" s="19"/>
      <c r="N46" s="20"/>
      <c r="O46" s="62" t="s">
        <v>77</v>
      </c>
      <c r="P46" s="62">
        <f>P45/100</f>
        <v>0.08</v>
      </c>
      <c r="Q46" s="23">
        <v>68</v>
      </c>
      <c r="R46" s="23">
        <f>P46*Q46</f>
        <v>5.44</v>
      </c>
    </row>
    <row r="47" spans="1:18" x14ac:dyDescent="0.2">
      <c r="A47" s="13"/>
      <c r="B47" s="18"/>
      <c r="C47" s="19"/>
      <c r="D47" s="19"/>
      <c r="E47" s="20"/>
      <c r="F47" s="62"/>
      <c r="G47" s="62"/>
      <c r="H47" s="23"/>
      <c r="I47" s="23"/>
      <c r="J47" s="13"/>
      <c r="K47" s="18" t="s">
        <v>844</v>
      </c>
      <c r="L47" s="66"/>
      <c r="M47" s="19"/>
      <c r="N47" s="20"/>
      <c r="O47" s="62" t="s">
        <v>77</v>
      </c>
      <c r="P47" s="62">
        <v>0.1</v>
      </c>
      <c r="Q47" s="23">
        <v>50</v>
      </c>
      <c r="R47" s="23">
        <f>P47*Q47</f>
        <v>5</v>
      </c>
    </row>
    <row r="48" spans="1:18" x14ac:dyDescent="0.2">
      <c r="A48" s="13"/>
      <c r="B48" s="18"/>
      <c r="C48" s="19"/>
      <c r="D48" s="19"/>
      <c r="E48" s="20"/>
      <c r="F48" s="22"/>
      <c r="G48" s="22"/>
      <c r="H48" s="23"/>
      <c r="I48" s="23"/>
      <c r="J48" s="13"/>
      <c r="K48" s="18"/>
      <c r="L48" s="66"/>
      <c r="M48" s="19"/>
      <c r="N48" s="20"/>
      <c r="O48" s="62"/>
      <c r="P48" s="62"/>
      <c r="Q48" s="23"/>
      <c r="R48" s="23"/>
    </row>
    <row r="49" spans="1:18" x14ac:dyDescent="0.2">
      <c r="A49" s="13"/>
      <c r="B49" s="18"/>
      <c r="C49" s="19"/>
      <c r="D49" s="19"/>
      <c r="E49" s="20"/>
      <c r="F49" s="22"/>
      <c r="G49" s="22"/>
      <c r="H49" s="23"/>
      <c r="I49" s="23"/>
      <c r="J49" s="13"/>
      <c r="K49" s="18"/>
      <c r="L49" s="19"/>
      <c r="M49" s="19"/>
      <c r="N49" s="20"/>
      <c r="O49" s="22"/>
      <c r="P49" s="22"/>
      <c r="Q49" s="23"/>
      <c r="R49" s="23"/>
    </row>
    <row r="50" spans="1:18" ht="15" customHeight="1" x14ac:dyDescent="0.2">
      <c r="A50" s="13"/>
      <c r="B50" s="18"/>
      <c r="C50" s="19"/>
      <c r="D50" s="19"/>
      <c r="E50" s="20"/>
      <c r="F50" s="22"/>
      <c r="G50" s="22"/>
      <c r="H50" s="23"/>
      <c r="I50" s="23"/>
      <c r="J50" s="13"/>
      <c r="K50" s="18"/>
      <c r="L50" s="19"/>
      <c r="M50" s="19"/>
      <c r="N50" s="20"/>
      <c r="O50" s="22"/>
      <c r="P50" s="22"/>
      <c r="Q50" s="23"/>
      <c r="R50" s="23"/>
    </row>
    <row r="51" spans="1:18" x14ac:dyDescent="0.2">
      <c r="A51" s="13"/>
      <c r="B51" s="18"/>
      <c r="C51" s="19"/>
      <c r="D51" s="19"/>
      <c r="E51" s="20"/>
      <c r="F51" s="22"/>
      <c r="G51" s="22"/>
      <c r="H51" s="23"/>
      <c r="I51" s="23"/>
      <c r="J51" s="13"/>
      <c r="K51" s="18"/>
      <c r="L51" s="19"/>
      <c r="M51" s="19"/>
      <c r="N51" s="20"/>
      <c r="O51" s="22"/>
      <c r="P51" s="22"/>
      <c r="Q51" s="23"/>
      <c r="R51" s="23"/>
    </row>
    <row r="52" spans="1:18" x14ac:dyDescent="0.2">
      <c r="A52" s="13"/>
      <c r="B52" s="18"/>
      <c r="C52" s="19"/>
      <c r="D52" s="19"/>
      <c r="E52" s="20"/>
      <c r="F52" s="22"/>
      <c r="G52" s="22"/>
      <c r="H52" s="23"/>
      <c r="I52" s="23"/>
      <c r="J52" s="13"/>
      <c r="K52" s="18"/>
      <c r="L52" s="19"/>
      <c r="M52" s="19"/>
      <c r="N52" s="20"/>
      <c r="O52" s="22"/>
      <c r="P52" s="22"/>
      <c r="Q52" s="23"/>
      <c r="R52" s="23"/>
    </row>
    <row r="53" spans="1:18" x14ac:dyDescent="0.2">
      <c r="A53" s="13"/>
      <c r="B53" s="18"/>
      <c r="C53" s="19"/>
      <c r="D53" s="19"/>
      <c r="E53" s="20"/>
      <c r="F53" s="22"/>
      <c r="G53" s="22"/>
      <c r="H53" s="23"/>
      <c r="I53" s="23"/>
      <c r="J53" s="13"/>
      <c r="K53" s="18"/>
      <c r="L53" s="19"/>
      <c r="M53" s="19"/>
      <c r="N53" s="20"/>
      <c r="O53" s="22"/>
      <c r="P53" s="22"/>
      <c r="Q53" s="23"/>
      <c r="R53" s="23"/>
    </row>
    <row r="54" spans="1:18" x14ac:dyDescent="0.2">
      <c r="A54" s="13"/>
      <c r="B54" s="18"/>
      <c r="C54" s="19"/>
      <c r="D54" s="19"/>
      <c r="E54" s="20"/>
      <c r="F54" s="22"/>
      <c r="G54" s="22"/>
      <c r="H54" s="23"/>
      <c r="I54" s="23"/>
      <c r="J54" s="13"/>
      <c r="K54" s="18"/>
      <c r="L54" s="19"/>
      <c r="M54" s="19"/>
      <c r="N54" s="20"/>
      <c r="O54" s="22"/>
      <c r="P54" s="22"/>
      <c r="Q54" s="23"/>
      <c r="R54" s="23"/>
    </row>
    <row r="55" spans="1:18" x14ac:dyDescent="0.2">
      <c r="A55" s="13"/>
      <c r="B55" s="18"/>
      <c r="C55" s="19"/>
      <c r="D55" s="19"/>
      <c r="E55" s="20"/>
      <c r="F55" s="22"/>
      <c r="G55" s="22"/>
      <c r="H55" s="23"/>
      <c r="I55" s="23"/>
      <c r="J55" s="13"/>
      <c r="K55" s="18"/>
      <c r="L55" s="19"/>
      <c r="M55" s="19"/>
      <c r="N55" s="20"/>
      <c r="O55" s="22"/>
      <c r="P55" s="22"/>
      <c r="Q55" s="23"/>
      <c r="R55" s="23"/>
    </row>
    <row r="56" spans="1:18" x14ac:dyDescent="0.2">
      <c r="A56" s="13"/>
      <c r="B56" s="18"/>
      <c r="C56" s="19"/>
      <c r="D56" s="19"/>
      <c r="E56" s="20"/>
      <c r="F56" s="22"/>
      <c r="G56" s="36"/>
      <c r="H56" s="37"/>
      <c r="I56" s="37"/>
      <c r="J56" s="13"/>
      <c r="K56" s="18"/>
      <c r="L56" s="19"/>
      <c r="M56" s="19"/>
      <c r="N56" s="20"/>
      <c r="O56" s="22"/>
      <c r="P56" s="36"/>
      <c r="Q56" s="37"/>
      <c r="R56" s="37"/>
    </row>
    <row r="57" spans="1:18" x14ac:dyDescent="0.2">
      <c r="A57" s="13"/>
      <c r="B57" s="248" t="s">
        <v>42</v>
      </c>
      <c r="C57" s="249"/>
      <c r="D57" s="249"/>
      <c r="E57" s="250"/>
      <c r="F57" s="46"/>
      <c r="G57" s="46"/>
      <c r="H57" s="47"/>
      <c r="I57" s="47">
        <f>SUM(I44:I56)</f>
        <v>0</v>
      </c>
      <c r="J57" s="13"/>
      <c r="K57" s="248" t="s">
        <v>42</v>
      </c>
      <c r="L57" s="249"/>
      <c r="M57" s="249"/>
      <c r="N57" s="250"/>
      <c r="O57" s="46"/>
      <c r="P57" s="46"/>
      <c r="Q57" s="47"/>
      <c r="R57" s="47">
        <f>SUM(R44:R56)</f>
        <v>220.44</v>
      </c>
    </row>
    <row r="58" spans="1:18" x14ac:dyDescent="0.2">
      <c r="A58" s="12" t="s">
        <v>43</v>
      </c>
      <c r="B58" s="48" t="s">
        <v>44</v>
      </c>
      <c r="C58" s="43"/>
      <c r="D58" s="43"/>
      <c r="E58" s="39"/>
      <c r="F58" s="49"/>
      <c r="G58" s="49"/>
      <c r="H58" s="50"/>
      <c r="I58" s="51">
        <f>SUM(I39+I57)</f>
        <v>103.52771428571428</v>
      </c>
      <c r="J58" s="12" t="s">
        <v>43</v>
      </c>
      <c r="K58" s="48" t="s">
        <v>44</v>
      </c>
      <c r="L58" s="43"/>
      <c r="M58" s="43"/>
      <c r="N58" s="39"/>
      <c r="O58" s="49"/>
      <c r="P58" s="49"/>
      <c r="Q58" s="50"/>
      <c r="R58" s="51">
        <f>SUM(R39+R57)</f>
        <v>241.10998333333333</v>
      </c>
    </row>
    <row r="59" spans="1:18" x14ac:dyDescent="0.2">
      <c r="A59" s="13" t="s">
        <v>45</v>
      </c>
      <c r="B59" s="48" t="s">
        <v>46</v>
      </c>
      <c r="C59" s="43"/>
      <c r="D59" s="43"/>
      <c r="E59" s="39"/>
      <c r="F59" s="49"/>
      <c r="G59" s="52">
        <v>0.09</v>
      </c>
      <c r="H59" s="53" t="s">
        <v>47</v>
      </c>
      <c r="I59" s="51">
        <f>G59*I58</f>
        <v>9.3174942857142842</v>
      </c>
      <c r="J59" s="13" t="s">
        <v>45</v>
      </c>
      <c r="K59" s="48" t="s">
        <v>46</v>
      </c>
      <c r="L59" s="43"/>
      <c r="M59" s="43"/>
      <c r="N59" s="39"/>
      <c r="O59" s="49"/>
      <c r="P59" s="52">
        <v>0.09</v>
      </c>
      <c r="Q59" s="53" t="s">
        <v>47</v>
      </c>
      <c r="R59" s="51">
        <f>P59*R58</f>
        <v>21.6998985</v>
      </c>
    </row>
    <row r="60" spans="1:18" x14ac:dyDescent="0.2">
      <c r="A60" s="13" t="s">
        <v>48</v>
      </c>
      <c r="B60" s="48" t="s">
        <v>49</v>
      </c>
      <c r="C60" s="43"/>
      <c r="D60" s="43"/>
      <c r="E60" s="39"/>
      <c r="F60" s="49"/>
      <c r="G60" s="52">
        <v>0.08</v>
      </c>
      <c r="H60" s="53" t="s">
        <v>47</v>
      </c>
      <c r="I60" s="51">
        <f>G60*I58</f>
        <v>8.2822171428571423</v>
      </c>
      <c r="J60" s="13" t="s">
        <v>48</v>
      </c>
      <c r="K60" s="48" t="s">
        <v>49</v>
      </c>
      <c r="L60" s="43"/>
      <c r="M60" s="43"/>
      <c r="N60" s="39"/>
      <c r="O60" s="49"/>
      <c r="P60" s="52">
        <v>0.08</v>
      </c>
      <c r="Q60" s="53" t="s">
        <v>47</v>
      </c>
      <c r="R60" s="51">
        <f>P60*R58</f>
        <v>19.288798666666668</v>
      </c>
    </row>
    <row r="61" spans="1:18" x14ac:dyDescent="0.2">
      <c r="A61" s="13" t="s">
        <v>50</v>
      </c>
      <c r="B61" s="48" t="s">
        <v>51</v>
      </c>
      <c r="C61" s="43"/>
      <c r="D61" s="43"/>
      <c r="E61" s="39"/>
      <c r="F61" s="49"/>
      <c r="G61" s="52">
        <f>12/100</f>
        <v>0.12</v>
      </c>
      <c r="H61" s="53" t="s">
        <v>52</v>
      </c>
      <c r="I61" s="51">
        <f>G61*(I58+I59+I60)</f>
        <v>14.535291085714286</v>
      </c>
      <c r="J61" s="13" t="s">
        <v>50</v>
      </c>
      <c r="K61" s="48" t="s">
        <v>51</v>
      </c>
      <c r="L61" s="43"/>
      <c r="M61" s="43"/>
      <c r="N61" s="39"/>
      <c r="O61" s="49"/>
      <c r="P61" s="52">
        <f>12/100</f>
        <v>0.12</v>
      </c>
      <c r="Q61" s="53" t="s">
        <v>52</v>
      </c>
      <c r="R61" s="51">
        <f>P61*(R58+R59+R60)</f>
        <v>33.851841659999998</v>
      </c>
    </row>
    <row r="62" spans="1:18" x14ac:dyDescent="0.2">
      <c r="A62" s="54" t="s">
        <v>53</v>
      </c>
      <c r="B62" s="48" t="s">
        <v>54</v>
      </c>
      <c r="C62" s="43"/>
      <c r="D62" s="43"/>
      <c r="E62" s="39"/>
      <c r="F62" s="49"/>
      <c r="G62" s="49"/>
      <c r="H62" s="55" t="s">
        <v>55</v>
      </c>
      <c r="I62" s="51">
        <f>SUM(I58+I59+I60+I61)</f>
        <v>135.6627168</v>
      </c>
      <c r="J62" s="54" t="s">
        <v>53</v>
      </c>
      <c r="K62" s="48" t="s">
        <v>54</v>
      </c>
      <c r="L62" s="43"/>
      <c r="M62" s="43"/>
      <c r="N62" s="39"/>
      <c r="O62" s="49"/>
      <c r="P62" s="49"/>
      <c r="Q62" s="55" t="s">
        <v>55</v>
      </c>
      <c r="R62" s="51">
        <f>SUM(R58+R59+R60+R61)</f>
        <v>315.95052215999999</v>
      </c>
    </row>
    <row r="63" spans="1:18" s="1" customFormat="1" x14ac:dyDescent="0.2">
      <c r="A63" s="236" t="s">
        <v>0</v>
      </c>
      <c r="B63" s="236"/>
      <c r="C63" s="236"/>
      <c r="D63" s="236"/>
      <c r="E63" s="236"/>
      <c r="F63" s="236"/>
      <c r="G63" s="236"/>
      <c r="H63" s="236"/>
      <c r="I63" s="236"/>
      <c r="J63" s="236" t="s">
        <v>0</v>
      </c>
      <c r="K63" s="236"/>
      <c r="L63" s="236"/>
      <c r="M63" s="236"/>
      <c r="N63" s="236"/>
      <c r="O63" s="236"/>
      <c r="P63" s="236"/>
      <c r="Q63" s="236"/>
      <c r="R63" s="236"/>
    </row>
    <row r="64" spans="1:18" x14ac:dyDescent="0.2">
      <c r="A64" s="10"/>
      <c r="B64" s="3"/>
      <c r="C64" s="4"/>
      <c r="D64" s="4"/>
      <c r="E64" s="5"/>
      <c r="F64" s="3"/>
      <c r="G64" s="3"/>
      <c r="H64" s="3"/>
      <c r="I64" s="3"/>
    </row>
    <row r="65" spans="1:18" x14ac:dyDescent="0.2">
      <c r="A65" s="2" t="s">
        <v>1</v>
      </c>
      <c r="B65" s="3"/>
      <c r="C65" s="4" t="s">
        <v>2</v>
      </c>
      <c r="D65" s="5" t="s">
        <v>845</v>
      </c>
      <c r="E65" s="237" t="s">
        <v>837</v>
      </c>
      <c r="F65" s="237"/>
      <c r="G65" s="237"/>
      <c r="H65" s="237"/>
      <c r="I65" s="3"/>
      <c r="J65" s="2" t="s">
        <v>1</v>
      </c>
      <c r="L65" s="4" t="s">
        <v>2</v>
      </c>
      <c r="M65" s="5" t="s">
        <v>846</v>
      </c>
      <c r="N65" s="237" t="s">
        <v>839</v>
      </c>
      <c r="O65" s="237"/>
      <c r="P65" s="237"/>
      <c r="Q65" s="237"/>
    </row>
    <row r="66" spans="1:18" x14ac:dyDescent="0.2">
      <c r="A66" s="2" t="s">
        <v>7</v>
      </c>
      <c r="B66" s="3"/>
      <c r="C66" s="4" t="s">
        <v>2</v>
      </c>
      <c r="D66" s="4"/>
      <c r="E66" s="2" t="s">
        <v>8</v>
      </c>
      <c r="F66" s="8"/>
      <c r="G66" s="8"/>
      <c r="H66" s="8"/>
      <c r="I66" s="3"/>
      <c r="J66" s="2" t="s">
        <v>7</v>
      </c>
      <c r="L66" s="4" t="s">
        <v>2</v>
      </c>
      <c r="N66" s="2" t="s">
        <v>80</v>
      </c>
      <c r="O66" s="8"/>
      <c r="P66" s="8"/>
      <c r="Q66" s="8"/>
    </row>
    <row r="67" spans="1:18" x14ac:dyDescent="0.2">
      <c r="A67" s="2" t="s">
        <v>10</v>
      </c>
      <c r="B67" s="3"/>
      <c r="C67" s="4" t="s">
        <v>2</v>
      </c>
      <c r="D67" s="4"/>
      <c r="E67" s="9">
        <v>30</v>
      </c>
      <c r="F67" s="8"/>
      <c r="G67" s="8"/>
      <c r="H67" s="8"/>
      <c r="I67" s="3"/>
      <c r="J67" s="2" t="s">
        <v>10</v>
      </c>
      <c r="L67" s="4" t="s">
        <v>2</v>
      </c>
      <c r="N67" s="9">
        <v>60</v>
      </c>
      <c r="O67" s="8"/>
      <c r="P67" s="8"/>
      <c r="Q67" s="8"/>
    </row>
    <row r="68" spans="1:18" x14ac:dyDescent="0.2">
      <c r="A68" s="10"/>
      <c r="B68" s="8"/>
      <c r="C68" s="4"/>
      <c r="D68" s="4"/>
      <c r="E68" s="5"/>
      <c r="F68" s="11"/>
      <c r="G68" s="8"/>
      <c r="H68" s="8"/>
      <c r="I68" s="8"/>
      <c r="K68" s="8"/>
      <c r="O68" s="11"/>
      <c r="P68" s="8"/>
      <c r="Q68" s="8"/>
      <c r="R68" s="8"/>
    </row>
    <row r="69" spans="1:18" x14ac:dyDescent="0.2">
      <c r="A69" s="12"/>
      <c r="B69" s="238" t="s">
        <v>11</v>
      </c>
      <c r="C69" s="239"/>
      <c r="D69" s="239"/>
      <c r="E69" s="240"/>
      <c r="F69" s="244" t="s">
        <v>12</v>
      </c>
      <c r="G69" s="244" t="s">
        <v>13</v>
      </c>
      <c r="H69" s="244" t="s">
        <v>14</v>
      </c>
      <c r="I69" s="246" t="s">
        <v>15</v>
      </c>
      <c r="J69" s="12"/>
      <c r="K69" s="238" t="s">
        <v>11</v>
      </c>
      <c r="L69" s="239"/>
      <c r="M69" s="239"/>
      <c r="N69" s="240"/>
      <c r="O69" s="244" t="s">
        <v>12</v>
      </c>
      <c r="P69" s="244" t="s">
        <v>13</v>
      </c>
      <c r="Q69" s="244" t="s">
        <v>14</v>
      </c>
      <c r="R69" s="246" t="s">
        <v>15</v>
      </c>
    </row>
    <row r="70" spans="1:18" x14ac:dyDescent="0.2">
      <c r="A70" s="13"/>
      <c r="B70" s="241"/>
      <c r="C70" s="242"/>
      <c r="D70" s="242"/>
      <c r="E70" s="243"/>
      <c r="F70" s="245"/>
      <c r="G70" s="245"/>
      <c r="H70" s="245"/>
      <c r="I70" s="247"/>
      <c r="J70" s="13"/>
      <c r="K70" s="241"/>
      <c r="L70" s="242"/>
      <c r="M70" s="242"/>
      <c r="N70" s="243"/>
      <c r="O70" s="245"/>
      <c r="P70" s="245"/>
      <c r="Q70" s="245"/>
      <c r="R70" s="247"/>
    </row>
    <row r="71" spans="1:18" x14ac:dyDescent="0.2">
      <c r="A71" s="13" t="s">
        <v>16</v>
      </c>
      <c r="B71" s="14" t="s">
        <v>17</v>
      </c>
      <c r="C71" s="15"/>
      <c r="D71" s="15"/>
      <c r="E71" s="16"/>
      <c r="F71" s="17"/>
      <c r="G71" s="17"/>
      <c r="H71" s="17"/>
      <c r="I71" s="17"/>
      <c r="J71" s="13" t="s">
        <v>16</v>
      </c>
      <c r="K71" s="14" t="s">
        <v>17</v>
      </c>
      <c r="L71" s="15"/>
      <c r="M71" s="15"/>
      <c r="N71" s="16"/>
      <c r="O71" s="17"/>
      <c r="P71" s="17"/>
      <c r="Q71" s="17"/>
      <c r="R71" s="17"/>
    </row>
    <row r="72" spans="1:18" x14ac:dyDescent="0.2">
      <c r="A72" s="13"/>
      <c r="B72" s="18"/>
      <c r="C72" s="19"/>
      <c r="D72" s="19"/>
      <c r="E72" s="20"/>
      <c r="F72" s="21"/>
      <c r="G72" s="22"/>
      <c r="H72" s="21"/>
      <c r="I72" s="21"/>
      <c r="J72" s="13"/>
      <c r="K72" s="18"/>
      <c r="L72" s="19"/>
      <c r="M72" s="19"/>
      <c r="N72" s="20"/>
      <c r="O72" s="21"/>
      <c r="P72" s="22"/>
      <c r="Q72" s="21"/>
      <c r="R72" s="21"/>
    </row>
    <row r="73" spans="1:18" x14ac:dyDescent="0.2">
      <c r="A73" s="13"/>
      <c r="B73" s="24" t="s">
        <v>18</v>
      </c>
      <c r="C73" s="25"/>
      <c r="D73" s="25"/>
      <c r="E73" s="26"/>
      <c r="F73" s="22">
        <v>1</v>
      </c>
      <c r="G73" s="22">
        <v>1</v>
      </c>
      <c r="H73" s="23">
        <v>109.19</v>
      </c>
      <c r="I73" s="23">
        <f>G73*H73*F73</f>
        <v>109.19</v>
      </c>
      <c r="J73" s="13"/>
      <c r="K73" s="24" t="s">
        <v>18</v>
      </c>
      <c r="L73" s="25"/>
      <c r="M73" s="25"/>
      <c r="N73" s="26"/>
      <c r="O73" s="22">
        <v>1</v>
      </c>
      <c r="P73" s="22">
        <v>1</v>
      </c>
      <c r="Q73" s="23">
        <v>109.19</v>
      </c>
      <c r="R73" s="23">
        <f>P73*Q73*O73</f>
        <v>109.19</v>
      </c>
    </row>
    <row r="74" spans="1:18" x14ac:dyDescent="0.2">
      <c r="A74" s="13"/>
      <c r="B74" s="24" t="s">
        <v>60</v>
      </c>
      <c r="C74" s="25"/>
      <c r="D74" s="25"/>
      <c r="E74" s="26"/>
      <c r="F74" s="22">
        <v>1</v>
      </c>
      <c r="G74" s="22">
        <v>1</v>
      </c>
      <c r="H74" s="23">
        <v>79.7</v>
      </c>
      <c r="I74" s="23">
        <f>G74*H74*F74</f>
        <v>79.7</v>
      </c>
      <c r="J74" s="13"/>
      <c r="K74" s="257" t="s">
        <v>19</v>
      </c>
      <c r="L74" s="258"/>
      <c r="M74" s="19"/>
      <c r="N74" s="20"/>
      <c r="O74" s="22">
        <v>10</v>
      </c>
      <c r="P74" s="22">
        <v>1</v>
      </c>
      <c r="Q74" s="23">
        <v>61.44</v>
      </c>
      <c r="R74" s="23">
        <f>P74*Q74*O74</f>
        <v>614.4</v>
      </c>
    </row>
    <row r="75" spans="1:18" x14ac:dyDescent="0.2">
      <c r="A75" s="13"/>
      <c r="B75" s="257" t="s">
        <v>61</v>
      </c>
      <c r="C75" s="258"/>
      <c r="D75" s="19"/>
      <c r="E75" s="20"/>
      <c r="F75" s="22">
        <v>2</v>
      </c>
      <c r="G75" s="22">
        <v>1</v>
      </c>
      <c r="H75" s="23">
        <v>61.44</v>
      </c>
      <c r="I75" s="23">
        <f>G75*H75*F75</f>
        <v>122.88</v>
      </c>
      <c r="J75" s="13"/>
      <c r="K75" s="257"/>
      <c r="L75" s="258"/>
      <c r="M75" s="19"/>
      <c r="N75" s="20"/>
      <c r="O75" s="22"/>
      <c r="P75" s="22"/>
      <c r="Q75" s="23"/>
      <c r="R75" s="23"/>
    </row>
    <row r="76" spans="1:18" ht="15" customHeight="1" x14ac:dyDescent="0.2">
      <c r="A76" s="13"/>
      <c r="B76" s="27"/>
      <c r="C76" s="19"/>
      <c r="D76" s="19"/>
      <c r="E76" s="20"/>
      <c r="F76" s="22"/>
      <c r="G76" s="22"/>
      <c r="H76" s="29"/>
      <c r="I76" s="30"/>
      <c r="J76" s="13"/>
      <c r="K76" s="27"/>
      <c r="L76" s="19"/>
      <c r="M76" s="19"/>
      <c r="N76" s="20"/>
      <c r="O76" s="22"/>
      <c r="P76" s="22"/>
      <c r="Q76" s="29"/>
      <c r="R76" s="30"/>
    </row>
    <row r="77" spans="1:18" x14ac:dyDescent="0.2">
      <c r="A77" s="13"/>
      <c r="B77" s="27"/>
      <c r="C77" s="19"/>
      <c r="D77" s="19"/>
      <c r="E77" s="20"/>
      <c r="F77" s="22"/>
      <c r="G77" s="22"/>
      <c r="H77" s="29"/>
      <c r="I77" s="30"/>
      <c r="J77" s="13"/>
      <c r="K77" s="27"/>
      <c r="L77" s="19"/>
      <c r="M77" s="19"/>
      <c r="N77" s="20"/>
      <c r="O77" s="22"/>
      <c r="P77" s="22"/>
      <c r="Q77" s="29"/>
      <c r="R77" s="30"/>
    </row>
    <row r="78" spans="1:18" x14ac:dyDescent="0.2">
      <c r="A78" s="13"/>
      <c r="B78" s="18"/>
      <c r="C78" s="19"/>
      <c r="D78" s="19"/>
      <c r="E78" s="20"/>
      <c r="F78" s="22"/>
      <c r="G78" s="22"/>
      <c r="H78" s="28"/>
      <c r="I78" s="23"/>
      <c r="J78" s="13"/>
      <c r="K78" s="18"/>
      <c r="L78" s="19"/>
      <c r="M78" s="19"/>
      <c r="N78" s="20"/>
      <c r="O78" s="22"/>
      <c r="P78" s="22"/>
      <c r="Q78" s="28"/>
      <c r="R78" s="23"/>
    </row>
    <row r="79" spans="1:18" x14ac:dyDescent="0.2">
      <c r="A79" s="13"/>
      <c r="B79" s="18"/>
      <c r="C79" s="19"/>
      <c r="D79" s="19"/>
      <c r="E79" s="20"/>
      <c r="F79" s="22"/>
      <c r="G79" s="22"/>
      <c r="H79" s="23"/>
      <c r="I79" s="23"/>
      <c r="J79" s="13"/>
      <c r="K79" s="18"/>
      <c r="L79" s="19"/>
      <c r="M79" s="19"/>
      <c r="N79" s="20"/>
      <c r="O79" s="22"/>
      <c r="P79" s="22"/>
      <c r="Q79" s="23"/>
      <c r="R79" s="23"/>
    </row>
    <row r="80" spans="1:18" x14ac:dyDescent="0.2">
      <c r="A80" s="13"/>
      <c r="B80" s="248" t="s">
        <v>20</v>
      </c>
      <c r="C80" s="249"/>
      <c r="D80" s="249"/>
      <c r="E80" s="250"/>
      <c r="F80" s="31"/>
      <c r="G80" s="31"/>
      <c r="H80" s="32"/>
      <c r="I80" s="32">
        <f>SUM(I73:I79)</f>
        <v>311.77</v>
      </c>
      <c r="J80" s="13"/>
      <c r="K80" s="248" t="s">
        <v>20</v>
      </c>
      <c r="L80" s="249"/>
      <c r="M80" s="249"/>
      <c r="N80" s="250"/>
      <c r="O80" s="31"/>
      <c r="P80" s="31"/>
      <c r="Q80" s="32"/>
      <c r="R80" s="32">
        <f>SUM(R73:R79)</f>
        <v>723.58999999999992</v>
      </c>
    </row>
    <row r="81" spans="1:18" x14ac:dyDescent="0.2">
      <c r="A81" s="12"/>
      <c r="B81" s="251" t="s">
        <v>21</v>
      </c>
      <c r="C81" s="252"/>
      <c r="D81" s="252"/>
      <c r="E81" s="253"/>
      <c r="F81" s="244" t="s">
        <v>22</v>
      </c>
      <c r="G81" s="244" t="s">
        <v>13</v>
      </c>
      <c r="H81" s="244" t="s">
        <v>840</v>
      </c>
      <c r="I81" s="246" t="s">
        <v>15</v>
      </c>
      <c r="J81" s="12"/>
      <c r="K81" s="251" t="s">
        <v>21</v>
      </c>
      <c r="L81" s="252"/>
      <c r="M81" s="252"/>
      <c r="N81" s="253"/>
      <c r="O81" s="244" t="s">
        <v>22</v>
      </c>
      <c r="P81" s="244" t="s">
        <v>13</v>
      </c>
      <c r="Q81" s="244" t="s">
        <v>14</v>
      </c>
      <c r="R81" s="246" t="s">
        <v>15</v>
      </c>
    </row>
    <row r="82" spans="1:18" x14ac:dyDescent="0.2">
      <c r="A82" s="13"/>
      <c r="B82" s="254"/>
      <c r="C82" s="255"/>
      <c r="D82" s="255"/>
      <c r="E82" s="256"/>
      <c r="F82" s="245"/>
      <c r="G82" s="245"/>
      <c r="H82" s="245"/>
      <c r="I82" s="247"/>
      <c r="J82" s="13"/>
      <c r="K82" s="254"/>
      <c r="L82" s="255"/>
      <c r="M82" s="255"/>
      <c r="N82" s="256"/>
      <c r="O82" s="245"/>
      <c r="P82" s="245"/>
      <c r="Q82" s="245"/>
      <c r="R82" s="247"/>
    </row>
    <row r="83" spans="1:18" x14ac:dyDescent="0.2">
      <c r="A83" s="13" t="s">
        <v>23</v>
      </c>
      <c r="B83" s="33" t="s">
        <v>24</v>
      </c>
      <c r="C83" s="15"/>
      <c r="D83" s="15"/>
      <c r="E83" s="16"/>
      <c r="F83" s="34"/>
      <c r="G83" s="34"/>
      <c r="H83" s="35"/>
      <c r="I83" s="35"/>
      <c r="J83" s="13" t="s">
        <v>23</v>
      </c>
      <c r="K83" s="33" t="s">
        <v>24</v>
      </c>
      <c r="L83" s="15"/>
      <c r="M83" s="15"/>
      <c r="N83" s="16"/>
      <c r="O83" s="34"/>
      <c r="P83" s="34"/>
      <c r="Q83" s="35"/>
      <c r="R83" s="35"/>
    </row>
    <row r="84" spans="1:18" x14ac:dyDescent="0.2">
      <c r="A84" s="13"/>
      <c r="B84" s="18"/>
      <c r="C84" s="19"/>
      <c r="D84" s="19"/>
      <c r="E84" s="20"/>
      <c r="F84" s="22"/>
      <c r="G84" s="22"/>
      <c r="H84" s="23"/>
      <c r="I84" s="23"/>
      <c r="J84" s="13"/>
      <c r="K84" s="18"/>
      <c r="L84" s="19"/>
      <c r="M84" s="19"/>
      <c r="N84" s="20"/>
      <c r="O84" s="22"/>
      <c r="P84" s="22"/>
      <c r="Q84" s="23"/>
      <c r="R84" s="23"/>
    </row>
    <row r="85" spans="1:18" x14ac:dyDescent="0.2">
      <c r="A85" s="13"/>
      <c r="B85" s="18" t="s">
        <v>847</v>
      </c>
      <c r="C85" s="66"/>
      <c r="D85" s="19"/>
      <c r="E85" s="20"/>
      <c r="F85" s="22">
        <v>1</v>
      </c>
      <c r="G85" s="23">
        <v>1</v>
      </c>
      <c r="H85" s="37">
        <f>ROUND(1100.62*1.35,2)</f>
        <v>1485.84</v>
      </c>
      <c r="I85" s="37">
        <f>F85*G85*H85</f>
        <v>1485.84</v>
      </c>
      <c r="J85" s="13"/>
      <c r="K85" s="18" t="s">
        <v>622</v>
      </c>
      <c r="L85" s="66"/>
      <c r="M85" s="19"/>
      <c r="N85" s="20"/>
      <c r="O85" s="22">
        <v>1</v>
      </c>
      <c r="P85" s="23">
        <v>0.25</v>
      </c>
      <c r="Q85" s="37">
        <v>712</v>
      </c>
      <c r="R85" s="37">
        <f>O85*P85*Q85</f>
        <v>178</v>
      </c>
    </row>
    <row r="86" spans="1:18" ht="17.25" customHeight="1" x14ac:dyDescent="0.2">
      <c r="A86" s="13"/>
      <c r="B86" s="18" t="s">
        <v>848</v>
      </c>
      <c r="C86" s="66"/>
      <c r="D86" s="19"/>
      <c r="E86" s="20"/>
      <c r="F86" s="22"/>
      <c r="G86" s="23"/>
      <c r="H86" s="37"/>
      <c r="I86" s="37"/>
      <c r="J86" s="13"/>
      <c r="K86" s="18" t="s">
        <v>136</v>
      </c>
      <c r="L86" s="66"/>
      <c r="M86" s="19"/>
      <c r="N86" s="20"/>
      <c r="O86" s="22">
        <v>1</v>
      </c>
      <c r="P86" s="23">
        <v>0.25</v>
      </c>
      <c r="Q86" s="37">
        <v>1065</v>
      </c>
      <c r="R86" s="37">
        <f>O86*P86*Q86</f>
        <v>266.25</v>
      </c>
    </row>
    <row r="87" spans="1:18" ht="17.25" customHeight="1" x14ac:dyDescent="0.2">
      <c r="A87" s="13"/>
      <c r="B87" s="18" t="s">
        <v>184</v>
      </c>
      <c r="C87" s="66"/>
      <c r="D87" s="19"/>
      <c r="E87" s="20"/>
      <c r="F87" s="22">
        <v>1</v>
      </c>
      <c r="G87" s="23">
        <v>0.75</v>
      </c>
      <c r="H87" s="37">
        <v>1507</v>
      </c>
      <c r="I87" s="37">
        <f>F87*G87*H87</f>
        <v>1130.25</v>
      </c>
      <c r="J87" s="13"/>
      <c r="K87" s="18" t="s">
        <v>92</v>
      </c>
      <c r="L87" s="66"/>
      <c r="M87" s="19"/>
      <c r="N87" s="20"/>
      <c r="O87" s="22"/>
      <c r="P87" s="23"/>
      <c r="R87" s="37">
        <f>R80*0.1</f>
        <v>72.358999999999995</v>
      </c>
    </row>
    <row r="88" spans="1:18" x14ac:dyDescent="0.2">
      <c r="A88" s="13"/>
      <c r="B88" s="18" t="s">
        <v>185</v>
      </c>
      <c r="C88" s="66"/>
      <c r="D88" s="19"/>
      <c r="E88" s="20"/>
      <c r="F88" s="22">
        <v>1</v>
      </c>
      <c r="G88" s="23">
        <v>0.1</v>
      </c>
      <c r="H88" s="37">
        <v>1065</v>
      </c>
      <c r="I88" s="37">
        <f>F88*G88*H88</f>
        <v>106.5</v>
      </c>
      <c r="J88" s="13"/>
      <c r="K88" s="18"/>
      <c r="L88" s="66"/>
      <c r="O88" s="22"/>
      <c r="P88" s="23"/>
      <c r="Q88" s="37"/>
      <c r="R88" s="37"/>
    </row>
    <row r="89" spans="1:18" x14ac:dyDescent="0.2">
      <c r="A89" s="13"/>
      <c r="B89" s="18"/>
      <c r="C89" s="19"/>
      <c r="D89" s="19"/>
      <c r="E89" s="20"/>
      <c r="F89" s="22"/>
      <c r="G89" s="36"/>
      <c r="H89" s="37"/>
      <c r="I89" s="37"/>
      <c r="J89" s="13"/>
      <c r="K89" s="18"/>
      <c r="L89" s="19"/>
      <c r="M89" s="19"/>
      <c r="N89" s="20"/>
      <c r="O89" s="22"/>
      <c r="P89" s="36"/>
      <c r="Q89" s="37"/>
      <c r="R89" s="37"/>
    </row>
    <row r="90" spans="1:18" x14ac:dyDescent="0.2">
      <c r="A90" s="13"/>
      <c r="B90" s="18"/>
      <c r="C90" s="19"/>
      <c r="D90" s="19"/>
      <c r="E90" s="20"/>
      <c r="F90" s="22"/>
      <c r="G90" s="23"/>
      <c r="H90" s="37"/>
      <c r="I90" s="37"/>
      <c r="J90" s="13"/>
      <c r="K90" s="18"/>
      <c r="L90" s="19"/>
      <c r="M90" s="19"/>
      <c r="N90" s="20"/>
      <c r="O90" s="22"/>
      <c r="P90" s="36"/>
      <c r="Q90" s="37"/>
      <c r="R90" s="37"/>
    </row>
    <row r="91" spans="1:18" x14ac:dyDescent="0.2">
      <c r="A91" s="13"/>
      <c r="B91" s="18"/>
      <c r="C91" s="19"/>
      <c r="D91" s="19"/>
      <c r="E91" s="20"/>
      <c r="F91" s="22"/>
      <c r="G91" s="36"/>
      <c r="H91" s="37"/>
      <c r="I91" s="37"/>
      <c r="J91" s="13"/>
      <c r="K91" s="18"/>
      <c r="L91" s="19"/>
      <c r="M91" s="19"/>
      <c r="N91" s="20"/>
      <c r="O91" s="22"/>
      <c r="P91" s="36"/>
      <c r="Q91" s="37"/>
      <c r="R91" s="37"/>
    </row>
    <row r="92" spans="1:18" x14ac:dyDescent="0.2">
      <c r="A92" s="13"/>
      <c r="B92" s="18"/>
      <c r="C92" s="19"/>
      <c r="D92" s="19"/>
      <c r="E92" s="20"/>
      <c r="F92" s="22"/>
      <c r="G92" s="23"/>
      <c r="H92" s="37"/>
      <c r="I92" s="37"/>
      <c r="J92" s="13"/>
      <c r="K92" s="18"/>
      <c r="L92" s="19"/>
      <c r="M92" s="19"/>
      <c r="N92" s="20"/>
      <c r="O92" s="22"/>
      <c r="P92" s="23"/>
      <c r="Q92" s="37"/>
      <c r="R92" s="37"/>
    </row>
    <row r="93" spans="1:18" x14ac:dyDescent="0.2">
      <c r="A93" s="13"/>
      <c r="B93" s="18"/>
      <c r="C93" s="19"/>
      <c r="D93" s="19"/>
      <c r="E93" s="20"/>
      <c r="F93" s="22"/>
      <c r="G93" s="23"/>
      <c r="H93" s="37"/>
      <c r="I93" s="37"/>
      <c r="J93" s="13"/>
      <c r="K93" s="18"/>
      <c r="L93" s="19"/>
      <c r="M93" s="19"/>
      <c r="N93" s="20"/>
      <c r="O93" s="22"/>
      <c r="P93" s="23"/>
      <c r="Q93" s="37"/>
      <c r="R93" s="37"/>
    </row>
    <row r="94" spans="1:18" x14ac:dyDescent="0.2">
      <c r="A94" s="13"/>
      <c r="F94" s="72"/>
      <c r="G94" s="72"/>
      <c r="H94" s="72"/>
      <c r="I94" s="72"/>
      <c r="J94" s="13"/>
      <c r="K94" s="7"/>
      <c r="L94" s="7"/>
      <c r="M94" s="7"/>
      <c r="N94" s="7"/>
      <c r="O94" s="72"/>
      <c r="P94" s="72"/>
      <c r="Q94" s="72"/>
      <c r="R94" s="72"/>
    </row>
    <row r="95" spans="1:18" x14ac:dyDescent="0.2">
      <c r="A95" s="13"/>
      <c r="B95" s="18"/>
      <c r="C95" s="19"/>
      <c r="D95" s="19"/>
      <c r="E95" s="20"/>
      <c r="F95" s="22"/>
      <c r="G95" s="36"/>
      <c r="H95" s="37"/>
      <c r="I95" s="37"/>
      <c r="J95" s="13"/>
      <c r="K95" s="18"/>
      <c r="L95" s="19"/>
      <c r="M95" s="19"/>
      <c r="N95" s="20"/>
      <c r="O95" s="22"/>
      <c r="P95" s="36"/>
      <c r="Q95" s="37"/>
      <c r="R95" s="37"/>
    </row>
    <row r="96" spans="1:18" ht="15" customHeight="1" x14ac:dyDescent="0.2">
      <c r="A96" s="13"/>
      <c r="B96" s="18"/>
      <c r="C96" s="19"/>
      <c r="D96" s="19"/>
      <c r="E96" s="20"/>
      <c r="F96" s="22"/>
      <c r="G96" s="36"/>
      <c r="H96" s="37"/>
      <c r="I96" s="37"/>
      <c r="J96" s="13"/>
      <c r="K96" s="18"/>
      <c r="L96" s="19"/>
      <c r="M96" s="19"/>
      <c r="N96" s="20"/>
      <c r="O96" s="22"/>
      <c r="P96" s="36"/>
      <c r="Q96" s="37"/>
      <c r="R96" s="37"/>
    </row>
    <row r="97" spans="1:18" x14ac:dyDescent="0.2">
      <c r="A97" s="13"/>
      <c r="B97" s="18"/>
      <c r="C97" s="19"/>
      <c r="D97" s="19"/>
      <c r="E97" s="20"/>
      <c r="F97" s="22"/>
      <c r="G97" s="22"/>
      <c r="H97" s="23"/>
      <c r="I97" s="23"/>
      <c r="J97" s="13"/>
      <c r="K97" s="18"/>
      <c r="L97" s="19"/>
      <c r="M97" s="19"/>
      <c r="N97" s="20"/>
      <c r="O97" s="22"/>
      <c r="P97" s="22"/>
      <c r="Q97" s="23"/>
      <c r="R97" s="23"/>
    </row>
    <row r="98" spans="1:18" x14ac:dyDescent="0.2">
      <c r="A98" s="13"/>
      <c r="B98" s="248" t="s">
        <v>30</v>
      </c>
      <c r="C98" s="249"/>
      <c r="D98" s="249"/>
      <c r="E98" s="250"/>
      <c r="F98" s="22"/>
      <c r="G98" s="22"/>
      <c r="H98" s="23"/>
      <c r="I98" s="23">
        <f>SUM(I85:I97)</f>
        <v>2722.59</v>
      </c>
      <c r="J98" s="13"/>
      <c r="K98" s="248" t="s">
        <v>30</v>
      </c>
      <c r="L98" s="249"/>
      <c r="M98" s="249"/>
      <c r="N98" s="250"/>
      <c r="O98" s="22"/>
      <c r="P98" s="22"/>
      <c r="Q98" s="23"/>
      <c r="R98" s="23">
        <f>SUM(R85:R97)</f>
        <v>516.60900000000004</v>
      </c>
    </row>
    <row r="99" spans="1:18" x14ac:dyDescent="0.2">
      <c r="A99" s="12" t="s">
        <v>31</v>
      </c>
      <c r="B99" s="260" t="s">
        <v>32</v>
      </c>
      <c r="C99" s="261"/>
      <c r="D99" s="261"/>
      <c r="E99" s="261"/>
      <c r="F99" s="39"/>
      <c r="G99" s="39"/>
      <c r="H99" s="40"/>
      <c r="I99" s="41">
        <f>SUM(I98+I80)</f>
        <v>3034.36</v>
      </c>
      <c r="J99" s="12" t="s">
        <v>31</v>
      </c>
      <c r="K99" s="260" t="s">
        <v>32</v>
      </c>
      <c r="L99" s="261"/>
      <c r="M99" s="261"/>
      <c r="N99" s="261"/>
      <c r="O99" s="39"/>
      <c r="P99" s="39"/>
      <c r="Q99" s="40"/>
      <c r="R99" s="41">
        <f>SUM(R98+R80)</f>
        <v>1240.1990000000001</v>
      </c>
    </row>
    <row r="100" spans="1:18" x14ac:dyDescent="0.2">
      <c r="A100" s="13" t="s">
        <v>33</v>
      </c>
      <c r="B100" s="382">
        <f>E67</f>
        <v>30</v>
      </c>
      <c r="C100" s="383"/>
      <c r="D100" s="383"/>
      <c r="E100" s="383"/>
      <c r="F100" s="383"/>
      <c r="G100" s="383"/>
      <c r="H100" s="40"/>
      <c r="I100" s="41"/>
      <c r="J100" s="13" t="s">
        <v>33</v>
      </c>
      <c r="K100" s="384">
        <f>N67</f>
        <v>60</v>
      </c>
      <c r="L100" s="385"/>
      <c r="M100" s="385"/>
      <c r="N100" s="385"/>
      <c r="O100" s="385"/>
      <c r="P100" s="385"/>
      <c r="Q100" s="40"/>
      <c r="R100" s="41"/>
    </row>
    <row r="101" spans="1:18" x14ac:dyDescent="0.2">
      <c r="A101" s="13" t="s">
        <v>34</v>
      </c>
      <c r="B101" s="42" t="s">
        <v>35</v>
      </c>
      <c r="C101" s="43"/>
      <c r="D101" s="43"/>
      <c r="E101" s="39"/>
      <c r="F101" s="44"/>
      <c r="G101" s="44"/>
      <c r="H101" s="40"/>
      <c r="I101" s="41">
        <f>I99/E67</f>
        <v>101.14533333333334</v>
      </c>
      <c r="J101" s="13" t="s">
        <v>34</v>
      </c>
      <c r="K101" s="42" t="s">
        <v>35</v>
      </c>
      <c r="L101" s="43"/>
      <c r="M101" s="43"/>
      <c r="N101" s="39"/>
      <c r="O101" s="44"/>
      <c r="P101" s="44"/>
      <c r="Q101" s="40"/>
      <c r="R101" s="41">
        <f>R99/N67</f>
        <v>20.669983333333334</v>
      </c>
    </row>
    <row r="102" spans="1:18" x14ac:dyDescent="0.2">
      <c r="A102" s="12"/>
      <c r="B102" s="251" t="s">
        <v>36</v>
      </c>
      <c r="C102" s="252"/>
      <c r="D102" s="252"/>
      <c r="E102" s="253"/>
      <c r="F102" s="244" t="s">
        <v>37</v>
      </c>
      <c r="G102" s="244" t="s">
        <v>38</v>
      </c>
      <c r="H102" s="244" t="s">
        <v>39</v>
      </c>
      <c r="I102" s="246" t="s">
        <v>15</v>
      </c>
      <c r="J102" s="12"/>
      <c r="K102" s="251" t="s">
        <v>36</v>
      </c>
      <c r="L102" s="252"/>
      <c r="M102" s="252"/>
      <c r="N102" s="253"/>
      <c r="O102" s="244" t="s">
        <v>37</v>
      </c>
      <c r="P102" s="244" t="s">
        <v>38</v>
      </c>
      <c r="Q102" s="244" t="s">
        <v>39</v>
      </c>
      <c r="R102" s="246" t="s">
        <v>15</v>
      </c>
    </row>
    <row r="103" spans="1:18" x14ac:dyDescent="0.2">
      <c r="A103" s="13"/>
      <c r="B103" s="254"/>
      <c r="C103" s="255"/>
      <c r="D103" s="255"/>
      <c r="E103" s="256"/>
      <c r="F103" s="245"/>
      <c r="G103" s="245"/>
      <c r="H103" s="245"/>
      <c r="I103" s="247"/>
      <c r="J103" s="13"/>
      <c r="K103" s="254"/>
      <c r="L103" s="255"/>
      <c r="M103" s="255"/>
      <c r="N103" s="256"/>
      <c r="O103" s="245"/>
      <c r="P103" s="245"/>
      <c r="Q103" s="245"/>
      <c r="R103" s="247"/>
    </row>
    <row r="104" spans="1:18" x14ac:dyDescent="0.2">
      <c r="A104" s="13" t="s">
        <v>40</v>
      </c>
      <c r="B104" s="18" t="s">
        <v>41</v>
      </c>
      <c r="C104" s="19"/>
      <c r="D104" s="19"/>
      <c r="E104" s="20"/>
      <c r="F104" s="22"/>
      <c r="G104" s="22"/>
      <c r="H104" s="23"/>
      <c r="I104" s="23"/>
      <c r="J104" s="13" t="s">
        <v>40</v>
      </c>
      <c r="K104" s="18" t="s">
        <v>41</v>
      </c>
      <c r="L104" s="19"/>
      <c r="M104" s="19"/>
      <c r="N104" s="20"/>
      <c r="O104" s="22"/>
      <c r="P104" s="22"/>
      <c r="Q104" s="23"/>
      <c r="R104" s="23"/>
    </row>
    <row r="105" spans="1:18" x14ac:dyDescent="0.2">
      <c r="A105" s="13"/>
      <c r="B105" s="18"/>
      <c r="C105" s="19"/>
      <c r="D105" s="19"/>
      <c r="E105" s="20"/>
      <c r="F105" s="22"/>
      <c r="G105" s="22"/>
      <c r="H105" s="23"/>
      <c r="I105" s="23"/>
      <c r="J105" s="13"/>
      <c r="K105" s="18"/>
      <c r="L105" s="19"/>
      <c r="M105" s="19"/>
      <c r="N105" s="20"/>
      <c r="O105" s="22"/>
      <c r="P105" s="22"/>
      <c r="Q105" s="23"/>
      <c r="R105" s="23"/>
    </row>
    <row r="106" spans="1:18" x14ac:dyDescent="0.2">
      <c r="A106" s="13"/>
      <c r="B106" s="24"/>
      <c r="C106" s="25"/>
      <c r="D106" s="25"/>
      <c r="E106" s="20"/>
      <c r="F106" s="62"/>
      <c r="G106" s="62"/>
      <c r="H106" s="23"/>
      <c r="I106" s="23"/>
      <c r="J106" s="13"/>
      <c r="K106" s="18" t="s">
        <v>841</v>
      </c>
      <c r="L106" s="66"/>
      <c r="M106" s="19"/>
      <c r="N106" s="20"/>
      <c r="O106" s="62" t="s">
        <v>80</v>
      </c>
      <c r="P106" s="64">
        <v>1</v>
      </c>
      <c r="Q106" s="23">
        <v>50</v>
      </c>
      <c r="R106" s="23">
        <f>Q106*P106</f>
        <v>50</v>
      </c>
    </row>
    <row r="107" spans="1:18" x14ac:dyDescent="0.2">
      <c r="A107" s="13"/>
      <c r="B107" s="24"/>
      <c r="C107" s="25"/>
      <c r="D107" s="25"/>
      <c r="E107" s="20"/>
      <c r="F107" s="62"/>
      <c r="G107" s="62"/>
      <c r="H107" s="23"/>
      <c r="I107" s="23"/>
      <c r="J107" s="13"/>
      <c r="K107" s="18" t="s">
        <v>725</v>
      </c>
      <c r="L107" s="66"/>
      <c r="M107" s="19"/>
      <c r="N107" s="20"/>
      <c r="O107" s="62" t="s">
        <v>77</v>
      </c>
      <c r="P107" s="62">
        <v>0.1</v>
      </c>
      <c r="Q107" s="23">
        <v>26</v>
      </c>
      <c r="R107" s="23">
        <f>P107*Q107</f>
        <v>2.6</v>
      </c>
    </row>
    <row r="108" spans="1:18" x14ac:dyDescent="0.2">
      <c r="A108" s="13"/>
      <c r="B108" s="18"/>
      <c r="C108" s="19"/>
      <c r="D108" s="19"/>
      <c r="E108" s="20"/>
      <c r="F108" s="62"/>
      <c r="G108" s="62"/>
      <c r="H108" s="23"/>
      <c r="I108" s="23"/>
      <c r="J108" s="13"/>
      <c r="K108" s="18"/>
      <c r="L108" s="66"/>
      <c r="M108" s="19"/>
      <c r="N108" s="20"/>
      <c r="O108" s="62"/>
      <c r="P108" s="62"/>
      <c r="Q108" s="23"/>
      <c r="R108" s="23"/>
    </row>
    <row r="109" spans="1:18" x14ac:dyDescent="0.2">
      <c r="A109" s="13"/>
      <c r="B109" s="18"/>
      <c r="C109" s="19"/>
      <c r="D109" s="19"/>
      <c r="E109" s="20"/>
      <c r="F109" s="62"/>
      <c r="G109" s="62"/>
      <c r="H109" s="23"/>
      <c r="I109" s="23"/>
      <c r="J109" s="13"/>
      <c r="K109" s="18"/>
      <c r="L109" s="66"/>
      <c r="M109" s="19"/>
      <c r="N109" s="20"/>
      <c r="O109" s="62"/>
      <c r="P109" s="62"/>
      <c r="Q109" s="23"/>
      <c r="R109" s="23"/>
    </row>
    <row r="110" spans="1:18" x14ac:dyDescent="0.2">
      <c r="A110" s="13"/>
      <c r="B110" s="18"/>
      <c r="C110" s="19"/>
      <c r="D110" s="19"/>
      <c r="E110" s="20"/>
      <c r="F110" s="22"/>
      <c r="G110" s="22"/>
      <c r="H110" s="23"/>
      <c r="I110" s="23"/>
      <c r="J110" s="13"/>
      <c r="K110" s="18"/>
      <c r="L110" s="66"/>
      <c r="M110" s="19"/>
      <c r="N110" s="20"/>
      <c r="O110" s="62"/>
      <c r="P110" s="62"/>
      <c r="Q110" s="23"/>
      <c r="R110" s="23"/>
    </row>
    <row r="111" spans="1:18" x14ac:dyDescent="0.2">
      <c r="A111" s="13"/>
      <c r="B111" s="18"/>
      <c r="C111" s="19"/>
      <c r="D111" s="19"/>
      <c r="E111" s="20"/>
      <c r="F111" s="22"/>
      <c r="G111" s="22"/>
      <c r="H111" s="23"/>
      <c r="I111" s="23"/>
      <c r="J111" s="13"/>
      <c r="K111" s="18"/>
      <c r="L111" s="19"/>
      <c r="M111" s="19"/>
      <c r="N111" s="20"/>
      <c r="O111" s="22"/>
      <c r="P111" s="22"/>
      <c r="Q111" s="23"/>
      <c r="R111" s="23"/>
    </row>
    <row r="112" spans="1:18" ht="15" customHeight="1" x14ac:dyDescent="0.2">
      <c r="A112" s="13"/>
      <c r="B112" s="18"/>
      <c r="C112" s="19"/>
      <c r="D112" s="19"/>
      <c r="E112" s="20"/>
      <c r="F112" s="22"/>
      <c r="G112" s="22"/>
      <c r="H112" s="23"/>
      <c r="I112" s="23"/>
      <c r="J112" s="13"/>
      <c r="K112" s="18"/>
      <c r="L112" s="19"/>
      <c r="M112" s="19"/>
      <c r="N112" s="20"/>
      <c r="O112" s="22"/>
      <c r="P112" s="22"/>
      <c r="Q112" s="23"/>
      <c r="R112" s="23"/>
    </row>
    <row r="113" spans="1:18" x14ac:dyDescent="0.2">
      <c r="A113" s="13"/>
      <c r="B113" s="18"/>
      <c r="C113" s="19"/>
      <c r="D113" s="19"/>
      <c r="E113" s="20"/>
      <c r="F113" s="22"/>
      <c r="G113" s="22"/>
      <c r="H113" s="23"/>
      <c r="I113" s="23"/>
      <c r="J113" s="13"/>
      <c r="K113" s="18"/>
      <c r="L113" s="19"/>
      <c r="M113" s="19"/>
      <c r="N113" s="20"/>
      <c r="O113" s="22"/>
      <c r="P113" s="22"/>
      <c r="Q113" s="23"/>
      <c r="R113" s="23"/>
    </row>
    <row r="114" spans="1:18" x14ac:dyDescent="0.2">
      <c r="A114" s="13"/>
      <c r="B114" s="18"/>
      <c r="C114" s="19"/>
      <c r="D114" s="19"/>
      <c r="E114" s="20"/>
      <c r="F114" s="22"/>
      <c r="G114" s="22"/>
      <c r="H114" s="23"/>
      <c r="I114" s="23"/>
      <c r="J114" s="13"/>
      <c r="K114" s="18"/>
      <c r="L114" s="19"/>
      <c r="M114" s="19"/>
      <c r="N114" s="20"/>
      <c r="O114" s="22"/>
      <c r="P114" s="22"/>
      <c r="Q114" s="23"/>
      <c r="R114" s="23"/>
    </row>
    <row r="115" spans="1:18" x14ac:dyDescent="0.2">
      <c r="A115" s="13"/>
      <c r="B115" s="18"/>
      <c r="C115" s="19"/>
      <c r="D115" s="19"/>
      <c r="E115" s="20"/>
      <c r="F115" s="22"/>
      <c r="G115" s="22"/>
      <c r="H115" s="23"/>
      <c r="I115" s="23"/>
      <c r="J115" s="13"/>
      <c r="K115" s="18"/>
      <c r="L115" s="19"/>
      <c r="M115" s="19"/>
      <c r="N115" s="20"/>
      <c r="O115" s="22"/>
      <c r="P115" s="22"/>
      <c r="Q115" s="23"/>
      <c r="R115" s="23"/>
    </row>
    <row r="116" spans="1:18" x14ac:dyDescent="0.2">
      <c r="A116" s="13"/>
      <c r="B116" s="18"/>
      <c r="C116" s="19"/>
      <c r="D116" s="19"/>
      <c r="E116" s="20"/>
      <c r="F116" s="22"/>
      <c r="G116" s="22"/>
      <c r="H116" s="23"/>
      <c r="I116" s="23"/>
      <c r="J116" s="13"/>
      <c r="K116" s="18"/>
      <c r="L116" s="19"/>
      <c r="M116" s="19"/>
      <c r="N116" s="20"/>
      <c r="O116" s="22"/>
      <c r="P116" s="22"/>
      <c r="Q116" s="23"/>
      <c r="R116" s="23"/>
    </row>
    <row r="117" spans="1:18" x14ac:dyDescent="0.2">
      <c r="A117" s="13"/>
      <c r="B117" s="18"/>
      <c r="C117" s="19"/>
      <c r="D117" s="19"/>
      <c r="E117" s="20"/>
      <c r="F117" s="22"/>
      <c r="G117" s="22"/>
      <c r="H117" s="23"/>
      <c r="I117" s="23"/>
      <c r="J117" s="13"/>
      <c r="K117" s="18"/>
      <c r="L117" s="19"/>
      <c r="M117" s="19"/>
      <c r="N117" s="20"/>
      <c r="O117" s="22"/>
      <c r="P117" s="22"/>
      <c r="Q117" s="23"/>
      <c r="R117" s="23"/>
    </row>
    <row r="118" spans="1:18" x14ac:dyDescent="0.2">
      <c r="A118" s="13"/>
      <c r="B118" s="18"/>
      <c r="C118" s="19"/>
      <c r="D118" s="19"/>
      <c r="E118" s="20"/>
      <c r="F118" s="22"/>
      <c r="G118" s="36"/>
      <c r="H118" s="37"/>
      <c r="I118" s="37"/>
      <c r="J118" s="13"/>
      <c r="K118" s="18"/>
      <c r="L118" s="19"/>
      <c r="M118" s="19"/>
      <c r="N118" s="20"/>
      <c r="O118" s="22"/>
      <c r="P118" s="36"/>
      <c r="Q118" s="37"/>
      <c r="R118" s="37"/>
    </row>
    <row r="119" spans="1:18" x14ac:dyDescent="0.2">
      <c r="A119" s="13"/>
      <c r="B119" s="248" t="s">
        <v>42</v>
      </c>
      <c r="C119" s="249"/>
      <c r="D119" s="249"/>
      <c r="E119" s="250"/>
      <c r="F119" s="46"/>
      <c r="G119" s="46"/>
      <c r="H119" s="47"/>
      <c r="I119" s="47">
        <f>SUM(I106:I118)</f>
        <v>0</v>
      </c>
      <c r="J119" s="13"/>
      <c r="K119" s="248" t="s">
        <v>42</v>
      </c>
      <c r="L119" s="249"/>
      <c r="M119" s="249"/>
      <c r="N119" s="250"/>
      <c r="O119" s="46"/>
      <c r="P119" s="46"/>
      <c r="Q119" s="47"/>
      <c r="R119" s="47">
        <f>SUM(R106:R118)</f>
        <v>52.6</v>
      </c>
    </row>
    <row r="120" spans="1:18" x14ac:dyDescent="0.2">
      <c r="A120" s="12" t="s">
        <v>43</v>
      </c>
      <c r="B120" s="48" t="s">
        <v>44</v>
      </c>
      <c r="C120" s="43"/>
      <c r="D120" s="43"/>
      <c r="E120" s="39"/>
      <c r="F120" s="49"/>
      <c r="G120" s="49"/>
      <c r="H120" s="50"/>
      <c r="I120" s="51">
        <f>SUM(I101+I119)</f>
        <v>101.14533333333334</v>
      </c>
      <c r="J120" s="12" t="s">
        <v>43</v>
      </c>
      <c r="K120" s="48" t="s">
        <v>44</v>
      </c>
      <c r="L120" s="43"/>
      <c r="M120" s="43"/>
      <c r="N120" s="39"/>
      <c r="O120" s="49"/>
      <c r="P120" s="49"/>
      <c r="Q120" s="50"/>
      <c r="R120" s="51">
        <f>SUM(R101+R119)</f>
        <v>73.269983333333329</v>
      </c>
    </row>
    <row r="121" spans="1:18" x14ac:dyDescent="0.2">
      <c r="A121" s="13" t="s">
        <v>45</v>
      </c>
      <c r="B121" s="48" t="s">
        <v>46</v>
      </c>
      <c r="C121" s="43"/>
      <c r="D121" s="43"/>
      <c r="E121" s="39"/>
      <c r="F121" s="49"/>
      <c r="G121" s="52">
        <v>0.09</v>
      </c>
      <c r="H121" s="53" t="s">
        <v>47</v>
      </c>
      <c r="I121" s="51">
        <f>G121*I120</f>
        <v>9.1030800000000003</v>
      </c>
      <c r="J121" s="13" t="s">
        <v>45</v>
      </c>
      <c r="K121" s="48" t="s">
        <v>46</v>
      </c>
      <c r="L121" s="43"/>
      <c r="M121" s="43"/>
      <c r="N121" s="39"/>
      <c r="O121" s="49"/>
      <c r="P121" s="52">
        <v>0.09</v>
      </c>
      <c r="Q121" s="53" t="s">
        <v>47</v>
      </c>
      <c r="R121" s="51">
        <f>P121*R120</f>
        <v>6.594298499999999</v>
      </c>
    </row>
    <row r="122" spans="1:18" x14ac:dyDescent="0.2">
      <c r="A122" s="13" t="s">
        <v>48</v>
      </c>
      <c r="B122" s="48" t="s">
        <v>49</v>
      </c>
      <c r="C122" s="43"/>
      <c r="D122" s="43"/>
      <c r="E122" s="39"/>
      <c r="F122" s="49"/>
      <c r="G122" s="52">
        <v>0.08</v>
      </c>
      <c r="H122" s="53" t="s">
        <v>47</v>
      </c>
      <c r="I122" s="51">
        <f>G122*I120</f>
        <v>8.0916266666666665</v>
      </c>
      <c r="J122" s="13" t="s">
        <v>48</v>
      </c>
      <c r="K122" s="48" t="s">
        <v>49</v>
      </c>
      <c r="L122" s="43"/>
      <c r="M122" s="43"/>
      <c r="N122" s="39"/>
      <c r="O122" s="49"/>
      <c r="P122" s="52">
        <v>0.08</v>
      </c>
      <c r="Q122" s="53" t="s">
        <v>47</v>
      </c>
      <c r="R122" s="51">
        <f>P122*R120</f>
        <v>5.8615986666666666</v>
      </c>
    </row>
    <row r="123" spans="1:18" x14ac:dyDescent="0.2">
      <c r="A123" s="13" t="s">
        <v>50</v>
      </c>
      <c r="B123" s="48" t="s">
        <v>51</v>
      </c>
      <c r="C123" s="43"/>
      <c r="D123" s="43"/>
      <c r="E123" s="39"/>
      <c r="F123" s="49"/>
      <c r="G123" s="52">
        <f>12/100</f>
        <v>0.12</v>
      </c>
      <c r="H123" s="53" t="s">
        <v>52</v>
      </c>
      <c r="I123" s="51">
        <f>G123*(I120+I121+I122)</f>
        <v>14.200804800000002</v>
      </c>
      <c r="J123" s="13" t="s">
        <v>50</v>
      </c>
      <c r="K123" s="48" t="s">
        <v>51</v>
      </c>
      <c r="L123" s="43"/>
      <c r="M123" s="43"/>
      <c r="N123" s="39"/>
      <c r="O123" s="49"/>
      <c r="P123" s="52">
        <f>12/100</f>
        <v>0.12</v>
      </c>
      <c r="Q123" s="53" t="s">
        <v>52</v>
      </c>
      <c r="R123" s="51">
        <f>P123*(R120+R121+R122)</f>
        <v>10.287105659999998</v>
      </c>
    </row>
    <row r="124" spans="1:18" x14ac:dyDescent="0.2">
      <c r="A124" s="54" t="s">
        <v>53</v>
      </c>
      <c r="B124" s="48" t="s">
        <v>54</v>
      </c>
      <c r="C124" s="43"/>
      <c r="D124" s="43"/>
      <c r="E124" s="39"/>
      <c r="F124" s="49"/>
      <c r="G124" s="49"/>
      <c r="H124" s="55" t="s">
        <v>55</v>
      </c>
      <c r="I124" s="51">
        <f>SUM(I120+I121+I122+I123)</f>
        <v>132.54084480000003</v>
      </c>
      <c r="J124" s="54" t="s">
        <v>53</v>
      </c>
      <c r="K124" s="48" t="s">
        <v>54</v>
      </c>
      <c r="L124" s="43"/>
      <c r="M124" s="43"/>
      <c r="N124" s="39"/>
      <c r="O124" s="49"/>
      <c r="P124" s="49"/>
      <c r="Q124" s="55" t="s">
        <v>55</v>
      </c>
      <c r="R124" s="51">
        <f>SUM(R120+R121+R122+R123)</f>
        <v>96.012986159999983</v>
      </c>
    </row>
    <row r="138" ht="15" customHeight="1" x14ac:dyDescent="0.2"/>
    <row r="148" ht="17.25" customHeight="1" x14ac:dyDescent="0.2"/>
    <row r="149" ht="17.25" customHeight="1" x14ac:dyDescent="0.2"/>
    <row r="155" ht="15" customHeight="1" x14ac:dyDescent="0.2"/>
    <row r="171" ht="15" customHeight="1" x14ac:dyDescent="0.2"/>
    <row r="246" spans="1:9" x14ac:dyDescent="0.2">
      <c r="A246" s="3"/>
      <c r="B246" s="3"/>
      <c r="C246" s="3"/>
      <c r="D246" s="3"/>
      <c r="E246" s="3"/>
      <c r="F246" s="3"/>
      <c r="G246" s="3"/>
      <c r="H246" s="3"/>
      <c r="I246" s="3"/>
    </row>
    <row r="307" spans="1:14" s="3" customForma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10"/>
      <c r="L307" s="4"/>
      <c r="M307" s="4"/>
      <c r="N307" s="5"/>
    </row>
  </sheetData>
  <sheetProtection selectLockedCells="1" selectUnlockedCells="1"/>
  <mergeCells count="94">
    <mergeCell ref="Q102:Q103"/>
    <mergeCell ref="R102:R103"/>
    <mergeCell ref="B119:E119"/>
    <mergeCell ref="K119:N119"/>
    <mergeCell ref="B99:E99"/>
    <mergeCell ref="K99:N99"/>
    <mergeCell ref="B100:G100"/>
    <mergeCell ref="K100:P100"/>
    <mergeCell ref="B102:E103"/>
    <mergeCell ref="F102:F103"/>
    <mergeCell ref="G102:G103"/>
    <mergeCell ref="H102:H103"/>
    <mergeCell ref="I102:I103"/>
    <mergeCell ref="K102:N103"/>
    <mergeCell ref="O102:O103"/>
    <mergeCell ref="P102:P103"/>
    <mergeCell ref="O81:O82"/>
    <mergeCell ref="P81:P82"/>
    <mergeCell ref="Q81:Q82"/>
    <mergeCell ref="R81:R82"/>
    <mergeCell ref="B98:E98"/>
    <mergeCell ref="K98:N98"/>
    <mergeCell ref="B80:E80"/>
    <mergeCell ref="K80:N80"/>
    <mergeCell ref="B81:E82"/>
    <mergeCell ref="F81:F82"/>
    <mergeCell ref="G81:G82"/>
    <mergeCell ref="H81:H82"/>
    <mergeCell ref="I81:I82"/>
    <mergeCell ref="K81:N82"/>
    <mergeCell ref="O69:O70"/>
    <mergeCell ref="P69:P70"/>
    <mergeCell ref="Q69:Q70"/>
    <mergeCell ref="R69:R70"/>
    <mergeCell ref="K74:L74"/>
    <mergeCell ref="Q40:Q41"/>
    <mergeCell ref="R40:R41"/>
    <mergeCell ref="B57:E57"/>
    <mergeCell ref="K57:N57"/>
    <mergeCell ref="B75:C75"/>
    <mergeCell ref="K75:L75"/>
    <mergeCell ref="A63:I63"/>
    <mergeCell ref="J63:R63"/>
    <mergeCell ref="E65:H65"/>
    <mergeCell ref="N65:Q65"/>
    <mergeCell ref="B69:E70"/>
    <mergeCell ref="F69:F70"/>
    <mergeCell ref="G69:G70"/>
    <mergeCell ref="H69:H70"/>
    <mergeCell ref="I69:I70"/>
    <mergeCell ref="K69:N70"/>
    <mergeCell ref="B37:E37"/>
    <mergeCell ref="K37:N37"/>
    <mergeCell ref="B38:G38"/>
    <mergeCell ref="K38:P38"/>
    <mergeCell ref="B40:E41"/>
    <mergeCell ref="F40:F41"/>
    <mergeCell ref="G40:G41"/>
    <mergeCell ref="H40:H41"/>
    <mergeCell ref="I40:I41"/>
    <mergeCell ref="K40:N41"/>
    <mergeCell ref="O40:O41"/>
    <mergeCell ref="P40:P41"/>
    <mergeCell ref="O19:O20"/>
    <mergeCell ref="P19:P20"/>
    <mergeCell ref="Q19:Q20"/>
    <mergeCell ref="R19:R20"/>
    <mergeCell ref="B36:E36"/>
    <mergeCell ref="K36:N36"/>
    <mergeCell ref="K12:L12"/>
    <mergeCell ref="B18:E18"/>
    <mergeCell ref="K18:N18"/>
    <mergeCell ref="B19:E20"/>
    <mergeCell ref="F19:F20"/>
    <mergeCell ref="G19:G20"/>
    <mergeCell ref="H19:H20"/>
    <mergeCell ref="I19:I20"/>
    <mergeCell ref="K19:N20"/>
    <mergeCell ref="B13:C13"/>
    <mergeCell ref="K13:L13"/>
    <mergeCell ref="A1:I1"/>
    <mergeCell ref="J1:R1"/>
    <mergeCell ref="E3:H3"/>
    <mergeCell ref="N3:Q3"/>
    <mergeCell ref="B7:E8"/>
    <mergeCell ref="F7:F8"/>
    <mergeCell ref="G7:G8"/>
    <mergeCell ref="H7:H8"/>
    <mergeCell ref="I7:I8"/>
    <mergeCell ref="K7:N8"/>
    <mergeCell ref="O7:O8"/>
    <mergeCell ref="P7:P8"/>
    <mergeCell ref="Q7:Q8"/>
    <mergeCell ref="R7:R8"/>
  </mergeCells>
  <printOptions horizontalCentered="1"/>
  <pageMargins left="0.5" right="0" top="1" bottom="0.75" header="0" footer="0"/>
  <pageSetup paperSize="9" scale="79" orientation="portrait" horizontalDpi="4294967294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ITEM 100</vt:lpstr>
      <vt:lpstr>ITEM 200</vt:lpstr>
      <vt:lpstr>ITEM 300</vt:lpstr>
      <vt:lpstr>ITEM 400</vt:lpstr>
      <vt:lpstr>ITEM 500</vt:lpstr>
      <vt:lpstr>ITEM 600</vt:lpstr>
      <vt:lpstr>Summary (All Pay Items) madi</vt:lpstr>
      <vt:lpstr>not included</vt:lpstr>
      <vt:lpstr>ITEM 100!Print_Area</vt:lpstr>
      <vt:lpstr>ITEM 200!Print_Area</vt:lpstr>
      <vt:lpstr>ITEM 300!Print_Area</vt:lpstr>
      <vt:lpstr>ITEM 400!Print_Area</vt:lpstr>
      <vt:lpstr>ITEM 500!Print_Area</vt:lpstr>
      <vt:lpstr>ITEM 600!Print_Area</vt:lpstr>
      <vt:lpstr>not included!Print_Area</vt:lpstr>
      <vt:lpstr>Summary (All Pay Items) madi!Print_Area</vt:lpstr>
      <vt:lpstr>Summary (All Pay Items) madi!Print_Titles</vt:lpstr>
    </vt:vector>
  </TitlesOfParts>
  <Company>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CELIETO B. VALDEHUEZA</dc:creator>
  <cp:lastModifiedBy>COA REG 1</cp:lastModifiedBy>
  <cp:lastPrinted>2016-04-03T04:26:37Z</cp:lastPrinted>
  <dcterms:created xsi:type="dcterms:W3CDTF">2012-06-25T21:41:25Z</dcterms:created>
  <dcterms:modified xsi:type="dcterms:W3CDTF">2016-07-04T03:42:06Z</dcterms:modified>
</cp:coreProperties>
</file>