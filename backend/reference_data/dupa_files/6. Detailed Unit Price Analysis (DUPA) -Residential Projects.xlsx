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cha\Desktop\Useful Engineering Tools\Package P1000\"/>
    </mc:Choice>
  </mc:AlternateContent>
  <xr:revisionPtr revIDLastSave="0" documentId="13_ncr:1_{A02C7757-E9DE-4502-ACE1-B025C422AE6D}" xr6:coauthVersionLast="47" xr6:coauthVersionMax="47" xr10:uidLastSave="{00000000-0000-0000-0000-000000000000}"/>
  <bookViews>
    <workbookView xWindow="-120" yWindow="-120" windowWidth="20730" windowHeight="11040" tabRatio="707" xr2:uid="{3548410F-8C75-0D48-BDCB-441B8A9C90C6}"/>
  </bookViews>
  <sheets>
    <sheet name="INPUT DATA" sheetId="23" r:id="rId1"/>
    <sheet name="BOE" sheetId="51" r:id="rId2"/>
    <sheet name="ABC" sheetId="50" r:id="rId3"/>
    <sheet name="800(1) Clearing &amp; Grab" sheetId="1" r:id="rId4"/>
    <sheet name="800(3)a Ind Remov of Trees" sheetId="14" r:id="rId5"/>
    <sheet name="803(1)a-Struc Exca Common Soil" sheetId="2" r:id="rId6"/>
    <sheet name="803(1)a-Struc Exca Soft Rock" sheetId="15" r:id="rId7"/>
    <sheet name="804(4) Gravel Bedding" sheetId="16" r:id="rId8"/>
    <sheet name="902(1)-Reinforced S for 1Storey" sheetId="19" r:id="rId9"/>
    <sheet name="902(1)-Rein St for 2-5storey" sheetId="20" r:id="rId10"/>
    <sheet name="900(1)c2 Struc Con for footing" sheetId="17" r:id="rId11"/>
    <sheet name="900(1)Struc Con for beam col su" sheetId="18" r:id="rId12"/>
    <sheet name="903(2) Formworks for 1-storey" sheetId="21" r:id="rId13"/>
    <sheet name="1046 4&quot;CHB" sheetId="5" r:id="rId14"/>
    <sheet name="1046 6&quot; CHB" sheetId="6" r:id="rId15"/>
    <sheet name="1027-Plaster" sheetId="7" r:id="rId16"/>
    <sheet name="1047(2)b Struc Steel Truss" sheetId="13" r:id="rId17"/>
    <sheet name="1047(2)C Struc Steel Purlins" sheetId="30" r:id="rId18"/>
    <sheet name="1013(1) Corr Metal Roofing" sheetId="22" r:id="rId19"/>
    <sheet name="1013(2) Roof ridge flash valley" sheetId="24" r:id="rId20"/>
    <sheet name="1013(2) Metal Roof Acc (Gutter" sheetId="25" r:id="rId21"/>
    <sheet name="1014 Prepainted Met Sheets-Roof" sheetId="26" r:id="rId22"/>
    <sheet name="1014 Prepainted Met Sheets RIB" sheetId="27" r:id="rId23"/>
    <sheet name="1016-Waterproof Cement" sheetId="10" r:id="rId24"/>
    <sheet name="1018- Tiles" sheetId="28" r:id="rId25"/>
    <sheet name="1003(1) Ceiling" sheetId="40" r:id="rId26"/>
    <sheet name="1010(2) Hollow Flush Door" sheetId="41" r:id="rId27"/>
    <sheet name="1010(2) Panel Door" sheetId="12" r:id="rId28"/>
    <sheet name="1043(1) PVC Door" sheetId="29" r:id="rId29"/>
    <sheet name="1032-Paint Concrete" sheetId="8" r:id="rId30"/>
    <sheet name="1032-Paint Metal" sheetId="9" r:id="rId31"/>
    <sheet name="Sliding Glass" sheetId="11" r:id="rId32"/>
    <sheet name="Other item-Civil Works" sheetId="52" r:id="rId33"/>
    <sheet name="1001(1)a 2&quot; -4&quot; San PVC Pipe" sheetId="31" r:id="rId34"/>
    <sheet name="1002(6) Waterline Pipes fitting" sheetId="39" r:id="rId35"/>
    <sheet name="1002(5) W Closet w acc" sheetId="32" r:id="rId36"/>
    <sheet name="1002(5) Kitch SInk" sheetId="33" r:id="rId37"/>
    <sheet name="1002(5) Counter Lavatory" sheetId="34" r:id="rId38"/>
    <sheet name="1002(5) h Floor Drain" sheetId="35" r:id="rId39"/>
    <sheet name="1002(5) Soap Holder" sheetId="36" r:id="rId40"/>
    <sheet name="1002(5)a Shower Head valve" sheetId="37" r:id="rId41"/>
    <sheet name="1002(5)p Facial Mirror" sheetId="38" r:id="rId42"/>
    <sheet name="Other item-Plumbing" sheetId="53" r:id="rId43"/>
    <sheet name="1100(1) Conduit" sheetId="42" r:id="rId44"/>
    <sheet name="1100 Junc Utility Box" sheetId="43" r:id="rId45"/>
    <sheet name="1101(2) 1.6-5.5 mm2 Elec Wire" sheetId="44" r:id="rId46"/>
    <sheet name="1101 Single C Outlet" sheetId="45" r:id="rId47"/>
    <sheet name="1101 Duplex C Outlet" sheetId="46" r:id="rId48"/>
    <sheet name="1102 Panel Board" sheetId="47" r:id="rId49"/>
    <sheet name="1103(2) Lighting Fixtures" sheetId="48" r:id="rId50"/>
    <sheet name="Other item-Electrical" sheetId="54" r:id="rId51"/>
  </sheets>
  <definedNames>
    <definedName name="A" localSheetId="33">#REF!</definedName>
    <definedName name="A" localSheetId="37">#REF!</definedName>
    <definedName name="A" localSheetId="38">#REF!</definedName>
    <definedName name="A" localSheetId="36">#REF!</definedName>
    <definedName name="A" localSheetId="39">#REF!</definedName>
    <definedName name="A" localSheetId="35">#REF!</definedName>
    <definedName name="A" localSheetId="40">#REF!</definedName>
    <definedName name="A" localSheetId="41">#REF!</definedName>
    <definedName name="A" localSheetId="34">#REF!</definedName>
    <definedName name="A" localSheetId="25">#REF!</definedName>
    <definedName name="A" localSheetId="26">#REF!</definedName>
    <definedName name="A" localSheetId="27">#REF!</definedName>
    <definedName name="A" localSheetId="18">#REF!</definedName>
    <definedName name="A" localSheetId="20">#REF!</definedName>
    <definedName name="A" localSheetId="19">#REF!</definedName>
    <definedName name="A" localSheetId="22">#REF!</definedName>
    <definedName name="A" localSheetId="21">#REF!</definedName>
    <definedName name="A" localSheetId="23">#REF!</definedName>
    <definedName name="A" localSheetId="24">#REF!</definedName>
    <definedName name="A" localSheetId="15">#REF!</definedName>
    <definedName name="A" localSheetId="29">#REF!</definedName>
    <definedName name="A" localSheetId="30">#REF!</definedName>
    <definedName name="A" localSheetId="28">#REF!</definedName>
    <definedName name="A" localSheetId="13">#REF!</definedName>
    <definedName name="A" localSheetId="14">#REF!</definedName>
    <definedName name="A" localSheetId="16">#REF!</definedName>
    <definedName name="A" localSheetId="17">#REF!</definedName>
    <definedName name="A" localSheetId="44">#REF!</definedName>
    <definedName name="A" localSheetId="43">#REF!</definedName>
    <definedName name="A" localSheetId="47">#REF!</definedName>
    <definedName name="A" localSheetId="46">#REF!</definedName>
    <definedName name="A" localSheetId="45">#REF!</definedName>
    <definedName name="A" localSheetId="48">#REF!</definedName>
    <definedName name="A" localSheetId="49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10">#REF!</definedName>
    <definedName name="A" localSheetId="11">#REF!</definedName>
    <definedName name="A" localSheetId="9">#REF!</definedName>
    <definedName name="A" localSheetId="8">#REF!</definedName>
    <definedName name="A" localSheetId="12">#REF!</definedName>
    <definedName name="A" localSheetId="32">#REF!</definedName>
    <definedName name="A" localSheetId="50">#REF!</definedName>
    <definedName name="A" localSheetId="42">#REF!</definedName>
    <definedName name="A" localSheetId="31">#REF!</definedName>
    <definedName name="A">#REF!</definedName>
    <definedName name="add" localSheetId="33">#REF!</definedName>
    <definedName name="add" localSheetId="37">#REF!</definedName>
    <definedName name="add" localSheetId="38">#REF!</definedName>
    <definedName name="add" localSheetId="36">#REF!</definedName>
    <definedName name="add" localSheetId="39">#REF!</definedName>
    <definedName name="add" localSheetId="35">#REF!</definedName>
    <definedName name="add" localSheetId="40">#REF!</definedName>
    <definedName name="add" localSheetId="41">#REF!</definedName>
    <definedName name="add" localSheetId="34">#REF!</definedName>
    <definedName name="add" localSheetId="25">#REF!</definedName>
    <definedName name="add" localSheetId="26">#REF!</definedName>
    <definedName name="add" localSheetId="27">#REF!</definedName>
    <definedName name="add" localSheetId="18">#REF!</definedName>
    <definedName name="add" localSheetId="20">#REF!</definedName>
    <definedName name="add" localSheetId="19">#REF!</definedName>
    <definedName name="add" localSheetId="22">#REF!</definedName>
    <definedName name="add" localSheetId="21">#REF!</definedName>
    <definedName name="add" localSheetId="23">#REF!</definedName>
    <definedName name="add" localSheetId="24">#REF!</definedName>
    <definedName name="add" localSheetId="15">#REF!</definedName>
    <definedName name="add" localSheetId="29">#REF!</definedName>
    <definedName name="add" localSheetId="30">#REF!</definedName>
    <definedName name="add" localSheetId="28">#REF!</definedName>
    <definedName name="add" localSheetId="13">#REF!</definedName>
    <definedName name="add" localSheetId="14">#REF!</definedName>
    <definedName name="add" localSheetId="16">#REF!</definedName>
    <definedName name="add" localSheetId="17">#REF!</definedName>
    <definedName name="add" localSheetId="44">#REF!</definedName>
    <definedName name="add" localSheetId="43">#REF!</definedName>
    <definedName name="add" localSheetId="47">#REF!</definedName>
    <definedName name="add" localSheetId="46">#REF!</definedName>
    <definedName name="add" localSheetId="45">#REF!</definedName>
    <definedName name="add" localSheetId="48">#REF!</definedName>
    <definedName name="add" localSheetId="49">#REF!</definedName>
    <definedName name="add" localSheetId="3">#REF!</definedName>
    <definedName name="add" localSheetId="4">#REF!</definedName>
    <definedName name="add" localSheetId="5">#REF!</definedName>
    <definedName name="add" localSheetId="6">#REF!</definedName>
    <definedName name="add" localSheetId="7">#REF!</definedName>
    <definedName name="add" localSheetId="10">#REF!</definedName>
    <definedName name="add" localSheetId="11">#REF!</definedName>
    <definedName name="add" localSheetId="9">#REF!</definedName>
    <definedName name="add" localSheetId="8">#REF!</definedName>
    <definedName name="add" localSheetId="12">#REF!</definedName>
    <definedName name="add" localSheetId="32">#REF!</definedName>
    <definedName name="add" localSheetId="50">#REF!</definedName>
    <definedName name="add" localSheetId="42">#REF!</definedName>
    <definedName name="add" localSheetId="31">#REF!</definedName>
    <definedName name="add">#REF!</definedName>
    <definedName name="adg" localSheetId="33">#REF!</definedName>
    <definedName name="adg" localSheetId="37">#REF!</definedName>
    <definedName name="adg" localSheetId="38">#REF!</definedName>
    <definedName name="adg" localSheetId="36">#REF!</definedName>
    <definedName name="adg" localSheetId="39">#REF!</definedName>
    <definedName name="adg" localSheetId="35">#REF!</definedName>
    <definedName name="adg" localSheetId="40">#REF!</definedName>
    <definedName name="adg" localSheetId="41">#REF!</definedName>
    <definedName name="adg" localSheetId="34">#REF!</definedName>
    <definedName name="adg" localSheetId="25">#REF!</definedName>
    <definedName name="adg" localSheetId="26">#REF!</definedName>
    <definedName name="adg" localSheetId="27">#REF!</definedName>
    <definedName name="adg" localSheetId="18">#REF!</definedName>
    <definedName name="adg" localSheetId="20">#REF!</definedName>
    <definedName name="adg" localSheetId="19">#REF!</definedName>
    <definedName name="adg" localSheetId="22">#REF!</definedName>
    <definedName name="adg" localSheetId="21">#REF!</definedName>
    <definedName name="adg" localSheetId="23">#REF!</definedName>
    <definedName name="adg" localSheetId="24">#REF!</definedName>
    <definedName name="adg" localSheetId="15">#REF!</definedName>
    <definedName name="adg" localSheetId="29">#REF!</definedName>
    <definedName name="adg" localSheetId="30">#REF!</definedName>
    <definedName name="adg" localSheetId="28">#REF!</definedName>
    <definedName name="adg" localSheetId="13">#REF!</definedName>
    <definedName name="adg" localSheetId="14">#REF!</definedName>
    <definedName name="adg" localSheetId="16">#REF!</definedName>
    <definedName name="adg" localSheetId="17">#REF!</definedName>
    <definedName name="adg" localSheetId="44">#REF!</definedName>
    <definedName name="adg" localSheetId="43">#REF!</definedName>
    <definedName name="adg" localSheetId="47">#REF!</definedName>
    <definedName name="adg" localSheetId="46">#REF!</definedName>
    <definedName name="adg" localSheetId="45">#REF!</definedName>
    <definedName name="adg" localSheetId="48">#REF!</definedName>
    <definedName name="adg" localSheetId="49">#REF!</definedName>
    <definedName name="adg" localSheetId="3">#REF!</definedName>
    <definedName name="adg" localSheetId="4">#REF!</definedName>
    <definedName name="adg" localSheetId="5">#REF!</definedName>
    <definedName name="adg" localSheetId="6">#REF!</definedName>
    <definedName name="adg" localSheetId="7">#REF!</definedName>
    <definedName name="adg" localSheetId="10">#REF!</definedName>
    <definedName name="adg" localSheetId="11">#REF!</definedName>
    <definedName name="adg" localSheetId="9">#REF!</definedName>
    <definedName name="adg" localSheetId="8">#REF!</definedName>
    <definedName name="adg" localSheetId="12">#REF!</definedName>
    <definedName name="adg" localSheetId="32">#REF!</definedName>
    <definedName name="adg" localSheetId="50">#REF!</definedName>
    <definedName name="adg" localSheetId="42">#REF!</definedName>
    <definedName name="adg" localSheetId="31">#REF!</definedName>
    <definedName name="adg">#REF!</definedName>
    <definedName name="ADGdga" localSheetId="33">#REF!</definedName>
    <definedName name="ADGdga" localSheetId="37">#REF!</definedName>
    <definedName name="ADGdga" localSheetId="38">#REF!</definedName>
    <definedName name="ADGdga" localSheetId="36">#REF!</definedName>
    <definedName name="ADGdga" localSheetId="39">#REF!</definedName>
    <definedName name="ADGdga" localSheetId="35">#REF!</definedName>
    <definedName name="ADGdga" localSheetId="40">#REF!</definedName>
    <definedName name="ADGdga" localSheetId="41">#REF!</definedName>
    <definedName name="ADGdga" localSheetId="34">#REF!</definedName>
    <definedName name="ADGdga" localSheetId="25">#REF!</definedName>
    <definedName name="ADGdga" localSheetId="26">#REF!</definedName>
    <definedName name="ADGdga" localSheetId="27">#REF!</definedName>
    <definedName name="ADGdga" localSheetId="18">#REF!</definedName>
    <definedName name="ADGdga" localSheetId="20">#REF!</definedName>
    <definedName name="ADGdga" localSheetId="19">#REF!</definedName>
    <definedName name="ADGdga" localSheetId="22">#REF!</definedName>
    <definedName name="ADGdga" localSheetId="21">#REF!</definedName>
    <definedName name="ADGdga" localSheetId="23">#REF!</definedName>
    <definedName name="ADGdga" localSheetId="24">#REF!</definedName>
    <definedName name="ADGdga" localSheetId="15">#REF!</definedName>
    <definedName name="ADGdga" localSheetId="29">#REF!</definedName>
    <definedName name="ADGdga" localSheetId="30">#REF!</definedName>
    <definedName name="ADGdga" localSheetId="28">#REF!</definedName>
    <definedName name="ADGdga" localSheetId="13">#REF!</definedName>
    <definedName name="ADGdga" localSheetId="14">#REF!</definedName>
    <definedName name="ADGdga" localSheetId="16">#REF!</definedName>
    <definedName name="ADGdga" localSheetId="17">#REF!</definedName>
    <definedName name="ADGdga" localSheetId="44">#REF!</definedName>
    <definedName name="ADGdga" localSheetId="43">#REF!</definedName>
    <definedName name="ADGdga" localSheetId="47">#REF!</definedName>
    <definedName name="ADGdga" localSheetId="46">#REF!</definedName>
    <definedName name="ADGdga" localSheetId="45">#REF!</definedName>
    <definedName name="ADGdga" localSheetId="48">#REF!</definedName>
    <definedName name="ADGdga" localSheetId="49">#REF!</definedName>
    <definedName name="ADGdga" localSheetId="3">#REF!</definedName>
    <definedName name="ADGdga" localSheetId="4">#REF!</definedName>
    <definedName name="ADGdga" localSheetId="5">#REF!</definedName>
    <definedName name="ADGdga" localSheetId="6">#REF!</definedName>
    <definedName name="ADGdga" localSheetId="7">#REF!</definedName>
    <definedName name="ADGdga" localSheetId="10">#REF!</definedName>
    <definedName name="ADGdga" localSheetId="11">#REF!</definedName>
    <definedName name="ADGdga" localSheetId="9">#REF!</definedName>
    <definedName name="ADGdga" localSheetId="8">#REF!</definedName>
    <definedName name="ADGdga" localSheetId="12">#REF!</definedName>
    <definedName name="ADGdga" localSheetId="32">#REF!</definedName>
    <definedName name="ADGdga" localSheetId="50">#REF!</definedName>
    <definedName name="ADGdga" localSheetId="42">#REF!</definedName>
    <definedName name="ADGdga" localSheetId="31">#REF!</definedName>
    <definedName name="ADGdga">#REF!</definedName>
    <definedName name="AFDGFWE" localSheetId="33">#REF!</definedName>
    <definedName name="AFDGFWE" localSheetId="37">#REF!</definedName>
    <definedName name="AFDGFWE" localSheetId="38">#REF!</definedName>
    <definedName name="AFDGFWE" localSheetId="36">#REF!</definedName>
    <definedName name="AFDGFWE" localSheetId="39">#REF!</definedName>
    <definedName name="AFDGFWE" localSheetId="35">#REF!</definedName>
    <definedName name="AFDGFWE" localSheetId="40">#REF!</definedName>
    <definedName name="AFDGFWE" localSheetId="41">#REF!</definedName>
    <definedName name="AFDGFWE" localSheetId="34">#REF!</definedName>
    <definedName name="AFDGFWE" localSheetId="25">#REF!</definedName>
    <definedName name="AFDGFWE" localSheetId="26">#REF!</definedName>
    <definedName name="AFDGFWE" localSheetId="27">#REF!</definedName>
    <definedName name="AFDGFWE" localSheetId="18">#REF!</definedName>
    <definedName name="AFDGFWE" localSheetId="20">#REF!</definedName>
    <definedName name="AFDGFWE" localSheetId="19">#REF!</definedName>
    <definedName name="AFDGFWE" localSheetId="22">#REF!</definedName>
    <definedName name="AFDGFWE" localSheetId="21">#REF!</definedName>
    <definedName name="AFDGFWE" localSheetId="23">#REF!</definedName>
    <definedName name="AFDGFWE" localSheetId="24">#REF!</definedName>
    <definedName name="AFDGFWE" localSheetId="15">#REF!</definedName>
    <definedName name="AFDGFWE" localSheetId="29">#REF!</definedName>
    <definedName name="AFDGFWE" localSheetId="30">#REF!</definedName>
    <definedName name="AFDGFWE" localSheetId="28">#REF!</definedName>
    <definedName name="AFDGFWE" localSheetId="13">#REF!</definedName>
    <definedName name="AFDGFWE" localSheetId="14">#REF!</definedName>
    <definedName name="AFDGFWE" localSheetId="16">#REF!</definedName>
    <definedName name="AFDGFWE" localSheetId="17">#REF!</definedName>
    <definedName name="AFDGFWE" localSheetId="44">#REF!</definedName>
    <definedName name="AFDGFWE" localSheetId="43">#REF!</definedName>
    <definedName name="AFDGFWE" localSheetId="47">#REF!</definedName>
    <definedName name="AFDGFWE" localSheetId="46">#REF!</definedName>
    <definedName name="AFDGFWE" localSheetId="45">#REF!</definedName>
    <definedName name="AFDGFWE" localSheetId="48">#REF!</definedName>
    <definedName name="AFDGFWE" localSheetId="49">#REF!</definedName>
    <definedName name="AFDGFWE" localSheetId="3">#REF!</definedName>
    <definedName name="AFDGFWE" localSheetId="4">#REF!</definedName>
    <definedName name="AFDGFWE" localSheetId="5">#REF!</definedName>
    <definedName name="AFDGFWE" localSheetId="6">#REF!</definedName>
    <definedName name="AFDGFWE" localSheetId="7">#REF!</definedName>
    <definedName name="AFDGFWE" localSheetId="10">#REF!</definedName>
    <definedName name="AFDGFWE" localSheetId="11">#REF!</definedName>
    <definedName name="AFDGFWE" localSheetId="9">#REF!</definedName>
    <definedName name="AFDGFWE" localSheetId="8">#REF!</definedName>
    <definedName name="AFDGFWE" localSheetId="12">#REF!</definedName>
    <definedName name="AFDGFWE" localSheetId="32">#REF!</definedName>
    <definedName name="AFDGFWE" localSheetId="50">#REF!</definedName>
    <definedName name="AFDGFWE" localSheetId="42">#REF!</definedName>
    <definedName name="AFDGFWE" localSheetId="31">#REF!</definedName>
    <definedName name="AFDGFWE">#REF!</definedName>
    <definedName name="agfa" localSheetId="33">#REF!</definedName>
    <definedName name="agfa" localSheetId="37">#REF!</definedName>
    <definedName name="agfa" localSheetId="38">#REF!</definedName>
    <definedName name="agfa" localSheetId="36">#REF!</definedName>
    <definedName name="agfa" localSheetId="39">#REF!</definedName>
    <definedName name="agfa" localSheetId="35">#REF!</definedName>
    <definedName name="agfa" localSheetId="40">#REF!</definedName>
    <definedName name="agfa" localSheetId="41">#REF!</definedName>
    <definedName name="agfa" localSheetId="34">#REF!</definedName>
    <definedName name="agfa" localSheetId="25">#REF!</definedName>
    <definedName name="agfa" localSheetId="26">#REF!</definedName>
    <definedName name="agfa" localSheetId="27">#REF!</definedName>
    <definedName name="agfa" localSheetId="18">#REF!</definedName>
    <definedName name="agfa" localSheetId="20">#REF!</definedName>
    <definedName name="agfa" localSheetId="19">#REF!</definedName>
    <definedName name="agfa" localSheetId="22">#REF!</definedName>
    <definedName name="agfa" localSheetId="21">#REF!</definedName>
    <definedName name="agfa" localSheetId="23">#REF!</definedName>
    <definedName name="agfa" localSheetId="24">#REF!</definedName>
    <definedName name="agfa" localSheetId="15">#REF!</definedName>
    <definedName name="agfa" localSheetId="29">#REF!</definedName>
    <definedName name="agfa" localSheetId="30">#REF!</definedName>
    <definedName name="agfa" localSheetId="28">#REF!</definedName>
    <definedName name="agfa" localSheetId="13">#REF!</definedName>
    <definedName name="agfa" localSheetId="14">#REF!</definedName>
    <definedName name="agfa" localSheetId="16">#REF!</definedName>
    <definedName name="agfa" localSheetId="17">#REF!</definedName>
    <definedName name="agfa" localSheetId="44">#REF!</definedName>
    <definedName name="agfa" localSheetId="43">#REF!</definedName>
    <definedName name="agfa" localSheetId="47">#REF!</definedName>
    <definedName name="agfa" localSheetId="46">#REF!</definedName>
    <definedName name="agfa" localSheetId="45">#REF!</definedName>
    <definedName name="agfa" localSheetId="48">#REF!</definedName>
    <definedName name="agfa" localSheetId="49">#REF!</definedName>
    <definedName name="agfa" localSheetId="3">#REF!</definedName>
    <definedName name="agfa" localSheetId="4">#REF!</definedName>
    <definedName name="agfa" localSheetId="5">#REF!</definedName>
    <definedName name="agfa" localSheetId="6">#REF!</definedName>
    <definedName name="agfa" localSheetId="7">#REF!</definedName>
    <definedName name="agfa" localSheetId="10">#REF!</definedName>
    <definedName name="agfa" localSheetId="11">#REF!</definedName>
    <definedName name="agfa" localSheetId="9">#REF!</definedName>
    <definedName name="agfa" localSheetId="8">#REF!</definedName>
    <definedName name="agfa" localSheetId="12">#REF!</definedName>
    <definedName name="agfa" localSheetId="32">#REF!</definedName>
    <definedName name="agfa" localSheetId="50">#REF!</definedName>
    <definedName name="agfa" localSheetId="42">#REF!</definedName>
    <definedName name="agfa" localSheetId="31">#REF!</definedName>
    <definedName name="agfa">#REF!</definedName>
    <definedName name="asd">#REF!</definedName>
    <definedName name="asdgas" localSheetId="33">#REF!</definedName>
    <definedName name="asdgas" localSheetId="37">#REF!</definedName>
    <definedName name="asdgas" localSheetId="38">#REF!</definedName>
    <definedName name="asdgas" localSheetId="36">#REF!</definedName>
    <definedName name="asdgas" localSheetId="39">#REF!</definedName>
    <definedName name="asdgas" localSheetId="35">#REF!</definedName>
    <definedName name="asdgas" localSheetId="40">#REF!</definedName>
    <definedName name="asdgas" localSheetId="41">#REF!</definedName>
    <definedName name="asdgas" localSheetId="34">#REF!</definedName>
    <definedName name="asdgas" localSheetId="25">#REF!</definedName>
    <definedName name="asdgas" localSheetId="26">#REF!</definedName>
    <definedName name="asdgas" localSheetId="27">#REF!</definedName>
    <definedName name="asdgas" localSheetId="18">#REF!</definedName>
    <definedName name="asdgas" localSheetId="20">#REF!</definedName>
    <definedName name="asdgas" localSheetId="19">#REF!</definedName>
    <definedName name="asdgas" localSheetId="22">#REF!</definedName>
    <definedName name="asdgas" localSheetId="21">#REF!</definedName>
    <definedName name="asdgas" localSheetId="23">#REF!</definedName>
    <definedName name="asdgas" localSheetId="24">#REF!</definedName>
    <definedName name="asdgas" localSheetId="15">#REF!</definedName>
    <definedName name="asdgas" localSheetId="29">#REF!</definedName>
    <definedName name="asdgas" localSheetId="30">#REF!</definedName>
    <definedName name="asdgas" localSheetId="28">#REF!</definedName>
    <definedName name="asdgas" localSheetId="13">#REF!</definedName>
    <definedName name="asdgas" localSheetId="14">#REF!</definedName>
    <definedName name="asdgas" localSheetId="16">#REF!</definedName>
    <definedName name="asdgas" localSheetId="17">#REF!</definedName>
    <definedName name="asdgas" localSheetId="44">#REF!</definedName>
    <definedName name="asdgas" localSheetId="43">#REF!</definedName>
    <definedName name="asdgas" localSheetId="47">#REF!</definedName>
    <definedName name="asdgas" localSheetId="46">#REF!</definedName>
    <definedName name="asdgas" localSheetId="45">#REF!</definedName>
    <definedName name="asdgas" localSheetId="48">#REF!</definedName>
    <definedName name="asdgas" localSheetId="49">#REF!</definedName>
    <definedName name="asdgas" localSheetId="3">#REF!</definedName>
    <definedName name="asdgas" localSheetId="4">#REF!</definedName>
    <definedName name="asdgas" localSheetId="5">#REF!</definedName>
    <definedName name="asdgas" localSheetId="6">#REF!</definedName>
    <definedName name="asdgas" localSheetId="7">#REF!</definedName>
    <definedName name="asdgas" localSheetId="10">#REF!</definedName>
    <definedName name="asdgas" localSheetId="11">#REF!</definedName>
    <definedName name="asdgas" localSheetId="9">#REF!</definedName>
    <definedName name="asdgas" localSheetId="8">#REF!</definedName>
    <definedName name="asdgas" localSheetId="12">#REF!</definedName>
    <definedName name="asdgas" localSheetId="32">#REF!</definedName>
    <definedName name="asdgas" localSheetId="50">#REF!</definedName>
    <definedName name="asdgas" localSheetId="42">#REF!</definedName>
    <definedName name="asdgas" localSheetId="31">#REF!</definedName>
    <definedName name="asdgas">#REF!</definedName>
    <definedName name="attach2" localSheetId="33">#REF!</definedName>
    <definedName name="attach2" localSheetId="37">#REF!</definedName>
    <definedName name="attach2" localSheetId="38">#REF!</definedName>
    <definedName name="attach2" localSheetId="36">#REF!</definedName>
    <definedName name="attach2" localSheetId="39">#REF!</definedName>
    <definedName name="attach2" localSheetId="35">#REF!</definedName>
    <definedName name="attach2" localSheetId="40">#REF!</definedName>
    <definedName name="attach2" localSheetId="41">#REF!</definedName>
    <definedName name="attach2" localSheetId="34">#REF!</definedName>
    <definedName name="attach2" localSheetId="25">#REF!</definedName>
    <definedName name="attach2" localSheetId="26">#REF!</definedName>
    <definedName name="attach2" localSheetId="27">#REF!</definedName>
    <definedName name="attach2" localSheetId="18">#REF!</definedName>
    <definedName name="attach2" localSheetId="20">#REF!</definedName>
    <definedName name="attach2" localSheetId="19">#REF!</definedName>
    <definedName name="attach2" localSheetId="22">#REF!</definedName>
    <definedName name="attach2" localSheetId="21">#REF!</definedName>
    <definedName name="attach2" localSheetId="23">#REF!</definedName>
    <definedName name="attach2" localSheetId="24">#REF!</definedName>
    <definedName name="attach2" localSheetId="15">#REF!</definedName>
    <definedName name="attach2" localSheetId="29">#REF!</definedName>
    <definedName name="attach2" localSheetId="30">#REF!</definedName>
    <definedName name="attach2" localSheetId="28">#REF!</definedName>
    <definedName name="attach2" localSheetId="13">#REF!</definedName>
    <definedName name="attach2" localSheetId="14">#REF!</definedName>
    <definedName name="attach2" localSheetId="16">#REF!</definedName>
    <definedName name="attach2" localSheetId="17">#REF!</definedName>
    <definedName name="attach2" localSheetId="44">#REF!</definedName>
    <definedName name="attach2" localSheetId="43">#REF!</definedName>
    <definedName name="attach2" localSheetId="47">#REF!</definedName>
    <definedName name="attach2" localSheetId="46">#REF!</definedName>
    <definedName name="attach2" localSheetId="45">#REF!</definedName>
    <definedName name="attach2" localSheetId="48">#REF!</definedName>
    <definedName name="attach2" localSheetId="49">#REF!</definedName>
    <definedName name="attach2" localSheetId="3">#REF!</definedName>
    <definedName name="attach2" localSheetId="4">#REF!</definedName>
    <definedName name="attach2" localSheetId="5">#REF!</definedName>
    <definedName name="attach2" localSheetId="6">#REF!</definedName>
    <definedName name="attach2" localSheetId="7">#REF!</definedName>
    <definedName name="attach2" localSheetId="10">#REF!</definedName>
    <definedName name="attach2" localSheetId="11">#REF!</definedName>
    <definedName name="attach2" localSheetId="9">#REF!</definedName>
    <definedName name="attach2" localSheetId="8">#REF!</definedName>
    <definedName name="attach2" localSheetId="12">#REF!</definedName>
    <definedName name="attach2" localSheetId="32">#REF!</definedName>
    <definedName name="attach2" localSheetId="50">#REF!</definedName>
    <definedName name="attach2" localSheetId="42">#REF!</definedName>
    <definedName name="attach2" localSheetId="31">#REF!</definedName>
    <definedName name="attach2">#REF!</definedName>
    <definedName name="BET" localSheetId="33">#REF!</definedName>
    <definedName name="BET" localSheetId="37">#REF!</definedName>
    <definedName name="BET" localSheetId="38">#REF!</definedName>
    <definedName name="BET" localSheetId="36">#REF!</definedName>
    <definedName name="BET" localSheetId="39">#REF!</definedName>
    <definedName name="BET" localSheetId="35">#REF!</definedName>
    <definedName name="BET" localSheetId="40">#REF!</definedName>
    <definedName name="BET" localSheetId="41">#REF!</definedName>
    <definedName name="BET" localSheetId="34">#REF!</definedName>
    <definedName name="BET" localSheetId="25">#REF!</definedName>
    <definedName name="BET" localSheetId="26">#REF!</definedName>
    <definedName name="BET" localSheetId="27">#REF!</definedName>
    <definedName name="BET" localSheetId="18">#REF!</definedName>
    <definedName name="BET" localSheetId="20">#REF!</definedName>
    <definedName name="BET" localSheetId="19">#REF!</definedName>
    <definedName name="BET" localSheetId="22">#REF!</definedName>
    <definedName name="BET" localSheetId="21">#REF!</definedName>
    <definedName name="BET" localSheetId="23">#REF!</definedName>
    <definedName name="BET" localSheetId="24">#REF!</definedName>
    <definedName name="BET" localSheetId="15">#REF!</definedName>
    <definedName name="BET" localSheetId="29">#REF!</definedName>
    <definedName name="BET" localSheetId="30">#REF!</definedName>
    <definedName name="BET" localSheetId="28">#REF!</definedName>
    <definedName name="BET" localSheetId="13">#REF!</definedName>
    <definedName name="BET" localSheetId="14">#REF!</definedName>
    <definedName name="BET" localSheetId="16">#REF!</definedName>
    <definedName name="BET" localSheetId="17">#REF!</definedName>
    <definedName name="BET" localSheetId="44">#REF!</definedName>
    <definedName name="BET" localSheetId="43">#REF!</definedName>
    <definedName name="BET" localSheetId="47">#REF!</definedName>
    <definedName name="BET" localSheetId="46">#REF!</definedName>
    <definedName name="BET" localSheetId="45">#REF!</definedName>
    <definedName name="BET" localSheetId="48">#REF!</definedName>
    <definedName name="BET" localSheetId="49">#REF!</definedName>
    <definedName name="BET" localSheetId="3">#REF!</definedName>
    <definedName name="BET" localSheetId="4">#REF!</definedName>
    <definedName name="BET" localSheetId="5">#REF!</definedName>
    <definedName name="BET" localSheetId="6">#REF!</definedName>
    <definedName name="BET" localSheetId="7">#REF!</definedName>
    <definedName name="BET" localSheetId="10">#REF!</definedName>
    <definedName name="BET" localSheetId="11">#REF!</definedName>
    <definedName name="BET" localSheetId="9">#REF!</definedName>
    <definedName name="BET" localSheetId="8">#REF!</definedName>
    <definedName name="BET" localSheetId="12">#REF!</definedName>
    <definedName name="BET" localSheetId="32">#REF!</definedName>
    <definedName name="BET" localSheetId="50">#REF!</definedName>
    <definedName name="BET" localSheetId="42">#REF!</definedName>
    <definedName name="BET" localSheetId="31">#REF!</definedName>
    <definedName name="BET">#REF!</definedName>
    <definedName name="BGHZSDFGH" localSheetId="33">#REF!</definedName>
    <definedName name="BGHZSDFGH" localSheetId="37">#REF!</definedName>
    <definedName name="BGHZSDFGH" localSheetId="38">#REF!</definedName>
    <definedName name="BGHZSDFGH" localSheetId="36">#REF!</definedName>
    <definedName name="BGHZSDFGH" localSheetId="39">#REF!</definedName>
    <definedName name="BGHZSDFGH" localSheetId="35">#REF!</definedName>
    <definedName name="BGHZSDFGH" localSheetId="40">#REF!</definedName>
    <definedName name="BGHZSDFGH" localSheetId="41">#REF!</definedName>
    <definedName name="BGHZSDFGH" localSheetId="34">#REF!</definedName>
    <definedName name="BGHZSDFGH" localSheetId="25">#REF!</definedName>
    <definedName name="BGHZSDFGH" localSheetId="26">#REF!</definedName>
    <definedName name="BGHZSDFGH" localSheetId="27">#REF!</definedName>
    <definedName name="BGHZSDFGH" localSheetId="18">#REF!</definedName>
    <definedName name="BGHZSDFGH" localSheetId="20">#REF!</definedName>
    <definedName name="BGHZSDFGH" localSheetId="19">#REF!</definedName>
    <definedName name="BGHZSDFGH" localSheetId="22">#REF!</definedName>
    <definedName name="BGHZSDFGH" localSheetId="21">#REF!</definedName>
    <definedName name="BGHZSDFGH" localSheetId="23">#REF!</definedName>
    <definedName name="BGHZSDFGH" localSheetId="24">#REF!</definedName>
    <definedName name="BGHZSDFGH" localSheetId="15">#REF!</definedName>
    <definedName name="BGHZSDFGH" localSheetId="29">#REF!</definedName>
    <definedName name="BGHZSDFGH" localSheetId="30">#REF!</definedName>
    <definedName name="BGHZSDFGH" localSheetId="28">#REF!</definedName>
    <definedName name="BGHZSDFGH" localSheetId="13">#REF!</definedName>
    <definedName name="BGHZSDFGH" localSheetId="14">#REF!</definedName>
    <definedName name="BGHZSDFGH" localSheetId="16">#REF!</definedName>
    <definedName name="BGHZSDFGH" localSheetId="17">#REF!</definedName>
    <definedName name="BGHZSDFGH" localSheetId="44">#REF!</definedName>
    <definedName name="BGHZSDFGH" localSheetId="43">#REF!</definedName>
    <definedName name="BGHZSDFGH" localSheetId="47">#REF!</definedName>
    <definedName name="BGHZSDFGH" localSheetId="46">#REF!</definedName>
    <definedName name="BGHZSDFGH" localSheetId="45">#REF!</definedName>
    <definedName name="BGHZSDFGH" localSheetId="48">#REF!</definedName>
    <definedName name="BGHZSDFGH" localSheetId="49">#REF!</definedName>
    <definedName name="BGHZSDFGH" localSheetId="3">#REF!</definedName>
    <definedName name="BGHZSDFGH" localSheetId="4">#REF!</definedName>
    <definedName name="BGHZSDFGH" localSheetId="5">#REF!</definedName>
    <definedName name="BGHZSDFGH" localSheetId="6">#REF!</definedName>
    <definedName name="BGHZSDFGH" localSheetId="7">#REF!</definedName>
    <definedName name="BGHZSDFGH" localSheetId="10">#REF!</definedName>
    <definedName name="BGHZSDFGH" localSheetId="11">#REF!</definedName>
    <definedName name="BGHZSDFGH" localSheetId="9">#REF!</definedName>
    <definedName name="BGHZSDFGH" localSheetId="8">#REF!</definedName>
    <definedName name="BGHZSDFGH" localSheetId="12">#REF!</definedName>
    <definedName name="BGHZSDFGH" localSheetId="32">#REF!</definedName>
    <definedName name="BGHZSDFGH" localSheetId="50">#REF!</definedName>
    <definedName name="BGHZSDFGH" localSheetId="42">#REF!</definedName>
    <definedName name="BGHZSDFGH" localSheetId="31">#REF!</definedName>
    <definedName name="BGHZSDFGH">#REF!</definedName>
    <definedName name="D" localSheetId="33">#REF!</definedName>
    <definedName name="D" localSheetId="37">#REF!</definedName>
    <definedName name="D" localSheetId="38">#REF!</definedName>
    <definedName name="D" localSheetId="36">#REF!</definedName>
    <definedName name="D" localSheetId="39">#REF!</definedName>
    <definedName name="D" localSheetId="35">#REF!</definedName>
    <definedName name="D" localSheetId="40">#REF!</definedName>
    <definedName name="D" localSheetId="41">#REF!</definedName>
    <definedName name="D" localSheetId="34">#REF!</definedName>
    <definedName name="D" localSheetId="25">#REF!</definedName>
    <definedName name="D" localSheetId="26">#REF!</definedName>
    <definedName name="D" localSheetId="27">#REF!</definedName>
    <definedName name="D" localSheetId="18">#REF!</definedName>
    <definedName name="D" localSheetId="20">#REF!</definedName>
    <definedName name="D" localSheetId="19">#REF!</definedName>
    <definedName name="D" localSheetId="22">#REF!</definedName>
    <definedName name="D" localSheetId="21">#REF!</definedName>
    <definedName name="D" localSheetId="23">#REF!</definedName>
    <definedName name="D" localSheetId="24">#REF!</definedName>
    <definedName name="D" localSheetId="15">#REF!</definedName>
    <definedName name="D" localSheetId="29">#REF!</definedName>
    <definedName name="D" localSheetId="30">#REF!</definedName>
    <definedName name="D" localSheetId="28">#REF!</definedName>
    <definedName name="D" localSheetId="13">#REF!</definedName>
    <definedName name="D" localSheetId="14">#REF!</definedName>
    <definedName name="D" localSheetId="16">#REF!</definedName>
    <definedName name="D" localSheetId="17">#REF!</definedName>
    <definedName name="D" localSheetId="44">#REF!</definedName>
    <definedName name="D" localSheetId="43">#REF!</definedName>
    <definedName name="D" localSheetId="47">#REF!</definedName>
    <definedName name="D" localSheetId="46">#REF!</definedName>
    <definedName name="D" localSheetId="45">#REF!</definedName>
    <definedName name="D" localSheetId="48">#REF!</definedName>
    <definedName name="D" localSheetId="49">#REF!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10">#REF!</definedName>
    <definedName name="D" localSheetId="11">#REF!</definedName>
    <definedName name="D" localSheetId="9">#REF!</definedName>
    <definedName name="D" localSheetId="8">#REF!</definedName>
    <definedName name="D" localSheetId="12">#REF!</definedName>
    <definedName name="D" localSheetId="32">#REF!</definedName>
    <definedName name="D" localSheetId="50">#REF!</definedName>
    <definedName name="D" localSheetId="42">#REF!</definedName>
    <definedName name="D" localSheetId="31">#REF!</definedName>
    <definedName name="D">#REF!</definedName>
    <definedName name="DD" localSheetId="33">#REF!</definedName>
    <definedName name="DD" localSheetId="37">#REF!</definedName>
    <definedName name="DD" localSheetId="38">#REF!</definedName>
    <definedName name="DD" localSheetId="36">#REF!</definedName>
    <definedName name="DD" localSheetId="39">#REF!</definedName>
    <definedName name="DD" localSheetId="35">#REF!</definedName>
    <definedName name="DD" localSheetId="40">#REF!</definedName>
    <definedName name="DD" localSheetId="41">#REF!</definedName>
    <definedName name="DD" localSheetId="34">#REF!</definedName>
    <definedName name="DD" localSheetId="25">#REF!</definedName>
    <definedName name="DD" localSheetId="26">#REF!</definedName>
    <definedName name="DD" localSheetId="27">#REF!</definedName>
    <definedName name="DD" localSheetId="18">#REF!</definedName>
    <definedName name="DD" localSheetId="20">#REF!</definedName>
    <definedName name="DD" localSheetId="19">#REF!</definedName>
    <definedName name="DD" localSheetId="22">#REF!</definedName>
    <definedName name="DD" localSheetId="21">#REF!</definedName>
    <definedName name="DD" localSheetId="23">#REF!</definedName>
    <definedName name="DD" localSheetId="24">#REF!</definedName>
    <definedName name="DD" localSheetId="15">#REF!</definedName>
    <definedName name="DD" localSheetId="29">#REF!</definedName>
    <definedName name="DD" localSheetId="30">#REF!</definedName>
    <definedName name="DD" localSheetId="28">#REF!</definedName>
    <definedName name="DD" localSheetId="13">#REF!</definedName>
    <definedName name="DD" localSheetId="14">#REF!</definedName>
    <definedName name="DD" localSheetId="16">#REF!</definedName>
    <definedName name="DD" localSheetId="17">#REF!</definedName>
    <definedName name="DD" localSheetId="44">#REF!</definedName>
    <definedName name="DD" localSheetId="43">#REF!</definedName>
    <definedName name="DD" localSheetId="47">#REF!</definedName>
    <definedName name="DD" localSheetId="46">#REF!</definedName>
    <definedName name="DD" localSheetId="45">#REF!</definedName>
    <definedName name="DD" localSheetId="48">#REF!</definedName>
    <definedName name="DD" localSheetId="49">#REF!</definedName>
    <definedName name="DD" localSheetId="3">#REF!</definedName>
    <definedName name="DD" localSheetId="4">#REF!</definedName>
    <definedName name="DD" localSheetId="5">#REF!</definedName>
    <definedName name="DD" localSheetId="6">#REF!</definedName>
    <definedName name="DD" localSheetId="7">#REF!</definedName>
    <definedName name="DD" localSheetId="10">#REF!</definedName>
    <definedName name="DD" localSheetId="11">#REF!</definedName>
    <definedName name="DD" localSheetId="9">#REF!</definedName>
    <definedName name="DD" localSheetId="8">#REF!</definedName>
    <definedName name="DD" localSheetId="12">#REF!</definedName>
    <definedName name="DD" localSheetId="32">#REF!</definedName>
    <definedName name="DD" localSheetId="50">#REF!</definedName>
    <definedName name="DD" localSheetId="42">#REF!</definedName>
    <definedName name="DD" localSheetId="31">#REF!</definedName>
    <definedName name="DD">#REF!</definedName>
    <definedName name="DFYHREY" localSheetId="33">#REF!</definedName>
    <definedName name="DFYHREY" localSheetId="37">#REF!</definedName>
    <definedName name="DFYHREY" localSheetId="38">#REF!</definedName>
    <definedName name="DFYHREY" localSheetId="36">#REF!</definedName>
    <definedName name="DFYHREY" localSheetId="39">#REF!</definedName>
    <definedName name="DFYHREY" localSheetId="35">#REF!</definedName>
    <definedName name="DFYHREY" localSheetId="40">#REF!</definedName>
    <definedName name="DFYHREY" localSheetId="41">#REF!</definedName>
    <definedName name="DFYHREY" localSheetId="34">#REF!</definedName>
    <definedName name="DFYHREY" localSheetId="25">#REF!</definedName>
    <definedName name="DFYHREY" localSheetId="26">#REF!</definedName>
    <definedName name="DFYHREY" localSheetId="27">#REF!</definedName>
    <definedName name="DFYHREY" localSheetId="18">#REF!</definedName>
    <definedName name="DFYHREY" localSheetId="20">#REF!</definedName>
    <definedName name="DFYHREY" localSheetId="19">#REF!</definedName>
    <definedName name="DFYHREY" localSheetId="22">#REF!</definedName>
    <definedName name="DFYHREY" localSheetId="21">#REF!</definedName>
    <definedName name="DFYHREY" localSheetId="23">#REF!</definedName>
    <definedName name="DFYHREY" localSheetId="24">#REF!</definedName>
    <definedName name="DFYHREY" localSheetId="15">#REF!</definedName>
    <definedName name="DFYHREY" localSheetId="29">#REF!</definedName>
    <definedName name="DFYHREY" localSheetId="30">#REF!</definedName>
    <definedName name="DFYHREY" localSheetId="28">#REF!</definedName>
    <definedName name="DFYHREY" localSheetId="13">#REF!</definedName>
    <definedName name="DFYHREY" localSheetId="14">#REF!</definedName>
    <definedName name="DFYHREY" localSheetId="16">#REF!</definedName>
    <definedName name="DFYHREY" localSheetId="17">#REF!</definedName>
    <definedName name="DFYHREY" localSheetId="44">#REF!</definedName>
    <definedName name="DFYHREY" localSheetId="43">#REF!</definedName>
    <definedName name="DFYHREY" localSheetId="47">#REF!</definedName>
    <definedName name="DFYHREY" localSheetId="46">#REF!</definedName>
    <definedName name="DFYHREY" localSheetId="45">#REF!</definedName>
    <definedName name="DFYHREY" localSheetId="48">#REF!</definedName>
    <definedName name="DFYHREY" localSheetId="49">#REF!</definedName>
    <definedName name="DFYHREY" localSheetId="3">#REF!</definedName>
    <definedName name="DFYHREY" localSheetId="4">#REF!</definedName>
    <definedName name="DFYHREY" localSheetId="5">#REF!</definedName>
    <definedName name="DFYHREY" localSheetId="6">#REF!</definedName>
    <definedName name="DFYHREY" localSheetId="7">#REF!</definedName>
    <definedName name="DFYHREY" localSheetId="10">#REF!</definedName>
    <definedName name="DFYHREY" localSheetId="11">#REF!</definedName>
    <definedName name="DFYHREY" localSheetId="9">#REF!</definedName>
    <definedName name="DFYHREY" localSheetId="8">#REF!</definedName>
    <definedName name="DFYHREY" localSheetId="12">#REF!</definedName>
    <definedName name="DFYHREY" localSheetId="32">#REF!</definedName>
    <definedName name="DFYHREY" localSheetId="50">#REF!</definedName>
    <definedName name="DFYHREY" localSheetId="42">#REF!</definedName>
    <definedName name="DFYHREY" localSheetId="31">#REF!</definedName>
    <definedName name="DFYHREY">#REF!</definedName>
    <definedName name="dg" localSheetId="33">#REF!</definedName>
    <definedName name="dg" localSheetId="37">#REF!</definedName>
    <definedName name="dg" localSheetId="38">#REF!</definedName>
    <definedName name="dg" localSheetId="36">#REF!</definedName>
    <definedName name="dg" localSheetId="39">#REF!</definedName>
    <definedName name="dg" localSheetId="35">#REF!</definedName>
    <definedName name="dg" localSheetId="40">#REF!</definedName>
    <definedName name="dg" localSheetId="41">#REF!</definedName>
    <definedName name="dg" localSheetId="34">#REF!</definedName>
    <definedName name="dg" localSheetId="25">#REF!</definedName>
    <definedName name="dg" localSheetId="26">#REF!</definedName>
    <definedName name="dg" localSheetId="27">#REF!</definedName>
    <definedName name="dg" localSheetId="18">#REF!</definedName>
    <definedName name="dg" localSheetId="20">#REF!</definedName>
    <definedName name="dg" localSheetId="19">#REF!</definedName>
    <definedName name="dg" localSheetId="22">#REF!</definedName>
    <definedName name="dg" localSheetId="21">#REF!</definedName>
    <definedName name="dg" localSheetId="23">#REF!</definedName>
    <definedName name="dg" localSheetId="24">#REF!</definedName>
    <definedName name="dg" localSheetId="15">#REF!</definedName>
    <definedName name="dg" localSheetId="29">#REF!</definedName>
    <definedName name="dg" localSheetId="30">#REF!</definedName>
    <definedName name="dg" localSheetId="28">#REF!</definedName>
    <definedName name="dg" localSheetId="13">#REF!</definedName>
    <definedName name="dg" localSheetId="14">#REF!</definedName>
    <definedName name="dg" localSheetId="16">#REF!</definedName>
    <definedName name="dg" localSheetId="17">#REF!</definedName>
    <definedName name="dg" localSheetId="44">#REF!</definedName>
    <definedName name="dg" localSheetId="43">#REF!</definedName>
    <definedName name="dg" localSheetId="47">#REF!</definedName>
    <definedName name="dg" localSheetId="46">#REF!</definedName>
    <definedName name="dg" localSheetId="45">#REF!</definedName>
    <definedName name="dg" localSheetId="48">#REF!</definedName>
    <definedName name="dg" localSheetId="49">#REF!</definedName>
    <definedName name="dg" localSheetId="3">#REF!</definedName>
    <definedName name="dg" localSheetId="4">#REF!</definedName>
    <definedName name="dg" localSheetId="5">#REF!</definedName>
    <definedName name="dg" localSheetId="6">#REF!</definedName>
    <definedName name="dg" localSheetId="7">#REF!</definedName>
    <definedName name="dg" localSheetId="10">#REF!</definedName>
    <definedName name="dg" localSheetId="11">#REF!</definedName>
    <definedName name="dg" localSheetId="9">#REF!</definedName>
    <definedName name="dg" localSheetId="8">#REF!</definedName>
    <definedName name="dg" localSheetId="12">#REF!</definedName>
    <definedName name="dg" localSheetId="32">#REF!</definedName>
    <definedName name="dg" localSheetId="50">#REF!</definedName>
    <definedName name="dg" localSheetId="42">#REF!</definedName>
    <definedName name="dg" localSheetId="31">#REF!</definedName>
    <definedName name="dg">#REF!</definedName>
    <definedName name="dgag" localSheetId="33">#REF!</definedName>
    <definedName name="dgag" localSheetId="37">#REF!</definedName>
    <definedName name="dgag" localSheetId="38">#REF!</definedName>
    <definedName name="dgag" localSheetId="36">#REF!</definedName>
    <definedName name="dgag" localSheetId="39">#REF!</definedName>
    <definedName name="dgag" localSheetId="35">#REF!</definedName>
    <definedName name="dgag" localSheetId="40">#REF!</definedName>
    <definedName name="dgag" localSheetId="41">#REF!</definedName>
    <definedName name="dgag" localSheetId="34">#REF!</definedName>
    <definedName name="dgag" localSheetId="25">#REF!</definedName>
    <definedName name="dgag" localSheetId="26">#REF!</definedName>
    <definedName name="dgag" localSheetId="27">#REF!</definedName>
    <definedName name="dgag" localSheetId="18">#REF!</definedName>
    <definedName name="dgag" localSheetId="20">#REF!</definedName>
    <definedName name="dgag" localSheetId="19">#REF!</definedName>
    <definedName name="dgag" localSheetId="22">#REF!</definedName>
    <definedName name="dgag" localSheetId="21">#REF!</definedName>
    <definedName name="dgag" localSheetId="23">#REF!</definedName>
    <definedName name="dgag" localSheetId="24">#REF!</definedName>
    <definedName name="dgag" localSheetId="15">#REF!</definedName>
    <definedName name="dgag" localSheetId="29">#REF!</definedName>
    <definedName name="dgag" localSheetId="30">#REF!</definedName>
    <definedName name="dgag" localSheetId="28">#REF!</definedName>
    <definedName name="dgag" localSheetId="13">#REF!</definedName>
    <definedName name="dgag" localSheetId="14">#REF!</definedName>
    <definedName name="dgag" localSheetId="16">#REF!</definedName>
    <definedName name="dgag" localSheetId="17">#REF!</definedName>
    <definedName name="dgag" localSheetId="44">#REF!</definedName>
    <definedName name="dgag" localSheetId="43">#REF!</definedName>
    <definedName name="dgag" localSheetId="47">#REF!</definedName>
    <definedName name="dgag" localSheetId="46">#REF!</definedName>
    <definedName name="dgag" localSheetId="45">#REF!</definedName>
    <definedName name="dgag" localSheetId="48">#REF!</definedName>
    <definedName name="dgag" localSheetId="49">#REF!</definedName>
    <definedName name="dgag" localSheetId="3">#REF!</definedName>
    <definedName name="dgag" localSheetId="4">#REF!</definedName>
    <definedName name="dgag" localSheetId="5">#REF!</definedName>
    <definedName name="dgag" localSheetId="6">#REF!</definedName>
    <definedName name="dgag" localSheetId="7">#REF!</definedName>
    <definedName name="dgag" localSheetId="10">#REF!</definedName>
    <definedName name="dgag" localSheetId="11">#REF!</definedName>
    <definedName name="dgag" localSheetId="9">#REF!</definedName>
    <definedName name="dgag" localSheetId="8">#REF!</definedName>
    <definedName name="dgag" localSheetId="12">#REF!</definedName>
    <definedName name="dgag" localSheetId="32">#REF!</definedName>
    <definedName name="dgag" localSheetId="50">#REF!</definedName>
    <definedName name="dgag" localSheetId="42">#REF!</definedName>
    <definedName name="dgag" localSheetId="31">#REF!</definedName>
    <definedName name="dgag">#REF!</definedName>
    <definedName name="DH" localSheetId="33">#REF!</definedName>
    <definedName name="DH" localSheetId="37">#REF!</definedName>
    <definedName name="DH" localSheetId="38">#REF!</definedName>
    <definedName name="DH" localSheetId="36">#REF!</definedName>
    <definedName name="DH" localSheetId="39">#REF!</definedName>
    <definedName name="DH" localSheetId="35">#REF!</definedName>
    <definedName name="DH" localSheetId="40">#REF!</definedName>
    <definedName name="DH" localSheetId="41">#REF!</definedName>
    <definedName name="DH" localSheetId="34">#REF!</definedName>
    <definedName name="DH" localSheetId="25">#REF!</definedName>
    <definedName name="DH" localSheetId="26">#REF!</definedName>
    <definedName name="DH" localSheetId="27">#REF!</definedName>
    <definedName name="DH" localSheetId="18">#REF!</definedName>
    <definedName name="DH" localSheetId="20">#REF!</definedName>
    <definedName name="DH" localSheetId="19">#REF!</definedName>
    <definedName name="DH" localSheetId="22">#REF!</definedName>
    <definedName name="DH" localSheetId="21">#REF!</definedName>
    <definedName name="DH" localSheetId="23">#REF!</definedName>
    <definedName name="DH" localSheetId="24">#REF!</definedName>
    <definedName name="DH" localSheetId="15">#REF!</definedName>
    <definedName name="DH" localSheetId="29">#REF!</definedName>
    <definedName name="DH" localSheetId="30">#REF!</definedName>
    <definedName name="DH" localSheetId="28">#REF!</definedName>
    <definedName name="DH" localSheetId="13">#REF!</definedName>
    <definedName name="DH" localSheetId="14">#REF!</definedName>
    <definedName name="DH" localSheetId="16">#REF!</definedName>
    <definedName name="DH" localSheetId="17">#REF!</definedName>
    <definedName name="DH" localSheetId="44">#REF!</definedName>
    <definedName name="DH" localSheetId="43">#REF!</definedName>
    <definedName name="DH" localSheetId="47">#REF!</definedName>
    <definedName name="DH" localSheetId="46">#REF!</definedName>
    <definedName name="DH" localSheetId="45">#REF!</definedName>
    <definedName name="DH" localSheetId="48">#REF!</definedName>
    <definedName name="DH" localSheetId="49">#REF!</definedName>
    <definedName name="DH" localSheetId="3">#REF!</definedName>
    <definedName name="DH" localSheetId="4">#REF!</definedName>
    <definedName name="DH" localSheetId="5">#REF!</definedName>
    <definedName name="DH" localSheetId="6">#REF!</definedName>
    <definedName name="DH" localSheetId="7">#REF!</definedName>
    <definedName name="DH" localSheetId="10">#REF!</definedName>
    <definedName name="DH" localSheetId="11">#REF!</definedName>
    <definedName name="DH" localSheetId="9">#REF!</definedName>
    <definedName name="DH" localSheetId="8">#REF!</definedName>
    <definedName name="DH" localSheetId="12">#REF!</definedName>
    <definedName name="DH" localSheetId="32">#REF!</definedName>
    <definedName name="DH" localSheetId="50">#REF!</definedName>
    <definedName name="DH" localSheetId="42">#REF!</definedName>
    <definedName name="DH" localSheetId="31">#REF!</definedName>
    <definedName name="DH">#REF!</definedName>
    <definedName name="dsgd" localSheetId="33">#REF!</definedName>
    <definedName name="dsgd" localSheetId="37">#REF!</definedName>
    <definedName name="dsgd" localSheetId="38">#REF!</definedName>
    <definedName name="dsgd" localSheetId="36">#REF!</definedName>
    <definedName name="dsgd" localSheetId="39">#REF!</definedName>
    <definedName name="dsgd" localSheetId="35">#REF!</definedName>
    <definedName name="dsgd" localSheetId="40">#REF!</definedName>
    <definedName name="dsgd" localSheetId="41">#REF!</definedName>
    <definedName name="dsgd" localSheetId="34">#REF!</definedName>
    <definedName name="dsgd" localSheetId="25">#REF!</definedName>
    <definedName name="dsgd" localSheetId="26">#REF!</definedName>
    <definedName name="dsgd" localSheetId="27">#REF!</definedName>
    <definedName name="dsgd" localSheetId="18">#REF!</definedName>
    <definedName name="dsgd" localSheetId="20">#REF!</definedName>
    <definedName name="dsgd" localSheetId="19">#REF!</definedName>
    <definedName name="dsgd" localSheetId="22">#REF!</definedName>
    <definedName name="dsgd" localSheetId="21">#REF!</definedName>
    <definedName name="dsgd" localSheetId="23">#REF!</definedName>
    <definedName name="dsgd" localSheetId="24">#REF!</definedName>
    <definedName name="dsgd" localSheetId="15">#REF!</definedName>
    <definedName name="dsgd" localSheetId="29">#REF!</definedName>
    <definedName name="dsgd" localSheetId="30">#REF!</definedName>
    <definedName name="dsgd" localSheetId="28">#REF!</definedName>
    <definedName name="dsgd" localSheetId="13">#REF!</definedName>
    <definedName name="dsgd" localSheetId="14">#REF!</definedName>
    <definedName name="dsgd" localSheetId="16">#REF!</definedName>
    <definedName name="dsgd" localSheetId="17">#REF!</definedName>
    <definedName name="dsgd" localSheetId="44">#REF!</definedName>
    <definedName name="dsgd" localSheetId="43">#REF!</definedName>
    <definedName name="dsgd" localSheetId="47">#REF!</definedName>
    <definedName name="dsgd" localSheetId="46">#REF!</definedName>
    <definedName name="dsgd" localSheetId="45">#REF!</definedName>
    <definedName name="dsgd" localSheetId="48">#REF!</definedName>
    <definedName name="dsgd" localSheetId="49">#REF!</definedName>
    <definedName name="dsgd" localSheetId="3">#REF!</definedName>
    <definedName name="dsgd" localSheetId="4">#REF!</definedName>
    <definedName name="dsgd" localSheetId="5">#REF!</definedName>
    <definedName name="dsgd" localSheetId="6">#REF!</definedName>
    <definedName name="dsgd" localSheetId="7">#REF!</definedName>
    <definedName name="dsgd" localSheetId="10">#REF!</definedName>
    <definedName name="dsgd" localSheetId="11">#REF!</definedName>
    <definedName name="dsgd" localSheetId="9">#REF!</definedName>
    <definedName name="dsgd" localSheetId="8">#REF!</definedName>
    <definedName name="dsgd" localSheetId="12">#REF!</definedName>
    <definedName name="dsgd" localSheetId="32">#REF!</definedName>
    <definedName name="dsgd" localSheetId="50">#REF!</definedName>
    <definedName name="dsgd" localSheetId="42">#REF!</definedName>
    <definedName name="dsgd" localSheetId="31">#REF!</definedName>
    <definedName name="dsgd">#REF!</definedName>
    <definedName name="dshfh" localSheetId="33">#REF!</definedName>
    <definedName name="dshfh" localSheetId="37">#REF!</definedName>
    <definedName name="dshfh" localSheetId="38">#REF!</definedName>
    <definedName name="dshfh" localSheetId="36">#REF!</definedName>
    <definedName name="dshfh" localSheetId="39">#REF!</definedName>
    <definedName name="dshfh" localSheetId="35">#REF!</definedName>
    <definedName name="dshfh" localSheetId="40">#REF!</definedName>
    <definedName name="dshfh" localSheetId="41">#REF!</definedName>
    <definedName name="dshfh" localSheetId="34">#REF!</definedName>
    <definedName name="dshfh" localSheetId="25">#REF!</definedName>
    <definedName name="dshfh" localSheetId="26">#REF!</definedName>
    <definedName name="dshfh" localSheetId="27">#REF!</definedName>
    <definedName name="dshfh" localSheetId="18">#REF!</definedName>
    <definedName name="dshfh" localSheetId="20">#REF!</definedName>
    <definedName name="dshfh" localSheetId="19">#REF!</definedName>
    <definedName name="dshfh" localSheetId="22">#REF!</definedName>
    <definedName name="dshfh" localSheetId="21">#REF!</definedName>
    <definedName name="dshfh" localSheetId="23">#REF!</definedName>
    <definedName name="dshfh" localSheetId="24">#REF!</definedName>
    <definedName name="dshfh" localSheetId="15">#REF!</definedName>
    <definedName name="dshfh" localSheetId="29">#REF!</definedName>
    <definedName name="dshfh" localSheetId="30">#REF!</definedName>
    <definedName name="dshfh" localSheetId="28">#REF!</definedName>
    <definedName name="dshfh" localSheetId="13">#REF!</definedName>
    <definedName name="dshfh" localSheetId="14">#REF!</definedName>
    <definedName name="dshfh" localSheetId="16">#REF!</definedName>
    <definedName name="dshfh" localSheetId="17">#REF!</definedName>
    <definedName name="dshfh" localSheetId="44">#REF!</definedName>
    <definedName name="dshfh" localSheetId="43">#REF!</definedName>
    <definedName name="dshfh" localSheetId="47">#REF!</definedName>
    <definedName name="dshfh" localSheetId="46">#REF!</definedName>
    <definedName name="dshfh" localSheetId="45">#REF!</definedName>
    <definedName name="dshfh" localSheetId="48">#REF!</definedName>
    <definedName name="dshfh" localSheetId="49">#REF!</definedName>
    <definedName name="dshfh" localSheetId="3">#REF!</definedName>
    <definedName name="dshfh" localSheetId="4">#REF!</definedName>
    <definedName name="dshfh" localSheetId="5">#REF!</definedName>
    <definedName name="dshfh" localSheetId="6">#REF!</definedName>
    <definedName name="dshfh" localSheetId="7">#REF!</definedName>
    <definedName name="dshfh" localSheetId="10">#REF!</definedName>
    <definedName name="dshfh" localSheetId="11">#REF!</definedName>
    <definedName name="dshfh" localSheetId="9">#REF!</definedName>
    <definedName name="dshfh" localSheetId="8">#REF!</definedName>
    <definedName name="dshfh" localSheetId="12">#REF!</definedName>
    <definedName name="dshfh" localSheetId="32">#REF!</definedName>
    <definedName name="dshfh" localSheetId="50">#REF!</definedName>
    <definedName name="dshfh" localSheetId="42">#REF!</definedName>
    <definedName name="dshfh" localSheetId="31">#REF!</definedName>
    <definedName name="dshfh">#REF!</definedName>
    <definedName name="EWe" localSheetId="33">#REF!</definedName>
    <definedName name="EWe" localSheetId="37">#REF!</definedName>
    <definedName name="EWe" localSheetId="38">#REF!</definedName>
    <definedName name="EWe" localSheetId="36">#REF!</definedName>
    <definedName name="EWe" localSheetId="39">#REF!</definedName>
    <definedName name="EWe" localSheetId="35">#REF!</definedName>
    <definedName name="EWe" localSheetId="40">#REF!</definedName>
    <definedName name="EWe" localSheetId="41">#REF!</definedName>
    <definedName name="EWe" localSheetId="34">#REF!</definedName>
    <definedName name="EWe" localSheetId="25">#REF!</definedName>
    <definedName name="EWe" localSheetId="26">#REF!</definedName>
    <definedName name="EWe" localSheetId="27">#REF!</definedName>
    <definedName name="EWe" localSheetId="18">#REF!</definedName>
    <definedName name="EWe" localSheetId="20">#REF!</definedName>
    <definedName name="EWe" localSheetId="19">#REF!</definedName>
    <definedName name="EWe" localSheetId="22">#REF!</definedName>
    <definedName name="EWe" localSheetId="21">#REF!</definedName>
    <definedName name="EWe" localSheetId="23">#REF!</definedName>
    <definedName name="EWe" localSheetId="24">#REF!</definedName>
    <definedName name="EWe" localSheetId="15">#REF!</definedName>
    <definedName name="EWe" localSheetId="29">#REF!</definedName>
    <definedName name="EWe" localSheetId="30">#REF!</definedName>
    <definedName name="EWe" localSheetId="28">#REF!</definedName>
    <definedName name="EWe" localSheetId="13">#REF!</definedName>
    <definedName name="EWe" localSheetId="14">#REF!</definedName>
    <definedName name="EWe" localSheetId="16">#REF!</definedName>
    <definedName name="EWe" localSheetId="17">#REF!</definedName>
    <definedName name="EWe" localSheetId="44">#REF!</definedName>
    <definedName name="EWe" localSheetId="43">#REF!</definedName>
    <definedName name="EWe" localSheetId="47">#REF!</definedName>
    <definedName name="EWe" localSheetId="46">#REF!</definedName>
    <definedName name="EWe" localSheetId="45">#REF!</definedName>
    <definedName name="EWe" localSheetId="48">#REF!</definedName>
    <definedName name="EWe" localSheetId="49">#REF!</definedName>
    <definedName name="EWe" localSheetId="3">#REF!</definedName>
    <definedName name="EWe" localSheetId="4">#REF!</definedName>
    <definedName name="EWe" localSheetId="5">#REF!</definedName>
    <definedName name="EWe" localSheetId="6">#REF!</definedName>
    <definedName name="EWe" localSheetId="7">#REF!</definedName>
    <definedName name="EWe" localSheetId="10">#REF!</definedName>
    <definedName name="EWe" localSheetId="11">#REF!</definedName>
    <definedName name="EWe" localSheetId="9">#REF!</definedName>
    <definedName name="EWe" localSheetId="8">#REF!</definedName>
    <definedName name="EWe" localSheetId="12">#REF!</definedName>
    <definedName name="EWe" localSheetId="32">#REF!</definedName>
    <definedName name="EWe" localSheetId="50">#REF!</definedName>
    <definedName name="EWe" localSheetId="42">#REF!</definedName>
    <definedName name="EWe" localSheetId="31">#REF!</definedName>
    <definedName name="EWe">#REF!</definedName>
    <definedName name="EWR" localSheetId="33">#REF!</definedName>
    <definedName name="EWR" localSheetId="37">#REF!</definedName>
    <definedName name="EWR" localSheetId="38">#REF!</definedName>
    <definedName name="EWR" localSheetId="36">#REF!</definedName>
    <definedName name="EWR" localSheetId="39">#REF!</definedName>
    <definedName name="EWR" localSheetId="35">#REF!</definedName>
    <definedName name="EWR" localSheetId="40">#REF!</definedName>
    <definedName name="EWR" localSheetId="41">#REF!</definedName>
    <definedName name="EWR" localSheetId="34">#REF!</definedName>
    <definedName name="EWR" localSheetId="25">#REF!</definedName>
    <definedName name="EWR" localSheetId="26">#REF!</definedName>
    <definedName name="EWR" localSheetId="27">#REF!</definedName>
    <definedName name="EWR" localSheetId="18">#REF!</definedName>
    <definedName name="EWR" localSheetId="20">#REF!</definedName>
    <definedName name="EWR" localSheetId="19">#REF!</definedName>
    <definedName name="EWR" localSheetId="22">#REF!</definedName>
    <definedName name="EWR" localSheetId="21">#REF!</definedName>
    <definedName name="EWR" localSheetId="23">#REF!</definedName>
    <definedName name="EWR" localSheetId="24">#REF!</definedName>
    <definedName name="EWR" localSheetId="15">#REF!</definedName>
    <definedName name="EWR" localSheetId="29">#REF!</definedName>
    <definedName name="EWR" localSheetId="30">#REF!</definedName>
    <definedName name="EWR" localSheetId="28">#REF!</definedName>
    <definedName name="EWR" localSheetId="13">#REF!</definedName>
    <definedName name="EWR" localSheetId="14">#REF!</definedName>
    <definedName name="EWR" localSheetId="16">#REF!</definedName>
    <definedName name="EWR" localSheetId="17">#REF!</definedName>
    <definedName name="EWR" localSheetId="44">#REF!</definedName>
    <definedName name="EWR" localSheetId="43">#REF!</definedName>
    <definedName name="EWR" localSheetId="47">#REF!</definedName>
    <definedName name="EWR" localSheetId="46">#REF!</definedName>
    <definedName name="EWR" localSheetId="45">#REF!</definedName>
    <definedName name="EWR" localSheetId="48">#REF!</definedName>
    <definedName name="EWR" localSheetId="49">#REF!</definedName>
    <definedName name="EWR" localSheetId="3">#REF!</definedName>
    <definedName name="EWR" localSheetId="4">#REF!</definedName>
    <definedName name="EWR" localSheetId="5">#REF!</definedName>
    <definedName name="EWR" localSheetId="6">#REF!</definedName>
    <definedName name="EWR" localSheetId="7">#REF!</definedName>
    <definedName name="EWR" localSheetId="10">#REF!</definedName>
    <definedName name="EWR" localSheetId="11">#REF!</definedName>
    <definedName name="EWR" localSheetId="9">#REF!</definedName>
    <definedName name="EWR" localSheetId="8">#REF!</definedName>
    <definedName name="EWR" localSheetId="12">#REF!</definedName>
    <definedName name="EWR" localSheetId="32">#REF!</definedName>
    <definedName name="EWR" localSheetId="50">#REF!</definedName>
    <definedName name="EWR" localSheetId="42">#REF!</definedName>
    <definedName name="EWR" localSheetId="31">#REF!</definedName>
    <definedName name="EWR">#REF!</definedName>
    <definedName name="Excel_BuiltIn_Print_Area_1" localSheetId="33">#REF!</definedName>
    <definedName name="Excel_BuiltIn_Print_Area_1" localSheetId="37">#REF!</definedName>
    <definedName name="Excel_BuiltIn_Print_Area_1" localSheetId="38">#REF!</definedName>
    <definedName name="Excel_BuiltIn_Print_Area_1" localSheetId="36">#REF!</definedName>
    <definedName name="Excel_BuiltIn_Print_Area_1" localSheetId="39">#REF!</definedName>
    <definedName name="Excel_BuiltIn_Print_Area_1" localSheetId="35">#REF!</definedName>
    <definedName name="Excel_BuiltIn_Print_Area_1" localSheetId="40">#REF!</definedName>
    <definedName name="Excel_BuiltIn_Print_Area_1" localSheetId="41">#REF!</definedName>
    <definedName name="Excel_BuiltIn_Print_Area_1" localSheetId="34">#REF!</definedName>
    <definedName name="Excel_BuiltIn_Print_Area_1" localSheetId="25">#REF!</definedName>
    <definedName name="Excel_BuiltIn_Print_Area_1" localSheetId="26">#REF!</definedName>
    <definedName name="Excel_BuiltIn_Print_Area_1" localSheetId="27">#REF!</definedName>
    <definedName name="Excel_BuiltIn_Print_Area_1" localSheetId="18">#REF!</definedName>
    <definedName name="Excel_BuiltIn_Print_Area_1" localSheetId="20">#REF!</definedName>
    <definedName name="Excel_BuiltIn_Print_Area_1" localSheetId="19">#REF!</definedName>
    <definedName name="Excel_BuiltIn_Print_Area_1" localSheetId="22">#REF!</definedName>
    <definedName name="Excel_BuiltIn_Print_Area_1" localSheetId="21">#REF!</definedName>
    <definedName name="Excel_BuiltIn_Print_Area_1" localSheetId="23">#REF!</definedName>
    <definedName name="Excel_BuiltIn_Print_Area_1" localSheetId="24">#REF!</definedName>
    <definedName name="Excel_BuiltIn_Print_Area_1" localSheetId="15">#REF!</definedName>
    <definedName name="Excel_BuiltIn_Print_Area_1" localSheetId="29">#REF!</definedName>
    <definedName name="Excel_BuiltIn_Print_Area_1" localSheetId="30">#REF!</definedName>
    <definedName name="Excel_BuiltIn_Print_Area_1" localSheetId="28">#REF!</definedName>
    <definedName name="Excel_BuiltIn_Print_Area_1" localSheetId="13">#REF!</definedName>
    <definedName name="Excel_BuiltIn_Print_Area_1" localSheetId="14">#REF!</definedName>
    <definedName name="Excel_BuiltIn_Print_Area_1" localSheetId="16">#REF!</definedName>
    <definedName name="Excel_BuiltIn_Print_Area_1" localSheetId="17">#REF!</definedName>
    <definedName name="Excel_BuiltIn_Print_Area_1" localSheetId="44">#REF!</definedName>
    <definedName name="Excel_BuiltIn_Print_Area_1" localSheetId="43">#REF!</definedName>
    <definedName name="Excel_BuiltIn_Print_Area_1" localSheetId="47">#REF!</definedName>
    <definedName name="Excel_BuiltIn_Print_Area_1" localSheetId="46">#REF!</definedName>
    <definedName name="Excel_BuiltIn_Print_Area_1" localSheetId="45">#REF!</definedName>
    <definedName name="Excel_BuiltIn_Print_Area_1" localSheetId="48">#REF!</definedName>
    <definedName name="Excel_BuiltIn_Print_Area_1" localSheetId="49">#REF!</definedName>
    <definedName name="Excel_BuiltIn_Print_Area_1" localSheetId="3">#REF!</definedName>
    <definedName name="Excel_BuiltIn_Print_Area_1" localSheetId="4">#REF!</definedName>
    <definedName name="Excel_BuiltIn_Print_Area_1" localSheetId="5">#REF!</definedName>
    <definedName name="Excel_BuiltIn_Print_Area_1" localSheetId="6">#REF!</definedName>
    <definedName name="Excel_BuiltIn_Print_Area_1" localSheetId="7">#REF!</definedName>
    <definedName name="Excel_BuiltIn_Print_Area_1" localSheetId="10">#REF!</definedName>
    <definedName name="Excel_BuiltIn_Print_Area_1" localSheetId="11">#REF!</definedName>
    <definedName name="Excel_BuiltIn_Print_Area_1" localSheetId="9">#REF!</definedName>
    <definedName name="Excel_BuiltIn_Print_Area_1" localSheetId="8">#REF!</definedName>
    <definedName name="Excel_BuiltIn_Print_Area_1" localSheetId="12">#REF!</definedName>
    <definedName name="Excel_BuiltIn_Print_Area_1" localSheetId="32">#REF!</definedName>
    <definedName name="Excel_BuiltIn_Print_Area_1" localSheetId="50">#REF!</definedName>
    <definedName name="Excel_BuiltIn_Print_Area_1" localSheetId="42">#REF!</definedName>
    <definedName name="Excel_BuiltIn_Print_Area_1" localSheetId="31">#REF!</definedName>
    <definedName name="Excel_BuiltIn_Print_Area_1">#REF!</definedName>
    <definedName name="Excel_BuiltIn_Print_Area_1_1" localSheetId="33">#REF!</definedName>
    <definedName name="Excel_BuiltIn_Print_Area_1_1" localSheetId="37">#REF!</definedName>
    <definedName name="Excel_BuiltIn_Print_Area_1_1" localSheetId="38">#REF!</definedName>
    <definedName name="Excel_BuiltIn_Print_Area_1_1" localSheetId="36">#REF!</definedName>
    <definedName name="Excel_BuiltIn_Print_Area_1_1" localSheetId="39">#REF!</definedName>
    <definedName name="Excel_BuiltIn_Print_Area_1_1" localSheetId="35">#REF!</definedName>
    <definedName name="Excel_BuiltIn_Print_Area_1_1" localSheetId="40">#REF!</definedName>
    <definedName name="Excel_BuiltIn_Print_Area_1_1" localSheetId="41">#REF!</definedName>
    <definedName name="Excel_BuiltIn_Print_Area_1_1" localSheetId="34">#REF!</definedName>
    <definedName name="Excel_BuiltIn_Print_Area_1_1" localSheetId="25">#REF!</definedName>
    <definedName name="Excel_BuiltIn_Print_Area_1_1" localSheetId="26">#REF!</definedName>
    <definedName name="Excel_BuiltIn_Print_Area_1_1" localSheetId="27">#REF!</definedName>
    <definedName name="Excel_BuiltIn_Print_Area_1_1" localSheetId="18">#REF!</definedName>
    <definedName name="Excel_BuiltIn_Print_Area_1_1" localSheetId="20">#REF!</definedName>
    <definedName name="Excel_BuiltIn_Print_Area_1_1" localSheetId="19">#REF!</definedName>
    <definedName name="Excel_BuiltIn_Print_Area_1_1" localSheetId="22">#REF!</definedName>
    <definedName name="Excel_BuiltIn_Print_Area_1_1" localSheetId="21">#REF!</definedName>
    <definedName name="Excel_BuiltIn_Print_Area_1_1" localSheetId="23">#REF!</definedName>
    <definedName name="Excel_BuiltIn_Print_Area_1_1" localSheetId="24">#REF!</definedName>
    <definedName name="Excel_BuiltIn_Print_Area_1_1" localSheetId="15">#REF!</definedName>
    <definedName name="Excel_BuiltIn_Print_Area_1_1" localSheetId="29">#REF!</definedName>
    <definedName name="Excel_BuiltIn_Print_Area_1_1" localSheetId="30">#REF!</definedName>
    <definedName name="Excel_BuiltIn_Print_Area_1_1" localSheetId="28">#REF!</definedName>
    <definedName name="Excel_BuiltIn_Print_Area_1_1" localSheetId="13">#REF!</definedName>
    <definedName name="Excel_BuiltIn_Print_Area_1_1" localSheetId="14">#REF!</definedName>
    <definedName name="Excel_BuiltIn_Print_Area_1_1" localSheetId="16">#REF!</definedName>
    <definedName name="Excel_BuiltIn_Print_Area_1_1" localSheetId="17">#REF!</definedName>
    <definedName name="Excel_BuiltIn_Print_Area_1_1" localSheetId="44">#REF!</definedName>
    <definedName name="Excel_BuiltIn_Print_Area_1_1" localSheetId="43">#REF!</definedName>
    <definedName name="Excel_BuiltIn_Print_Area_1_1" localSheetId="47">#REF!</definedName>
    <definedName name="Excel_BuiltIn_Print_Area_1_1" localSheetId="46">#REF!</definedName>
    <definedName name="Excel_BuiltIn_Print_Area_1_1" localSheetId="45">#REF!</definedName>
    <definedName name="Excel_BuiltIn_Print_Area_1_1" localSheetId="48">#REF!</definedName>
    <definedName name="Excel_BuiltIn_Print_Area_1_1" localSheetId="49">#REF!</definedName>
    <definedName name="Excel_BuiltIn_Print_Area_1_1" localSheetId="3">#REF!</definedName>
    <definedName name="Excel_BuiltIn_Print_Area_1_1" localSheetId="4">#REF!</definedName>
    <definedName name="Excel_BuiltIn_Print_Area_1_1" localSheetId="5">#REF!</definedName>
    <definedName name="Excel_BuiltIn_Print_Area_1_1" localSheetId="6">#REF!</definedName>
    <definedName name="Excel_BuiltIn_Print_Area_1_1" localSheetId="7">#REF!</definedName>
    <definedName name="Excel_BuiltIn_Print_Area_1_1" localSheetId="10">#REF!</definedName>
    <definedName name="Excel_BuiltIn_Print_Area_1_1" localSheetId="11">#REF!</definedName>
    <definedName name="Excel_BuiltIn_Print_Area_1_1" localSheetId="9">#REF!</definedName>
    <definedName name="Excel_BuiltIn_Print_Area_1_1" localSheetId="8">#REF!</definedName>
    <definedName name="Excel_BuiltIn_Print_Area_1_1" localSheetId="12">#REF!</definedName>
    <definedName name="Excel_BuiltIn_Print_Area_1_1" localSheetId="32">#REF!</definedName>
    <definedName name="Excel_BuiltIn_Print_Area_1_1" localSheetId="50">#REF!</definedName>
    <definedName name="Excel_BuiltIn_Print_Area_1_1" localSheetId="42">#REF!</definedName>
    <definedName name="Excel_BuiltIn_Print_Area_1_1" localSheetId="31">#REF!</definedName>
    <definedName name="Excel_BuiltIn_Print_Area_1_1">#REF!</definedName>
    <definedName name="Excel_BuiltIn_Print_Area_1_1_1" localSheetId="33">#REF!</definedName>
    <definedName name="Excel_BuiltIn_Print_Area_1_1_1" localSheetId="37">#REF!</definedName>
    <definedName name="Excel_BuiltIn_Print_Area_1_1_1" localSheetId="38">#REF!</definedName>
    <definedName name="Excel_BuiltIn_Print_Area_1_1_1" localSheetId="36">#REF!</definedName>
    <definedName name="Excel_BuiltIn_Print_Area_1_1_1" localSheetId="39">#REF!</definedName>
    <definedName name="Excel_BuiltIn_Print_Area_1_1_1" localSheetId="35">#REF!</definedName>
    <definedName name="Excel_BuiltIn_Print_Area_1_1_1" localSheetId="40">#REF!</definedName>
    <definedName name="Excel_BuiltIn_Print_Area_1_1_1" localSheetId="41">#REF!</definedName>
    <definedName name="Excel_BuiltIn_Print_Area_1_1_1" localSheetId="34">#REF!</definedName>
    <definedName name="Excel_BuiltIn_Print_Area_1_1_1" localSheetId="25">#REF!</definedName>
    <definedName name="Excel_BuiltIn_Print_Area_1_1_1" localSheetId="26">#REF!</definedName>
    <definedName name="Excel_BuiltIn_Print_Area_1_1_1" localSheetId="27">#REF!</definedName>
    <definedName name="Excel_BuiltIn_Print_Area_1_1_1" localSheetId="18">#REF!</definedName>
    <definedName name="Excel_BuiltIn_Print_Area_1_1_1" localSheetId="20">#REF!</definedName>
    <definedName name="Excel_BuiltIn_Print_Area_1_1_1" localSheetId="19">#REF!</definedName>
    <definedName name="Excel_BuiltIn_Print_Area_1_1_1" localSheetId="22">#REF!</definedName>
    <definedName name="Excel_BuiltIn_Print_Area_1_1_1" localSheetId="21">#REF!</definedName>
    <definedName name="Excel_BuiltIn_Print_Area_1_1_1" localSheetId="23">#REF!</definedName>
    <definedName name="Excel_BuiltIn_Print_Area_1_1_1" localSheetId="24">#REF!</definedName>
    <definedName name="Excel_BuiltIn_Print_Area_1_1_1" localSheetId="15">#REF!</definedName>
    <definedName name="Excel_BuiltIn_Print_Area_1_1_1" localSheetId="29">#REF!</definedName>
    <definedName name="Excel_BuiltIn_Print_Area_1_1_1" localSheetId="30">#REF!</definedName>
    <definedName name="Excel_BuiltIn_Print_Area_1_1_1" localSheetId="28">#REF!</definedName>
    <definedName name="Excel_BuiltIn_Print_Area_1_1_1" localSheetId="13">#REF!</definedName>
    <definedName name="Excel_BuiltIn_Print_Area_1_1_1" localSheetId="14">#REF!</definedName>
    <definedName name="Excel_BuiltIn_Print_Area_1_1_1" localSheetId="16">#REF!</definedName>
    <definedName name="Excel_BuiltIn_Print_Area_1_1_1" localSheetId="17">#REF!</definedName>
    <definedName name="Excel_BuiltIn_Print_Area_1_1_1" localSheetId="44">#REF!</definedName>
    <definedName name="Excel_BuiltIn_Print_Area_1_1_1" localSheetId="43">#REF!</definedName>
    <definedName name="Excel_BuiltIn_Print_Area_1_1_1" localSheetId="47">#REF!</definedName>
    <definedName name="Excel_BuiltIn_Print_Area_1_1_1" localSheetId="46">#REF!</definedName>
    <definedName name="Excel_BuiltIn_Print_Area_1_1_1" localSheetId="45">#REF!</definedName>
    <definedName name="Excel_BuiltIn_Print_Area_1_1_1" localSheetId="48">#REF!</definedName>
    <definedName name="Excel_BuiltIn_Print_Area_1_1_1" localSheetId="49">#REF!</definedName>
    <definedName name="Excel_BuiltIn_Print_Area_1_1_1" localSheetId="3">#REF!</definedName>
    <definedName name="Excel_BuiltIn_Print_Area_1_1_1" localSheetId="4">#REF!</definedName>
    <definedName name="Excel_BuiltIn_Print_Area_1_1_1" localSheetId="5">#REF!</definedName>
    <definedName name="Excel_BuiltIn_Print_Area_1_1_1" localSheetId="6">#REF!</definedName>
    <definedName name="Excel_BuiltIn_Print_Area_1_1_1" localSheetId="7">#REF!</definedName>
    <definedName name="Excel_BuiltIn_Print_Area_1_1_1" localSheetId="10">#REF!</definedName>
    <definedName name="Excel_BuiltIn_Print_Area_1_1_1" localSheetId="11">#REF!</definedName>
    <definedName name="Excel_BuiltIn_Print_Area_1_1_1" localSheetId="9">#REF!</definedName>
    <definedName name="Excel_BuiltIn_Print_Area_1_1_1" localSheetId="8">#REF!</definedName>
    <definedName name="Excel_BuiltIn_Print_Area_1_1_1" localSheetId="12">#REF!</definedName>
    <definedName name="Excel_BuiltIn_Print_Area_1_1_1" localSheetId="32">#REF!</definedName>
    <definedName name="Excel_BuiltIn_Print_Area_1_1_1" localSheetId="50">#REF!</definedName>
    <definedName name="Excel_BuiltIn_Print_Area_1_1_1" localSheetId="42">#REF!</definedName>
    <definedName name="Excel_BuiltIn_Print_Area_1_1_1" localSheetId="31">#REF!</definedName>
    <definedName name="Excel_BuiltIn_Print_Area_1_1_1">#REF!</definedName>
    <definedName name="Excel_BuiltIn_Print_Area_5" localSheetId="33">#REF!</definedName>
    <definedName name="Excel_BuiltIn_Print_Area_5" localSheetId="37">#REF!</definedName>
    <definedName name="Excel_BuiltIn_Print_Area_5" localSheetId="38">#REF!</definedName>
    <definedName name="Excel_BuiltIn_Print_Area_5" localSheetId="36">#REF!</definedName>
    <definedName name="Excel_BuiltIn_Print_Area_5" localSheetId="39">#REF!</definedName>
    <definedName name="Excel_BuiltIn_Print_Area_5" localSheetId="35">#REF!</definedName>
    <definedName name="Excel_BuiltIn_Print_Area_5" localSheetId="40">#REF!</definedName>
    <definedName name="Excel_BuiltIn_Print_Area_5" localSheetId="41">#REF!</definedName>
    <definedName name="Excel_BuiltIn_Print_Area_5" localSheetId="34">#REF!</definedName>
    <definedName name="Excel_BuiltIn_Print_Area_5" localSheetId="25">#REF!</definedName>
    <definedName name="Excel_BuiltIn_Print_Area_5" localSheetId="26">#REF!</definedName>
    <definedName name="Excel_BuiltIn_Print_Area_5" localSheetId="27">#REF!</definedName>
    <definedName name="Excel_BuiltIn_Print_Area_5" localSheetId="18">#REF!</definedName>
    <definedName name="Excel_BuiltIn_Print_Area_5" localSheetId="20">#REF!</definedName>
    <definedName name="Excel_BuiltIn_Print_Area_5" localSheetId="19">#REF!</definedName>
    <definedName name="Excel_BuiltIn_Print_Area_5" localSheetId="22">#REF!</definedName>
    <definedName name="Excel_BuiltIn_Print_Area_5" localSheetId="21">#REF!</definedName>
    <definedName name="Excel_BuiltIn_Print_Area_5" localSheetId="23">#REF!</definedName>
    <definedName name="Excel_BuiltIn_Print_Area_5" localSheetId="24">#REF!</definedName>
    <definedName name="Excel_BuiltIn_Print_Area_5" localSheetId="15">#REF!</definedName>
    <definedName name="Excel_BuiltIn_Print_Area_5" localSheetId="29">#REF!</definedName>
    <definedName name="Excel_BuiltIn_Print_Area_5" localSheetId="30">#REF!</definedName>
    <definedName name="Excel_BuiltIn_Print_Area_5" localSheetId="28">#REF!</definedName>
    <definedName name="Excel_BuiltIn_Print_Area_5" localSheetId="13">#REF!</definedName>
    <definedName name="Excel_BuiltIn_Print_Area_5" localSheetId="14">#REF!</definedName>
    <definedName name="Excel_BuiltIn_Print_Area_5" localSheetId="16">#REF!</definedName>
    <definedName name="Excel_BuiltIn_Print_Area_5" localSheetId="17">#REF!</definedName>
    <definedName name="Excel_BuiltIn_Print_Area_5" localSheetId="44">#REF!</definedName>
    <definedName name="Excel_BuiltIn_Print_Area_5" localSheetId="43">#REF!</definedName>
    <definedName name="Excel_BuiltIn_Print_Area_5" localSheetId="47">#REF!</definedName>
    <definedName name="Excel_BuiltIn_Print_Area_5" localSheetId="46">#REF!</definedName>
    <definedName name="Excel_BuiltIn_Print_Area_5" localSheetId="45">#REF!</definedName>
    <definedName name="Excel_BuiltIn_Print_Area_5" localSheetId="48">#REF!</definedName>
    <definedName name="Excel_BuiltIn_Print_Area_5" localSheetId="49">#REF!</definedName>
    <definedName name="Excel_BuiltIn_Print_Area_5" localSheetId="3">#REF!</definedName>
    <definedName name="Excel_BuiltIn_Print_Area_5" localSheetId="4">#REF!</definedName>
    <definedName name="Excel_BuiltIn_Print_Area_5" localSheetId="5">#REF!</definedName>
    <definedName name="Excel_BuiltIn_Print_Area_5" localSheetId="6">#REF!</definedName>
    <definedName name="Excel_BuiltIn_Print_Area_5" localSheetId="7">#REF!</definedName>
    <definedName name="Excel_BuiltIn_Print_Area_5" localSheetId="10">#REF!</definedName>
    <definedName name="Excel_BuiltIn_Print_Area_5" localSheetId="11">#REF!</definedName>
    <definedName name="Excel_BuiltIn_Print_Area_5" localSheetId="9">#REF!</definedName>
    <definedName name="Excel_BuiltIn_Print_Area_5" localSheetId="8">#REF!</definedName>
    <definedName name="Excel_BuiltIn_Print_Area_5" localSheetId="12">#REF!</definedName>
    <definedName name="Excel_BuiltIn_Print_Area_5" localSheetId="32">#REF!</definedName>
    <definedName name="Excel_BuiltIn_Print_Area_5" localSheetId="50">#REF!</definedName>
    <definedName name="Excel_BuiltIn_Print_Area_5" localSheetId="42">#REF!</definedName>
    <definedName name="Excel_BuiltIn_Print_Area_5" localSheetId="31">#REF!</definedName>
    <definedName name="Excel_BuiltIn_Print_Area_5">#REF!</definedName>
    <definedName name="Excel_BuiltIn_Print_Titles_1" localSheetId="33">#REF!</definedName>
    <definedName name="Excel_BuiltIn_Print_Titles_1" localSheetId="37">#REF!</definedName>
    <definedName name="Excel_BuiltIn_Print_Titles_1" localSheetId="38">#REF!</definedName>
    <definedName name="Excel_BuiltIn_Print_Titles_1" localSheetId="36">#REF!</definedName>
    <definedName name="Excel_BuiltIn_Print_Titles_1" localSheetId="39">#REF!</definedName>
    <definedName name="Excel_BuiltIn_Print_Titles_1" localSheetId="35">#REF!</definedName>
    <definedName name="Excel_BuiltIn_Print_Titles_1" localSheetId="40">#REF!</definedName>
    <definedName name="Excel_BuiltIn_Print_Titles_1" localSheetId="41">#REF!</definedName>
    <definedName name="Excel_BuiltIn_Print_Titles_1" localSheetId="34">#REF!</definedName>
    <definedName name="Excel_BuiltIn_Print_Titles_1" localSheetId="25">#REF!</definedName>
    <definedName name="Excel_BuiltIn_Print_Titles_1" localSheetId="26">#REF!</definedName>
    <definedName name="Excel_BuiltIn_Print_Titles_1" localSheetId="27">#REF!</definedName>
    <definedName name="Excel_BuiltIn_Print_Titles_1" localSheetId="18">#REF!</definedName>
    <definedName name="Excel_BuiltIn_Print_Titles_1" localSheetId="20">#REF!</definedName>
    <definedName name="Excel_BuiltIn_Print_Titles_1" localSheetId="19">#REF!</definedName>
    <definedName name="Excel_BuiltIn_Print_Titles_1" localSheetId="22">#REF!</definedName>
    <definedName name="Excel_BuiltIn_Print_Titles_1" localSheetId="21">#REF!</definedName>
    <definedName name="Excel_BuiltIn_Print_Titles_1" localSheetId="23">#REF!</definedName>
    <definedName name="Excel_BuiltIn_Print_Titles_1" localSheetId="24">#REF!</definedName>
    <definedName name="Excel_BuiltIn_Print_Titles_1" localSheetId="15">#REF!</definedName>
    <definedName name="Excel_BuiltIn_Print_Titles_1" localSheetId="29">#REF!</definedName>
    <definedName name="Excel_BuiltIn_Print_Titles_1" localSheetId="30">#REF!</definedName>
    <definedName name="Excel_BuiltIn_Print_Titles_1" localSheetId="28">#REF!</definedName>
    <definedName name="Excel_BuiltIn_Print_Titles_1" localSheetId="13">#REF!</definedName>
    <definedName name="Excel_BuiltIn_Print_Titles_1" localSheetId="14">#REF!</definedName>
    <definedName name="Excel_BuiltIn_Print_Titles_1" localSheetId="16">#REF!</definedName>
    <definedName name="Excel_BuiltIn_Print_Titles_1" localSheetId="17">#REF!</definedName>
    <definedName name="Excel_BuiltIn_Print_Titles_1" localSheetId="44">#REF!</definedName>
    <definedName name="Excel_BuiltIn_Print_Titles_1" localSheetId="43">#REF!</definedName>
    <definedName name="Excel_BuiltIn_Print_Titles_1" localSheetId="47">#REF!</definedName>
    <definedName name="Excel_BuiltIn_Print_Titles_1" localSheetId="46">#REF!</definedName>
    <definedName name="Excel_BuiltIn_Print_Titles_1" localSheetId="45">#REF!</definedName>
    <definedName name="Excel_BuiltIn_Print_Titles_1" localSheetId="48">#REF!</definedName>
    <definedName name="Excel_BuiltIn_Print_Titles_1" localSheetId="49">#REF!</definedName>
    <definedName name="Excel_BuiltIn_Print_Titles_1" localSheetId="3">#REF!</definedName>
    <definedName name="Excel_BuiltIn_Print_Titles_1" localSheetId="4">#REF!</definedName>
    <definedName name="Excel_BuiltIn_Print_Titles_1" localSheetId="5">#REF!</definedName>
    <definedName name="Excel_BuiltIn_Print_Titles_1" localSheetId="6">#REF!</definedName>
    <definedName name="Excel_BuiltIn_Print_Titles_1" localSheetId="7">#REF!</definedName>
    <definedName name="Excel_BuiltIn_Print_Titles_1" localSheetId="10">#REF!</definedName>
    <definedName name="Excel_BuiltIn_Print_Titles_1" localSheetId="11">#REF!</definedName>
    <definedName name="Excel_BuiltIn_Print_Titles_1" localSheetId="9">#REF!</definedName>
    <definedName name="Excel_BuiltIn_Print_Titles_1" localSheetId="8">#REF!</definedName>
    <definedName name="Excel_BuiltIn_Print_Titles_1" localSheetId="12">#REF!</definedName>
    <definedName name="Excel_BuiltIn_Print_Titles_1" localSheetId="32">#REF!</definedName>
    <definedName name="Excel_BuiltIn_Print_Titles_1" localSheetId="50">#REF!</definedName>
    <definedName name="Excel_BuiltIn_Print_Titles_1" localSheetId="42">#REF!</definedName>
    <definedName name="Excel_BuiltIn_Print_Titles_1" localSheetId="31">#REF!</definedName>
    <definedName name="Excel_BuiltIn_Print_Titles_1">#REF!</definedName>
    <definedName name="FE" localSheetId="33">#REF!</definedName>
    <definedName name="FE" localSheetId="37">#REF!</definedName>
    <definedName name="FE" localSheetId="38">#REF!</definedName>
    <definedName name="FE" localSheetId="36">#REF!</definedName>
    <definedName name="FE" localSheetId="39">#REF!</definedName>
    <definedName name="FE" localSheetId="35">#REF!</definedName>
    <definedName name="FE" localSheetId="40">#REF!</definedName>
    <definedName name="FE" localSheetId="41">#REF!</definedName>
    <definedName name="FE" localSheetId="34">#REF!</definedName>
    <definedName name="FE" localSheetId="25">#REF!</definedName>
    <definedName name="FE" localSheetId="26">#REF!</definedName>
    <definedName name="FE" localSheetId="27">#REF!</definedName>
    <definedName name="FE" localSheetId="18">#REF!</definedName>
    <definedName name="FE" localSheetId="20">#REF!</definedName>
    <definedName name="FE" localSheetId="19">#REF!</definedName>
    <definedName name="FE" localSheetId="22">#REF!</definedName>
    <definedName name="FE" localSheetId="21">#REF!</definedName>
    <definedName name="FE" localSheetId="23">#REF!</definedName>
    <definedName name="FE" localSheetId="24">#REF!</definedName>
    <definedName name="FE" localSheetId="15">#REF!</definedName>
    <definedName name="FE" localSheetId="29">#REF!</definedName>
    <definedName name="FE" localSheetId="30">#REF!</definedName>
    <definedName name="FE" localSheetId="28">#REF!</definedName>
    <definedName name="FE" localSheetId="13">#REF!</definedName>
    <definedName name="FE" localSheetId="14">#REF!</definedName>
    <definedName name="FE" localSheetId="16">#REF!</definedName>
    <definedName name="FE" localSheetId="17">#REF!</definedName>
    <definedName name="FE" localSheetId="44">#REF!</definedName>
    <definedName name="FE" localSheetId="43">#REF!</definedName>
    <definedName name="FE" localSheetId="47">#REF!</definedName>
    <definedName name="FE" localSheetId="46">#REF!</definedName>
    <definedName name="FE" localSheetId="45">#REF!</definedName>
    <definedName name="FE" localSheetId="48">#REF!</definedName>
    <definedName name="FE" localSheetId="49">#REF!</definedName>
    <definedName name="FE" localSheetId="3">#REF!</definedName>
    <definedName name="FE" localSheetId="4">#REF!</definedName>
    <definedName name="FE" localSheetId="5">#REF!</definedName>
    <definedName name="FE" localSheetId="6">#REF!</definedName>
    <definedName name="FE" localSheetId="7">#REF!</definedName>
    <definedName name="FE" localSheetId="10">#REF!</definedName>
    <definedName name="FE" localSheetId="11">#REF!</definedName>
    <definedName name="FE" localSheetId="9">#REF!</definedName>
    <definedName name="FE" localSheetId="8">#REF!</definedName>
    <definedName name="FE" localSheetId="12">#REF!</definedName>
    <definedName name="FE" localSheetId="32">#REF!</definedName>
    <definedName name="FE" localSheetId="50">#REF!</definedName>
    <definedName name="FE" localSheetId="42">#REF!</definedName>
    <definedName name="FE" localSheetId="31">#REF!</definedName>
    <definedName name="FE">#REF!</definedName>
    <definedName name="fgs" localSheetId="33">#REF!</definedName>
    <definedName name="fgs" localSheetId="37">#REF!</definedName>
    <definedName name="fgs" localSheetId="38">#REF!</definedName>
    <definedName name="fgs" localSheetId="36">#REF!</definedName>
    <definedName name="fgs" localSheetId="39">#REF!</definedName>
    <definedName name="fgs" localSheetId="35">#REF!</definedName>
    <definedName name="fgs" localSheetId="40">#REF!</definedName>
    <definedName name="fgs" localSheetId="41">#REF!</definedName>
    <definedName name="fgs" localSheetId="34">#REF!</definedName>
    <definedName name="fgs" localSheetId="25">#REF!</definedName>
    <definedName name="fgs" localSheetId="26">#REF!</definedName>
    <definedName name="fgs" localSheetId="27">#REF!</definedName>
    <definedName name="fgs" localSheetId="18">#REF!</definedName>
    <definedName name="fgs" localSheetId="20">#REF!</definedName>
    <definedName name="fgs" localSheetId="19">#REF!</definedName>
    <definedName name="fgs" localSheetId="22">#REF!</definedName>
    <definedName name="fgs" localSheetId="21">#REF!</definedName>
    <definedName name="fgs" localSheetId="23">#REF!</definedName>
    <definedName name="fgs" localSheetId="24">#REF!</definedName>
    <definedName name="fgs" localSheetId="15">#REF!</definedName>
    <definedName name="fgs" localSheetId="29">#REF!</definedName>
    <definedName name="fgs" localSheetId="30">#REF!</definedName>
    <definedName name="fgs" localSheetId="28">#REF!</definedName>
    <definedName name="fgs" localSheetId="13">#REF!</definedName>
    <definedName name="fgs" localSheetId="14">#REF!</definedName>
    <definedName name="fgs" localSheetId="16">#REF!</definedName>
    <definedName name="fgs" localSheetId="17">#REF!</definedName>
    <definedName name="fgs" localSheetId="44">#REF!</definedName>
    <definedName name="fgs" localSheetId="43">#REF!</definedName>
    <definedName name="fgs" localSheetId="47">#REF!</definedName>
    <definedName name="fgs" localSheetId="46">#REF!</definedName>
    <definedName name="fgs" localSheetId="45">#REF!</definedName>
    <definedName name="fgs" localSheetId="48">#REF!</definedName>
    <definedName name="fgs" localSheetId="49">#REF!</definedName>
    <definedName name="fgs" localSheetId="3">#REF!</definedName>
    <definedName name="fgs" localSheetId="4">#REF!</definedName>
    <definedName name="fgs" localSheetId="5">#REF!</definedName>
    <definedName name="fgs" localSheetId="6">#REF!</definedName>
    <definedName name="fgs" localSheetId="7">#REF!</definedName>
    <definedName name="fgs" localSheetId="10">#REF!</definedName>
    <definedName name="fgs" localSheetId="11">#REF!</definedName>
    <definedName name="fgs" localSheetId="9">#REF!</definedName>
    <definedName name="fgs" localSheetId="8">#REF!</definedName>
    <definedName name="fgs" localSheetId="12">#REF!</definedName>
    <definedName name="fgs" localSheetId="32">#REF!</definedName>
    <definedName name="fgs" localSheetId="50">#REF!</definedName>
    <definedName name="fgs" localSheetId="42">#REF!</definedName>
    <definedName name="fgs" localSheetId="31">#REF!</definedName>
    <definedName name="fgs">#REF!</definedName>
    <definedName name="FH" localSheetId="33">#REF!</definedName>
    <definedName name="FH" localSheetId="37">#REF!</definedName>
    <definedName name="FH" localSheetId="38">#REF!</definedName>
    <definedName name="FH" localSheetId="36">#REF!</definedName>
    <definedName name="FH" localSheetId="39">#REF!</definedName>
    <definedName name="FH" localSheetId="35">#REF!</definedName>
    <definedName name="FH" localSheetId="40">#REF!</definedName>
    <definedName name="FH" localSheetId="41">#REF!</definedName>
    <definedName name="FH" localSheetId="34">#REF!</definedName>
    <definedName name="FH" localSheetId="25">#REF!</definedName>
    <definedName name="FH" localSheetId="26">#REF!</definedName>
    <definedName name="FH" localSheetId="27">#REF!</definedName>
    <definedName name="FH" localSheetId="18">#REF!</definedName>
    <definedName name="FH" localSheetId="20">#REF!</definedName>
    <definedName name="FH" localSheetId="19">#REF!</definedName>
    <definedName name="FH" localSheetId="22">#REF!</definedName>
    <definedName name="FH" localSheetId="21">#REF!</definedName>
    <definedName name="FH" localSheetId="23">#REF!</definedName>
    <definedName name="FH" localSheetId="24">#REF!</definedName>
    <definedName name="FH" localSheetId="15">#REF!</definedName>
    <definedName name="FH" localSheetId="29">#REF!</definedName>
    <definedName name="FH" localSheetId="30">#REF!</definedName>
    <definedName name="FH" localSheetId="28">#REF!</definedName>
    <definedName name="FH" localSheetId="13">#REF!</definedName>
    <definedName name="FH" localSheetId="14">#REF!</definedName>
    <definedName name="FH" localSheetId="16">#REF!</definedName>
    <definedName name="FH" localSheetId="17">#REF!</definedName>
    <definedName name="FH" localSheetId="44">#REF!</definedName>
    <definedName name="FH" localSheetId="43">#REF!</definedName>
    <definedName name="FH" localSheetId="47">#REF!</definedName>
    <definedName name="FH" localSheetId="46">#REF!</definedName>
    <definedName name="FH" localSheetId="45">#REF!</definedName>
    <definedName name="FH" localSheetId="48">#REF!</definedName>
    <definedName name="FH" localSheetId="49">#REF!</definedName>
    <definedName name="FH" localSheetId="3">#REF!</definedName>
    <definedName name="FH" localSheetId="4">#REF!</definedName>
    <definedName name="FH" localSheetId="5">#REF!</definedName>
    <definedName name="FH" localSheetId="6">#REF!</definedName>
    <definedName name="FH" localSheetId="7">#REF!</definedName>
    <definedName name="FH" localSheetId="10">#REF!</definedName>
    <definedName name="FH" localSheetId="11">#REF!</definedName>
    <definedName name="FH" localSheetId="9">#REF!</definedName>
    <definedName name="FH" localSheetId="8">#REF!</definedName>
    <definedName name="FH" localSheetId="12">#REF!</definedName>
    <definedName name="FH" localSheetId="32">#REF!</definedName>
    <definedName name="FH" localSheetId="50">#REF!</definedName>
    <definedName name="FH" localSheetId="42">#REF!</definedName>
    <definedName name="FH" localSheetId="31">#REF!</definedName>
    <definedName name="FH">#REF!</definedName>
    <definedName name="FHDF" localSheetId="33">#REF!</definedName>
    <definedName name="FHDF" localSheetId="37">#REF!</definedName>
    <definedName name="FHDF" localSheetId="38">#REF!</definedName>
    <definedName name="FHDF" localSheetId="36">#REF!</definedName>
    <definedName name="FHDF" localSheetId="39">#REF!</definedName>
    <definedName name="FHDF" localSheetId="35">#REF!</definedName>
    <definedName name="FHDF" localSheetId="40">#REF!</definedName>
    <definedName name="FHDF" localSheetId="41">#REF!</definedName>
    <definedName name="FHDF" localSheetId="34">#REF!</definedName>
    <definedName name="FHDF" localSheetId="25">#REF!</definedName>
    <definedName name="FHDF" localSheetId="26">#REF!</definedName>
    <definedName name="FHDF" localSheetId="27">#REF!</definedName>
    <definedName name="FHDF" localSheetId="18">#REF!</definedName>
    <definedName name="FHDF" localSheetId="20">#REF!</definedName>
    <definedName name="FHDF" localSheetId="19">#REF!</definedName>
    <definedName name="FHDF" localSheetId="22">#REF!</definedName>
    <definedName name="FHDF" localSheetId="21">#REF!</definedName>
    <definedName name="FHDF" localSheetId="23">#REF!</definedName>
    <definedName name="FHDF" localSheetId="24">#REF!</definedName>
    <definedName name="FHDF" localSheetId="15">#REF!</definedName>
    <definedName name="FHDF" localSheetId="29">#REF!</definedName>
    <definedName name="FHDF" localSheetId="30">#REF!</definedName>
    <definedName name="FHDF" localSheetId="28">#REF!</definedName>
    <definedName name="FHDF" localSheetId="13">#REF!</definedName>
    <definedName name="FHDF" localSheetId="14">#REF!</definedName>
    <definedName name="FHDF" localSheetId="16">#REF!</definedName>
    <definedName name="FHDF" localSheetId="17">#REF!</definedName>
    <definedName name="FHDF" localSheetId="44">#REF!</definedName>
    <definedName name="FHDF" localSheetId="43">#REF!</definedName>
    <definedName name="FHDF" localSheetId="47">#REF!</definedName>
    <definedName name="FHDF" localSheetId="46">#REF!</definedName>
    <definedName name="FHDF" localSheetId="45">#REF!</definedName>
    <definedName name="FHDF" localSheetId="48">#REF!</definedName>
    <definedName name="FHDF" localSheetId="49">#REF!</definedName>
    <definedName name="FHDF" localSheetId="3">#REF!</definedName>
    <definedName name="FHDF" localSheetId="4">#REF!</definedName>
    <definedName name="FHDF" localSheetId="5">#REF!</definedName>
    <definedName name="FHDF" localSheetId="6">#REF!</definedName>
    <definedName name="FHDF" localSheetId="7">#REF!</definedName>
    <definedName name="FHDF" localSheetId="10">#REF!</definedName>
    <definedName name="FHDF" localSheetId="11">#REF!</definedName>
    <definedName name="FHDF" localSheetId="9">#REF!</definedName>
    <definedName name="FHDF" localSheetId="8">#REF!</definedName>
    <definedName name="FHDF" localSheetId="12">#REF!</definedName>
    <definedName name="FHDF" localSheetId="32">#REF!</definedName>
    <definedName name="FHDF" localSheetId="50">#REF!</definedName>
    <definedName name="FHDF" localSheetId="42">#REF!</definedName>
    <definedName name="FHDF" localSheetId="31">#REF!</definedName>
    <definedName name="FHDF">#REF!</definedName>
    <definedName name="FRT" localSheetId="33">#REF!</definedName>
    <definedName name="FRT" localSheetId="37">#REF!</definedName>
    <definedName name="FRT" localSheetId="38">#REF!</definedName>
    <definedName name="FRT" localSheetId="36">#REF!</definedName>
    <definedName name="FRT" localSheetId="39">#REF!</definedName>
    <definedName name="FRT" localSheetId="35">#REF!</definedName>
    <definedName name="FRT" localSheetId="40">#REF!</definedName>
    <definedName name="FRT" localSheetId="41">#REF!</definedName>
    <definedName name="FRT" localSheetId="34">#REF!</definedName>
    <definedName name="FRT" localSheetId="25">#REF!</definedName>
    <definedName name="FRT" localSheetId="26">#REF!</definedName>
    <definedName name="FRT" localSheetId="27">#REF!</definedName>
    <definedName name="FRT" localSheetId="18">#REF!</definedName>
    <definedName name="FRT" localSheetId="20">#REF!</definedName>
    <definedName name="FRT" localSheetId="19">#REF!</definedName>
    <definedName name="FRT" localSheetId="22">#REF!</definedName>
    <definedName name="FRT" localSheetId="21">#REF!</definedName>
    <definedName name="FRT" localSheetId="23">#REF!</definedName>
    <definedName name="FRT" localSheetId="24">#REF!</definedName>
    <definedName name="FRT" localSheetId="15">#REF!</definedName>
    <definedName name="FRT" localSheetId="29">#REF!</definedName>
    <definedName name="FRT" localSheetId="30">#REF!</definedName>
    <definedName name="FRT" localSheetId="28">#REF!</definedName>
    <definedName name="FRT" localSheetId="13">#REF!</definedName>
    <definedName name="FRT" localSheetId="14">#REF!</definedName>
    <definedName name="FRT" localSheetId="16">#REF!</definedName>
    <definedName name="FRT" localSheetId="17">#REF!</definedName>
    <definedName name="FRT" localSheetId="44">#REF!</definedName>
    <definedName name="FRT" localSheetId="43">#REF!</definedName>
    <definedName name="FRT" localSheetId="47">#REF!</definedName>
    <definedName name="FRT" localSheetId="46">#REF!</definedName>
    <definedName name="FRT" localSheetId="45">#REF!</definedName>
    <definedName name="FRT" localSheetId="48">#REF!</definedName>
    <definedName name="FRT" localSheetId="49">#REF!</definedName>
    <definedName name="FRT" localSheetId="3">#REF!</definedName>
    <definedName name="FRT" localSheetId="4">#REF!</definedName>
    <definedName name="FRT" localSheetId="5">#REF!</definedName>
    <definedName name="FRT" localSheetId="6">#REF!</definedName>
    <definedName name="FRT" localSheetId="7">#REF!</definedName>
    <definedName name="FRT" localSheetId="10">#REF!</definedName>
    <definedName name="FRT" localSheetId="11">#REF!</definedName>
    <definedName name="FRT" localSheetId="9">#REF!</definedName>
    <definedName name="FRT" localSheetId="8">#REF!</definedName>
    <definedName name="FRT" localSheetId="12">#REF!</definedName>
    <definedName name="FRT" localSheetId="32">#REF!</definedName>
    <definedName name="FRT" localSheetId="50">#REF!</definedName>
    <definedName name="FRT" localSheetId="42">#REF!</definedName>
    <definedName name="FRT" localSheetId="31">#REF!</definedName>
    <definedName name="FRT">#REF!</definedName>
    <definedName name="FSDF" localSheetId="33">#REF!</definedName>
    <definedName name="FSDF" localSheetId="37">#REF!</definedName>
    <definedName name="FSDF" localSheetId="38">#REF!</definedName>
    <definedName name="FSDF" localSheetId="36">#REF!</definedName>
    <definedName name="FSDF" localSheetId="39">#REF!</definedName>
    <definedName name="FSDF" localSheetId="35">#REF!</definedName>
    <definedName name="FSDF" localSheetId="40">#REF!</definedName>
    <definedName name="FSDF" localSheetId="41">#REF!</definedName>
    <definedName name="FSDF" localSheetId="34">#REF!</definedName>
    <definedName name="FSDF" localSheetId="25">#REF!</definedName>
    <definedName name="FSDF" localSheetId="26">#REF!</definedName>
    <definedName name="FSDF" localSheetId="27">#REF!</definedName>
    <definedName name="FSDF" localSheetId="18">#REF!</definedName>
    <definedName name="FSDF" localSheetId="20">#REF!</definedName>
    <definedName name="FSDF" localSheetId="19">#REF!</definedName>
    <definedName name="FSDF" localSheetId="22">#REF!</definedName>
    <definedName name="FSDF" localSheetId="21">#REF!</definedName>
    <definedName name="FSDF" localSheetId="23">#REF!</definedName>
    <definedName name="FSDF" localSheetId="24">#REF!</definedName>
    <definedName name="FSDF" localSheetId="15">#REF!</definedName>
    <definedName name="FSDF" localSheetId="29">#REF!</definedName>
    <definedName name="FSDF" localSheetId="30">#REF!</definedName>
    <definedName name="FSDF" localSheetId="28">#REF!</definedName>
    <definedName name="FSDF" localSheetId="13">#REF!</definedName>
    <definedName name="FSDF" localSheetId="14">#REF!</definedName>
    <definedName name="FSDF" localSheetId="16">#REF!</definedName>
    <definedName name="FSDF" localSheetId="17">#REF!</definedName>
    <definedName name="FSDF" localSheetId="44">#REF!</definedName>
    <definedName name="FSDF" localSheetId="43">#REF!</definedName>
    <definedName name="FSDF" localSheetId="47">#REF!</definedName>
    <definedName name="FSDF" localSheetId="46">#REF!</definedName>
    <definedName name="FSDF" localSheetId="45">#REF!</definedName>
    <definedName name="FSDF" localSheetId="48">#REF!</definedName>
    <definedName name="FSDF" localSheetId="49">#REF!</definedName>
    <definedName name="FSDF" localSheetId="3">#REF!</definedName>
    <definedName name="FSDF" localSheetId="4">#REF!</definedName>
    <definedName name="FSDF" localSheetId="5">#REF!</definedName>
    <definedName name="FSDF" localSheetId="6">#REF!</definedName>
    <definedName name="FSDF" localSheetId="7">#REF!</definedName>
    <definedName name="FSDF" localSheetId="10">#REF!</definedName>
    <definedName name="FSDF" localSheetId="11">#REF!</definedName>
    <definedName name="FSDF" localSheetId="9">#REF!</definedName>
    <definedName name="FSDF" localSheetId="8">#REF!</definedName>
    <definedName name="FSDF" localSheetId="12">#REF!</definedName>
    <definedName name="FSDF" localSheetId="32">#REF!</definedName>
    <definedName name="FSDF" localSheetId="50">#REF!</definedName>
    <definedName name="FSDF" localSheetId="42">#REF!</definedName>
    <definedName name="FSDF" localSheetId="31">#REF!</definedName>
    <definedName name="FSDF">#REF!</definedName>
    <definedName name="G" localSheetId="33">#REF!</definedName>
    <definedName name="G" localSheetId="37">#REF!</definedName>
    <definedName name="G" localSheetId="38">#REF!</definedName>
    <definedName name="G" localSheetId="36">#REF!</definedName>
    <definedName name="G" localSheetId="39">#REF!</definedName>
    <definedName name="G" localSheetId="35">#REF!</definedName>
    <definedName name="G" localSheetId="40">#REF!</definedName>
    <definedName name="G" localSheetId="41">#REF!</definedName>
    <definedName name="G" localSheetId="34">#REF!</definedName>
    <definedName name="G" localSheetId="25">#REF!</definedName>
    <definedName name="G" localSheetId="26">#REF!</definedName>
    <definedName name="G" localSheetId="27">#REF!</definedName>
    <definedName name="G" localSheetId="18">#REF!</definedName>
    <definedName name="G" localSheetId="20">#REF!</definedName>
    <definedName name="G" localSheetId="19">#REF!</definedName>
    <definedName name="G" localSheetId="22">#REF!</definedName>
    <definedName name="G" localSheetId="21">#REF!</definedName>
    <definedName name="G" localSheetId="23">#REF!</definedName>
    <definedName name="G" localSheetId="24">#REF!</definedName>
    <definedName name="G" localSheetId="15">#REF!</definedName>
    <definedName name="G" localSheetId="29">#REF!</definedName>
    <definedName name="G" localSheetId="30">#REF!</definedName>
    <definedName name="G" localSheetId="28">#REF!</definedName>
    <definedName name="G" localSheetId="13">#REF!</definedName>
    <definedName name="G" localSheetId="14">#REF!</definedName>
    <definedName name="G" localSheetId="16">#REF!</definedName>
    <definedName name="G" localSheetId="17">#REF!</definedName>
    <definedName name="G" localSheetId="44">#REF!</definedName>
    <definedName name="G" localSheetId="43">#REF!</definedName>
    <definedName name="G" localSheetId="47">#REF!</definedName>
    <definedName name="G" localSheetId="46">#REF!</definedName>
    <definedName name="G" localSheetId="45">#REF!</definedName>
    <definedName name="G" localSheetId="48">#REF!</definedName>
    <definedName name="G" localSheetId="49">#REF!</definedName>
    <definedName name="G" localSheetId="3">#REF!</definedName>
    <definedName name="G" localSheetId="4">#REF!</definedName>
    <definedName name="G" localSheetId="5">#REF!</definedName>
    <definedName name="G" localSheetId="6">#REF!</definedName>
    <definedName name="G" localSheetId="7">#REF!</definedName>
    <definedName name="G" localSheetId="10">#REF!</definedName>
    <definedName name="G" localSheetId="11">#REF!</definedName>
    <definedName name="G" localSheetId="9">#REF!</definedName>
    <definedName name="G" localSheetId="8">#REF!</definedName>
    <definedName name="G" localSheetId="12">#REF!</definedName>
    <definedName name="G" localSheetId="32">#REF!</definedName>
    <definedName name="G" localSheetId="50">#REF!</definedName>
    <definedName name="G" localSheetId="42">#REF!</definedName>
    <definedName name="G" localSheetId="31">#REF!</definedName>
    <definedName name="G">#REF!</definedName>
    <definedName name="GAERGER" localSheetId="33">#REF!</definedName>
    <definedName name="GAERGER" localSheetId="37">#REF!</definedName>
    <definedName name="GAERGER" localSheetId="38">#REF!</definedName>
    <definedName name="GAERGER" localSheetId="36">#REF!</definedName>
    <definedName name="GAERGER" localSheetId="39">#REF!</definedName>
    <definedName name="GAERGER" localSheetId="35">#REF!</definedName>
    <definedName name="GAERGER" localSheetId="40">#REF!</definedName>
    <definedName name="GAERGER" localSheetId="41">#REF!</definedName>
    <definedName name="GAERGER" localSheetId="34">#REF!</definedName>
    <definedName name="GAERGER" localSheetId="25">#REF!</definedName>
    <definedName name="GAERGER" localSheetId="26">#REF!</definedName>
    <definedName name="GAERGER" localSheetId="27">#REF!</definedName>
    <definedName name="GAERGER" localSheetId="18">#REF!</definedName>
    <definedName name="GAERGER" localSheetId="20">#REF!</definedName>
    <definedName name="GAERGER" localSheetId="19">#REF!</definedName>
    <definedName name="GAERGER" localSheetId="22">#REF!</definedName>
    <definedName name="GAERGER" localSheetId="21">#REF!</definedName>
    <definedName name="GAERGER" localSheetId="23">#REF!</definedName>
    <definedName name="GAERGER" localSheetId="24">#REF!</definedName>
    <definedName name="GAERGER" localSheetId="15">#REF!</definedName>
    <definedName name="GAERGER" localSheetId="29">#REF!</definedName>
    <definedName name="GAERGER" localSheetId="30">#REF!</definedName>
    <definedName name="GAERGER" localSheetId="28">#REF!</definedName>
    <definedName name="GAERGER" localSheetId="13">#REF!</definedName>
    <definedName name="GAERGER" localSheetId="14">#REF!</definedName>
    <definedName name="GAERGER" localSheetId="16">#REF!</definedName>
    <definedName name="GAERGER" localSheetId="17">#REF!</definedName>
    <definedName name="GAERGER" localSheetId="44">#REF!</definedName>
    <definedName name="GAERGER" localSheetId="43">#REF!</definedName>
    <definedName name="GAERGER" localSheetId="47">#REF!</definedName>
    <definedName name="GAERGER" localSheetId="46">#REF!</definedName>
    <definedName name="GAERGER" localSheetId="45">#REF!</definedName>
    <definedName name="GAERGER" localSheetId="48">#REF!</definedName>
    <definedName name="GAERGER" localSheetId="49">#REF!</definedName>
    <definedName name="GAERGER" localSheetId="3">#REF!</definedName>
    <definedName name="GAERGER" localSheetId="4">#REF!</definedName>
    <definedName name="GAERGER" localSheetId="5">#REF!</definedName>
    <definedName name="GAERGER" localSheetId="6">#REF!</definedName>
    <definedName name="GAERGER" localSheetId="7">#REF!</definedName>
    <definedName name="GAERGER" localSheetId="10">#REF!</definedName>
    <definedName name="GAERGER" localSheetId="11">#REF!</definedName>
    <definedName name="GAERGER" localSheetId="9">#REF!</definedName>
    <definedName name="GAERGER" localSheetId="8">#REF!</definedName>
    <definedName name="GAERGER" localSheetId="12">#REF!</definedName>
    <definedName name="GAERGER" localSheetId="32">#REF!</definedName>
    <definedName name="GAERGER" localSheetId="50">#REF!</definedName>
    <definedName name="GAERGER" localSheetId="42">#REF!</definedName>
    <definedName name="GAERGER" localSheetId="31">#REF!</definedName>
    <definedName name="GAERGER">#REF!</definedName>
    <definedName name="gfsd" localSheetId="33">#REF!</definedName>
    <definedName name="gfsd" localSheetId="37">#REF!</definedName>
    <definedName name="gfsd" localSheetId="38">#REF!</definedName>
    <definedName name="gfsd" localSheetId="36">#REF!</definedName>
    <definedName name="gfsd" localSheetId="39">#REF!</definedName>
    <definedName name="gfsd" localSheetId="35">#REF!</definedName>
    <definedName name="gfsd" localSheetId="40">#REF!</definedName>
    <definedName name="gfsd" localSheetId="41">#REF!</definedName>
    <definedName name="gfsd" localSheetId="34">#REF!</definedName>
    <definedName name="gfsd" localSheetId="25">#REF!</definedName>
    <definedName name="gfsd" localSheetId="26">#REF!</definedName>
    <definedName name="gfsd" localSheetId="27">#REF!</definedName>
    <definedName name="gfsd" localSheetId="18">#REF!</definedName>
    <definedName name="gfsd" localSheetId="20">#REF!</definedName>
    <definedName name="gfsd" localSheetId="19">#REF!</definedName>
    <definedName name="gfsd" localSheetId="22">#REF!</definedName>
    <definedName name="gfsd" localSheetId="21">#REF!</definedName>
    <definedName name="gfsd" localSheetId="23">#REF!</definedName>
    <definedName name="gfsd" localSheetId="24">#REF!</definedName>
    <definedName name="gfsd" localSheetId="15">#REF!</definedName>
    <definedName name="gfsd" localSheetId="29">#REF!</definedName>
    <definedName name="gfsd" localSheetId="30">#REF!</definedName>
    <definedName name="gfsd" localSheetId="28">#REF!</definedName>
    <definedName name="gfsd" localSheetId="13">#REF!</definedName>
    <definedName name="gfsd" localSheetId="14">#REF!</definedName>
    <definedName name="gfsd" localSheetId="16">#REF!</definedName>
    <definedName name="gfsd" localSheetId="17">#REF!</definedName>
    <definedName name="gfsd" localSheetId="44">#REF!</definedName>
    <definedName name="gfsd" localSheetId="43">#REF!</definedName>
    <definedName name="gfsd" localSheetId="47">#REF!</definedName>
    <definedName name="gfsd" localSheetId="46">#REF!</definedName>
    <definedName name="gfsd" localSheetId="45">#REF!</definedName>
    <definedName name="gfsd" localSheetId="48">#REF!</definedName>
    <definedName name="gfsd" localSheetId="49">#REF!</definedName>
    <definedName name="gfsd" localSheetId="3">#REF!</definedName>
    <definedName name="gfsd" localSheetId="4">#REF!</definedName>
    <definedName name="gfsd" localSheetId="5">#REF!</definedName>
    <definedName name="gfsd" localSheetId="6">#REF!</definedName>
    <definedName name="gfsd" localSheetId="7">#REF!</definedName>
    <definedName name="gfsd" localSheetId="10">#REF!</definedName>
    <definedName name="gfsd" localSheetId="11">#REF!</definedName>
    <definedName name="gfsd" localSheetId="9">#REF!</definedName>
    <definedName name="gfsd" localSheetId="8">#REF!</definedName>
    <definedName name="gfsd" localSheetId="12">#REF!</definedName>
    <definedName name="gfsd" localSheetId="32">#REF!</definedName>
    <definedName name="gfsd" localSheetId="50">#REF!</definedName>
    <definedName name="gfsd" localSheetId="42">#REF!</definedName>
    <definedName name="gfsd" localSheetId="31">#REF!</definedName>
    <definedName name="gfsd">#REF!</definedName>
    <definedName name="GHDF" localSheetId="33">#REF!</definedName>
    <definedName name="GHDF" localSheetId="37">#REF!</definedName>
    <definedName name="GHDF" localSheetId="38">#REF!</definedName>
    <definedName name="GHDF" localSheetId="36">#REF!</definedName>
    <definedName name="GHDF" localSheetId="39">#REF!</definedName>
    <definedName name="GHDF" localSheetId="35">#REF!</definedName>
    <definedName name="GHDF" localSheetId="40">#REF!</definedName>
    <definedName name="GHDF" localSheetId="41">#REF!</definedName>
    <definedName name="GHDF" localSheetId="34">#REF!</definedName>
    <definedName name="GHDF" localSheetId="25">#REF!</definedName>
    <definedName name="GHDF" localSheetId="26">#REF!</definedName>
    <definedName name="GHDF" localSheetId="27">#REF!</definedName>
    <definedName name="GHDF" localSheetId="18">#REF!</definedName>
    <definedName name="GHDF" localSheetId="20">#REF!</definedName>
    <definedName name="GHDF" localSheetId="19">#REF!</definedName>
    <definedName name="GHDF" localSheetId="22">#REF!</definedName>
    <definedName name="GHDF" localSheetId="21">#REF!</definedName>
    <definedName name="GHDF" localSheetId="23">#REF!</definedName>
    <definedName name="GHDF" localSheetId="24">#REF!</definedName>
    <definedName name="GHDF" localSheetId="15">#REF!</definedName>
    <definedName name="GHDF" localSheetId="29">#REF!</definedName>
    <definedName name="GHDF" localSheetId="30">#REF!</definedName>
    <definedName name="GHDF" localSheetId="28">#REF!</definedName>
    <definedName name="GHDF" localSheetId="13">#REF!</definedName>
    <definedName name="GHDF" localSheetId="14">#REF!</definedName>
    <definedName name="GHDF" localSheetId="16">#REF!</definedName>
    <definedName name="GHDF" localSheetId="17">#REF!</definedName>
    <definedName name="GHDF" localSheetId="44">#REF!</definedName>
    <definedName name="GHDF" localSheetId="43">#REF!</definedName>
    <definedName name="GHDF" localSheetId="47">#REF!</definedName>
    <definedName name="GHDF" localSheetId="46">#REF!</definedName>
    <definedName name="GHDF" localSheetId="45">#REF!</definedName>
    <definedName name="GHDF" localSheetId="48">#REF!</definedName>
    <definedName name="GHDF" localSheetId="49">#REF!</definedName>
    <definedName name="GHDF" localSheetId="3">#REF!</definedName>
    <definedName name="GHDF" localSheetId="4">#REF!</definedName>
    <definedName name="GHDF" localSheetId="5">#REF!</definedName>
    <definedName name="GHDF" localSheetId="6">#REF!</definedName>
    <definedName name="GHDF" localSheetId="7">#REF!</definedName>
    <definedName name="GHDF" localSheetId="10">#REF!</definedName>
    <definedName name="GHDF" localSheetId="11">#REF!</definedName>
    <definedName name="GHDF" localSheetId="9">#REF!</definedName>
    <definedName name="GHDF" localSheetId="8">#REF!</definedName>
    <definedName name="GHDF" localSheetId="12">#REF!</definedName>
    <definedName name="GHDF" localSheetId="32">#REF!</definedName>
    <definedName name="GHDF" localSheetId="50">#REF!</definedName>
    <definedName name="GHDF" localSheetId="42">#REF!</definedName>
    <definedName name="GHDF" localSheetId="31">#REF!</definedName>
    <definedName name="GHDF">#REF!</definedName>
    <definedName name="ghf" localSheetId="33">#REF!</definedName>
    <definedName name="ghf" localSheetId="37">#REF!</definedName>
    <definedName name="ghf" localSheetId="38">#REF!</definedName>
    <definedName name="ghf" localSheetId="36">#REF!</definedName>
    <definedName name="ghf" localSheetId="39">#REF!</definedName>
    <definedName name="ghf" localSheetId="35">#REF!</definedName>
    <definedName name="ghf" localSheetId="40">#REF!</definedName>
    <definedName name="ghf" localSheetId="41">#REF!</definedName>
    <definedName name="ghf" localSheetId="34">#REF!</definedName>
    <definedName name="ghf" localSheetId="25">#REF!</definedName>
    <definedName name="ghf" localSheetId="26">#REF!</definedName>
    <definedName name="ghf" localSheetId="27">#REF!</definedName>
    <definedName name="ghf" localSheetId="18">#REF!</definedName>
    <definedName name="ghf" localSheetId="20">#REF!</definedName>
    <definedName name="ghf" localSheetId="19">#REF!</definedName>
    <definedName name="ghf" localSheetId="22">#REF!</definedName>
    <definedName name="ghf" localSheetId="21">#REF!</definedName>
    <definedName name="ghf" localSheetId="23">#REF!</definedName>
    <definedName name="ghf" localSheetId="24">#REF!</definedName>
    <definedName name="ghf" localSheetId="15">#REF!</definedName>
    <definedName name="ghf" localSheetId="29">#REF!</definedName>
    <definedName name="ghf" localSheetId="30">#REF!</definedName>
    <definedName name="ghf" localSheetId="28">#REF!</definedName>
    <definedName name="ghf" localSheetId="13">#REF!</definedName>
    <definedName name="ghf" localSheetId="14">#REF!</definedName>
    <definedName name="ghf" localSheetId="16">#REF!</definedName>
    <definedName name="ghf" localSheetId="17">#REF!</definedName>
    <definedName name="ghf" localSheetId="44">#REF!</definedName>
    <definedName name="ghf" localSheetId="43">#REF!</definedName>
    <definedName name="ghf" localSheetId="47">#REF!</definedName>
    <definedName name="ghf" localSheetId="46">#REF!</definedName>
    <definedName name="ghf" localSheetId="45">#REF!</definedName>
    <definedName name="ghf" localSheetId="48">#REF!</definedName>
    <definedName name="ghf" localSheetId="49">#REF!</definedName>
    <definedName name="ghf" localSheetId="3">#REF!</definedName>
    <definedName name="ghf" localSheetId="4">#REF!</definedName>
    <definedName name="ghf" localSheetId="5">#REF!</definedName>
    <definedName name="ghf" localSheetId="6">#REF!</definedName>
    <definedName name="ghf" localSheetId="7">#REF!</definedName>
    <definedName name="ghf" localSheetId="10">#REF!</definedName>
    <definedName name="ghf" localSheetId="11">#REF!</definedName>
    <definedName name="ghf" localSheetId="9">#REF!</definedName>
    <definedName name="ghf" localSheetId="8">#REF!</definedName>
    <definedName name="ghf" localSheetId="12">#REF!</definedName>
    <definedName name="ghf" localSheetId="32">#REF!</definedName>
    <definedName name="ghf" localSheetId="50">#REF!</definedName>
    <definedName name="ghf" localSheetId="42">#REF!</definedName>
    <definedName name="ghf" localSheetId="31">#REF!</definedName>
    <definedName name="ghf">#REF!</definedName>
    <definedName name="GSD" localSheetId="33">#REF!</definedName>
    <definedName name="GSD" localSheetId="37">#REF!</definedName>
    <definedName name="GSD" localSheetId="38">#REF!</definedName>
    <definedName name="GSD" localSheetId="36">#REF!</definedName>
    <definedName name="GSD" localSheetId="39">#REF!</definedName>
    <definedName name="GSD" localSheetId="35">#REF!</definedName>
    <definedName name="GSD" localSheetId="40">#REF!</definedName>
    <definedName name="GSD" localSheetId="41">#REF!</definedName>
    <definedName name="GSD" localSheetId="34">#REF!</definedName>
    <definedName name="GSD" localSheetId="25">#REF!</definedName>
    <definedName name="GSD" localSheetId="26">#REF!</definedName>
    <definedName name="GSD" localSheetId="27">#REF!</definedName>
    <definedName name="GSD" localSheetId="18">#REF!</definedName>
    <definedName name="GSD" localSheetId="20">#REF!</definedName>
    <definedName name="GSD" localSheetId="19">#REF!</definedName>
    <definedName name="GSD" localSheetId="22">#REF!</definedName>
    <definedName name="GSD" localSheetId="21">#REF!</definedName>
    <definedName name="GSD" localSheetId="23">#REF!</definedName>
    <definedName name="GSD" localSheetId="24">#REF!</definedName>
    <definedName name="GSD" localSheetId="15">#REF!</definedName>
    <definedName name="GSD" localSheetId="29">#REF!</definedName>
    <definedName name="GSD" localSheetId="30">#REF!</definedName>
    <definedName name="GSD" localSheetId="28">#REF!</definedName>
    <definedName name="GSD" localSheetId="13">#REF!</definedName>
    <definedName name="GSD" localSheetId="14">#REF!</definedName>
    <definedName name="GSD" localSheetId="16">#REF!</definedName>
    <definedName name="GSD" localSheetId="17">#REF!</definedName>
    <definedName name="GSD" localSheetId="44">#REF!</definedName>
    <definedName name="GSD" localSheetId="43">#REF!</definedName>
    <definedName name="GSD" localSheetId="47">#REF!</definedName>
    <definedName name="GSD" localSheetId="46">#REF!</definedName>
    <definedName name="GSD" localSheetId="45">#REF!</definedName>
    <definedName name="GSD" localSheetId="48">#REF!</definedName>
    <definedName name="GSD" localSheetId="49">#REF!</definedName>
    <definedName name="GSD" localSheetId="3">#REF!</definedName>
    <definedName name="GSD" localSheetId="4">#REF!</definedName>
    <definedName name="GSD" localSheetId="5">#REF!</definedName>
    <definedName name="GSD" localSheetId="6">#REF!</definedName>
    <definedName name="GSD" localSheetId="7">#REF!</definedName>
    <definedName name="GSD" localSheetId="10">#REF!</definedName>
    <definedName name="GSD" localSheetId="11">#REF!</definedName>
    <definedName name="GSD" localSheetId="9">#REF!</definedName>
    <definedName name="GSD" localSheetId="8">#REF!</definedName>
    <definedName name="GSD" localSheetId="12">#REF!</definedName>
    <definedName name="GSD" localSheetId="32">#REF!</definedName>
    <definedName name="GSD" localSheetId="50">#REF!</definedName>
    <definedName name="GSD" localSheetId="42">#REF!</definedName>
    <definedName name="GSD" localSheetId="31">#REF!</definedName>
    <definedName name="GSD">#REF!</definedName>
    <definedName name="HFDH" localSheetId="33">#REF!</definedName>
    <definedName name="HFDH" localSheetId="37">#REF!</definedName>
    <definedName name="HFDH" localSheetId="38">#REF!</definedName>
    <definedName name="HFDH" localSheetId="36">#REF!</definedName>
    <definedName name="HFDH" localSheetId="39">#REF!</definedName>
    <definedName name="HFDH" localSheetId="35">#REF!</definedName>
    <definedName name="HFDH" localSheetId="40">#REF!</definedName>
    <definedName name="HFDH" localSheetId="41">#REF!</definedName>
    <definedName name="HFDH" localSheetId="34">#REF!</definedName>
    <definedName name="HFDH" localSheetId="25">#REF!</definedName>
    <definedName name="HFDH" localSheetId="26">#REF!</definedName>
    <definedName name="HFDH" localSheetId="27">#REF!</definedName>
    <definedName name="HFDH" localSheetId="18">#REF!</definedName>
    <definedName name="HFDH" localSheetId="20">#REF!</definedName>
    <definedName name="HFDH" localSheetId="19">#REF!</definedName>
    <definedName name="HFDH" localSheetId="22">#REF!</definedName>
    <definedName name="HFDH" localSheetId="21">#REF!</definedName>
    <definedName name="HFDH" localSheetId="23">#REF!</definedName>
    <definedName name="HFDH" localSheetId="24">#REF!</definedName>
    <definedName name="HFDH" localSheetId="15">#REF!</definedName>
    <definedName name="HFDH" localSheetId="29">#REF!</definedName>
    <definedName name="HFDH" localSheetId="30">#REF!</definedName>
    <definedName name="HFDH" localSheetId="28">#REF!</definedName>
    <definedName name="HFDH" localSheetId="13">#REF!</definedName>
    <definedName name="HFDH" localSheetId="14">#REF!</definedName>
    <definedName name="HFDH" localSheetId="16">#REF!</definedName>
    <definedName name="HFDH" localSheetId="17">#REF!</definedName>
    <definedName name="HFDH" localSheetId="44">#REF!</definedName>
    <definedName name="HFDH" localSheetId="43">#REF!</definedName>
    <definedName name="HFDH" localSheetId="47">#REF!</definedName>
    <definedName name="HFDH" localSheetId="46">#REF!</definedName>
    <definedName name="HFDH" localSheetId="45">#REF!</definedName>
    <definedName name="HFDH" localSheetId="48">#REF!</definedName>
    <definedName name="HFDH" localSheetId="49">#REF!</definedName>
    <definedName name="HFDH" localSheetId="3">#REF!</definedName>
    <definedName name="HFDH" localSheetId="4">#REF!</definedName>
    <definedName name="HFDH" localSheetId="5">#REF!</definedName>
    <definedName name="HFDH" localSheetId="6">#REF!</definedName>
    <definedName name="HFDH" localSheetId="7">#REF!</definedName>
    <definedName name="HFDH" localSheetId="10">#REF!</definedName>
    <definedName name="HFDH" localSheetId="11">#REF!</definedName>
    <definedName name="HFDH" localSheetId="9">#REF!</definedName>
    <definedName name="HFDH" localSheetId="8">#REF!</definedName>
    <definedName name="HFDH" localSheetId="12">#REF!</definedName>
    <definedName name="HFDH" localSheetId="32">#REF!</definedName>
    <definedName name="HFDH" localSheetId="50">#REF!</definedName>
    <definedName name="HFDH" localSheetId="42">#REF!</definedName>
    <definedName name="HFDH" localSheetId="31">#REF!</definedName>
    <definedName name="HFDH">#REF!</definedName>
    <definedName name="hfrhsd" localSheetId="33">#REF!</definedName>
    <definedName name="hfrhsd" localSheetId="37">#REF!</definedName>
    <definedName name="hfrhsd" localSheetId="38">#REF!</definedName>
    <definedName name="hfrhsd" localSheetId="36">#REF!</definedName>
    <definedName name="hfrhsd" localSheetId="39">#REF!</definedName>
    <definedName name="hfrhsd" localSheetId="35">#REF!</definedName>
    <definedName name="hfrhsd" localSheetId="40">#REF!</definedName>
    <definedName name="hfrhsd" localSheetId="41">#REF!</definedName>
    <definedName name="hfrhsd" localSheetId="34">#REF!</definedName>
    <definedName name="hfrhsd" localSheetId="25">#REF!</definedName>
    <definedName name="hfrhsd" localSheetId="26">#REF!</definedName>
    <definedName name="hfrhsd" localSheetId="27">#REF!</definedName>
    <definedName name="hfrhsd" localSheetId="18">#REF!</definedName>
    <definedName name="hfrhsd" localSheetId="20">#REF!</definedName>
    <definedName name="hfrhsd" localSheetId="19">#REF!</definedName>
    <definedName name="hfrhsd" localSheetId="22">#REF!</definedName>
    <definedName name="hfrhsd" localSheetId="21">#REF!</definedName>
    <definedName name="hfrhsd" localSheetId="23">#REF!</definedName>
    <definedName name="hfrhsd" localSheetId="24">#REF!</definedName>
    <definedName name="hfrhsd" localSheetId="15">#REF!</definedName>
    <definedName name="hfrhsd" localSheetId="29">#REF!</definedName>
    <definedName name="hfrhsd" localSheetId="30">#REF!</definedName>
    <definedName name="hfrhsd" localSheetId="28">#REF!</definedName>
    <definedName name="hfrhsd" localSheetId="13">#REF!</definedName>
    <definedName name="hfrhsd" localSheetId="14">#REF!</definedName>
    <definedName name="hfrhsd" localSheetId="16">#REF!</definedName>
    <definedName name="hfrhsd" localSheetId="17">#REF!</definedName>
    <definedName name="hfrhsd" localSheetId="44">#REF!</definedName>
    <definedName name="hfrhsd" localSheetId="43">#REF!</definedName>
    <definedName name="hfrhsd" localSheetId="47">#REF!</definedName>
    <definedName name="hfrhsd" localSheetId="46">#REF!</definedName>
    <definedName name="hfrhsd" localSheetId="45">#REF!</definedName>
    <definedName name="hfrhsd" localSheetId="48">#REF!</definedName>
    <definedName name="hfrhsd" localSheetId="49">#REF!</definedName>
    <definedName name="hfrhsd" localSheetId="3">#REF!</definedName>
    <definedName name="hfrhsd" localSheetId="4">#REF!</definedName>
    <definedName name="hfrhsd" localSheetId="5">#REF!</definedName>
    <definedName name="hfrhsd" localSheetId="6">#REF!</definedName>
    <definedName name="hfrhsd" localSheetId="7">#REF!</definedName>
    <definedName name="hfrhsd" localSheetId="10">#REF!</definedName>
    <definedName name="hfrhsd" localSheetId="11">#REF!</definedName>
    <definedName name="hfrhsd" localSheetId="9">#REF!</definedName>
    <definedName name="hfrhsd" localSheetId="8">#REF!</definedName>
    <definedName name="hfrhsd" localSheetId="12">#REF!</definedName>
    <definedName name="hfrhsd" localSheetId="32">#REF!</definedName>
    <definedName name="hfrhsd" localSheetId="50">#REF!</definedName>
    <definedName name="hfrhsd" localSheetId="42">#REF!</definedName>
    <definedName name="hfrhsd" localSheetId="31">#REF!</definedName>
    <definedName name="hfrhsd">#REF!</definedName>
    <definedName name="HGF" localSheetId="33">#REF!</definedName>
    <definedName name="HGF" localSheetId="37">#REF!</definedName>
    <definedName name="HGF" localSheetId="38">#REF!</definedName>
    <definedName name="HGF" localSheetId="36">#REF!</definedName>
    <definedName name="HGF" localSheetId="39">#REF!</definedName>
    <definedName name="HGF" localSheetId="35">#REF!</definedName>
    <definedName name="HGF" localSheetId="40">#REF!</definedName>
    <definedName name="HGF" localSheetId="41">#REF!</definedName>
    <definedName name="HGF" localSheetId="34">#REF!</definedName>
    <definedName name="HGF" localSheetId="25">#REF!</definedName>
    <definedName name="HGF" localSheetId="26">#REF!</definedName>
    <definedName name="HGF" localSheetId="27">#REF!</definedName>
    <definedName name="HGF" localSheetId="18">#REF!</definedName>
    <definedName name="HGF" localSheetId="20">#REF!</definedName>
    <definedName name="HGF" localSheetId="19">#REF!</definedName>
    <definedName name="HGF" localSheetId="22">#REF!</definedName>
    <definedName name="HGF" localSheetId="21">#REF!</definedName>
    <definedName name="HGF" localSheetId="23">#REF!</definedName>
    <definedName name="HGF" localSheetId="24">#REF!</definedName>
    <definedName name="HGF" localSheetId="15">#REF!</definedName>
    <definedName name="HGF" localSheetId="29">#REF!</definedName>
    <definedName name="HGF" localSheetId="30">#REF!</definedName>
    <definedName name="HGF" localSheetId="28">#REF!</definedName>
    <definedName name="HGF" localSheetId="13">#REF!</definedName>
    <definedName name="HGF" localSheetId="14">#REF!</definedName>
    <definedName name="HGF" localSheetId="16">#REF!</definedName>
    <definedName name="HGF" localSheetId="17">#REF!</definedName>
    <definedName name="HGF" localSheetId="44">#REF!</definedName>
    <definedName name="HGF" localSheetId="43">#REF!</definedName>
    <definedName name="HGF" localSheetId="47">#REF!</definedName>
    <definedName name="HGF" localSheetId="46">#REF!</definedName>
    <definedName name="HGF" localSheetId="45">#REF!</definedName>
    <definedName name="HGF" localSheetId="48">#REF!</definedName>
    <definedName name="HGF" localSheetId="49">#REF!</definedName>
    <definedName name="HGF" localSheetId="3">#REF!</definedName>
    <definedName name="HGF" localSheetId="4">#REF!</definedName>
    <definedName name="HGF" localSheetId="5">#REF!</definedName>
    <definedName name="HGF" localSheetId="6">#REF!</definedName>
    <definedName name="HGF" localSheetId="7">#REF!</definedName>
    <definedName name="HGF" localSheetId="10">#REF!</definedName>
    <definedName name="HGF" localSheetId="11">#REF!</definedName>
    <definedName name="HGF" localSheetId="9">#REF!</definedName>
    <definedName name="HGF" localSheetId="8">#REF!</definedName>
    <definedName name="HGF" localSheetId="12">#REF!</definedName>
    <definedName name="HGF" localSheetId="32">#REF!</definedName>
    <definedName name="HGF" localSheetId="50">#REF!</definedName>
    <definedName name="HGF" localSheetId="42">#REF!</definedName>
    <definedName name="HGF" localSheetId="31">#REF!</definedName>
    <definedName name="HGF">#REF!</definedName>
    <definedName name="L" localSheetId="33">#REF!</definedName>
    <definedName name="L" localSheetId="37">#REF!</definedName>
    <definedName name="L" localSheetId="38">#REF!</definedName>
    <definedName name="L" localSheetId="36">#REF!</definedName>
    <definedName name="L" localSheetId="39">#REF!</definedName>
    <definedName name="L" localSheetId="35">#REF!</definedName>
    <definedName name="L" localSheetId="40">#REF!</definedName>
    <definedName name="L" localSheetId="41">#REF!</definedName>
    <definedName name="L" localSheetId="34">#REF!</definedName>
    <definedName name="L" localSheetId="25">#REF!</definedName>
    <definedName name="L" localSheetId="26">#REF!</definedName>
    <definedName name="L" localSheetId="27">#REF!</definedName>
    <definedName name="L" localSheetId="18">#REF!</definedName>
    <definedName name="L" localSheetId="20">#REF!</definedName>
    <definedName name="L" localSheetId="19">#REF!</definedName>
    <definedName name="L" localSheetId="22">#REF!</definedName>
    <definedName name="L" localSheetId="21">#REF!</definedName>
    <definedName name="L" localSheetId="23">#REF!</definedName>
    <definedName name="L" localSheetId="24">#REF!</definedName>
    <definedName name="L" localSheetId="15">#REF!</definedName>
    <definedName name="L" localSheetId="29">#REF!</definedName>
    <definedName name="L" localSheetId="30">#REF!</definedName>
    <definedName name="L" localSheetId="28">#REF!</definedName>
    <definedName name="L" localSheetId="13">#REF!</definedName>
    <definedName name="L" localSheetId="14">#REF!</definedName>
    <definedName name="L" localSheetId="16">#REF!</definedName>
    <definedName name="L" localSheetId="17">#REF!</definedName>
    <definedName name="L" localSheetId="44">#REF!</definedName>
    <definedName name="L" localSheetId="43">#REF!</definedName>
    <definedName name="L" localSheetId="47">#REF!</definedName>
    <definedName name="L" localSheetId="46">#REF!</definedName>
    <definedName name="L" localSheetId="45">#REF!</definedName>
    <definedName name="L" localSheetId="48">#REF!</definedName>
    <definedName name="L" localSheetId="49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 localSheetId="7">#REF!</definedName>
    <definedName name="L" localSheetId="10">#REF!</definedName>
    <definedName name="L" localSheetId="11">#REF!</definedName>
    <definedName name="L" localSheetId="9">#REF!</definedName>
    <definedName name="L" localSheetId="8">#REF!</definedName>
    <definedName name="L" localSheetId="12">#REF!</definedName>
    <definedName name="L" localSheetId="32">#REF!</definedName>
    <definedName name="L" localSheetId="50">#REF!</definedName>
    <definedName name="L" localSheetId="42">#REF!</definedName>
    <definedName name="L" localSheetId="31">#REF!</definedName>
    <definedName name="L">#REF!</definedName>
    <definedName name="_xlnm.Print_Area" localSheetId="33">'1001(1)a 2" -4" San PVC Pipe'!$B$1:$V$51</definedName>
    <definedName name="_xlnm.Print_Area" localSheetId="37">'1002(5) Counter Lavatory'!$B$1:$V$51</definedName>
    <definedName name="_xlnm.Print_Area" localSheetId="38">'1002(5) h Floor Drain'!$B$1:$V$51</definedName>
    <definedName name="_xlnm.Print_Area" localSheetId="36">'1002(5) Kitch SInk'!$B$1:$V$51</definedName>
    <definedName name="_xlnm.Print_Area" localSheetId="39">'1002(5) Soap Holder'!$B$1:$V$51</definedName>
    <definedName name="_xlnm.Print_Area" localSheetId="35">'1002(5) W Closet w acc'!$B$1:$V$51</definedName>
    <definedName name="_xlnm.Print_Area" localSheetId="40">'1002(5)a Shower Head valve'!$B$1:$V$51</definedName>
    <definedName name="_xlnm.Print_Area" localSheetId="41">'1002(5)p Facial Mirror'!$B$1:$V$51</definedName>
    <definedName name="_xlnm.Print_Area" localSheetId="34">'1002(6) Waterline Pipes fitting'!$B$1:$V$51</definedName>
    <definedName name="_xlnm.Print_Area" localSheetId="25">'1003(1) Ceiling'!$B$1:$V$52</definedName>
    <definedName name="_xlnm.Print_Area" localSheetId="26">'1010(2) Hollow Flush Door'!$B$1:$V$52</definedName>
    <definedName name="_xlnm.Print_Area" localSheetId="27">'1010(2) Panel Door'!$B$1:$V$52</definedName>
    <definedName name="_xlnm.Print_Area" localSheetId="18">'1013(1) Corr Metal Roofing'!$B$1:$V$53</definedName>
    <definedName name="_xlnm.Print_Area" localSheetId="20">'1013(2) Metal Roof Acc (Gutter'!$B$1:$V$54</definedName>
    <definedName name="_xlnm.Print_Area" localSheetId="19">'1013(2) Roof ridge flash valley'!$B$1:$V$53</definedName>
    <definedName name="_xlnm.Print_Area" localSheetId="22">'1014 Prepainted Met Sheets RIB'!$B$1:$V$53</definedName>
    <definedName name="_xlnm.Print_Area" localSheetId="21">'1014 Prepainted Met Sheets-Roof'!$B$1:$V$53</definedName>
    <definedName name="_xlnm.Print_Area" localSheetId="23">'1016-Waterproof Cement'!$B$1:$V$52</definedName>
    <definedName name="_xlnm.Print_Area" localSheetId="24">'1018- Tiles'!$B$1:$V$52</definedName>
    <definedName name="_xlnm.Print_Area" localSheetId="15">'1027-Plaster'!$B$1:$V$51</definedName>
    <definedName name="_xlnm.Print_Area" localSheetId="29">'1032-Paint Concrete'!$B$1:$V$52</definedName>
    <definedName name="_xlnm.Print_Area" localSheetId="30">'1032-Paint Metal'!$B$1:$V$52</definedName>
    <definedName name="_xlnm.Print_Area" localSheetId="28">'1043(1) PVC Door'!$B$1:$V$51</definedName>
    <definedName name="_xlnm.Print_Area" localSheetId="13">'1046 4"CHB'!$B$1:$V$52</definedName>
    <definedName name="_xlnm.Print_Area" localSheetId="14">'1046 6" CHB'!$B$1:$V$52</definedName>
    <definedName name="_xlnm.Print_Area" localSheetId="16">'1047(2)b Struc Steel Truss'!$B$1:$V$58</definedName>
    <definedName name="_xlnm.Print_Area" localSheetId="17">'1047(2)C Struc Steel Purlins'!$B$1:$V$50</definedName>
    <definedName name="_xlnm.Print_Area" localSheetId="44">'1100 Junc Utility Box'!$B$1:$V$51</definedName>
    <definedName name="_xlnm.Print_Area" localSheetId="43">'1100(1) Conduit'!$B$1:$V$51</definedName>
    <definedName name="_xlnm.Print_Area" localSheetId="47">'1101 Duplex C Outlet'!$B$1:$V$51</definedName>
    <definedName name="_xlnm.Print_Area" localSheetId="46">'1101 Single C Outlet'!$B$1:$V$51</definedName>
    <definedName name="_xlnm.Print_Area" localSheetId="45">'1101(2) 1.6-5.5 mm2 Elec Wire'!$B$1:$V$51</definedName>
    <definedName name="_xlnm.Print_Area" localSheetId="48">'1102 Panel Board'!$B$1:$V$51</definedName>
    <definedName name="_xlnm.Print_Area" localSheetId="49">'1103(2) Lighting Fixtures'!$B$1:$V$51</definedName>
    <definedName name="_xlnm.Print_Area" localSheetId="3">'800(1) Clearing &amp; Grab'!$B$1:$V$52</definedName>
    <definedName name="_xlnm.Print_Area" localSheetId="4">'800(3)a Ind Remov of Trees'!$B$1:$V$53</definedName>
    <definedName name="_xlnm.Print_Area" localSheetId="5">'803(1)a-Struc Exca Common Soil'!$B$1:$V$48</definedName>
    <definedName name="_xlnm.Print_Area" localSheetId="6">'803(1)a-Struc Exca Soft Rock'!$B$1:$V$49</definedName>
    <definedName name="_xlnm.Print_Area" localSheetId="7">'804(4) Gravel Bedding'!$B$1:$V$47</definedName>
    <definedName name="_xlnm.Print_Area" localSheetId="10">'900(1)c2 Struc Con for footing'!$B$1:$V$52</definedName>
    <definedName name="_xlnm.Print_Area" localSheetId="11">'900(1)Struc Con for beam col su'!$B$1:$V$52</definedName>
    <definedName name="_xlnm.Print_Area" localSheetId="9">'902(1)-Rein St for 2-5storey'!$B$1:$V$57</definedName>
    <definedName name="_xlnm.Print_Area" localSheetId="8">'902(1)-Reinforced S for 1Storey'!$B$1:$V$57</definedName>
    <definedName name="_xlnm.Print_Area" localSheetId="12">'903(2) Formworks for 1-storey'!$B$1:$V$53</definedName>
    <definedName name="_xlnm.Print_Area" localSheetId="2">ABC!$A$1:$O$72</definedName>
    <definedName name="_xlnm.Print_Area" localSheetId="1">BOE!$B$1:$S$37</definedName>
    <definedName name="_xlnm.Print_Area" localSheetId="32">'Other item-Civil Works'!$B$1:$V$51</definedName>
    <definedName name="_xlnm.Print_Area" localSheetId="50">'Other item-Electrical'!$B$1:$V$51</definedName>
    <definedName name="_xlnm.Print_Area" localSheetId="42">'Other item-Plumbing'!$B$1:$V$51</definedName>
    <definedName name="_xlnm.Print_Area" localSheetId="31">'Sliding Glass'!$B$1:$V$51</definedName>
    <definedName name="REG" localSheetId="33">#REF!</definedName>
    <definedName name="REG" localSheetId="37">#REF!</definedName>
    <definedName name="REG" localSheetId="38">#REF!</definedName>
    <definedName name="REG" localSheetId="36">#REF!</definedName>
    <definedName name="REG" localSheetId="39">#REF!</definedName>
    <definedName name="REG" localSheetId="35">#REF!</definedName>
    <definedName name="REG" localSheetId="40">#REF!</definedName>
    <definedName name="REG" localSheetId="41">#REF!</definedName>
    <definedName name="REG" localSheetId="34">#REF!</definedName>
    <definedName name="REG" localSheetId="25">#REF!</definedName>
    <definedName name="REG" localSheetId="26">#REF!</definedName>
    <definedName name="REG" localSheetId="27">#REF!</definedName>
    <definedName name="REG" localSheetId="18">#REF!</definedName>
    <definedName name="REG" localSheetId="20">#REF!</definedName>
    <definedName name="REG" localSheetId="19">#REF!</definedName>
    <definedName name="REG" localSheetId="22">#REF!</definedName>
    <definedName name="REG" localSheetId="21">#REF!</definedName>
    <definedName name="REG" localSheetId="23">#REF!</definedName>
    <definedName name="REG" localSheetId="24">#REF!</definedName>
    <definedName name="REG" localSheetId="15">#REF!</definedName>
    <definedName name="REG" localSheetId="29">#REF!</definedName>
    <definedName name="REG" localSheetId="30">#REF!</definedName>
    <definedName name="REG" localSheetId="28">#REF!</definedName>
    <definedName name="REG" localSheetId="13">#REF!</definedName>
    <definedName name="REG" localSheetId="14">#REF!</definedName>
    <definedName name="REG" localSheetId="16">#REF!</definedName>
    <definedName name="REG" localSheetId="17">#REF!</definedName>
    <definedName name="REG" localSheetId="44">#REF!</definedName>
    <definedName name="REG" localSheetId="43">#REF!</definedName>
    <definedName name="REG" localSheetId="47">#REF!</definedName>
    <definedName name="REG" localSheetId="46">#REF!</definedName>
    <definedName name="REG" localSheetId="45">#REF!</definedName>
    <definedName name="REG" localSheetId="48">#REF!</definedName>
    <definedName name="REG" localSheetId="49">#REF!</definedName>
    <definedName name="REG" localSheetId="3">#REF!</definedName>
    <definedName name="REG" localSheetId="4">#REF!</definedName>
    <definedName name="REG" localSheetId="5">#REF!</definedName>
    <definedName name="REG" localSheetId="6">#REF!</definedName>
    <definedName name="REG" localSheetId="7">#REF!</definedName>
    <definedName name="REG" localSheetId="10">#REF!</definedName>
    <definedName name="REG" localSheetId="11">#REF!</definedName>
    <definedName name="REG" localSheetId="9">#REF!</definedName>
    <definedName name="REG" localSheetId="8">#REF!</definedName>
    <definedName name="REG" localSheetId="12">#REF!</definedName>
    <definedName name="REG" localSheetId="32">#REF!</definedName>
    <definedName name="REG" localSheetId="50">#REF!</definedName>
    <definedName name="REG" localSheetId="42">#REF!</definedName>
    <definedName name="REG" localSheetId="31">#REF!</definedName>
    <definedName name="REG">#REF!</definedName>
    <definedName name="ret" localSheetId="33">#REF!</definedName>
    <definedName name="ret" localSheetId="37">#REF!</definedName>
    <definedName name="ret" localSheetId="38">#REF!</definedName>
    <definedName name="ret" localSheetId="36">#REF!</definedName>
    <definedName name="ret" localSheetId="39">#REF!</definedName>
    <definedName name="ret" localSheetId="35">#REF!</definedName>
    <definedName name="ret" localSheetId="40">#REF!</definedName>
    <definedName name="ret" localSheetId="41">#REF!</definedName>
    <definedName name="ret" localSheetId="34">#REF!</definedName>
    <definedName name="ret" localSheetId="25">#REF!</definedName>
    <definedName name="ret" localSheetId="26">#REF!</definedName>
    <definedName name="ret" localSheetId="27">#REF!</definedName>
    <definedName name="ret" localSheetId="18">#REF!</definedName>
    <definedName name="ret" localSheetId="20">#REF!</definedName>
    <definedName name="ret" localSheetId="19">#REF!</definedName>
    <definedName name="ret" localSheetId="22">#REF!</definedName>
    <definedName name="ret" localSheetId="21">#REF!</definedName>
    <definedName name="ret" localSheetId="23">#REF!</definedName>
    <definedName name="ret" localSheetId="24">#REF!</definedName>
    <definedName name="ret" localSheetId="15">#REF!</definedName>
    <definedName name="ret" localSheetId="29">#REF!</definedName>
    <definedName name="ret" localSheetId="30">#REF!</definedName>
    <definedName name="ret" localSheetId="28">#REF!</definedName>
    <definedName name="ret" localSheetId="13">#REF!</definedName>
    <definedName name="ret" localSheetId="14">#REF!</definedName>
    <definedName name="ret" localSheetId="16">#REF!</definedName>
    <definedName name="ret" localSheetId="17">#REF!</definedName>
    <definedName name="ret" localSheetId="44">#REF!</definedName>
    <definedName name="ret" localSheetId="43">#REF!</definedName>
    <definedName name="ret" localSheetId="47">#REF!</definedName>
    <definedName name="ret" localSheetId="46">#REF!</definedName>
    <definedName name="ret" localSheetId="45">#REF!</definedName>
    <definedName name="ret" localSheetId="48">#REF!</definedName>
    <definedName name="ret" localSheetId="49">#REF!</definedName>
    <definedName name="ret" localSheetId="3">#REF!</definedName>
    <definedName name="ret" localSheetId="4">#REF!</definedName>
    <definedName name="ret" localSheetId="5">#REF!</definedName>
    <definedName name="ret" localSheetId="6">#REF!</definedName>
    <definedName name="ret" localSheetId="7">#REF!</definedName>
    <definedName name="ret" localSheetId="10">#REF!</definedName>
    <definedName name="ret" localSheetId="11">#REF!</definedName>
    <definedName name="ret" localSheetId="9">#REF!</definedName>
    <definedName name="ret" localSheetId="8">#REF!</definedName>
    <definedName name="ret" localSheetId="12">#REF!</definedName>
    <definedName name="ret" localSheetId="32">#REF!</definedName>
    <definedName name="ret" localSheetId="50">#REF!</definedName>
    <definedName name="ret" localSheetId="42">#REF!</definedName>
    <definedName name="ret" localSheetId="31">#REF!</definedName>
    <definedName name="ret">#REF!</definedName>
    <definedName name="RT" localSheetId="33">#REF!</definedName>
    <definedName name="RT" localSheetId="37">#REF!</definedName>
    <definedName name="RT" localSheetId="38">#REF!</definedName>
    <definedName name="RT" localSheetId="36">#REF!</definedName>
    <definedName name="RT" localSheetId="39">#REF!</definedName>
    <definedName name="RT" localSheetId="35">#REF!</definedName>
    <definedName name="RT" localSheetId="40">#REF!</definedName>
    <definedName name="RT" localSheetId="41">#REF!</definedName>
    <definedName name="RT" localSheetId="34">#REF!</definedName>
    <definedName name="RT" localSheetId="25">#REF!</definedName>
    <definedName name="RT" localSheetId="26">#REF!</definedName>
    <definedName name="RT" localSheetId="27">#REF!</definedName>
    <definedName name="RT" localSheetId="18">#REF!</definedName>
    <definedName name="RT" localSheetId="20">#REF!</definedName>
    <definedName name="RT" localSheetId="19">#REF!</definedName>
    <definedName name="RT" localSheetId="22">#REF!</definedName>
    <definedName name="RT" localSheetId="21">#REF!</definedName>
    <definedName name="RT" localSheetId="23">#REF!</definedName>
    <definedName name="RT" localSheetId="24">#REF!</definedName>
    <definedName name="RT" localSheetId="15">#REF!</definedName>
    <definedName name="RT" localSheetId="29">#REF!</definedName>
    <definedName name="RT" localSheetId="30">#REF!</definedName>
    <definedName name="RT" localSheetId="28">#REF!</definedName>
    <definedName name="RT" localSheetId="13">#REF!</definedName>
    <definedName name="RT" localSheetId="14">#REF!</definedName>
    <definedName name="RT" localSheetId="16">#REF!</definedName>
    <definedName name="RT" localSheetId="17">#REF!</definedName>
    <definedName name="RT" localSheetId="44">#REF!</definedName>
    <definedName name="RT" localSheetId="43">#REF!</definedName>
    <definedName name="RT" localSheetId="47">#REF!</definedName>
    <definedName name="RT" localSheetId="46">#REF!</definedName>
    <definedName name="RT" localSheetId="45">#REF!</definedName>
    <definedName name="RT" localSheetId="48">#REF!</definedName>
    <definedName name="RT" localSheetId="49">#REF!</definedName>
    <definedName name="RT" localSheetId="3">#REF!</definedName>
    <definedName name="RT" localSheetId="4">#REF!</definedName>
    <definedName name="RT" localSheetId="5">#REF!</definedName>
    <definedName name="RT" localSheetId="6">#REF!</definedName>
    <definedName name="RT" localSheetId="7">#REF!</definedName>
    <definedName name="RT" localSheetId="10">#REF!</definedName>
    <definedName name="RT" localSheetId="11">#REF!</definedName>
    <definedName name="RT" localSheetId="9">#REF!</definedName>
    <definedName name="RT" localSheetId="8">#REF!</definedName>
    <definedName name="RT" localSheetId="12">#REF!</definedName>
    <definedName name="RT" localSheetId="32">#REF!</definedName>
    <definedName name="RT" localSheetId="50">#REF!</definedName>
    <definedName name="RT" localSheetId="42">#REF!</definedName>
    <definedName name="RT" localSheetId="31">#REF!</definedName>
    <definedName name="RT">#REF!</definedName>
    <definedName name="RW" localSheetId="33">#REF!</definedName>
    <definedName name="RW" localSheetId="37">#REF!</definedName>
    <definedName name="RW" localSheetId="38">#REF!</definedName>
    <definedName name="RW" localSheetId="36">#REF!</definedName>
    <definedName name="RW" localSheetId="39">#REF!</definedName>
    <definedName name="RW" localSheetId="35">#REF!</definedName>
    <definedName name="RW" localSheetId="40">#REF!</definedName>
    <definedName name="RW" localSheetId="41">#REF!</definedName>
    <definedName name="RW" localSheetId="34">#REF!</definedName>
    <definedName name="RW" localSheetId="25">#REF!</definedName>
    <definedName name="RW" localSheetId="26">#REF!</definedName>
    <definedName name="RW" localSheetId="27">#REF!</definedName>
    <definedName name="RW" localSheetId="18">#REF!</definedName>
    <definedName name="RW" localSheetId="20">#REF!</definedName>
    <definedName name="RW" localSheetId="19">#REF!</definedName>
    <definedName name="RW" localSheetId="22">#REF!</definedName>
    <definedName name="RW" localSheetId="21">#REF!</definedName>
    <definedName name="RW" localSheetId="23">#REF!</definedName>
    <definedName name="RW" localSheetId="24">#REF!</definedName>
    <definedName name="RW" localSheetId="15">#REF!</definedName>
    <definedName name="RW" localSheetId="29">#REF!</definedName>
    <definedName name="RW" localSheetId="30">#REF!</definedName>
    <definedName name="RW" localSheetId="28">#REF!</definedName>
    <definedName name="RW" localSheetId="13">#REF!</definedName>
    <definedName name="RW" localSheetId="14">#REF!</definedName>
    <definedName name="RW" localSheetId="16">#REF!</definedName>
    <definedName name="RW" localSheetId="17">#REF!</definedName>
    <definedName name="RW" localSheetId="44">#REF!</definedName>
    <definedName name="RW" localSheetId="43">#REF!</definedName>
    <definedName name="RW" localSheetId="47">#REF!</definedName>
    <definedName name="RW" localSheetId="46">#REF!</definedName>
    <definedName name="RW" localSheetId="45">#REF!</definedName>
    <definedName name="RW" localSheetId="48">#REF!</definedName>
    <definedName name="RW" localSheetId="49">#REF!</definedName>
    <definedName name="RW" localSheetId="3">#REF!</definedName>
    <definedName name="RW" localSheetId="4">#REF!</definedName>
    <definedName name="RW" localSheetId="5">#REF!</definedName>
    <definedName name="RW" localSheetId="6">#REF!</definedName>
    <definedName name="RW" localSheetId="7">#REF!</definedName>
    <definedName name="RW" localSheetId="10">#REF!</definedName>
    <definedName name="RW" localSheetId="11">#REF!</definedName>
    <definedName name="RW" localSheetId="9">#REF!</definedName>
    <definedName name="RW" localSheetId="8">#REF!</definedName>
    <definedName name="RW" localSheetId="12">#REF!</definedName>
    <definedName name="RW" localSheetId="32">#REF!</definedName>
    <definedName name="RW" localSheetId="50">#REF!</definedName>
    <definedName name="RW" localSheetId="42">#REF!</definedName>
    <definedName name="RW" localSheetId="31">#REF!</definedName>
    <definedName name="RW">#REF!</definedName>
    <definedName name="safq" localSheetId="33">#REF!</definedName>
    <definedName name="safq" localSheetId="37">#REF!</definedName>
    <definedName name="safq" localSheetId="38">#REF!</definedName>
    <definedName name="safq" localSheetId="36">#REF!</definedName>
    <definedName name="safq" localSheetId="39">#REF!</definedName>
    <definedName name="safq" localSheetId="35">#REF!</definedName>
    <definedName name="safq" localSheetId="40">#REF!</definedName>
    <definedName name="safq" localSheetId="41">#REF!</definedName>
    <definedName name="safq" localSheetId="34">#REF!</definedName>
    <definedName name="safq" localSheetId="25">#REF!</definedName>
    <definedName name="safq" localSheetId="26">#REF!</definedName>
    <definedName name="safq" localSheetId="27">#REF!</definedName>
    <definedName name="safq" localSheetId="18">#REF!</definedName>
    <definedName name="safq" localSheetId="20">#REF!</definedName>
    <definedName name="safq" localSheetId="19">#REF!</definedName>
    <definedName name="safq" localSheetId="22">#REF!</definedName>
    <definedName name="safq" localSheetId="21">#REF!</definedName>
    <definedName name="safq" localSheetId="23">#REF!</definedName>
    <definedName name="safq" localSheetId="24">#REF!</definedName>
    <definedName name="safq" localSheetId="15">#REF!</definedName>
    <definedName name="safq" localSheetId="29">#REF!</definedName>
    <definedName name="safq" localSheetId="30">#REF!</definedName>
    <definedName name="safq" localSheetId="28">#REF!</definedName>
    <definedName name="safq" localSheetId="13">#REF!</definedName>
    <definedName name="safq" localSheetId="14">#REF!</definedName>
    <definedName name="safq" localSheetId="16">#REF!</definedName>
    <definedName name="safq" localSheetId="17">#REF!</definedName>
    <definedName name="safq" localSheetId="44">#REF!</definedName>
    <definedName name="safq" localSheetId="43">#REF!</definedName>
    <definedName name="safq" localSheetId="47">#REF!</definedName>
    <definedName name="safq" localSheetId="46">#REF!</definedName>
    <definedName name="safq" localSheetId="45">#REF!</definedName>
    <definedName name="safq" localSheetId="48">#REF!</definedName>
    <definedName name="safq" localSheetId="49">#REF!</definedName>
    <definedName name="safq" localSheetId="3">#REF!</definedName>
    <definedName name="safq" localSheetId="4">#REF!</definedName>
    <definedName name="safq" localSheetId="5">#REF!</definedName>
    <definedName name="safq" localSheetId="6">#REF!</definedName>
    <definedName name="safq" localSheetId="7">#REF!</definedName>
    <definedName name="safq" localSheetId="10">#REF!</definedName>
    <definedName name="safq" localSheetId="11">#REF!</definedName>
    <definedName name="safq" localSheetId="9">#REF!</definedName>
    <definedName name="safq" localSheetId="8">#REF!</definedName>
    <definedName name="safq" localSheetId="12">#REF!</definedName>
    <definedName name="safq" localSheetId="32">#REF!</definedName>
    <definedName name="safq" localSheetId="50">#REF!</definedName>
    <definedName name="safq" localSheetId="42">#REF!</definedName>
    <definedName name="safq" localSheetId="31">#REF!</definedName>
    <definedName name="safq">#REF!</definedName>
    <definedName name="sdgs" localSheetId="33">#REF!</definedName>
    <definedName name="sdgs" localSheetId="37">#REF!</definedName>
    <definedName name="sdgs" localSheetId="38">#REF!</definedName>
    <definedName name="sdgs" localSheetId="36">#REF!</definedName>
    <definedName name="sdgs" localSheetId="39">#REF!</definedName>
    <definedName name="sdgs" localSheetId="35">#REF!</definedName>
    <definedName name="sdgs" localSheetId="40">#REF!</definedName>
    <definedName name="sdgs" localSheetId="41">#REF!</definedName>
    <definedName name="sdgs" localSheetId="34">#REF!</definedName>
    <definedName name="sdgs" localSheetId="25">#REF!</definedName>
    <definedName name="sdgs" localSheetId="26">#REF!</definedName>
    <definedName name="sdgs" localSheetId="27">#REF!</definedName>
    <definedName name="sdgs" localSheetId="18">#REF!</definedName>
    <definedName name="sdgs" localSheetId="20">#REF!</definedName>
    <definedName name="sdgs" localSheetId="19">#REF!</definedName>
    <definedName name="sdgs" localSheetId="22">#REF!</definedName>
    <definedName name="sdgs" localSheetId="21">#REF!</definedName>
    <definedName name="sdgs" localSheetId="23">#REF!</definedName>
    <definedName name="sdgs" localSheetId="24">#REF!</definedName>
    <definedName name="sdgs" localSheetId="15">#REF!</definedName>
    <definedName name="sdgs" localSheetId="29">#REF!</definedName>
    <definedName name="sdgs" localSheetId="30">#REF!</definedName>
    <definedName name="sdgs" localSheetId="28">#REF!</definedName>
    <definedName name="sdgs" localSheetId="13">#REF!</definedName>
    <definedName name="sdgs" localSheetId="14">#REF!</definedName>
    <definedName name="sdgs" localSheetId="16">#REF!</definedName>
    <definedName name="sdgs" localSheetId="17">#REF!</definedName>
    <definedName name="sdgs" localSheetId="44">#REF!</definedName>
    <definedName name="sdgs" localSheetId="43">#REF!</definedName>
    <definedName name="sdgs" localSheetId="47">#REF!</definedName>
    <definedName name="sdgs" localSheetId="46">#REF!</definedName>
    <definedName name="sdgs" localSheetId="45">#REF!</definedName>
    <definedName name="sdgs" localSheetId="48">#REF!</definedName>
    <definedName name="sdgs" localSheetId="49">#REF!</definedName>
    <definedName name="sdgs" localSheetId="3">#REF!</definedName>
    <definedName name="sdgs" localSheetId="4">#REF!</definedName>
    <definedName name="sdgs" localSheetId="5">#REF!</definedName>
    <definedName name="sdgs" localSheetId="6">#REF!</definedName>
    <definedName name="sdgs" localSheetId="7">#REF!</definedName>
    <definedName name="sdgs" localSheetId="10">#REF!</definedName>
    <definedName name="sdgs" localSheetId="11">#REF!</definedName>
    <definedName name="sdgs" localSheetId="9">#REF!</definedName>
    <definedName name="sdgs" localSheetId="8">#REF!</definedName>
    <definedName name="sdgs" localSheetId="12">#REF!</definedName>
    <definedName name="sdgs" localSheetId="32">#REF!</definedName>
    <definedName name="sdgs" localSheetId="50">#REF!</definedName>
    <definedName name="sdgs" localSheetId="42">#REF!</definedName>
    <definedName name="sdgs" localSheetId="31">#REF!</definedName>
    <definedName name="sdgs">#REF!</definedName>
    <definedName name="sfa" localSheetId="33">#REF!</definedName>
    <definedName name="sfa" localSheetId="37">#REF!</definedName>
    <definedName name="sfa" localSheetId="38">#REF!</definedName>
    <definedName name="sfa" localSheetId="36">#REF!</definedName>
    <definedName name="sfa" localSheetId="39">#REF!</definedName>
    <definedName name="sfa" localSheetId="35">#REF!</definedName>
    <definedName name="sfa" localSheetId="40">#REF!</definedName>
    <definedName name="sfa" localSheetId="41">#REF!</definedName>
    <definedName name="sfa" localSheetId="34">#REF!</definedName>
    <definedName name="sfa" localSheetId="25">#REF!</definedName>
    <definedName name="sfa" localSheetId="26">#REF!</definedName>
    <definedName name="sfa" localSheetId="27">#REF!</definedName>
    <definedName name="sfa" localSheetId="18">#REF!</definedName>
    <definedName name="sfa" localSheetId="20">#REF!</definedName>
    <definedName name="sfa" localSheetId="19">#REF!</definedName>
    <definedName name="sfa" localSheetId="22">#REF!</definedName>
    <definedName name="sfa" localSheetId="21">#REF!</definedName>
    <definedName name="sfa" localSheetId="23">#REF!</definedName>
    <definedName name="sfa" localSheetId="24">#REF!</definedName>
    <definedName name="sfa" localSheetId="15">#REF!</definedName>
    <definedName name="sfa" localSheetId="29">#REF!</definedName>
    <definedName name="sfa" localSheetId="30">#REF!</definedName>
    <definedName name="sfa" localSheetId="28">#REF!</definedName>
    <definedName name="sfa" localSheetId="13">#REF!</definedName>
    <definedName name="sfa" localSheetId="14">#REF!</definedName>
    <definedName name="sfa" localSheetId="16">#REF!</definedName>
    <definedName name="sfa" localSheetId="17">#REF!</definedName>
    <definedName name="sfa" localSheetId="44">#REF!</definedName>
    <definedName name="sfa" localSheetId="43">#REF!</definedName>
    <definedName name="sfa" localSheetId="47">#REF!</definedName>
    <definedName name="sfa" localSheetId="46">#REF!</definedName>
    <definedName name="sfa" localSheetId="45">#REF!</definedName>
    <definedName name="sfa" localSheetId="48">#REF!</definedName>
    <definedName name="sfa" localSheetId="49">#REF!</definedName>
    <definedName name="sfa" localSheetId="3">#REF!</definedName>
    <definedName name="sfa" localSheetId="4">#REF!</definedName>
    <definedName name="sfa" localSheetId="5">#REF!</definedName>
    <definedName name="sfa" localSheetId="6">#REF!</definedName>
    <definedName name="sfa" localSheetId="7">#REF!</definedName>
    <definedName name="sfa" localSheetId="10">#REF!</definedName>
    <definedName name="sfa" localSheetId="11">#REF!</definedName>
    <definedName name="sfa" localSheetId="9">#REF!</definedName>
    <definedName name="sfa" localSheetId="8">#REF!</definedName>
    <definedName name="sfa" localSheetId="12">#REF!</definedName>
    <definedName name="sfa" localSheetId="32">#REF!</definedName>
    <definedName name="sfa" localSheetId="50">#REF!</definedName>
    <definedName name="sfa" localSheetId="42">#REF!</definedName>
    <definedName name="sfa" localSheetId="31">#REF!</definedName>
    <definedName name="sfa">#REF!</definedName>
    <definedName name="shs" localSheetId="33">#REF!</definedName>
    <definedName name="shs" localSheetId="37">#REF!</definedName>
    <definedName name="shs" localSheetId="38">#REF!</definedName>
    <definedName name="shs" localSheetId="36">#REF!</definedName>
    <definedName name="shs" localSheetId="39">#REF!</definedName>
    <definedName name="shs" localSheetId="35">#REF!</definedName>
    <definedName name="shs" localSheetId="40">#REF!</definedName>
    <definedName name="shs" localSheetId="41">#REF!</definedName>
    <definedName name="shs" localSheetId="34">#REF!</definedName>
    <definedName name="shs" localSheetId="25">#REF!</definedName>
    <definedName name="shs" localSheetId="26">#REF!</definedName>
    <definedName name="shs" localSheetId="27">#REF!</definedName>
    <definedName name="shs" localSheetId="18">#REF!</definedName>
    <definedName name="shs" localSheetId="20">#REF!</definedName>
    <definedName name="shs" localSheetId="19">#REF!</definedName>
    <definedName name="shs" localSheetId="22">#REF!</definedName>
    <definedName name="shs" localSheetId="21">#REF!</definedName>
    <definedName name="shs" localSheetId="23">#REF!</definedName>
    <definedName name="shs" localSheetId="24">#REF!</definedName>
    <definedName name="shs" localSheetId="15">#REF!</definedName>
    <definedName name="shs" localSheetId="29">#REF!</definedName>
    <definedName name="shs" localSheetId="30">#REF!</definedName>
    <definedName name="shs" localSheetId="28">#REF!</definedName>
    <definedName name="shs" localSheetId="13">#REF!</definedName>
    <definedName name="shs" localSheetId="14">#REF!</definedName>
    <definedName name="shs" localSheetId="16">#REF!</definedName>
    <definedName name="shs" localSheetId="17">#REF!</definedName>
    <definedName name="shs" localSheetId="44">#REF!</definedName>
    <definedName name="shs" localSheetId="43">#REF!</definedName>
    <definedName name="shs" localSheetId="47">#REF!</definedName>
    <definedName name="shs" localSheetId="46">#REF!</definedName>
    <definedName name="shs" localSheetId="45">#REF!</definedName>
    <definedName name="shs" localSheetId="48">#REF!</definedName>
    <definedName name="shs" localSheetId="49">#REF!</definedName>
    <definedName name="shs" localSheetId="3">#REF!</definedName>
    <definedName name="shs" localSheetId="4">#REF!</definedName>
    <definedName name="shs" localSheetId="5">#REF!</definedName>
    <definedName name="shs" localSheetId="6">#REF!</definedName>
    <definedName name="shs" localSheetId="7">#REF!</definedName>
    <definedName name="shs" localSheetId="10">#REF!</definedName>
    <definedName name="shs" localSheetId="11">#REF!</definedName>
    <definedName name="shs" localSheetId="9">#REF!</definedName>
    <definedName name="shs" localSheetId="8">#REF!</definedName>
    <definedName name="shs" localSheetId="12">#REF!</definedName>
    <definedName name="shs" localSheetId="32">#REF!</definedName>
    <definedName name="shs" localSheetId="50">#REF!</definedName>
    <definedName name="shs" localSheetId="42">#REF!</definedName>
    <definedName name="shs" localSheetId="31">#REF!</definedName>
    <definedName name="shs">#REF!</definedName>
    <definedName name="tery" localSheetId="33">#REF!</definedName>
    <definedName name="tery" localSheetId="37">#REF!</definedName>
    <definedName name="tery" localSheetId="38">#REF!</definedName>
    <definedName name="tery" localSheetId="36">#REF!</definedName>
    <definedName name="tery" localSheetId="39">#REF!</definedName>
    <definedName name="tery" localSheetId="35">#REF!</definedName>
    <definedName name="tery" localSheetId="40">#REF!</definedName>
    <definedName name="tery" localSheetId="41">#REF!</definedName>
    <definedName name="tery" localSheetId="34">#REF!</definedName>
    <definedName name="tery" localSheetId="25">#REF!</definedName>
    <definedName name="tery" localSheetId="26">#REF!</definedName>
    <definedName name="tery" localSheetId="27">#REF!</definedName>
    <definedName name="tery" localSheetId="18">#REF!</definedName>
    <definedName name="tery" localSheetId="20">#REF!</definedName>
    <definedName name="tery" localSheetId="19">#REF!</definedName>
    <definedName name="tery" localSheetId="22">#REF!</definedName>
    <definedName name="tery" localSheetId="21">#REF!</definedName>
    <definedName name="tery" localSheetId="23">#REF!</definedName>
    <definedName name="tery" localSheetId="24">#REF!</definedName>
    <definedName name="tery" localSheetId="15">#REF!</definedName>
    <definedName name="tery" localSheetId="29">#REF!</definedName>
    <definedName name="tery" localSheetId="30">#REF!</definedName>
    <definedName name="tery" localSheetId="28">#REF!</definedName>
    <definedName name="tery" localSheetId="13">#REF!</definedName>
    <definedName name="tery" localSheetId="14">#REF!</definedName>
    <definedName name="tery" localSheetId="16">#REF!</definedName>
    <definedName name="tery" localSheetId="17">#REF!</definedName>
    <definedName name="tery" localSheetId="44">#REF!</definedName>
    <definedName name="tery" localSheetId="43">#REF!</definedName>
    <definedName name="tery" localSheetId="47">#REF!</definedName>
    <definedName name="tery" localSheetId="46">#REF!</definedName>
    <definedName name="tery" localSheetId="45">#REF!</definedName>
    <definedName name="tery" localSheetId="48">#REF!</definedName>
    <definedName name="tery" localSheetId="49">#REF!</definedName>
    <definedName name="tery" localSheetId="3">#REF!</definedName>
    <definedName name="tery" localSheetId="4">#REF!</definedName>
    <definedName name="tery" localSheetId="5">#REF!</definedName>
    <definedName name="tery" localSheetId="6">#REF!</definedName>
    <definedName name="tery" localSheetId="7">#REF!</definedName>
    <definedName name="tery" localSheetId="10">#REF!</definedName>
    <definedName name="tery" localSheetId="11">#REF!</definedName>
    <definedName name="tery" localSheetId="9">#REF!</definedName>
    <definedName name="tery" localSheetId="8">#REF!</definedName>
    <definedName name="tery" localSheetId="12">#REF!</definedName>
    <definedName name="tery" localSheetId="32">#REF!</definedName>
    <definedName name="tery" localSheetId="50">#REF!</definedName>
    <definedName name="tery" localSheetId="42">#REF!</definedName>
    <definedName name="tery" localSheetId="31">#REF!</definedName>
    <definedName name="tery">#REF!</definedName>
    <definedName name="UH9PHI" localSheetId="33">#REF!</definedName>
    <definedName name="UH9PHI" localSheetId="37">#REF!</definedName>
    <definedName name="UH9PHI" localSheetId="38">#REF!</definedName>
    <definedName name="UH9PHI" localSheetId="36">#REF!</definedName>
    <definedName name="UH9PHI" localSheetId="39">#REF!</definedName>
    <definedName name="UH9PHI" localSheetId="35">#REF!</definedName>
    <definedName name="UH9PHI" localSheetId="40">#REF!</definedName>
    <definedName name="UH9PHI" localSheetId="41">#REF!</definedName>
    <definedName name="UH9PHI" localSheetId="34">#REF!</definedName>
    <definedName name="UH9PHI" localSheetId="25">#REF!</definedName>
    <definedName name="UH9PHI" localSheetId="26">#REF!</definedName>
    <definedName name="UH9PHI" localSheetId="27">#REF!</definedName>
    <definedName name="UH9PHI" localSheetId="18">#REF!</definedName>
    <definedName name="UH9PHI" localSheetId="20">#REF!</definedName>
    <definedName name="UH9PHI" localSheetId="19">#REF!</definedName>
    <definedName name="UH9PHI" localSheetId="22">#REF!</definedName>
    <definedName name="UH9PHI" localSheetId="21">#REF!</definedName>
    <definedName name="UH9PHI" localSheetId="23">#REF!</definedName>
    <definedName name="UH9PHI" localSheetId="24">#REF!</definedName>
    <definedName name="UH9PHI" localSheetId="15">#REF!</definedName>
    <definedName name="UH9PHI" localSheetId="29">#REF!</definedName>
    <definedName name="UH9PHI" localSheetId="30">#REF!</definedName>
    <definedName name="UH9PHI" localSheetId="28">#REF!</definedName>
    <definedName name="UH9PHI" localSheetId="13">#REF!</definedName>
    <definedName name="UH9PHI" localSheetId="14">#REF!</definedName>
    <definedName name="UH9PHI" localSheetId="16">#REF!</definedName>
    <definedName name="UH9PHI" localSheetId="17">#REF!</definedName>
    <definedName name="UH9PHI" localSheetId="44">#REF!</definedName>
    <definedName name="UH9PHI" localSheetId="43">#REF!</definedName>
    <definedName name="UH9PHI" localSheetId="47">#REF!</definedName>
    <definedName name="UH9PHI" localSheetId="46">#REF!</definedName>
    <definedName name="UH9PHI" localSheetId="45">#REF!</definedName>
    <definedName name="UH9PHI" localSheetId="48">#REF!</definedName>
    <definedName name="UH9PHI" localSheetId="49">#REF!</definedName>
    <definedName name="UH9PHI" localSheetId="3">#REF!</definedName>
    <definedName name="UH9PHI" localSheetId="4">#REF!</definedName>
    <definedName name="UH9PHI" localSheetId="5">#REF!</definedName>
    <definedName name="UH9PHI" localSheetId="6">#REF!</definedName>
    <definedName name="UH9PHI" localSheetId="7">#REF!</definedName>
    <definedName name="UH9PHI" localSheetId="10">#REF!</definedName>
    <definedName name="UH9PHI" localSheetId="11">#REF!</definedName>
    <definedName name="UH9PHI" localSheetId="9">#REF!</definedName>
    <definedName name="UH9PHI" localSheetId="8">#REF!</definedName>
    <definedName name="UH9PHI" localSheetId="12">#REF!</definedName>
    <definedName name="UH9PHI" localSheetId="32">#REF!</definedName>
    <definedName name="UH9PHI" localSheetId="50">#REF!</definedName>
    <definedName name="UH9PHI" localSheetId="42">#REF!</definedName>
    <definedName name="UH9PHI" localSheetId="31">#REF!</definedName>
    <definedName name="UH9PHI">#REF!</definedName>
    <definedName name="ujyk" localSheetId="33">#REF!</definedName>
    <definedName name="ujyk" localSheetId="37">#REF!</definedName>
    <definedName name="ujyk" localSheetId="38">#REF!</definedName>
    <definedName name="ujyk" localSheetId="36">#REF!</definedName>
    <definedName name="ujyk" localSheetId="39">#REF!</definedName>
    <definedName name="ujyk" localSheetId="35">#REF!</definedName>
    <definedName name="ujyk" localSheetId="40">#REF!</definedName>
    <definedName name="ujyk" localSheetId="41">#REF!</definedName>
    <definedName name="ujyk" localSheetId="34">#REF!</definedName>
    <definedName name="ujyk" localSheetId="25">#REF!</definedName>
    <definedName name="ujyk" localSheetId="26">#REF!</definedName>
    <definedName name="ujyk" localSheetId="27">#REF!</definedName>
    <definedName name="ujyk" localSheetId="18">#REF!</definedName>
    <definedName name="ujyk" localSheetId="20">#REF!</definedName>
    <definedName name="ujyk" localSheetId="19">#REF!</definedName>
    <definedName name="ujyk" localSheetId="22">#REF!</definedName>
    <definedName name="ujyk" localSheetId="21">#REF!</definedName>
    <definedName name="ujyk" localSheetId="23">#REF!</definedName>
    <definedName name="ujyk" localSheetId="24">#REF!</definedName>
    <definedName name="ujyk" localSheetId="15">#REF!</definedName>
    <definedName name="ujyk" localSheetId="29">#REF!</definedName>
    <definedName name="ujyk" localSheetId="30">#REF!</definedName>
    <definedName name="ujyk" localSheetId="28">#REF!</definedName>
    <definedName name="ujyk" localSheetId="13">#REF!</definedName>
    <definedName name="ujyk" localSheetId="14">#REF!</definedName>
    <definedName name="ujyk" localSheetId="16">#REF!</definedName>
    <definedName name="ujyk" localSheetId="17">#REF!</definedName>
    <definedName name="ujyk" localSheetId="44">#REF!</definedName>
    <definedName name="ujyk" localSheetId="43">#REF!</definedName>
    <definedName name="ujyk" localSheetId="47">#REF!</definedName>
    <definedName name="ujyk" localSheetId="46">#REF!</definedName>
    <definedName name="ujyk" localSheetId="45">#REF!</definedName>
    <definedName name="ujyk" localSheetId="48">#REF!</definedName>
    <definedName name="ujyk" localSheetId="49">#REF!</definedName>
    <definedName name="ujyk" localSheetId="3">#REF!</definedName>
    <definedName name="ujyk" localSheetId="4">#REF!</definedName>
    <definedName name="ujyk" localSheetId="5">#REF!</definedName>
    <definedName name="ujyk" localSheetId="6">#REF!</definedName>
    <definedName name="ujyk" localSheetId="7">#REF!</definedName>
    <definedName name="ujyk" localSheetId="10">#REF!</definedName>
    <definedName name="ujyk" localSheetId="11">#REF!</definedName>
    <definedName name="ujyk" localSheetId="9">#REF!</definedName>
    <definedName name="ujyk" localSheetId="8">#REF!</definedName>
    <definedName name="ujyk" localSheetId="12">#REF!</definedName>
    <definedName name="ujyk" localSheetId="32">#REF!</definedName>
    <definedName name="ujyk" localSheetId="50">#REF!</definedName>
    <definedName name="ujyk" localSheetId="42">#REF!</definedName>
    <definedName name="ujyk" localSheetId="31">#REF!</definedName>
    <definedName name="ujyk">#REF!</definedName>
    <definedName name="VBNFG" localSheetId="33">#REF!</definedName>
    <definedName name="VBNFG" localSheetId="37">#REF!</definedName>
    <definedName name="VBNFG" localSheetId="38">#REF!</definedName>
    <definedName name="VBNFG" localSheetId="36">#REF!</definedName>
    <definedName name="VBNFG" localSheetId="39">#REF!</definedName>
    <definedName name="VBNFG" localSheetId="35">#REF!</definedName>
    <definedName name="VBNFG" localSheetId="40">#REF!</definedName>
    <definedName name="VBNFG" localSheetId="41">#REF!</definedName>
    <definedName name="VBNFG" localSheetId="34">#REF!</definedName>
    <definedName name="VBNFG" localSheetId="25">#REF!</definedName>
    <definedName name="VBNFG" localSheetId="26">#REF!</definedName>
    <definedName name="VBNFG" localSheetId="27">#REF!</definedName>
    <definedName name="VBNFG" localSheetId="18">#REF!</definedName>
    <definedName name="VBNFG" localSheetId="20">#REF!</definedName>
    <definedName name="VBNFG" localSheetId="19">#REF!</definedName>
    <definedName name="VBNFG" localSheetId="22">#REF!</definedName>
    <definedName name="VBNFG" localSheetId="21">#REF!</definedName>
    <definedName name="VBNFG" localSheetId="23">#REF!</definedName>
    <definedName name="VBNFG" localSheetId="24">#REF!</definedName>
    <definedName name="VBNFG" localSheetId="15">#REF!</definedName>
    <definedName name="VBNFG" localSheetId="29">#REF!</definedName>
    <definedName name="VBNFG" localSheetId="30">#REF!</definedName>
    <definedName name="VBNFG" localSheetId="28">#REF!</definedName>
    <definedName name="VBNFG" localSheetId="13">#REF!</definedName>
    <definedName name="VBNFG" localSheetId="14">#REF!</definedName>
    <definedName name="VBNFG" localSheetId="16">#REF!</definedName>
    <definedName name="VBNFG" localSheetId="17">#REF!</definedName>
    <definedName name="VBNFG" localSheetId="44">#REF!</definedName>
    <definedName name="VBNFG" localSheetId="43">#REF!</definedName>
    <definedName name="VBNFG" localSheetId="47">#REF!</definedName>
    <definedName name="VBNFG" localSheetId="46">#REF!</definedName>
    <definedName name="VBNFG" localSheetId="45">#REF!</definedName>
    <definedName name="VBNFG" localSheetId="48">#REF!</definedName>
    <definedName name="VBNFG" localSheetId="49">#REF!</definedName>
    <definedName name="VBNFG" localSheetId="3">#REF!</definedName>
    <definedName name="VBNFG" localSheetId="4">#REF!</definedName>
    <definedName name="VBNFG" localSheetId="5">#REF!</definedName>
    <definedName name="VBNFG" localSheetId="6">#REF!</definedName>
    <definedName name="VBNFG" localSheetId="7">#REF!</definedName>
    <definedName name="VBNFG" localSheetId="10">#REF!</definedName>
    <definedName name="VBNFG" localSheetId="11">#REF!</definedName>
    <definedName name="VBNFG" localSheetId="9">#REF!</definedName>
    <definedName name="VBNFG" localSheetId="8">#REF!</definedName>
    <definedName name="VBNFG" localSheetId="12">#REF!</definedName>
    <definedName name="VBNFG" localSheetId="32">#REF!</definedName>
    <definedName name="VBNFG" localSheetId="50">#REF!</definedName>
    <definedName name="VBNFG" localSheetId="42">#REF!</definedName>
    <definedName name="VBNFG" localSheetId="31">#REF!</definedName>
    <definedName name="VBNFG">#REF!</definedName>
    <definedName name="w" localSheetId="33">#REF!</definedName>
    <definedName name="w" localSheetId="37">#REF!</definedName>
    <definedName name="w" localSheetId="38">#REF!</definedName>
    <definedName name="w" localSheetId="36">#REF!</definedName>
    <definedName name="w" localSheetId="39">#REF!</definedName>
    <definedName name="w" localSheetId="35">#REF!</definedName>
    <definedName name="w" localSheetId="40">#REF!</definedName>
    <definedName name="w" localSheetId="41">#REF!</definedName>
    <definedName name="w" localSheetId="34">#REF!</definedName>
    <definedName name="w" localSheetId="25">#REF!</definedName>
    <definedName name="w" localSheetId="26">#REF!</definedName>
    <definedName name="w" localSheetId="27">#REF!</definedName>
    <definedName name="w" localSheetId="18">#REF!</definedName>
    <definedName name="w" localSheetId="20">#REF!</definedName>
    <definedName name="w" localSheetId="19">#REF!</definedName>
    <definedName name="w" localSheetId="22">#REF!</definedName>
    <definedName name="w" localSheetId="21">#REF!</definedName>
    <definedName name="w" localSheetId="23">#REF!</definedName>
    <definedName name="w" localSheetId="24">#REF!</definedName>
    <definedName name="w" localSheetId="15">#REF!</definedName>
    <definedName name="w" localSheetId="29">#REF!</definedName>
    <definedName name="w" localSheetId="30">#REF!</definedName>
    <definedName name="w" localSheetId="28">#REF!</definedName>
    <definedName name="w" localSheetId="13">#REF!</definedName>
    <definedName name="w" localSheetId="14">#REF!</definedName>
    <definedName name="w" localSheetId="16">#REF!</definedName>
    <definedName name="w" localSheetId="17">#REF!</definedName>
    <definedName name="w" localSheetId="44">#REF!</definedName>
    <definedName name="w" localSheetId="43">#REF!</definedName>
    <definedName name="w" localSheetId="47">#REF!</definedName>
    <definedName name="w" localSheetId="46">#REF!</definedName>
    <definedName name="w" localSheetId="45">#REF!</definedName>
    <definedName name="w" localSheetId="48">#REF!</definedName>
    <definedName name="w" localSheetId="49">#REF!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10">#REF!</definedName>
    <definedName name="w" localSheetId="11">#REF!</definedName>
    <definedName name="w" localSheetId="9">#REF!</definedName>
    <definedName name="w" localSheetId="8">#REF!</definedName>
    <definedName name="w" localSheetId="12">#REF!</definedName>
    <definedName name="w" localSheetId="32">#REF!</definedName>
    <definedName name="w" localSheetId="50">#REF!</definedName>
    <definedName name="w" localSheetId="42">#REF!</definedName>
    <definedName name="w" localSheetId="31">#REF!</definedName>
    <definedName name="w">#REF!</definedName>
    <definedName name="wdfs" localSheetId="33">#REF!</definedName>
    <definedName name="wdfs" localSheetId="37">#REF!</definedName>
    <definedName name="wdfs" localSheetId="38">#REF!</definedName>
    <definedName name="wdfs" localSheetId="36">#REF!</definedName>
    <definedName name="wdfs" localSheetId="39">#REF!</definedName>
    <definedName name="wdfs" localSheetId="35">#REF!</definedName>
    <definedName name="wdfs" localSheetId="40">#REF!</definedName>
    <definedName name="wdfs" localSheetId="41">#REF!</definedName>
    <definedName name="wdfs" localSheetId="34">#REF!</definedName>
    <definedName name="wdfs" localSheetId="25">#REF!</definedName>
    <definedName name="wdfs" localSheetId="26">#REF!</definedName>
    <definedName name="wdfs" localSheetId="27">#REF!</definedName>
    <definedName name="wdfs" localSheetId="18">#REF!</definedName>
    <definedName name="wdfs" localSheetId="20">#REF!</definedName>
    <definedName name="wdfs" localSheetId="19">#REF!</definedName>
    <definedName name="wdfs" localSheetId="22">#REF!</definedName>
    <definedName name="wdfs" localSheetId="21">#REF!</definedName>
    <definedName name="wdfs" localSheetId="23">#REF!</definedName>
    <definedName name="wdfs" localSheetId="24">#REF!</definedName>
    <definedName name="wdfs" localSheetId="15">#REF!</definedName>
    <definedName name="wdfs" localSheetId="29">#REF!</definedName>
    <definedName name="wdfs" localSheetId="30">#REF!</definedName>
    <definedName name="wdfs" localSheetId="28">#REF!</definedName>
    <definedName name="wdfs" localSheetId="13">#REF!</definedName>
    <definedName name="wdfs" localSheetId="14">#REF!</definedName>
    <definedName name="wdfs" localSheetId="16">#REF!</definedName>
    <definedName name="wdfs" localSheetId="17">#REF!</definedName>
    <definedName name="wdfs" localSheetId="44">#REF!</definedName>
    <definedName name="wdfs" localSheetId="43">#REF!</definedName>
    <definedName name="wdfs" localSheetId="47">#REF!</definedName>
    <definedName name="wdfs" localSheetId="46">#REF!</definedName>
    <definedName name="wdfs" localSheetId="45">#REF!</definedName>
    <definedName name="wdfs" localSheetId="48">#REF!</definedName>
    <definedName name="wdfs" localSheetId="49">#REF!</definedName>
    <definedName name="wdfs" localSheetId="3">#REF!</definedName>
    <definedName name="wdfs" localSheetId="4">#REF!</definedName>
    <definedName name="wdfs" localSheetId="5">#REF!</definedName>
    <definedName name="wdfs" localSheetId="6">#REF!</definedName>
    <definedName name="wdfs" localSheetId="7">#REF!</definedName>
    <definedName name="wdfs" localSheetId="10">#REF!</definedName>
    <definedName name="wdfs" localSheetId="11">#REF!</definedName>
    <definedName name="wdfs" localSheetId="9">#REF!</definedName>
    <definedName name="wdfs" localSheetId="8">#REF!</definedName>
    <definedName name="wdfs" localSheetId="12">#REF!</definedName>
    <definedName name="wdfs" localSheetId="32">#REF!</definedName>
    <definedName name="wdfs" localSheetId="50">#REF!</definedName>
    <definedName name="wdfs" localSheetId="42">#REF!</definedName>
    <definedName name="wdfs" localSheetId="31">#REF!</definedName>
    <definedName name="wdfs">#REF!</definedName>
    <definedName name="YOP" localSheetId="33">#REF!</definedName>
    <definedName name="YOP" localSheetId="37">#REF!</definedName>
    <definedName name="YOP" localSheetId="38">#REF!</definedName>
    <definedName name="YOP" localSheetId="36">#REF!</definedName>
    <definedName name="YOP" localSheetId="39">#REF!</definedName>
    <definedName name="YOP" localSheetId="35">#REF!</definedName>
    <definedName name="YOP" localSheetId="40">#REF!</definedName>
    <definedName name="YOP" localSheetId="41">#REF!</definedName>
    <definedName name="YOP" localSheetId="34">#REF!</definedName>
    <definedName name="YOP" localSheetId="25">#REF!</definedName>
    <definedName name="YOP" localSheetId="26">#REF!</definedName>
    <definedName name="YOP" localSheetId="27">#REF!</definedName>
    <definedName name="YOP" localSheetId="18">#REF!</definedName>
    <definedName name="YOP" localSheetId="20">#REF!</definedName>
    <definedName name="YOP" localSheetId="19">#REF!</definedName>
    <definedName name="YOP" localSheetId="22">#REF!</definedName>
    <definedName name="YOP" localSheetId="21">#REF!</definedName>
    <definedName name="YOP" localSheetId="23">#REF!</definedName>
    <definedName name="YOP" localSheetId="24">#REF!</definedName>
    <definedName name="YOP" localSheetId="15">#REF!</definedName>
    <definedName name="YOP" localSheetId="29">#REF!</definedName>
    <definedName name="YOP" localSheetId="30">#REF!</definedName>
    <definedName name="YOP" localSheetId="28">#REF!</definedName>
    <definedName name="YOP" localSheetId="13">#REF!</definedName>
    <definedName name="YOP" localSheetId="14">#REF!</definedName>
    <definedName name="YOP" localSheetId="16">#REF!</definedName>
    <definedName name="YOP" localSheetId="17">#REF!</definedName>
    <definedName name="YOP" localSheetId="44">#REF!</definedName>
    <definedName name="YOP" localSheetId="43">#REF!</definedName>
    <definedName name="YOP" localSheetId="47">#REF!</definedName>
    <definedName name="YOP" localSheetId="46">#REF!</definedName>
    <definedName name="YOP" localSheetId="45">#REF!</definedName>
    <definedName name="YOP" localSheetId="48">#REF!</definedName>
    <definedName name="YOP" localSheetId="49">#REF!</definedName>
    <definedName name="YOP" localSheetId="3">#REF!</definedName>
    <definedName name="YOP" localSheetId="4">#REF!</definedName>
    <definedName name="YOP" localSheetId="5">#REF!</definedName>
    <definedName name="YOP" localSheetId="6">#REF!</definedName>
    <definedName name="YOP" localSheetId="7">#REF!</definedName>
    <definedName name="YOP" localSheetId="10">#REF!</definedName>
    <definedName name="YOP" localSheetId="11">#REF!</definedName>
    <definedName name="YOP" localSheetId="9">#REF!</definedName>
    <definedName name="YOP" localSheetId="8">#REF!</definedName>
    <definedName name="YOP" localSheetId="12">#REF!</definedName>
    <definedName name="YOP" localSheetId="32">#REF!</definedName>
    <definedName name="YOP" localSheetId="50">#REF!</definedName>
    <definedName name="YOP" localSheetId="42">#REF!</definedName>
    <definedName name="YOP" localSheetId="31">#REF!</definedName>
    <definedName name="YOP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0" i="47" l="1"/>
  <c r="T39" i="47"/>
  <c r="T38" i="47"/>
  <c r="G37" i="23"/>
  <c r="N49" i="9"/>
  <c r="N50" i="9"/>
  <c r="N50" i="21"/>
  <c r="N51" i="21"/>
  <c r="N49" i="21"/>
  <c r="P47" i="50"/>
  <c r="P57" i="50"/>
  <c r="B40" i="50"/>
  <c r="D40" i="50"/>
  <c r="G40" i="50"/>
  <c r="H40" i="50"/>
  <c r="D33" i="23"/>
  <c r="E40" i="50" s="1"/>
  <c r="A33" i="23"/>
  <c r="A40" i="50" s="1"/>
  <c r="B33" i="23"/>
  <c r="E8" i="41"/>
  <c r="E3" i="41"/>
  <c r="A2" i="50"/>
  <c r="D7" i="50"/>
  <c r="D6" i="50"/>
  <c r="H65" i="50"/>
  <c r="G65" i="50"/>
  <c r="H64" i="50"/>
  <c r="G64" i="50"/>
  <c r="H63" i="50"/>
  <c r="G63" i="50"/>
  <c r="H62" i="50"/>
  <c r="G62" i="50"/>
  <c r="H61" i="50"/>
  <c r="G61" i="50"/>
  <c r="H60" i="50"/>
  <c r="G60" i="50"/>
  <c r="H59" i="50"/>
  <c r="G59" i="50"/>
  <c r="H58" i="50"/>
  <c r="G58" i="50"/>
  <c r="H56" i="50"/>
  <c r="G56" i="50"/>
  <c r="H55" i="50"/>
  <c r="G55" i="50"/>
  <c r="H54" i="50"/>
  <c r="G54" i="50"/>
  <c r="H53" i="50"/>
  <c r="G53" i="50"/>
  <c r="H52" i="50"/>
  <c r="G52" i="50"/>
  <c r="H51" i="50"/>
  <c r="G51" i="50"/>
  <c r="H50" i="50"/>
  <c r="G50" i="50"/>
  <c r="H49" i="50"/>
  <c r="G49" i="50"/>
  <c r="H48" i="50"/>
  <c r="G48" i="50"/>
  <c r="G18" i="50"/>
  <c r="H18" i="50"/>
  <c r="G19" i="50"/>
  <c r="H19" i="50"/>
  <c r="G20" i="50"/>
  <c r="H20" i="50"/>
  <c r="G21" i="50"/>
  <c r="H21" i="50"/>
  <c r="G22" i="50"/>
  <c r="H22" i="50"/>
  <c r="G23" i="50"/>
  <c r="H23" i="50"/>
  <c r="G24" i="50"/>
  <c r="H24" i="50"/>
  <c r="G25" i="50"/>
  <c r="H25" i="50"/>
  <c r="G26" i="50"/>
  <c r="H26" i="50"/>
  <c r="G27" i="50"/>
  <c r="H27" i="50"/>
  <c r="G28" i="50"/>
  <c r="H28" i="50"/>
  <c r="G29" i="50"/>
  <c r="H29" i="50"/>
  <c r="G30" i="50"/>
  <c r="H30" i="50"/>
  <c r="G31" i="50"/>
  <c r="H31" i="50"/>
  <c r="G32" i="50"/>
  <c r="H32" i="50"/>
  <c r="G33" i="50"/>
  <c r="H33" i="50"/>
  <c r="G34" i="50"/>
  <c r="H34" i="50"/>
  <c r="G35" i="50"/>
  <c r="H35" i="50"/>
  <c r="G36" i="50"/>
  <c r="H36" i="50"/>
  <c r="G37" i="50"/>
  <c r="H37" i="50"/>
  <c r="G38" i="50"/>
  <c r="H38" i="50"/>
  <c r="G39" i="50"/>
  <c r="H39" i="50"/>
  <c r="G41" i="50"/>
  <c r="H41" i="50"/>
  <c r="G42" i="50"/>
  <c r="H42" i="50"/>
  <c r="G43" i="50"/>
  <c r="H43" i="50"/>
  <c r="G44" i="50"/>
  <c r="H44" i="50"/>
  <c r="G45" i="50"/>
  <c r="H45" i="50"/>
  <c r="G46" i="50"/>
  <c r="H46" i="50"/>
  <c r="H17" i="50"/>
  <c r="G17" i="50"/>
  <c r="D59" i="50"/>
  <c r="D60" i="50"/>
  <c r="D61" i="50"/>
  <c r="D62" i="50"/>
  <c r="D63" i="50"/>
  <c r="D64" i="50"/>
  <c r="D65" i="50"/>
  <c r="D58" i="50"/>
  <c r="D49" i="50"/>
  <c r="D50" i="50"/>
  <c r="D51" i="50"/>
  <c r="D52" i="50"/>
  <c r="D53" i="50"/>
  <c r="D54" i="50"/>
  <c r="D55" i="50"/>
  <c r="D56" i="50"/>
  <c r="D48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39" i="50"/>
  <c r="D41" i="50"/>
  <c r="D43" i="50"/>
  <c r="D44" i="50"/>
  <c r="D45" i="50"/>
  <c r="D46" i="50"/>
  <c r="D17" i="50"/>
  <c r="A47" i="50"/>
  <c r="A57" i="50"/>
  <c r="A16" i="50"/>
  <c r="N49" i="54"/>
  <c r="N48" i="54"/>
  <c r="T48" i="54" s="1"/>
  <c r="N47" i="54"/>
  <c r="T47" i="54" s="1"/>
  <c r="N49" i="48"/>
  <c r="N48" i="48"/>
  <c r="N47" i="48"/>
  <c r="N49" i="47"/>
  <c r="N48" i="47"/>
  <c r="N47" i="47"/>
  <c r="N49" i="46"/>
  <c r="N48" i="46"/>
  <c r="N47" i="46"/>
  <c r="N49" i="45"/>
  <c r="N48" i="45"/>
  <c r="N47" i="45"/>
  <c r="N49" i="44"/>
  <c r="N48" i="44"/>
  <c r="N47" i="44"/>
  <c r="N49" i="43"/>
  <c r="N48" i="43"/>
  <c r="N47" i="43"/>
  <c r="N49" i="42"/>
  <c r="N48" i="42"/>
  <c r="N47" i="42"/>
  <c r="N49" i="53"/>
  <c r="N48" i="53"/>
  <c r="T48" i="53" s="1"/>
  <c r="N47" i="53"/>
  <c r="T47" i="53" s="1"/>
  <c r="N49" i="38"/>
  <c r="N48" i="38"/>
  <c r="N47" i="38"/>
  <c r="N49" i="37"/>
  <c r="N48" i="37"/>
  <c r="N47" i="37"/>
  <c r="N49" i="36"/>
  <c r="N48" i="36"/>
  <c r="N47" i="36"/>
  <c r="N49" i="35"/>
  <c r="N48" i="35"/>
  <c r="N47" i="35"/>
  <c r="N49" i="34"/>
  <c r="N48" i="34"/>
  <c r="N47" i="34"/>
  <c r="N49" i="33"/>
  <c r="N48" i="33"/>
  <c r="N47" i="33"/>
  <c r="N49" i="32"/>
  <c r="N48" i="32"/>
  <c r="N47" i="32"/>
  <c r="N49" i="39"/>
  <c r="N48" i="39"/>
  <c r="T48" i="39" s="1"/>
  <c r="N47" i="39"/>
  <c r="T47" i="39" s="1"/>
  <c r="N49" i="31"/>
  <c r="N48" i="31"/>
  <c r="N47" i="31"/>
  <c r="N49" i="52"/>
  <c r="N48" i="52"/>
  <c r="T48" i="52" s="1"/>
  <c r="N47" i="52"/>
  <c r="T47" i="52" s="1"/>
  <c r="N48" i="11"/>
  <c r="N49" i="11"/>
  <c r="N47" i="11"/>
  <c r="N48" i="9"/>
  <c r="N49" i="8"/>
  <c r="N50" i="8"/>
  <c r="N48" i="8"/>
  <c r="N48" i="29"/>
  <c r="N49" i="29"/>
  <c r="N47" i="29"/>
  <c r="N50" i="12"/>
  <c r="N49" i="12"/>
  <c r="N48" i="12"/>
  <c r="N50" i="41"/>
  <c r="N49" i="41"/>
  <c r="N48" i="41"/>
  <c r="N50" i="40"/>
  <c r="N49" i="40"/>
  <c r="N48" i="40"/>
  <c r="N50" i="28"/>
  <c r="N49" i="28"/>
  <c r="N48" i="28"/>
  <c r="N49" i="10"/>
  <c r="N50" i="10"/>
  <c r="N48" i="10"/>
  <c r="N51" i="27"/>
  <c r="N50" i="27"/>
  <c r="N49" i="27"/>
  <c r="N50" i="26"/>
  <c r="N51" i="26"/>
  <c r="N49" i="26"/>
  <c r="N51" i="25"/>
  <c r="N52" i="25"/>
  <c r="N50" i="25"/>
  <c r="N51" i="24"/>
  <c r="N50" i="24"/>
  <c r="N49" i="24"/>
  <c r="N50" i="22"/>
  <c r="N51" i="22"/>
  <c r="N49" i="22"/>
  <c r="N47" i="30"/>
  <c r="N48" i="30"/>
  <c r="N46" i="30"/>
  <c r="N55" i="13"/>
  <c r="N56" i="13"/>
  <c r="N54" i="13"/>
  <c r="N48" i="7"/>
  <c r="N49" i="7"/>
  <c r="N47" i="7"/>
  <c r="N50" i="6"/>
  <c r="N49" i="6"/>
  <c r="N48" i="6"/>
  <c r="N50" i="5"/>
  <c r="N49" i="5"/>
  <c r="N48" i="5"/>
  <c r="N48" i="18"/>
  <c r="N50" i="18"/>
  <c r="N49" i="18"/>
  <c r="N49" i="17"/>
  <c r="N50" i="17"/>
  <c r="N48" i="17"/>
  <c r="N41" i="20"/>
  <c r="N42" i="20"/>
  <c r="N40" i="20"/>
  <c r="N41" i="19"/>
  <c r="N42" i="19"/>
  <c r="N40" i="19"/>
  <c r="N44" i="16"/>
  <c r="N45" i="16"/>
  <c r="N43" i="16"/>
  <c r="N46" i="15"/>
  <c r="N47" i="15"/>
  <c r="N45" i="15"/>
  <c r="N45" i="2"/>
  <c r="N46" i="2"/>
  <c r="N44" i="2"/>
  <c r="N50" i="14"/>
  <c r="N51" i="14"/>
  <c r="N49" i="14"/>
  <c r="N49" i="1"/>
  <c r="N50" i="1"/>
  <c r="N48" i="1"/>
  <c r="F7" i="51"/>
  <c r="F6" i="51"/>
  <c r="H58" i="23"/>
  <c r="G58" i="23"/>
  <c r="F58" i="23"/>
  <c r="D58" i="23"/>
  <c r="E65" i="50" s="1"/>
  <c r="B58" i="23"/>
  <c r="B65" i="50" s="1"/>
  <c r="A58" i="23"/>
  <c r="A65" i="50" s="1"/>
  <c r="E8" i="54"/>
  <c r="E3" i="54"/>
  <c r="G8" i="54"/>
  <c r="D57" i="23"/>
  <c r="E64" i="50" s="1"/>
  <c r="B57" i="23"/>
  <c r="B64" i="50" s="1"/>
  <c r="A57" i="23"/>
  <c r="A64" i="50" s="1"/>
  <c r="E8" i="48"/>
  <c r="E3" i="48"/>
  <c r="G56" i="23"/>
  <c r="D56" i="23"/>
  <c r="E63" i="50" s="1"/>
  <c r="B56" i="23"/>
  <c r="B63" i="50" s="1"/>
  <c r="A56" i="23"/>
  <c r="A63" i="50" s="1"/>
  <c r="E8" i="47"/>
  <c r="E3" i="47"/>
  <c r="G55" i="23"/>
  <c r="D55" i="23"/>
  <c r="E62" i="50" s="1"/>
  <c r="B55" i="23"/>
  <c r="B62" i="50" s="1"/>
  <c r="A55" i="23"/>
  <c r="A62" i="50" s="1"/>
  <c r="E8" i="46"/>
  <c r="E3" i="46"/>
  <c r="G54" i="23"/>
  <c r="D54" i="23"/>
  <c r="E61" i="50" s="1"/>
  <c r="B54" i="23"/>
  <c r="B61" i="50" s="1"/>
  <c r="A54" i="23"/>
  <c r="A61" i="50" s="1"/>
  <c r="E8" i="45"/>
  <c r="E3" i="45"/>
  <c r="D53" i="23"/>
  <c r="E60" i="50" s="1"/>
  <c r="B53" i="23"/>
  <c r="B60" i="50" s="1"/>
  <c r="A53" i="23"/>
  <c r="A60" i="50" s="1"/>
  <c r="E8" i="44"/>
  <c r="E3" i="44"/>
  <c r="D52" i="23"/>
  <c r="E59" i="50" s="1"/>
  <c r="B52" i="23"/>
  <c r="B59" i="50" s="1"/>
  <c r="A52" i="23"/>
  <c r="A59" i="50" s="1"/>
  <c r="E8" i="43"/>
  <c r="E3" i="43"/>
  <c r="T29" i="47"/>
  <c r="T29" i="46"/>
  <c r="T29" i="45"/>
  <c r="D51" i="23"/>
  <c r="E58" i="50" s="1"/>
  <c r="B51" i="23"/>
  <c r="B58" i="50" s="1"/>
  <c r="A51" i="23"/>
  <c r="A58" i="50" s="1"/>
  <c r="E8" i="42"/>
  <c r="E3" i="42"/>
  <c r="H49" i="23"/>
  <c r="G49" i="23"/>
  <c r="F49" i="23"/>
  <c r="D49" i="23"/>
  <c r="E56" i="50" s="1"/>
  <c r="B49" i="23"/>
  <c r="B56" i="50" s="1"/>
  <c r="A49" i="23"/>
  <c r="A56" i="50" s="1"/>
  <c r="E8" i="53"/>
  <c r="E3" i="53"/>
  <c r="G8" i="53"/>
  <c r="D48" i="23"/>
  <c r="E55" i="50" s="1"/>
  <c r="B48" i="23"/>
  <c r="B55" i="50" s="1"/>
  <c r="A48" i="23"/>
  <c r="A55" i="50" s="1"/>
  <c r="E8" i="38"/>
  <c r="E3" i="38"/>
  <c r="E8" i="37"/>
  <c r="K35" i="37" s="1"/>
  <c r="E3" i="37"/>
  <c r="D47" i="23"/>
  <c r="E54" i="50" s="1"/>
  <c r="B47" i="23"/>
  <c r="B54" i="50" s="1"/>
  <c r="A47" i="23"/>
  <c r="A54" i="50" s="1"/>
  <c r="E8" i="36"/>
  <c r="K35" i="36" s="1"/>
  <c r="E3" i="36"/>
  <c r="D46" i="23"/>
  <c r="E53" i="50" s="1"/>
  <c r="B46" i="23"/>
  <c r="B53" i="50" s="1"/>
  <c r="A46" i="23"/>
  <c r="A53" i="50" s="1"/>
  <c r="E8" i="35"/>
  <c r="K35" i="35" s="1"/>
  <c r="E3" i="35"/>
  <c r="D45" i="23"/>
  <c r="E52" i="50" s="1"/>
  <c r="B45" i="23"/>
  <c r="B52" i="50" s="1"/>
  <c r="A45" i="23"/>
  <c r="A52" i="50" s="1"/>
  <c r="E8" i="34"/>
  <c r="K35" i="34" s="1"/>
  <c r="E3" i="34"/>
  <c r="D44" i="23"/>
  <c r="E51" i="50" s="1"/>
  <c r="B44" i="23"/>
  <c r="B51" i="50" s="1"/>
  <c r="A44" i="23"/>
  <c r="A51" i="50" s="1"/>
  <c r="E8" i="33"/>
  <c r="K35" i="33" s="1"/>
  <c r="E3" i="33"/>
  <c r="D43" i="23"/>
  <c r="E50" i="50" s="1"/>
  <c r="B43" i="23"/>
  <c r="B50" i="50" s="1"/>
  <c r="A43" i="23"/>
  <c r="A50" i="50" s="1"/>
  <c r="E8" i="32"/>
  <c r="K35" i="32" s="1"/>
  <c r="E3" i="32"/>
  <c r="N15" i="39"/>
  <c r="N14" i="39"/>
  <c r="T36" i="39"/>
  <c r="T35" i="39"/>
  <c r="D42" i="23"/>
  <c r="E49" i="50" s="1"/>
  <c r="B42" i="23"/>
  <c r="B49" i="50" s="1"/>
  <c r="A42" i="23"/>
  <c r="A49" i="50" s="1"/>
  <c r="E3" i="39"/>
  <c r="E8" i="39"/>
  <c r="D41" i="23"/>
  <c r="E48" i="50" s="1"/>
  <c r="B41" i="23"/>
  <c r="B48" i="50" s="1"/>
  <c r="A41" i="23"/>
  <c r="A48" i="50" s="1"/>
  <c r="E8" i="31"/>
  <c r="E3" i="31"/>
  <c r="E3" i="52"/>
  <c r="H39" i="23"/>
  <c r="G39" i="23"/>
  <c r="F39" i="23"/>
  <c r="E8" i="52"/>
  <c r="D39" i="23"/>
  <c r="E46" i="50" s="1"/>
  <c r="B39" i="23"/>
  <c r="B46" i="50" s="1"/>
  <c r="A39" i="23"/>
  <c r="A46" i="50" s="1"/>
  <c r="H31" i="52"/>
  <c r="T30" i="52"/>
  <c r="T29" i="52"/>
  <c r="T20" i="52"/>
  <c r="G8" i="52"/>
  <c r="T45" i="52"/>
  <c r="J31" i="52"/>
  <c r="G38" i="23"/>
  <c r="F38" i="23"/>
  <c r="D38" i="23"/>
  <c r="E45" i="50" s="1"/>
  <c r="B38" i="23"/>
  <c r="B45" i="50" s="1"/>
  <c r="A38" i="23"/>
  <c r="A45" i="50" s="1"/>
  <c r="E8" i="11"/>
  <c r="E3" i="11"/>
  <c r="D37" i="23"/>
  <c r="E44" i="50" s="1"/>
  <c r="B37" i="23"/>
  <c r="B44" i="50" s="1"/>
  <c r="A37" i="23"/>
  <c r="A44" i="50" s="1"/>
  <c r="E8" i="9"/>
  <c r="E3" i="9"/>
  <c r="G36" i="23"/>
  <c r="D36" i="23"/>
  <c r="E43" i="50" s="1"/>
  <c r="B36" i="23"/>
  <c r="B43" i="50" s="1"/>
  <c r="A36" i="23"/>
  <c r="A43" i="50" s="1"/>
  <c r="E8" i="8"/>
  <c r="K39" i="8" s="1"/>
  <c r="E3" i="8"/>
  <c r="D42" i="50"/>
  <c r="D35" i="23"/>
  <c r="E42" i="50" s="1"/>
  <c r="B35" i="23"/>
  <c r="B42" i="50" s="1"/>
  <c r="A35" i="23"/>
  <c r="A42" i="50" s="1"/>
  <c r="E3" i="29"/>
  <c r="D34" i="23"/>
  <c r="E41" i="50" s="1"/>
  <c r="B34" i="23"/>
  <c r="B41" i="50" s="1"/>
  <c r="A34" i="23"/>
  <c r="A41" i="50" s="1"/>
  <c r="E8" i="12"/>
  <c r="E3" i="12"/>
  <c r="D32" i="23"/>
  <c r="E39" i="50" s="1"/>
  <c r="B32" i="23"/>
  <c r="B39" i="50" s="1"/>
  <c r="A32" i="23"/>
  <c r="A39" i="50" s="1"/>
  <c r="E8" i="40"/>
  <c r="E3" i="40"/>
  <c r="D31" i="23"/>
  <c r="E38" i="50" s="1"/>
  <c r="B31" i="23"/>
  <c r="B38" i="50" s="1"/>
  <c r="A31" i="23"/>
  <c r="A38" i="50" s="1"/>
  <c r="E8" i="28"/>
  <c r="E3" i="28"/>
  <c r="D30" i="23"/>
  <c r="E37" i="50" s="1"/>
  <c r="B30" i="23"/>
  <c r="B37" i="50" s="1"/>
  <c r="A30" i="23"/>
  <c r="A37" i="50" s="1"/>
  <c r="E8" i="10"/>
  <c r="E3" i="10"/>
  <c r="Q37" i="26"/>
  <c r="D29" i="23"/>
  <c r="E36" i="50" s="1"/>
  <c r="B29" i="23"/>
  <c r="B36" i="50" s="1"/>
  <c r="A29" i="23"/>
  <c r="A36" i="50" s="1"/>
  <c r="E8" i="27"/>
  <c r="K37" i="27" s="1"/>
  <c r="E3" i="27"/>
  <c r="D28" i="23"/>
  <c r="E35" i="50" s="1"/>
  <c r="B28" i="23"/>
  <c r="B35" i="50" s="1"/>
  <c r="A28" i="23"/>
  <c r="A35" i="50" s="1"/>
  <c r="E8" i="26"/>
  <c r="E3" i="26"/>
  <c r="D27" i="23"/>
  <c r="E34" i="50" s="1"/>
  <c r="B27" i="23"/>
  <c r="B34" i="50" s="1"/>
  <c r="A27" i="23"/>
  <c r="A34" i="50" s="1"/>
  <c r="E8" i="25"/>
  <c r="E3" i="25"/>
  <c r="D26" i="23"/>
  <c r="E33" i="50" s="1"/>
  <c r="B26" i="23"/>
  <c r="B33" i="50" s="1"/>
  <c r="A26" i="23"/>
  <c r="A33" i="50" s="1"/>
  <c r="E8" i="24"/>
  <c r="E3" i="24"/>
  <c r="D25" i="23"/>
  <c r="E32" i="50" s="1"/>
  <c r="B25" i="23"/>
  <c r="B32" i="50" s="1"/>
  <c r="A25" i="23"/>
  <c r="A32" i="50" s="1"/>
  <c r="E8" i="22"/>
  <c r="E3" i="22"/>
  <c r="D24" i="23"/>
  <c r="E31" i="50" s="1"/>
  <c r="B24" i="23"/>
  <c r="B31" i="50" s="1"/>
  <c r="A24" i="23"/>
  <c r="A31" i="50" s="1"/>
  <c r="E8" i="30"/>
  <c r="E3" i="30"/>
  <c r="D23" i="23"/>
  <c r="E30" i="50" s="1"/>
  <c r="B23" i="23"/>
  <c r="B30" i="50" s="1"/>
  <c r="A23" i="23"/>
  <c r="A30" i="50" s="1"/>
  <c r="E8" i="13"/>
  <c r="E3" i="13"/>
  <c r="D22" i="23"/>
  <c r="E29" i="50" s="1"/>
  <c r="B22" i="23"/>
  <c r="B29" i="50" s="1"/>
  <c r="A22" i="23"/>
  <c r="A29" i="50" s="1"/>
  <c r="E8" i="7"/>
  <c r="E3" i="7"/>
  <c r="D21" i="23"/>
  <c r="E28" i="50" s="1"/>
  <c r="B21" i="23"/>
  <c r="B28" i="50" s="1"/>
  <c r="A21" i="23"/>
  <c r="A28" i="50" s="1"/>
  <c r="E8" i="6"/>
  <c r="E3" i="6"/>
  <c r="D20" i="23"/>
  <c r="E27" i="50" s="1"/>
  <c r="B20" i="23"/>
  <c r="B27" i="50" s="1"/>
  <c r="A20" i="23"/>
  <c r="A27" i="50" s="1"/>
  <c r="E8" i="5"/>
  <c r="E3" i="5"/>
  <c r="D19" i="23"/>
  <c r="E26" i="50" s="1"/>
  <c r="B19" i="23"/>
  <c r="B26" i="50" s="1"/>
  <c r="A19" i="23"/>
  <c r="A26" i="50" s="1"/>
  <c r="E8" i="21"/>
  <c r="E3" i="21"/>
  <c r="D18" i="23"/>
  <c r="E25" i="50" s="1"/>
  <c r="B18" i="23"/>
  <c r="B25" i="50" s="1"/>
  <c r="A18" i="23"/>
  <c r="A25" i="50" s="1"/>
  <c r="E8" i="18"/>
  <c r="E3" i="18"/>
  <c r="D17" i="23"/>
  <c r="E24" i="50" s="1"/>
  <c r="B17" i="23"/>
  <c r="B24" i="50" s="1"/>
  <c r="A17" i="23"/>
  <c r="A24" i="50" s="1"/>
  <c r="E8" i="17"/>
  <c r="E3" i="17"/>
  <c r="D16" i="23"/>
  <c r="E23" i="50" s="1"/>
  <c r="B16" i="23"/>
  <c r="B23" i="50" s="1"/>
  <c r="A16" i="23"/>
  <c r="A23" i="50" s="1"/>
  <c r="E8" i="20"/>
  <c r="E3" i="20"/>
  <c r="D15" i="23"/>
  <c r="E22" i="50" s="1"/>
  <c r="B15" i="23"/>
  <c r="B22" i="50" s="1"/>
  <c r="A15" i="23"/>
  <c r="A22" i="50" s="1"/>
  <c r="E8" i="19"/>
  <c r="E3" i="19"/>
  <c r="D14" i="23"/>
  <c r="E21" i="50" s="1"/>
  <c r="E8" i="16"/>
  <c r="B14" i="23"/>
  <c r="B21" i="50" s="1"/>
  <c r="A14" i="23"/>
  <c r="A21" i="50" s="1"/>
  <c r="E3" i="16"/>
  <c r="E3" i="15"/>
  <c r="H13" i="23"/>
  <c r="D13" i="23"/>
  <c r="E20" i="50" s="1"/>
  <c r="E8" i="15"/>
  <c r="B13" i="23"/>
  <c r="B20" i="50" s="1"/>
  <c r="A13" i="23"/>
  <c r="A20" i="50" s="1"/>
  <c r="H12" i="23"/>
  <c r="D12" i="23"/>
  <c r="E19" i="50" s="1"/>
  <c r="E8" i="2"/>
  <c r="B12" i="23"/>
  <c r="B19" i="50" s="1"/>
  <c r="A12" i="23"/>
  <c r="A19" i="50" s="1"/>
  <c r="E3" i="2"/>
  <c r="E3" i="14"/>
  <c r="E3" i="1"/>
  <c r="E8" i="14"/>
  <c r="H11" i="23"/>
  <c r="D11" i="23"/>
  <c r="E18" i="50" s="1"/>
  <c r="B11" i="23"/>
  <c r="B18" i="50" s="1"/>
  <c r="A11" i="23"/>
  <c r="A18" i="50" s="1"/>
  <c r="A10" i="23"/>
  <c r="A17" i="50" s="1"/>
  <c r="H10" i="23"/>
  <c r="D10" i="23"/>
  <c r="E17" i="50" s="1"/>
  <c r="E8" i="1"/>
  <c r="B10" i="23"/>
  <c r="B17" i="50" s="1"/>
  <c r="B7" i="50"/>
  <c r="B6" i="50"/>
  <c r="AG14" i="51"/>
  <c r="T49" i="39" l="1"/>
  <c r="T49" i="53"/>
  <c r="T49" i="54"/>
  <c r="T49" i="52"/>
  <c r="I40" i="50"/>
  <c r="E8" i="29"/>
  <c r="I48" i="50"/>
  <c r="I50" i="50"/>
  <c r="I52" i="50"/>
  <c r="I54" i="50"/>
  <c r="I56" i="50"/>
  <c r="I59" i="50"/>
  <c r="I61" i="50"/>
  <c r="I63" i="50"/>
  <c r="I65" i="50"/>
  <c r="F65" i="50"/>
  <c r="F46" i="50"/>
  <c r="F56" i="50"/>
  <c r="I45" i="50"/>
  <c r="I36" i="50"/>
  <c r="I32" i="50"/>
  <c r="I28" i="50"/>
  <c r="I20" i="50"/>
  <c r="I17" i="50"/>
  <c r="I41" i="50"/>
  <c r="I24" i="50"/>
  <c r="I49" i="50"/>
  <c r="I51" i="50"/>
  <c r="I53" i="50"/>
  <c r="I55" i="50"/>
  <c r="I58" i="50"/>
  <c r="I60" i="50"/>
  <c r="I62" i="50"/>
  <c r="I64" i="50"/>
  <c r="I46" i="50"/>
  <c r="I44" i="50"/>
  <c r="I42" i="50"/>
  <c r="I39" i="50"/>
  <c r="I37" i="50"/>
  <c r="I35" i="50"/>
  <c r="I33" i="50"/>
  <c r="I31" i="50"/>
  <c r="I29" i="50"/>
  <c r="I27" i="50"/>
  <c r="I25" i="50"/>
  <c r="I23" i="50"/>
  <c r="I21" i="50"/>
  <c r="I19" i="50"/>
  <c r="I43" i="50"/>
  <c r="I38" i="50"/>
  <c r="I34" i="50"/>
  <c r="I30" i="50"/>
  <c r="I26" i="50"/>
  <c r="I22" i="50"/>
  <c r="I18" i="50"/>
  <c r="T15" i="54"/>
  <c r="T14" i="54"/>
  <c r="T45" i="54"/>
  <c r="T13" i="54"/>
  <c r="T15" i="53"/>
  <c r="T14" i="53"/>
  <c r="T45" i="53"/>
  <c r="T13" i="53"/>
  <c r="T46" i="52"/>
  <c r="J65" i="50" l="1"/>
  <c r="K65" i="50" s="1"/>
  <c r="L65" i="50" s="1"/>
  <c r="M65" i="50" s="1"/>
  <c r="O65" i="50" s="1"/>
  <c r="J56" i="50"/>
  <c r="K56" i="50" s="1"/>
  <c r="L56" i="50" s="1"/>
  <c r="M56" i="50" s="1"/>
  <c r="J46" i="50"/>
  <c r="K46" i="50" s="1"/>
  <c r="L46" i="50" s="1"/>
  <c r="M46" i="50" s="1"/>
  <c r="T20" i="54"/>
  <c r="T20" i="53"/>
  <c r="I39" i="23"/>
  <c r="J39" i="23"/>
  <c r="O46" i="50" l="1"/>
  <c r="O56" i="50"/>
  <c r="T24" i="54"/>
  <c r="T29" i="54" s="1"/>
  <c r="T30" i="54" s="1"/>
  <c r="T46" i="54" s="1"/>
  <c r="T24" i="53"/>
  <c r="T29" i="53" s="1"/>
  <c r="T30" i="53" s="1"/>
  <c r="T46" i="53" s="1"/>
  <c r="K39" i="23"/>
  <c r="L39" i="23" s="1"/>
  <c r="M39" i="23" s="1"/>
  <c r="P46" i="50" l="1"/>
  <c r="T50" i="52"/>
  <c r="T51" i="52" s="1"/>
  <c r="J58" i="23"/>
  <c r="J49" i="23"/>
  <c r="I49" i="23"/>
  <c r="K35" i="48"/>
  <c r="T35" i="48" s="1"/>
  <c r="T36" i="48" s="1"/>
  <c r="G8" i="48"/>
  <c r="N13" i="48"/>
  <c r="E7" i="47"/>
  <c r="K35" i="47"/>
  <c r="T35" i="47" s="1"/>
  <c r="T36" i="47" s="1"/>
  <c r="G8" i="47"/>
  <c r="N13" i="47"/>
  <c r="E7" i="46"/>
  <c r="K35" i="46"/>
  <c r="T35" i="46" s="1"/>
  <c r="G8" i="46"/>
  <c r="N13" i="46"/>
  <c r="E7" i="45"/>
  <c r="N13" i="45"/>
  <c r="K35" i="45"/>
  <c r="T35" i="45" s="1"/>
  <c r="G8" i="45"/>
  <c r="E7" i="44"/>
  <c r="K35" i="44"/>
  <c r="T35" i="44" s="1"/>
  <c r="G8" i="44"/>
  <c r="N13" i="44"/>
  <c r="E7" i="43"/>
  <c r="N13" i="43" s="1"/>
  <c r="N14" i="43" s="1"/>
  <c r="K35" i="43"/>
  <c r="T35" i="43" s="1"/>
  <c r="G8" i="43"/>
  <c r="E7" i="42"/>
  <c r="N13" i="42"/>
  <c r="K35" i="42"/>
  <c r="T35" i="42" s="1"/>
  <c r="G8" i="42"/>
  <c r="Q35" i="12"/>
  <c r="Q35" i="41"/>
  <c r="E7" i="41"/>
  <c r="N13" i="41" s="1"/>
  <c r="P35" i="41"/>
  <c r="O35" i="41"/>
  <c r="K35" i="41"/>
  <c r="J31" i="41"/>
  <c r="AC14" i="41"/>
  <c r="E6" i="41"/>
  <c r="K41" i="40"/>
  <c r="T41" i="40" s="1"/>
  <c r="K40" i="40"/>
  <c r="T40" i="40" s="1"/>
  <c r="K39" i="40"/>
  <c r="T39" i="40" s="1"/>
  <c r="Q38" i="40"/>
  <c r="K38" i="40"/>
  <c r="T38" i="40" s="1"/>
  <c r="K37" i="40"/>
  <c r="T37" i="40" s="1"/>
  <c r="K36" i="40"/>
  <c r="N36" i="40" s="1"/>
  <c r="K35" i="40"/>
  <c r="T35" i="40" s="1"/>
  <c r="E7" i="40"/>
  <c r="N13" i="40" s="1"/>
  <c r="N14" i="40" s="1"/>
  <c r="AM37" i="40"/>
  <c r="AL37" i="40"/>
  <c r="AK37" i="40"/>
  <c r="G8" i="40"/>
  <c r="AG7" i="40"/>
  <c r="AG6" i="40"/>
  <c r="AA35" i="39"/>
  <c r="T13" i="39"/>
  <c r="G8" i="39"/>
  <c r="K35" i="38"/>
  <c r="T35" i="38" s="1"/>
  <c r="T36" i="38" s="1"/>
  <c r="E7" i="38"/>
  <c r="N13" i="38" s="1"/>
  <c r="G8" i="38"/>
  <c r="E7" i="37"/>
  <c r="N13" i="37" s="1"/>
  <c r="N14" i="37" s="1"/>
  <c r="T35" i="37"/>
  <c r="T36" i="37" s="1"/>
  <c r="G8" i="37"/>
  <c r="E7" i="36"/>
  <c r="T35" i="36"/>
  <c r="T36" i="36" s="1"/>
  <c r="T45" i="36" s="1"/>
  <c r="H47" i="23" s="1"/>
  <c r="N13" i="36"/>
  <c r="N14" i="36" s="1"/>
  <c r="G8" i="36"/>
  <c r="T35" i="35"/>
  <c r="N13" i="35"/>
  <c r="N14" i="35" s="1"/>
  <c r="G8" i="35"/>
  <c r="T35" i="34"/>
  <c r="T36" i="34" s="1"/>
  <c r="N13" i="34"/>
  <c r="N14" i="34" s="1"/>
  <c r="G8" i="34"/>
  <c r="T35" i="33"/>
  <c r="T36" i="33" s="1"/>
  <c r="N13" i="33"/>
  <c r="N14" i="33" s="1"/>
  <c r="G8" i="33"/>
  <c r="T35" i="32"/>
  <c r="T36" i="32" s="1"/>
  <c r="N13" i="32"/>
  <c r="N14" i="32" s="1"/>
  <c r="N15" i="32" s="1"/>
  <c r="G8" i="32"/>
  <c r="K35" i="31"/>
  <c r="Q35" i="31"/>
  <c r="E7" i="31"/>
  <c r="N13" i="31" s="1"/>
  <c r="AA35" i="31"/>
  <c r="G8" i="31"/>
  <c r="K36" i="30"/>
  <c r="T36" i="30" s="1"/>
  <c r="E7" i="30"/>
  <c r="H32" i="30" s="1"/>
  <c r="P37" i="30"/>
  <c r="O37" i="30"/>
  <c r="K37" i="30"/>
  <c r="T37" i="30" s="1"/>
  <c r="P36" i="30"/>
  <c r="O36" i="30"/>
  <c r="J32" i="30"/>
  <c r="K15" i="30"/>
  <c r="G8" i="30"/>
  <c r="Q35" i="29"/>
  <c r="E7" i="29"/>
  <c r="H31" i="29" s="1"/>
  <c r="P35" i="29"/>
  <c r="O35" i="29"/>
  <c r="K35" i="29"/>
  <c r="J31" i="29"/>
  <c r="AC14" i="29"/>
  <c r="N13" i="29"/>
  <c r="N14" i="29" s="1"/>
  <c r="E6" i="29"/>
  <c r="K36" i="7"/>
  <c r="T36" i="7" s="1"/>
  <c r="K35" i="7"/>
  <c r="T35" i="7" s="1"/>
  <c r="K38" i="28"/>
  <c r="T38" i="28" s="1"/>
  <c r="K37" i="28"/>
  <c r="T37" i="28" s="1"/>
  <c r="K36" i="28"/>
  <c r="Q35" i="28"/>
  <c r="K35" i="28"/>
  <c r="T35" i="28" s="1"/>
  <c r="E7" i="28"/>
  <c r="N13" i="28" s="1"/>
  <c r="T13" i="28" s="1"/>
  <c r="AM37" i="28"/>
  <c r="AL37" i="28"/>
  <c r="AK37" i="28"/>
  <c r="G8" i="28"/>
  <c r="AG7" i="28"/>
  <c r="AG6" i="28"/>
  <c r="E7" i="27"/>
  <c r="P38" i="27"/>
  <c r="O38" i="27"/>
  <c r="K38" i="27"/>
  <c r="T38" i="27" s="1"/>
  <c r="T37" i="27"/>
  <c r="P37" i="27"/>
  <c r="O37" i="27"/>
  <c r="J33" i="27"/>
  <c r="G8" i="27"/>
  <c r="H33" i="27"/>
  <c r="K38" i="26"/>
  <c r="T38" i="26" s="1"/>
  <c r="K37" i="26"/>
  <c r="T37" i="26" s="1"/>
  <c r="E7" i="26"/>
  <c r="P38" i="26"/>
  <c r="O38" i="26"/>
  <c r="P37" i="26"/>
  <c r="O37" i="26"/>
  <c r="J33" i="26"/>
  <c r="G8" i="26"/>
  <c r="N14" i="26"/>
  <c r="O38" i="25"/>
  <c r="P38" i="25"/>
  <c r="K38" i="25"/>
  <c r="T38" i="25" s="1"/>
  <c r="K39" i="25"/>
  <c r="T39" i="25" s="1"/>
  <c r="E7" i="25"/>
  <c r="Q39" i="25"/>
  <c r="P39" i="25"/>
  <c r="O39" i="25"/>
  <c r="Q37" i="25"/>
  <c r="P37" i="25"/>
  <c r="O37" i="25"/>
  <c r="K37" i="25"/>
  <c r="T37" i="25" s="1"/>
  <c r="J33" i="25"/>
  <c r="G8" i="25"/>
  <c r="N14" i="25"/>
  <c r="Q38" i="24"/>
  <c r="K38" i="24"/>
  <c r="Q37" i="24"/>
  <c r="K37" i="24"/>
  <c r="T37" i="24" s="1"/>
  <c r="E7" i="24"/>
  <c r="H33" i="24" s="1"/>
  <c r="P38" i="24"/>
  <c r="O38" i="24"/>
  <c r="P37" i="24"/>
  <c r="O37" i="24"/>
  <c r="J33" i="24"/>
  <c r="N14" i="24"/>
  <c r="N15" i="24" s="1"/>
  <c r="G8" i="24"/>
  <c r="E7" i="22"/>
  <c r="P38" i="22"/>
  <c r="O38" i="22"/>
  <c r="K38" i="22"/>
  <c r="T38" i="22" s="1"/>
  <c r="P37" i="22"/>
  <c r="O37" i="22"/>
  <c r="K37" i="22"/>
  <c r="T37" i="22" s="1"/>
  <c r="J33" i="22"/>
  <c r="G8" i="22"/>
  <c r="H33" i="22"/>
  <c r="K38" i="21"/>
  <c r="T38" i="21" s="1"/>
  <c r="K37" i="21"/>
  <c r="K39" i="21"/>
  <c r="E7" i="21"/>
  <c r="AF113" i="21"/>
  <c r="AF112" i="21"/>
  <c r="AF111" i="21"/>
  <c r="P39" i="21"/>
  <c r="O39" i="21"/>
  <c r="P38" i="21"/>
  <c r="O38" i="21"/>
  <c r="P37" i="21"/>
  <c r="O37" i="21"/>
  <c r="J33" i="21"/>
  <c r="G8" i="21"/>
  <c r="H33" i="21"/>
  <c r="K42" i="13"/>
  <c r="E7" i="20"/>
  <c r="M55" i="20"/>
  <c r="M54" i="20"/>
  <c r="M53" i="20"/>
  <c r="M52" i="20"/>
  <c r="M51" i="20"/>
  <c r="M57" i="20" s="1"/>
  <c r="K33" i="20"/>
  <c r="T33" i="20" s="1"/>
  <c r="K32" i="20"/>
  <c r="N32" i="20" s="1"/>
  <c r="J28" i="20"/>
  <c r="H28" i="20"/>
  <c r="K21" i="20"/>
  <c r="K22" i="20" s="1"/>
  <c r="G8" i="20"/>
  <c r="N13" i="20"/>
  <c r="K33" i="19"/>
  <c r="K32" i="19"/>
  <c r="E7" i="19"/>
  <c r="H28" i="19" s="1"/>
  <c r="M55" i="19"/>
  <c r="M54" i="19"/>
  <c r="M53" i="19"/>
  <c r="M52" i="19"/>
  <c r="M57" i="19" s="1"/>
  <c r="M51" i="19"/>
  <c r="J28" i="19"/>
  <c r="K21" i="19"/>
  <c r="G8" i="19"/>
  <c r="E7" i="18"/>
  <c r="H32" i="18" s="1"/>
  <c r="AF112" i="18"/>
  <c r="AF111" i="18"/>
  <c r="AF110" i="18"/>
  <c r="P38" i="18"/>
  <c r="O38" i="18"/>
  <c r="K38" i="18"/>
  <c r="N38" i="18" s="1"/>
  <c r="P37" i="18"/>
  <c r="O37" i="18"/>
  <c r="K37" i="18"/>
  <c r="T37" i="18" s="1"/>
  <c r="P36" i="18"/>
  <c r="O36" i="18"/>
  <c r="K36" i="18"/>
  <c r="T36" i="18" s="1"/>
  <c r="J32" i="18"/>
  <c r="K25" i="18"/>
  <c r="G8" i="18"/>
  <c r="K38" i="17"/>
  <c r="T38" i="17" s="1"/>
  <c r="K37" i="17"/>
  <c r="T37" i="17" s="1"/>
  <c r="K36" i="17"/>
  <c r="N36" i="17" s="1"/>
  <c r="O36" i="17"/>
  <c r="P36" i="17"/>
  <c r="P38" i="17"/>
  <c r="O38" i="17"/>
  <c r="P37" i="17"/>
  <c r="O37" i="17"/>
  <c r="E7" i="17"/>
  <c r="N14" i="17" s="1"/>
  <c r="AF112" i="17"/>
  <c r="AF111" i="17"/>
  <c r="AF110" i="17"/>
  <c r="J32" i="17"/>
  <c r="K25" i="17"/>
  <c r="G8" i="17"/>
  <c r="K34" i="16"/>
  <c r="T34" i="16" s="1"/>
  <c r="T41" i="16" s="1"/>
  <c r="H14" i="23" s="1"/>
  <c r="E7" i="16"/>
  <c r="N14" i="16" s="1"/>
  <c r="J30" i="16"/>
  <c r="K23" i="16"/>
  <c r="K14" i="16"/>
  <c r="N13" i="16"/>
  <c r="T13" i="16" s="1"/>
  <c r="G8" i="16"/>
  <c r="H30" i="16"/>
  <c r="E7" i="15"/>
  <c r="N13" i="15" s="1"/>
  <c r="T13" i="15" s="1"/>
  <c r="J32" i="15"/>
  <c r="K24" i="15"/>
  <c r="K23" i="15"/>
  <c r="K14" i="15"/>
  <c r="G8" i="15"/>
  <c r="N25" i="14"/>
  <c r="N26" i="14" s="1"/>
  <c r="N24" i="14"/>
  <c r="T24" i="14" s="1"/>
  <c r="AM38" i="14"/>
  <c r="AL38" i="14"/>
  <c r="AK38" i="14"/>
  <c r="J32" i="14"/>
  <c r="H32" i="14"/>
  <c r="N13" i="14"/>
  <c r="N14" i="14" s="1"/>
  <c r="T14" i="14" s="1"/>
  <c r="G8" i="14"/>
  <c r="K43" i="13"/>
  <c r="T43" i="13" s="1"/>
  <c r="P44" i="13"/>
  <c r="O44" i="13"/>
  <c r="P45" i="13"/>
  <c r="O45" i="13"/>
  <c r="P43" i="13"/>
  <c r="O43" i="13"/>
  <c r="K44" i="13"/>
  <c r="T44" i="13" s="1"/>
  <c r="K45" i="13"/>
  <c r="T45" i="13" s="1"/>
  <c r="E7" i="13"/>
  <c r="H38" i="13" s="1"/>
  <c r="P42" i="13"/>
  <c r="O42" i="13"/>
  <c r="J38" i="13"/>
  <c r="K15" i="13"/>
  <c r="G8" i="13"/>
  <c r="P35" i="12"/>
  <c r="O35" i="12"/>
  <c r="K35" i="12"/>
  <c r="T35" i="12" s="1"/>
  <c r="T36" i="12" s="1"/>
  <c r="J31" i="12"/>
  <c r="AC14" i="12"/>
  <c r="E7" i="12"/>
  <c r="N13" i="12" s="1"/>
  <c r="E6" i="12"/>
  <c r="P35" i="11"/>
  <c r="O35" i="11"/>
  <c r="K35" i="11"/>
  <c r="T35" i="11" s="1"/>
  <c r="T45" i="11" s="1"/>
  <c r="H38" i="23" s="1"/>
  <c r="F45" i="50" s="1"/>
  <c r="J45" i="50" s="1"/>
  <c r="K45" i="50" s="1"/>
  <c r="L45" i="50" s="1"/>
  <c r="M45" i="50" s="1"/>
  <c r="H31" i="11"/>
  <c r="T29" i="11"/>
  <c r="T20" i="11"/>
  <c r="T30" i="11" s="1"/>
  <c r="G8" i="11"/>
  <c r="G7" i="11"/>
  <c r="J31" i="11" s="1"/>
  <c r="AM37" i="10"/>
  <c r="AL37" i="10"/>
  <c r="AK37" i="10"/>
  <c r="K35" i="10"/>
  <c r="K36" i="10" s="1"/>
  <c r="K15" i="10"/>
  <c r="K14" i="10"/>
  <c r="N13" i="10"/>
  <c r="T13" i="10" s="1"/>
  <c r="G8" i="10"/>
  <c r="AG7" i="10"/>
  <c r="E7" i="10"/>
  <c r="AG6" i="10"/>
  <c r="K38" i="9"/>
  <c r="T38" i="9" s="1"/>
  <c r="AM37" i="9"/>
  <c r="AL37" i="9"/>
  <c r="AK37" i="9"/>
  <c r="K37" i="9"/>
  <c r="T37" i="9" s="1"/>
  <c r="K36" i="9"/>
  <c r="N36" i="9" s="1"/>
  <c r="K35" i="9"/>
  <c r="T35" i="9" s="1"/>
  <c r="K15" i="9"/>
  <c r="K14" i="9"/>
  <c r="G8" i="9"/>
  <c r="E7" i="9"/>
  <c r="N13" i="9" s="1"/>
  <c r="T13" i="9" s="1"/>
  <c r="K42" i="8"/>
  <c r="T42" i="8" s="1"/>
  <c r="K40" i="8"/>
  <c r="K41" i="8" s="1"/>
  <c r="T39" i="8"/>
  <c r="N39" i="8"/>
  <c r="P38" i="8"/>
  <c r="O38" i="8"/>
  <c r="K38" i="8"/>
  <c r="T38" i="8" s="1"/>
  <c r="AM37" i="8"/>
  <c r="AL37" i="8"/>
  <c r="AK37" i="8"/>
  <c r="P37" i="8"/>
  <c r="O37" i="8"/>
  <c r="K37" i="8"/>
  <c r="T37" i="8" s="1"/>
  <c r="P36" i="8"/>
  <c r="O36" i="8"/>
  <c r="K36" i="8"/>
  <c r="T36" i="8" s="1"/>
  <c r="P35" i="8"/>
  <c r="O35" i="8"/>
  <c r="K35" i="8"/>
  <c r="N35" i="8" s="1"/>
  <c r="K15" i="8"/>
  <c r="K14" i="8"/>
  <c r="G8" i="8"/>
  <c r="E7" i="8"/>
  <c r="N13" i="8" s="1"/>
  <c r="P36" i="7"/>
  <c r="O36" i="7"/>
  <c r="P35" i="7"/>
  <c r="O35" i="7"/>
  <c r="J31" i="7"/>
  <c r="K15" i="7"/>
  <c r="K14" i="7"/>
  <c r="G8" i="7"/>
  <c r="E7" i="7"/>
  <c r="H31" i="7" s="1"/>
  <c r="P40" i="6"/>
  <c r="O40" i="6"/>
  <c r="K40" i="6"/>
  <c r="T40" i="6" s="1"/>
  <c r="P39" i="6"/>
  <c r="O39" i="6"/>
  <c r="K39" i="6"/>
  <c r="T39" i="6" s="1"/>
  <c r="P38" i="6"/>
  <c r="O38" i="6"/>
  <c r="K38" i="6"/>
  <c r="N38" i="6" s="1"/>
  <c r="P37" i="6"/>
  <c r="O37" i="6"/>
  <c r="K37" i="6"/>
  <c r="N37" i="6" s="1"/>
  <c r="P36" i="6"/>
  <c r="O36" i="6"/>
  <c r="K36" i="6"/>
  <c r="T36" i="6" s="1"/>
  <c r="K16" i="6"/>
  <c r="K15" i="6"/>
  <c r="G8" i="6"/>
  <c r="G7" i="6" s="1"/>
  <c r="J32" i="6" s="1"/>
  <c r="E7" i="6"/>
  <c r="H32" i="6" s="1"/>
  <c r="P40" i="5"/>
  <c r="O40" i="5"/>
  <c r="K40" i="5"/>
  <c r="T40" i="5" s="1"/>
  <c r="P39" i="5"/>
  <c r="O39" i="5"/>
  <c r="K39" i="5"/>
  <c r="N39" i="5" s="1"/>
  <c r="P38" i="5"/>
  <c r="O38" i="5"/>
  <c r="K38" i="5"/>
  <c r="T38" i="5" s="1"/>
  <c r="P37" i="5"/>
  <c r="O37" i="5"/>
  <c r="K37" i="5"/>
  <c r="T37" i="5" s="1"/>
  <c r="P36" i="5"/>
  <c r="O36" i="5"/>
  <c r="K36" i="5"/>
  <c r="T36" i="5" s="1"/>
  <c r="K16" i="5"/>
  <c r="K15" i="5"/>
  <c r="N14" i="5"/>
  <c r="N25" i="5" s="1"/>
  <c r="G8" i="5"/>
  <c r="G7" i="5" s="1"/>
  <c r="J32" i="5" s="1"/>
  <c r="E7" i="5"/>
  <c r="H32" i="5" s="1"/>
  <c r="AL4" i="5"/>
  <c r="E7" i="2"/>
  <c r="G8" i="2"/>
  <c r="N13" i="2"/>
  <c r="T13" i="2" s="1"/>
  <c r="K14" i="2"/>
  <c r="N14" i="2"/>
  <c r="N23" i="2" s="1"/>
  <c r="N24" i="2" s="1"/>
  <c r="K23" i="2"/>
  <c r="K24" i="2"/>
  <c r="H31" i="2"/>
  <c r="J31" i="2"/>
  <c r="AM37" i="1"/>
  <c r="AL37" i="1"/>
  <c r="AK37" i="1"/>
  <c r="J31" i="1"/>
  <c r="H31" i="1"/>
  <c r="G8" i="1"/>
  <c r="N13" i="1"/>
  <c r="O45" i="50" l="1"/>
  <c r="T35" i="41"/>
  <c r="I58" i="23"/>
  <c r="T13" i="33"/>
  <c r="N33" i="20"/>
  <c r="T35" i="10"/>
  <c r="T38" i="24"/>
  <c r="T39" i="24" s="1"/>
  <c r="T47" i="24" s="1"/>
  <c r="H26" i="23" s="1"/>
  <c r="N38" i="9"/>
  <c r="N35" i="9"/>
  <c r="N40" i="8"/>
  <c r="N37" i="8"/>
  <c r="T35" i="29"/>
  <c r="T36" i="40"/>
  <c r="T46" i="40" s="1"/>
  <c r="H32" i="23" s="1"/>
  <c r="N35" i="10"/>
  <c r="T38" i="30"/>
  <c r="T44" i="30" s="1"/>
  <c r="H24" i="23" s="1"/>
  <c r="N36" i="6"/>
  <c r="N39" i="6"/>
  <c r="N36" i="18"/>
  <c r="T14" i="2"/>
  <c r="T19" i="2" s="1"/>
  <c r="N14" i="48"/>
  <c r="T13" i="48"/>
  <c r="T45" i="48"/>
  <c r="H57" i="23" s="1"/>
  <c r="N14" i="47"/>
  <c r="T13" i="47"/>
  <c r="T45" i="47"/>
  <c r="H56" i="23" s="1"/>
  <c r="T13" i="46"/>
  <c r="N14" i="46"/>
  <c r="T36" i="46"/>
  <c r="T45" i="46" s="1"/>
  <c r="H55" i="23" s="1"/>
  <c r="T36" i="45"/>
  <c r="T45" i="45" s="1"/>
  <c r="H54" i="23" s="1"/>
  <c r="N14" i="45"/>
  <c r="T13" i="45"/>
  <c r="T13" i="44"/>
  <c r="N14" i="44"/>
  <c r="T36" i="44"/>
  <c r="T45" i="44" s="1"/>
  <c r="H53" i="23" s="1"/>
  <c r="T14" i="43"/>
  <c r="N15" i="43"/>
  <c r="T15" i="43" s="1"/>
  <c r="T36" i="43"/>
  <c r="T45" i="43" s="1"/>
  <c r="H52" i="23" s="1"/>
  <c r="T13" i="43"/>
  <c r="T36" i="42"/>
  <c r="T45" i="42" s="1"/>
  <c r="H51" i="23" s="1"/>
  <c r="N14" i="42"/>
  <c r="T13" i="42"/>
  <c r="N14" i="41"/>
  <c r="T13" i="41"/>
  <c r="H31" i="41"/>
  <c r="N15" i="40"/>
  <c r="T15" i="40" s="1"/>
  <c r="T14" i="40"/>
  <c r="T13" i="40"/>
  <c r="T15" i="39"/>
  <c r="T14" i="39"/>
  <c r="T45" i="39"/>
  <c r="H42" i="23" s="1"/>
  <c r="N14" i="38"/>
  <c r="T13" i="38"/>
  <c r="T45" i="38"/>
  <c r="H48" i="23" s="1"/>
  <c r="T45" i="37"/>
  <c r="T14" i="37"/>
  <c r="N15" i="37"/>
  <c r="T15" i="37" s="1"/>
  <c r="T13" i="37"/>
  <c r="T14" i="36"/>
  <c r="N15" i="36"/>
  <c r="T15" i="36" s="1"/>
  <c r="T13" i="36"/>
  <c r="T14" i="35"/>
  <c r="N15" i="35"/>
  <c r="T15" i="35" s="1"/>
  <c r="T13" i="35"/>
  <c r="T36" i="35"/>
  <c r="T45" i="35" s="1"/>
  <c r="H46" i="23" s="1"/>
  <c r="T45" i="34"/>
  <c r="H45" i="23" s="1"/>
  <c r="T14" i="34"/>
  <c r="N15" i="34"/>
  <c r="T15" i="34" s="1"/>
  <c r="T13" i="34"/>
  <c r="T45" i="33"/>
  <c r="H44" i="23" s="1"/>
  <c r="T14" i="33"/>
  <c r="N15" i="33"/>
  <c r="T15" i="33" s="1"/>
  <c r="T15" i="32"/>
  <c r="T14" i="32"/>
  <c r="T45" i="32"/>
  <c r="H43" i="23" s="1"/>
  <c r="T13" i="32"/>
  <c r="T35" i="31"/>
  <c r="N14" i="31"/>
  <c r="N15" i="31" s="1"/>
  <c r="T15" i="31" s="1"/>
  <c r="T13" i="31"/>
  <c r="N14" i="30"/>
  <c r="T14" i="29"/>
  <c r="N15" i="29"/>
  <c r="T15" i="29" s="1"/>
  <c r="T13" i="29"/>
  <c r="N14" i="28"/>
  <c r="N15" i="28" s="1"/>
  <c r="T15" i="28" s="1"/>
  <c r="N14" i="27"/>
  <c r="T39" i="27"/>
  <c r="T47" i="27" s="1"/>
  <c r="H29" i="23" s="1"/>
  <c r="T39" i="26"/>
  <c r="T47" i="26" s="1"/>
  <c r="H28" i="23" s="1"/>
  <c r="T14" i="26"/>
  <c r="N15" i="26"/>
  <c r="H33" i="26"/>
  <c r="N15" i="25"/>
  <c r="T14" i="25"/>
  <c r="T40" i="25"/>
  <c r="T48" i="25" s="1"/>
  <c r="H27" i="23" s="1"/>
  <c r="H33" i="25"/>
  <c r="T15" i="24"/>
  <c r="N16" i="24"/>
  <c r="T16" i="24" s="1"/>
  <c r="T14" i="24"/>
  <c r="N14" i="13"/>
  <c r="N15" i="13" s="1"/>
  <c r="N16" i="13" s="1"/>
  <c r="N32" i="13" s="1"/>
  <c r="T32" i="13" s="1"/>
  <c r="T36" i="17"/>
  <c r="T46" i="17" s="1"/>
  <c r="H17" i="23" s="1"/>
  <c r="T25" i="5"/>
  <c r="T37" i="6"/>
  <c r="N40" i="5"/>
  <c r="T40" i="8"/>
  <c r="T36" i="9"/>
  <c r="T39" i="9" s="1"/>
  <c r="T46" i="9" s="1"/>
  <c r="H37" i="23" s="1"/>
  <c r="T46" i="12"/>
  <c r="H34" i="23" s="1"/>
  <c r="T38" i="6"/>
  <c r="T45" i="7"/>
  <c r="H22" i="23" s="1"/>
  <c r="T39" i="22"/>
  <c r="T47" i="22" s="1"/>
  <c r="N14" i="22"/>
  <c r="N14" i="21"/>
  <c r="T37" i="21"/>
  <c r="T39" i="21"/>
  <c r="N21" i="20"/>
  <c r="N22" i="20" s="1"/>
  <c r="T22" i="20" s="1"/>
  <c r="T13" i="20"/>
  <c r="N14" i="20"/>
  <c r="T32" i="20"/>
  <c r="N13" i="19"/>
  <c r="K22" i="19"/>
  <c r="N37" i="18"/>
  <c r="N14" i="18"/>
  <c r="T38" i="18"/>
  <c r="T46" i="18" s="1"/>
  <c r="H18" i="23" s="1"/>
  <c r="N38" i="17"/>
  <c r="N37" i="17"/>
  <c r="N15" i="17"/>
  <c r="T14" i="17"/>
  <c r="N25" i="17"/>
  <c r="T25" i="17" s="1"/>
  <c r="H32" i="17"/>
  <c r="T14" i="16"/>
  <c r="T19" i="16" s="1"/>
  <c r="N23" i="16"/>
  <c r="N14" i="15"/>
  <c r="N23" i="15" s="1"/>
  <c r="H32" i="15"/>
  <c r="N15" i="14"/>
  <c r="T15" i="14" s="1"/>
  <c r="T13" i="14"/>
  <c r="T42" i="13"/>
  <c r="N14" i="12"/>
  <c r="T13" i="12"/>
  <c r="H31" i="12"/>
  <c r="T46" i="11"/>
  <c r="N36" i="10"/>
  <c r="T36" i="10"/>
  <c r="N14" i="10"/>
  <c r="N14" i="9"/>
  <c r="N14" i="8"/>
  <c r="T13" i="8"/>
  <c r="T41" i="8"/>
  <c r="N41" i="8"/>
  <c r="T35" i="8"/>
  <c r="N38" i="8"/>
  <c r="N36" i="8"/>
  <c r="N35" i="7"/>
  <c r="N13" i="7"/>
  <c r="N36" i="7"/>
  <c r="N14" i="6"/>
  <c r="N40" i="6"/>
  <c r="N36" i="5"/>
  <c r="N38" i="5"/>
  <c r="T14" i="5"/>
  <c r="T39" i="5"/>
  <c r="T46" i="5" s="1"/>
  <c r="H20" i="23" s="1"/>
  <c r="N15" i="5"/>
  <c r="N37" i="5"/>
  <c r="T24" i="2"/>
  <c r="T23" i="2"/>
  <c r="N14" i="1"/>
  <c r="T13" i="1"/>
  <c r="T48" i="11" l="1"/>
  <c r="J38" i="23" s="1"/>
  <c r="T47" i="11"/>
  <c r="I38" i="23" s="1"/>
  <c r="T36" i="41"/>
  <c r="T46" i="41" s="1"/>
  <c r="H33" i="23" s="1"/>
  <c r="T50" i="54"/>
  <c r="T51" i="54" s="1"/>
  <c r="K58" i="23"/>
  <c r="L58" i="23" s="1"/>
  <c r="P65" i="50" s="1"/>
  <c r="T50" i="53"/>
  <c r="T51" i="53" s="1"/>
  <c r="K49" i="23"/>
  <c r="L49" i="23" s="1"/>
  <c r="T20" i="33"/>
  <c r="F44" i="23" s="1"/>
  <c r="T20" i="35"/>
  <c r="F46" i="23" s="1"/>
  <c r="T20" i="34"/>
  <c r="T24" i="34" s="1"/>
  <c r="T29" i="34" s="1"/>
  <c r="G45" i="23" s="1"/>
  <c r="T20" i="39"/>
  <c r="F42" i="23" s="1"/>
  <c r="T36" i="31"/>
  <c r="T45" i="31" s="1"/>
  <c r="H41" i="23" s="1"/>
  <c r="N33" i="13"/>
  <c r="T33" i="13" s="1"/>
  <c r="T14" i="15"/>
  <c r="T19" i="15" s="1"/>
  <c r="F13" i="23" s="1"/>
  <c r="T46" i="6"/>
  <c r="H21" i="23" s="1"/>
  <c r="T46" i="10"/>
  <c r="H30" i="23" s="1"/>
  <c r="T36" i="29"/>
  <c r="T45" i="29" s="1"/>
  <c r="H35" i="23" s="1"/>
  <c r="T20" i="40"/>
  <c r="F32" i="23" s="1"/>
  <c r="I25" i="23"/>
  <c r="H25" i="23"/>
  <c r="T24" i="16"/>
  <c r="F14" i="23"/>
  <c r="N21" i="13"/>
  <c r="T21" i="13" s="1"/>
  <c r="N20" i="13"/>
  <c r="T20" i="13" s="1"/>
  <c r="N31" i="13"/>
  <c r="T31" i="13" s="1"/>
  <c r="T34" i="13" s="1"/>
  <c r="T25" i="2"/>
  <c r="T29" i="2" s="1"/>
  <c r="F12" i="23"/>
  <c r="N15" i="48"/>
  <c r="T15" i="48" s="1"/>
  <c r="T14" i="48"/>
  <c r="N15" i="47"/>
  <c r="T15" i="47" s="1"/>
  <c r="T14" i="47"/>
  <c r="N15" i="46"/>
  <c r="T15" i="46" s="1"/>
  <c r="T14" i="46"/>
  <c r="N15" i="45"/>
  <c r="T15" i="45" s="1"/>
  <c r="T14" i="45"/>
  <c r="N15" i="44"/>
  <c r="T15" i="44" s="1"/>
  <c r="T14" i="44"/>
  <c r="T20" i="43"/>
  <c r="F52" i="23" s="1"/>
  <c r="N15" i="42"/>
  <c r="T15" i="42" s="1"/>
  <c r="T14" i="42"/>
  <c r="N15" i="41"/>
  <c r="T15" i="41" s="1"/>
  <c r="T14" i="41"/>
  <c r="N15" i="38"/>
  <c r="T15" i="38" s="1"/>
  <c r="T14" i="38"/>
  <c r="T20" i="37"/>
  <c r="T20" i="36"/>
  <c r="T20" i="32"/>
  <c r="F43" i="23" s="1"/>
  <c r="T14" i="31"/>
  <c r="T20" i="31" s="1"/>
  <c r="F41" i="23" s="1"/>
  <c r="T14" i="30"/>
  <c r="N15" i="30"/>
  <c r="T20" i="29"/>
  <c r="F35" i="23" s="1"/>
  <c r="T14" i="28"/>
  <c r="T20" i="28" s="1"/>
  <c r="F31" i="23" s="1"/>
  <c r="T36" i="28"/>
  <c r="T46" i="28" s="1"/>
  <c r="H31" i="23" s="1"/>
  <c r="N36" i="28"/>
  <c r="N15" i="27"/>
  <c r="T14" i="27"/>
  <c r="N16" i="26"/>
  <c r="T16" i="26" s="1"/>
  <c r="T15" i="26"/>
  <c r="N16" i="25"/>
  <c r="T16" i="25" s="1"/>
  <c r="T15" i="25"/>
  <c r="T22" i="24"/>
  <c r="F26" i="23" s="1"/>
  <c r="T40" i="21"/>
  <c r="T47" i="21" s="1"/>
  <c r="H19" i="23" s="1"/>
  <c r="T34" i="20"/>
  <c r="T38" i="20" s="1"/>
  <c r="H16" i="23" s="1"/>
  <c r="T14" i="22"/>
  <c r="N15" i="22"/>
  <c r="T14" i="21"/>
  <c r="N15" i="21"/>
  <c r="T21" i="20"/>
  <c r="N15" i="20"/>
  <c r="T14" i="20"/>
  <c r="N21" i="19"/>
  <c r="N14" i="19"/>
  <c r="T13" i="19"/>
  <c r="T32" i="19"/>
  <c r="N32" i="19"/>
  <c r="T33" i="19"/>
  <c r="N33" i="19"/>
  <c r="K23" i="19"/>
  <c r="T14" i="18"/>
  <c r="N25" i="18"/>
  <c r="T25" i="18" s="1"/>
  <c r="N15" i="18"/>
  <c r="N16" i="17"/>
  <c r="T15" i="17"/>
  <c r="T23" i="16"/>
  <c r="N24" i="15"/>
  <c r="T23" i="15"/>
  <c r="T20" i="14"/>
  <c r="T25" i="14"/>
  <c r="T46" i="13"/>
  <c r="T52" i="13" s="1"/>
  <c r="H23" i="23" s="1"/>
  <c r="T14" i="13"/>
  <c r="T14" i="12"/>
  <c r="N15" i="12"/>
  <c r="T15" i="12" s="1"/>
  <c r="N15" i="10"/>
  <c r="T15" i="10" s="1"/>
  <c r="T14" i="10"/>
  <c r="T14" i="9"/>
  <c r="N15" i="9"/>
  <c r="T15" i="9" s="1"/>
  <c r="T43" i="8"/>
  <c r="T46" i="8" s="1"/>
  <c r="H36" i="23" s="1"/>
  <c r="N15" i="8"/>
  <c r="T15" i="8" s="1"/>
  <c r="T14" i="8"/>
  <c r="N14" i="7"/>
  <c r="T13" i="7"/>
  <c r="T14" i="6"/>
  <c r="N25" i="6"/>
  <c r="T25" i="6" s="1"/>
  <c r="N15" i="6"/>
  <c r="N16" i="5"/>
  <c r="T16" i="5" s="1"/>
  <c r="T15" i="5"/>
  <c r="N24" i="1"/>
  <c r="T14" i="1"/>
  <c r="T20" i="1" s="1"/>
  <c r="F10" i="23" s="1"/>
  <c r="T24" i="33" l="1"/>
  <c r="T29" i="33" s="1"/>
  <c r="G44" i="23" s="1"/>
  <c r="T49" i="11"/>
  <c r="K38" i="23" s="1"/>
  <c r="L38" i="23" s="1"/>
  <c r="M49" i="23"/>
  <c r="P56" i="50"/>
  <c r="T20" i="41"/>
  <c r="F33" i="23" s="1"/>
  <c r="T20" i="38"/>
  <c r="F48" i="23" s="1"/>
  <c r="T26" i="15"/>
  <c r="T20" i="45"/>
  <c r="F54" i="23" s="1"/>
  <c r="F61" i="50" s="1"/>
  <c r="J61" i="50" s="1"/>
  <c r="F51" i="50"/>
  <c r="J51" i="50" s="1"/>
  <c r="T24" i="35"/>
  <c r="T29" i="35" s="1"/>
  <c r="G46" i="23" s="1"/>
  <c r="F53" i="50" s="1"/>
  <c r="J53" i="50" s="1"/>
  <c r="K53" i="50" s="1"/>
  <c r="L53" i="50" s="1"/>
  <c r="M53" i="50" s="1"/>
  <c r="T20" i="46"/>
  <c r="T20" i="44"/>
  <c r="F53" i="23" s="1"/>
  <c r="T24" i="36"/>
  <c r="T29" i="36" s="1"/>
  <c r="G47" i="23" s="1"/>
  <c r="F47" i="23"/>
  <c r="T30" i="34"/>
  <c r="T46" i="34" s="1"/>
  <c r="F45" i="23"/>
  <c r="F52" i="50" s="1"/>
  <c r="J52" i="50" s="1"/>
  <c r="T30" i="33"/>
  <c r="T46" i="33" s="1"/>
  <c r="T24" i="39"/>
  <c r="T29" i="39" s="1"/>
  <c r="G42" i="23" s="1"/>
  <c r="F49" i="50" s="1"/>
  <c r="J49" i="50" s="1"/>
  <c r="K49" i="50" s="1"/>
  <c r="L49" i="50" s="1"/>
  <c r="M49" i="50" s="1"/>
  <c r="T22" i="25"/>
  <c r="F27" i="23" s="1"/>
  <c r="T24" i="40"/>
  <c r="T29" i="40" s="1"/>
  <c r="T30" i="40" s="1"/>
  <c r="T47" i="40" s="1"/>
  <c r="T20" i="12"/>
  <c r="F34" i="23" s="1"/>
  <c r="T30" i="2"/>
  <c r="T43" i="2" s="1"/>
  <c r="G12" i="23"/>
  <c r="F19" i="50" s="1"/>
  <c r="J19" i="50" s="1"/>
  <c r="K19" i="50" s="1"/>
  <c r="L19" i="50" s="1"/>
  <c r="M19" i="50" s="1"/>
  <c r="T27" i="14"/>
  <c r="F11" i="23"/>
  <c r="T20" i="48"/>
  <c r="F57" i="23" s="1"/>
  <c r="T20" i="47"/>
  <c r="T24" i="43"/>
  <c r="T29" i="43" s="1"/>
  <c r="G52" i="23" s="1"/>
  <c r="F59" i="50" s="1"/>
  <c r="J59" i="50" s="1"/>
  <c r="K59" i="50" s="1"/>
  <c r="L59" i="50" s="1"/>
  <c r="M59" i="50" s="1"/>
  <c r="T20" i="42"/>
  <c r="T24" i="38"/>
  <c r="T29" i="38" s="1"/>
  <c r="G48" i="23" s="1"/>
  <c r="F55" i="50" s="1"/>
  <c r="J55" i="50" s="1"/>
  <c r="T24" i="37"/>
  <c r="T30" i="37"/>
  <c r="T46" i="37" s="1"/>
  <c r="T24" i="32"/>
  <c r="T29" i="32" s="1"/>
  <c r="G43" i="23" s="1"/>
  <c r="F50" i="50" s="1"/>
  <c r="J50" i="50" s="1"/>
  <c r="K50" i="50" s="1"/>
  <c r="L50" i="50" s="1"/>
  <c r="M50" i="50" s="1"/>
  <c r="T24" i="31"/>
  <c r="T29" i="31" s="1"/>
  <c r="G41" i="23" s="1"/>
  <c r="F48" i="50" s="1"/>
  <c r="J48" i="50" s="1"/>
  <c r="K48" i="50" s="1"/>
  <c r="L48" i="50" s="1"/>
  <c r="M48" i="50" s="1"/>
  <c r="N16" i="30"/>
  <c r="T15" i="30"/>
  <c r="T24" i="29"/>
  <c r="T29" i="29" s="1"/>
  <c r="T24" i="28"/>
  <c r="T29" i="28" s="1"/>
  <c r="T20" i="9"/>
  <c r="T20" i="10"/>
  <c r="T15" i="27"/>
  <c r="N16" i="27"/>
  <c r="T16" i="27" s="1"/>
  <c r="T22" i="26"/>
  <c r="T26" i="24"/>
  <c r="T31" i="24" s="1"/>
  <c r="T24" i="15"/>
  <c r="N25" i="15"/>
  <c r="T25" i="15" s="1"/>
  <c r="T34" i="19"/>
  <c r="T38" i="19" s="1"/>
  <c r="H15" i="23" s="1"/>
  <c r="H59" i="23" s="1"/>
  <c r="Q11" i="51" s="1"/>
  <c r="N16" i="22"/>
  <c r="T15" i="22"/>
  <c r="T15" i="21"/>
  <c r="N16" i="21"/>
  <c r="T20" i="8"/>
  <c r="T21" i="5"/>
  <c r="T15" i="20"/>
  <c r="T17" i="20" s="1"/>
  <c r="T14" i="19"/>
  <c r="N15" i="19"/>
  <c r="N22" i="19"/>
  <c r="T22" i="19" s="1"/>
  <c r="T21" i="19"/>
  <c r="T15" i="18"/>
  <c r="N16" i="18"/>
  <c r="T16" i="18" s="1"/>
  <c r="T16" i="17"/>
  <c r="T21" i="17" s="1"/>
  <c r="F17" i="23" s="1"/>
  <c r="T28" i="16"/>
  <c r="T26" i="14"/>
  <c r="T36" i="13"/>
  <c r="G23" i="23" s="1"/>
  <c r="T16" i="13"/>
  <c r="T15" i="13"/>
  <c r="N15" i="7"/>
  <c r="T15" i="7" s="1"/>
  <c r="T14" i="7"/>
  <c r="N16" i="6"/>
  <c r="T16" i="6" s="1"/>
  <c r="T15" i="6"/>
  <c r="N25" i="1"/>
  <c r="T24" i="1"/>
  <c r="T47" i="37" l="1"/>
  <c r="T48" i="37"/>
  <c r="T48" i="34"/>
  <c r="J45" i="23" s="1"/>
  <c r="T47" i="34"/>
  <c r="I45" i="23" s="1"/>
  <c r="T47" i="33"/>
  <c r="I44" i="23" s="1"/>
  <c r="T48" i="33"/>
  <c r="J44" i="23" s="1"/>
  <c r="T49" i="40"/>
  <c r="J32" i="23" s="1"/>
  <c r="T48" i="40"/>
  <c r="I32" i="23" s="1"/>
  <c r="T45" i="2"/>
  <c r="T44" i="2"/>
  <c r="O59" i="50"/>
  <c r="O49" i="50"/>
  <c r="O53" i="50"/>
  <c r="T24" i="44"/>
  <c r="T29" i="44" s="1"/>
  <c r="M38" i="23"/>
  <c r="P45" i="50"/>
  <c r="O48" i="50"/>
  <c r="O19" i="50"/>
  <c r="O50" i="50"/>
  <c r="T24" i="41"/>
  <c r="T29" i="41" s="1"/>
  <c r="J12" i="23"/>
  <c r="T30" i="45"/>
  <c r="T46" i="45" s="1"/>
  <c r="K55" i="50"/>
  <c r="L55" i="50" s="1"/>
  <c r="M55" i="50" s="1"/>
  <c r="K51" i="50"/>
  <c r="L51" i="50" s="1"/>
  <c r="M51" i="50" s="1"/>
  <c r="K52" i="50"/>
  <c r="L52" i="50" s="1"/>
  <c r="M52" i="50" s="1"/>
  <c r="G32" i="23"/>
  <c r="F39" i="50" s="1"/>
  <c r="J39" i="50" s="1"/>
  <c r="K39" i="50" s="1"/>
  <c r="L39" i="50" s="1"/>
  <c r="M39" i="50" s="1"/>
  <c r="F54" i="50"/>
  <c r="J54" i="50" s="1"/>
  <c r="K54" i="50" s="1"/>
  <c r="L54" i="50" s="1"/>
  <c r="M54" i="50" s="1"/>
  <c r="K61" i="50"/>
  <c r="L61" i="50" s="1"/>
  <c r="M61" i="50" s="1"/>
  <c r="T30" i="35"/>
  <c r="T46" i="35" s="1"/>
  <c r="T24" i="48"/>
  <c r="T29" i="48" s="1"/>
  <c r="T30" i="47"/>
  <c r="T46" i="47" s="1"/>
  <c r="F56" i="23"/>
  <c r="F63" i="50" s="1"/>
  <c r="J63" i="50" s="1"/>
  <c r="K63" i="50" s="1"/>
  <c r="L63" i="50" s="1"/>
  <c r="M63" i="50" s="1"/>
  <c r="T30" i="46"/>
  <c r="T46" i="46" s="1"/>
  <c r="F55" i="23"/>
  <c r="F62" i="50" s="1"/>
  <c r="J62" i="50" s="1"/>
  <c r="K62" i="50" s="1"/>
  <c r="L62" i="50" s="1"/>
  <c r="M62" i="50" s="1"/>
  <c r="T30" i="44"/>
  <c r="T46" i="44" s="1"/>
  <c r="G53" i="23"/>
  <c r="F60" i="50" s="1"/>
  <c r="J60" i="50" s="1"/>
  <c r="T30" i="43"/>
  <c r="T46" i="43" s="1"/>
  <c r="F51" i="23"/>
  <c r="T24" i="42"/>
  <c r="T29" i="42" s="1"/>
  <c r="G51" i="23" s="1"/>
  <c r="T26" i="25"/>
  <c r="T31" i="25" s="1"/>
  <c r="G27" i="23" s="1"/>
  <c r="F34" i="50" s="1"/>
  <c r="J34" i="50" s="1"/>
  <c r="K34" i="50" s="1"/>
  <c r="L34" i="50" s="1"/>
  <c r="M34" i="50" s="1"/>
  <c r="T30" i="38"/>
  <c r="T46" i="38" s="1"/>
  <c r="T30" i="36"/>
  <c r="T46" i="36" s="1"/>
  <c r="T30" i="32"/>
  <c r="T46" i="32" s="1"/>
  <c r="T30" i="39"/>
  <c r="T46" i="39" s="1"/>
  <c r="I42" i="23" s="1"/>
  <c r="T30" i="31"/>
  <c r="T46" i="31" s="1"/>
  <c r="T24" i="12"/>
  <c r="T29" i="12" s="1"/>
  <c r="T30" i="12" s="1"/>
  <c r="T47" i="12" s="1"/>
  <c r="T20" i="7"/>
  <c r="F22" i="23" s="1"/>
  <c r="T27" i="13"/>
  <c r="F23" i="23" s="1"/>
  <c r="F30" i="50" s="1"/>
  <c r="J30" i="50" s="1"/>
  <c r="K30" i="50" s="1"/>
  <c r="L30" i="50" s="1"/>
  <c r="M30" i="50" s="1"/>
  <c r="T50" i="11"/>
  <c r="T51" i="11" s="1"/>
  <c r="T30" i="9"/>
  <c r="F37" i="23"/>
  <c r="T30" i="8"/>
  <c r="T47" i="8" s="1"/>
  <c r="F36" i="23"/>
  <c r="F43" i="50" s="1"/>
  <c r="J43" i="50" s="1"/>
  <c r="K43" i="50" s="1"/>
  <c r="L43" i="50" s="1"/>
  <c r="M43" i="50" s="1"/>
  <c r="T30" i="29"/>
  <c r="T46" i="29" s="1"/>
  <c r="G35" i="23"/>
  <c r="F42" i="50" s="1"/>
  <c r="J42" i="50" s="1"/>
  <c r="T30" i="28"/>
  <c r="T47" i="28" s="1"/>
  <c r="G31" i="23"/>
  <c r="F38" i="50" s="1"/>
  <c r="J38" i="50" s="1"/>
  <c r="K38" i="50" s="1"/>
  <c r="L38" i="50" s="1"/>
  <c r="M38" i="50" s="1"/>
  <c r="T24" i="10"/>
  <c r="T29" i="10" s="1"/>
  <c r="F30" i="23"/>
  <c r="T26" i="26"/>
  <c r="T31" i="26" s="1"/>
  <c r="F28" i="23"/>
  <c r="T32" i="24"/>
  <c r="T48" i="24" s="1"/>
  <c r="G26" i="23"/>
  <c r="F33" i="50" s="1"/>
  <c r="J33" i="50" s="1"/>
  <c r="T29" i="16"/>
  <c r="T42" i="16" s="1"/>
  <c r="G14" i="23"/>
  <c r="F21" i="50" s="1"/>
  <c r="J21" i="50" s="1"/>
  <c r="K21" i="50" s="1"/>
  <c r="L21" i="50" s="1"/>
  <c r="M21" i="50" s="1"/>
  <c r="T23" i="20"/>
  <c r="T26" i="20" s="1"/>
  <c r="G16" i="23" s="1"/>
  <c r="F16" i="23"/>
  <c r="T26" i="5"/>
  <c r="T30" i="5" s="1"/>
  <c r="F20" i="23"/>
  <c r="T30" i="15"/>
  <c r="N25" i="30"/>
  <c r="T25" i="30" s="1"/>
  <c r="T16" i="30"/>
  <c r="T21" i="30" s="1"/>
  <c r="F24" i="23" s="1"/>
  <c r="T22" i="27"/>
  <c r="T21" i="6"/>
  <c r="T16" i="21"/>
  <c r="N19" i="21"/>
  <c r="T21" i="18"/>
  <c r="T16" i="22"/>
  <c r="T15" i="19"/>
  <c r="T17" i="19" s="1"/>
  <c r="F15" i="23" s="1"/>
  <c r="N23" i="19"/>
  <c r="T23" i="19" s="1"/>
  <c r="T26" i="19" s="1"/>
  <c r="G15" i="23" s="1"/>
  <c r="T26" i="17"/>
  <c r="T30" i="17" s="1"/>
  <c r="T30" i="14"/>
  <c r="T25" i="1"/>
  <c r="N26" i="1"/>
  <c r="T26" i="1" s="1"/>
  <c r="T46" i="2" l="1"/>
  <c r="K12" i="23" s="1"/>
  <c r="T48" i="43"/>
  <c r="J52" i="23" s="1"/>
  <c r="T47" i="43"/>
  <c r="T47" i="46"/>
  <c r="I55" i="23" s="1"/>
  <c r="T48" i="46"/>
  <c r="J55" i="23" s="1"/>
  <c r="T48" i="45"/>
  <c r="J54" i="23" s="1"/>
  <c r="T47" i="45"/>
  <c r="T47" i="44"/>
  <c r="I53" i="23" s="1"/>
  <c r="T48" i="44"/>
  <c r="J53" i="23" s="1"/>
  <c r="T48" i="47"/>
  <c r="J56" i="23" s="1"/>
  <c r="T47" i="47"/>
  <c r="T48" i="36"/>
  <c r="J47" i="23" s="1"/>
  <c r="T47" i="36"/>
  <c r="T48" i="32"/>
  <c r="J43" i="23" s="1"/>
  <c r="T47" i="32"/>
  <c r="T49" i="33"/>
  <c r="T50" i="33" s="1"/>
  <c r="T51" i="33" s="1"/>
  <c r="T48" i="38"/>
  <c r="J48" i="23" s="1"/>
  <c r="T47" i="38"/>
  <c r="T47" i="35"/>
  <c r="T48" i="35"/>
  <c r="J46" i="23" s="1"/>
  <c r="T49" i="34"/>
  <c r="K45" i="23" s="1"/>
  <c r="L45" i="23" s="1"/>
  <c r="M45" i="23" s="1"/>
  <c r="T49" i="37"/>
  <c r="T50" i="37" s="1"/>
  <c r="T51" i="37" s="1"/>
  <c r="T49" i="28"/>
  <c r="J31" i="23" s="1"/>
  <c r="T48" i="28"/>
  <c r="I31" i="23" s="1"/>
  <c r="I12" i="23"/>
  <c r="T50" i="40"/>
  <c r="T48" i="29"/>
  <c r="J35" i="23" s="1"/>
  <c r="T47" i="29"/>
  <c r="T49" i="12"/>
  <c r="J34" i="23" s="1"/>
  <c r="T48" i="12"/>
  <c r="I34" i="23" s="1"/>
  <c r="T48" i="31"/>
  <c r="T47" i="31"/>
  <c r="T49" i="8"/>
  <c r="J36" i="23" s="1"/>
  <c r="T48" i="8"/>
  <c r="I36" i="23" s="1"/>
  <c r="T49" i="24"/>
  <c r="T50" i="24"/>
  <c r="J26" i="23" s="1"/>
  <c r="T32" i="25"/>
  <c r="T49" i="25" s="1"/>
  <c r="T44" i="16"/>
  <c r="J14" i="23" s="1"/>
  <c r="T43" i="16"/>
  <c r="I14" i="23" s="1"/>
  <c r="O43" i="50"/>
  <c r="O62" i="50"/>
  <c r="O21" i="50"/>
  <c r="O34" i="50"/>
  <c r="O30" i="50"/>
  <c r="O52" i="50"/>
  <c r="O39" i="50"/>
  <c r="O63" i="50"/>
  <c r="O61" i="50"/>
  <c r="O51" i="50"/>
  <c r="O38" i="50"/>
  <c r="O54" i="50"/>
  <c r="O55" i="50"/>
  <c r="T30" i="41"/>
  <c r="T47" i="41" s="1"/>
  <c r="G33" i="23"/>
  <c r="F40" i="50" s="1"/>
  <c r="J40" i="50" s="1"/>
  <c r="K40" i="50" s="1"/>
  <c r="L40" i="50" s="1"/>
  <c r="M40" i="50" s="1"/>
  <c r="T24" i="7"/>
  <c r="T29" i="7" s="1"/>
  <c r="T30" i="7" s="1"/>
  <c r="T46" i="7" s="1"/>
  <c r="F58" i="50"/>
  <c r="J58" i="50" s="1"/>
  <c r="K58" i="50" s="1"/>
  <c r="L58" i="50" s="1"/>
  <c r="M58" i="50" s="1"/>
  <c r="T30" i="42"/>
  <c r="T46" i="42" s="1"/>
  <c r="K60" i="50"/>
  <c r="L60" i="50" s="1"/>
  <c r="M60" i="50" s="1"/>
  <c r="K42" i="50"/>
  <c r="L42" i="50" s="1"/>
  <c r="M42" i="50" s="1"/>
  <c r="K33" i="50"/>
  <c r="L33" i="50" s="1"/>
  <c r="M33" i="50" s="1"/>
  <c r="F22" i="50"/>
  <c r="J22" i="50" s="1"/>
  <c r="K22" i="50" s="1"/>
  <c r="L22" i="50" s="1"/>
  <c r="M22" i="50" s="1"/>
  <c r="F23" i="50"/>
  <c r="J23" i="50" s="1"/>
  <c r="K23" i="50" s="1"/>
  <c r="L23" i="50" s="1"/>
  <c r="M23" i="50" s="1"/>
  <c r="G34" i="23"/>
  <c r="F41" i="50" s="1"/>
  <c r="J41" i="50" s="1"/>
  <c r="K41" i="50" s="1"/>
  <c r="L41" i="50" s="1"/>
  <c r="M41" i="50" s="1"/>
  <c r="T30" i="48"/>
  <c r="T46" i="48" s="1"/>
  <c r="G57" i="23"/>
  <c r="F64" i="50" s="1"/>
  <c r="J64" i="50" s="1"/>
  <c r="J42" i="23"/>
  <c r="T37" i="13"/>
  <c r="T53" i="13" s="1"/>
  <c r="T27" i="20"/>
  <c r="T39" i="20" s="1"/>
  <c r="T47" i="9"/>
  <c r="F44" i="50"/>
  <c r="J44" i="50" s="1"/>
  <c r="K44" i="50" s="1"/>
  <c r="L44" i="50" s="1"/>
  <c r="M44" i="50" s="1"/>
  <c r="O44" i="50" s="1"/>
  <c r="T30" i="10"/>
  <c r="T47" i="10" s="1"/>
  <c r="G30" i="23"/>
  <c r="F37" i="50" s="1"/>
  <c r="J37" i="50" s="1"/>
  <c r="K37" i="50" s="1"/>
  <c r="L37" i="50" s="1"/>
  <c r="M37" i="50" s="1"/>
  <c r="T26" i="27"/>
  <c r="T31" i="27" s="1"/>
  <c r="F29" i="23"/>
  <c r="T32" i="26"/>
  <c r="T48" i="26" s="1"/>
  <c r="G28" i="23"/>
  <c r="F35" i="50" s="1"/>
  <c r="J35" i="50" s="1"/>
  <c r="K35" i="50" s="1"/>
  <c r="L35" i="50" s="1"/>
  <c r="M35" i="50" s="1"/>
  <c r="T31" i="17"/>
  <c r="T47" i="17" s="1"/>
  <c r="G17" i="23"/>
  <c r="F24" i="50" s="1"/>
  <c r="J24" i="50" s="1"/>
  <c r="K24" i="50" s="1"/>
  <c r="L24" i="50" s="1"/>
  <c r="M24" i="50" s="1"/>
  <c r="T29" i="1"/>
  <c r="T30" i="1" s="1"/>
  <c r="T47" i="1" s="1"/>
  <c r="T31" i="15"/>
  <c r="T44" i="15" s="1"/>
  <c r="G13" i="23"/>
  <c r="F20" i="50" s="1"/>
  <c r="J20" i="50" s="1"/>
  <c r="K20" i="50" s="1"/>
  <c r="L20" i="50" s="1"/>
  <c r="M20" i="50" s="1"/>
  <c r="T26" i="6"/>
  <c r="T30" i="6" s="1"/>
  <c r="F21" i="23"/>
  <c r="T31" i="5"/>
  <c r="T47" i="5" s="1"/>
  <c r="G20" i="23"/>
  <c r="F27" i="50" s="1"/>
  <c r="J27" i="50" s="1"/>
  <c r="K27" i="50" s="1"/>
  <c r="L27" i="50" s="1"/>
  <c r="M27" i="50" s="1"/>
  <c r="T26" i="18"/>
  <c r="T30" i="18" s="1"/>
  <c r="F18" i="23"/>
  <c r="T31" i="14"/>
  <c r="T48" i="14" s="1"/>
  <c r="G11" i="23"/>
  <c r="F18" i="50" s="1"/>
  <c r="J18" i="50" s="1"/>
  <c r="K18" i="50" s="1"/>
  <c r="L18" i="50" s="1"/>
  <c r="M18" i="50" s="1"/>
  <c r="T30" i="30"/>
  <c r="N20" i="21"/>
  <c r="T20" i="21" s="1"/>
  <c r="T19" i="21"/>
  <c r="T22" i="22"/>
  <c r="T27" i="19"/>
  <c r="T39" i="19" s="1"/>
  <c r="G22" i="23" l="1"/>
  <c r="F29" i="50" s="1"/>
  <c r="J29" i="50" s="1"/>
  <c r="K29" i="50" s="1"/>
  <c r="L29" i="50" s="1"/>
  <c r="M29" i="50" s="1"/>
  <c r="O29" i="50" s="1"/>
  <c r="T49" i="36"/>
  <c r="K47" i="23" s="1"/>
  <c r="T50" i="34"/>
  <c r="T51" i="34" s="1"/>
  <c r="T51" i="24"/>
  <c r="K26" i="23" s="1"/>
  <c r="L26" i="23" s="1"/>
  <c r="M26" i="23" s="1"/>
  <c r="L12" i="23"/>
  <c r="M12" i="23" s="1"/>
  <c r="T49" i="35"/>
  <c r="T50" i="35" s="1"/>
  <c r="T51" i="35" s="1"/>
  <c r="P52" i="50"/>
  <c r="T49" i="31"/>
  <c r="T50" i="31" s="1"/>
  <c r="T51" i="31" s="1"/>
  <c r="T50" i="12"/>
  <c r="T51" i="12" s="1"/>
  <c r="T52" i="12" s="1"/>
  <c r="I26" i="23"/>
  <c r="T49" i="46"/>
  <c r="K44" i="23"/>
  <c r="L44" i="23" s="1"/>
  <c r="M44" i="23" s="1"/>
  <c r="T49" i="29"/>
  <c r="T47" i="48"/>
  <c r="T48" i="48"/>
  <c r="J57" i="23" s="1"/>
  <c r="T49" i="45"/>
  <c r="K54" i="23" s="1"/>
  <c r="L54" i="23" s="1"/>
  <c r="I54" i="23"/>
  <c r="T49" i="43"/>
  <c r="T49" i="47"/>
  <c r="T49" i="44"/>
  <c r="T50" i="44" s="1"/>
  <c r="T51" i="44" s="1"/>
  <c r="I52" i="23"/>
  <c r="I46" i="23"/>
  <c r="T49" i="38"/>
  <c r="T50" i="38" s="1"/>
  <c r="T51" i="38" s="1"/>
  <c r="I48" i="23"/>
  <c r="T49" i="32"/>
  <c r="T50" i="32" s="1"/>
  <c r="T51" i="32" s="1"/>
  <c r="I43" i="23"/>
  <c r="T49" i="9"/>
  <c r="T48" i="9"/>
  <c r="I37" i="23" s="1"/>
  <c r="T49" i="1"/>
  <c r="T48" i="1"/>
  <c r="T50" i="26"/>
  <c r="J28" i="23" s="1"/>
  <c r="T49" i="26"/>
  <c r="T49" i="10"/>
  <c r="J30" i="23" s="1"/>
  <c r="T48" i="10"/>
  <c r="T50" i="28"/>
  <c r="T51" i="28" s="1"/>
  <c r="T52" i="28" s="1"/>
  <c r="T46" i="15"/>
  <c r="J13" i="23" s="1"/>
  <c r="T45" i="15"/>
  <c r="I13" i="23" s="1"/>
  <c r="T54" i="13"/>
  <c r="T55" i="13"/>
  <c r="J23" i="23" s="1"/>
  <c r="T50" i="14"/>
  <c r="J11" i="23" s="1"/>
  <c r="T49" i="14"/>
  <c r="I11" i="23" s="1"/>
  <c r="T48" i="7"/>
  <c r="J22" i="23" s="1"/>
  <c r="T47" i="7"/>
  <c r="T41" i="20"/>
  <c r="J16" i="23" s="1"/>
  <c r="T40" i="20"/>
  <c r="I16" i="23" s="1"/>
  <c r="I35" i="23"/>
  <c r="T49" i="5"/>
  <c r="J20" i="23" s="1"/>
  <c r="T48" i="5"/>
  <c r="T41" i="19"/>
  <c r="J15" i="23" s="1"/>
  <c r="T40" i="19"/>
  <c r="T49" i="41"/>
  <c r="T48" i="41"/>
  <c r="T48" i="42"/>
  <c r="J51" i="23" s="1"/>
  <c r="T47" i="42"/>
  <c r="J41" i="23"/>
  <c r="T50" i="8"/>
  <c r="T51" i="8" s="1"/>
  <c r="T52" i="8" s="1"/>
  <c r="T50" i="25"/>
  <c r="I27" i="23" s="1"/>
  <c r="T51" i="25"/>
  <c r="J27" i="23" s="1"/>
  <c r="T48" i="17"/>
  <c r="I17" i="23" s="1"/>
  <c r="T49" i="17"/>
  <c r="J17" i="23" s="1"/>
  <c r="T45" i="16"/>
  <c r="T46" i="16" s="1"/>
  <c r="T47" i="16" s="1"/>
  <c r="O22" i="50"/>
  <c r="O27" i="50"/>
  <c r="O35" i="50"/>
  <c r="O37" i="50"/>
  <c r="O33" i="50"/>
  <c r="P19" i="50"/>
  <c r="O18" i="50"/>
  <c r="O41" i="50"/>
  <c r="O23" i="50"/>
  <c r="O42" i="50"/>
  <c r="O24" i="50"/>
  <c r="O20" i="50"/>
  <c r="O60" i="50"/>
  <c r="O58" i="50"/>
  <c r="O40" i="50"/>
  <c r="J33" i="23"/>
  <c r="T47" i="2"/>
  <c r="T48" i="2" s="1"/>
  <c r="T50" i="43"/>
  <c r="T51" i="43" s="1"/>
  <c r="I47" i="23"/>
  <c r="K64" i="50"/>
  <c r="L64" i="50" s="1"/>
  <c r="M64" i="50" s="1"/>
  <c r="I41" i="23"/>
  <c r="T50" i="39"/>
  <c r="T51" i="39" s="1"/>
  <c r="I56" i="23"/>
  <c r="I23" i="23"/>
  <c r="T50" i="36"/>
  <c r="T51" i="36" s="1"/>
  <c r="G10" i="23"/>
  <c r="T50" i="29"/>
  <c r="T51" i="29" s="1"/>
  <c r="K35" i="23"/>
  <c r="T51" i="40"/>
  <c r="T52" i="40" s="1"/>
  <c r="K32" i="23"/>
  <c r="L32" i="23" s="1"/>
  <c r="T32" i="27"/>
  <c r="T48" i="27" s="1"/>
  <c r="G29" i="23"/>
  <c r="F36" i="50" s="1"/>
  <c r="J36" i="50" s="1"/>
  <c r="K36" i="50" s="1"/>
  <c r="L36" i="50" s="1"/>
  <c r="M36" i="50" s="1"/>
  <c r="T26" i="22"/>
  <c r="T31" i="22" s="1"/>
  <c r="G25" i="23" s="1"/>
  <c r="F25" i="23"/>
  <c r="T31" i="30"/>
  <c r="T45" i="30" s="1"/>
  <c r="G24" i="23"/>
  <c r="F31" i="50" s="1"/>
  <c r="J31" i="50" s="1"/>
  <c r="K31" i="50" s="1"/>
  <c r="L31" i="50" s="1"/>
  <c r="M31" i="50" s="1"/>
  <c r="T31" i="6"/>
  <c r="T47" i="6" s="1"/>
  <c r="G21" i="23"/>
  <c r="F28" i="50" s="1"/>
  <c r="J28" i="50" s="1"/>
  <c r="T31" i="18"/>
  <c r="T47" i="18" s="1"/>
  <c r="G18" i="23"/>
  <c r="F25" i="50" s="1"/>
  <c r="J25" i="50" s="1"/>
  <c r="T22" i="21"/>
  <c r="T50" i="41" l="1"/>
  <c r="T50" i="45"/>
  <c r="T51" i="45" s="1"/>
  <c r="K41" i="23"/>
  <c r="P51" i="50"/>
  <c r="L35" i="23"/>
  <c r="M35" i="23" s="1"/>
  <c r="T42" i="19"/>
  <c r="K48" i="23"/>
  <c r="L48" i="23" s="1"/>
  <c r="T50" i="9"/>
  <c r="T49" i="48"/>
  <c r="K43" i="23"/>
  <c r="L43" i="23" s="1"/>
  <c r="M43" i="23" s="1"/>
  <c r="T48" i="6"/>
  <c r="I21" i="23" s="1"/>
  <c r="T49" i="6"/>
  <c r="J21" i="23" s="1"/>
  <c r="T49" i="7"/>
  <c r="T47" i="15"/>
  <c r="T48" i="15" s="1"/>
  <c r="T49" i="15" s="1"/>
  <c r="T50" i="10"/>
  <c r="J10" i="23"/>
  <c r="T47" i="30"/>
  <c r="J24" i="23" s="1"/>
  <c r="T46" i="30"/>
  <c r="T49" i="18"/>
  <c r="J18" i="23" s="1"/>
  <c r="T48" i="18"/>
  <c r="T49" i="27"/>
  <c r="T50" i="27"/>
  <c r="J29" i="23" s="1"/>
  <c r="I15" i="23"/>
  <c r="T42" i="20"/>
  <c r="T43" i="20" s="1"/>
  <c r="T44" i="20" s="1"/>
  <c r="T50" i="1"/>
  <c r="T51" i="1" s="1"/>
  <c r="T52" i="1" s="1"/>
  <c r="T50" i="5"/>
  <c r="T51" i="14"/>
  <c r="K11" i="23" s="1"/>
  <c r="L11" i="23" s="1"/>
  <c r="T56" i="13"/>
  <c r="T57" i="13" s="1"/>
  <c r="T58" i="13" s="1"/>
  <c r="T51" i="26"/>
  <c r="T49" i="42"/>
  <c r="K51" i="23" s="1"/>
  <c r="T52" i="25"/>
  <c r="T53" i="25" s="1"/>
  <c r="T54" i="25" s="1"/>
  <c r="T50" i="17"/>
  <c r="K17" i="23" s="1"/>
  <c r="L17" i="23" s="1"/>
  <c r="P33" i="50"/>
  <c r="O64" i="50"/>
  <c r="M54" i="23"/>
  <c r="P61" i="50"/>
  <c r="O31" i="50"/>
  <c r="O36" i="50"/>
  <c r="M32" i="23"/>
  <c r="P39" i="50"/>
  <c r="K42" i="23"/>
  <c r="L42" i="23" s="1"/>
  <c r="K52" i="23"/>
  <c r="L52" i="23" s="1"/>
  <c r="I33" i="23"/>
  <c r="T52" i="24"/>
  <c r="T53" i="24" s="1"/>
  <c r="K46" i="23"/>
  <c r="L46" i="23" s="1"/>
  <c r="K53" i="23"/>
  <c r="L53" i="23" s="1"/>
  <c r="L47" i="23"/>
  <c r="I51" i="23"/>
  <c r="K25" i="50"/>
  <c r="L25" i="50" s="1"/>
  <c r="M25" i="50" s="1"/>
  <c r="K28" i="50"/>
  <c r="L28" i="50" s="1"/>
  <c r="M28" i="50" s="1"/>
  <c r="F32" i="50"/>
  <c r="J32" i="50" s="1"/>
  <c r="K32" i="50" s="1"/>
  <c r="L32" i="50" s="1"/>
  <c r="M32" i="50" s="1"/>
  <c r="F17" i="50"/>
  <c r="J17" i="50" s="1"/>
  <c r="K17" i="50" s="1"/>
  <c r="L41" i="23"/>
  <c r="K14" i="23"/>
  <c r="L14" i="23" s="1"/>
  <c r="K34" i="23"/>
  <c r="L34" i="23" s="1"/>
  <c r="I57" i="23"/>
  <c r="T50" i="47"/>
  <c r="T51" i="47" s="1"/>
  <c r="K56" i="23"/>
  <c r="L56" i="23" s="1"/>
  <c r="T50" i="46"/>
  <c r="T51" i="46" s="1"/>
  <c r="K55" i="23"/>
  <c r="L55" i="23" s="1"/>
  <c r="K31" i="23"/>
  <c r="L31" i="23" s="1"/>
  <c r="K36" i="23"/>
  <c r="L36" i="23" s="1"/>
  <c r="I10" i="23"/>
  <c r="J37" i="23"/>
  <c r="I30" i="23"/>
  <c r="I28" i="23"/>
  <c r="T32" i="22"/>
  <c r="T48" i="22" s="1"/>
  <c r="I22" i="23"/>
  <c r="I20" i="23"/>
  <c r="T27" i="21"/>
  <c r="T31" i="21" s="1"/>
  <c r="F19" i="23"/>
  <c r="K13" i="23" l="1"/>
  <c r="L13" i="23" s="1"/>
  <c r="P20" i="50" s="1"/>
  <c r="M48" i="23"/>
  <c r="P55" i="50"/>
  <c r="T48" i="30"/>
  <c r="K24" i="23" s="1"/>
  <c r="P42" i="50"/>
  <c r="P50" i="50"/>
  <c r="T50" i="18"/>
  <c r="K10" i="23"/>
  <c r="I24" i="23"/>
  <c r="T49" i="22"/>
  <c r="T50" i="22"/>
  <c r="T51" i="27"/>
  <c r="K29" i="23" s="1"/>
  <c r="T50" i="6"/>
  <c r="I18" i="23"/>
  <c r="K27" i="23"/>
  <c r="L27" i="23" s="1"/>
  <c r="M27" i="23" s="1"/>
  <c r="M11" i="23"/>
  <c r="P18" i="50"/>
  <c r="M17" i="23"/>
  <c r="P24" i="50"/>
  <c r="M14" i="23"/>
  <c r="P21" i="50"/>
  <c r="O28" i="50"/>
  <c r="M47" i="23"/>
  <c r="P54" i="50"/>
  <c r="M42" i="23"/>
  <c r="P49" i="50"/>
  <c r="M55" i="23"/>
  <c r="P62" i="50"/>
  <c r="M41" i="23"/>
  <c r="P48" i="50"/>
  <c r="O25" i="50"/>
  <c r="M53" i="23"/>
  <c r="P60" i="50"/>
  <c r="M31" i="23"/>
  <c r="P38" i="50"/>
  <c r="M56" i="23"/>
  <c r="P63" i="50"/>
  <c r="M34" i="23"/>
  <c r="P41" i="50"/>
  <c r="O32" i="50"/>
  <c r="M13" i="23"/>
  <c r="M36" i="23"/>
  <c r="P43" i="50"/>
  <c r="M46" i="23"/>
  <c r="P53" i="50"/>
  <c r="M52" i="23"/>
  <c r="P59" i="50"/>
  <c r="T51" i="41"/>
  <c r="T52" i="41" s="1"/>
  <c r="K33" i="23"/>
  <c r="L33" i="23" s="1"/>
  <c r="L51" i="23"/>
  <c r="T50" i="42"/>
  <c r="T51" i="42" s="1"/>
  <c r="F59" i="23"/>
  <c r="Q12" i="51" s="1"/>
  <c r="L17" i="50"/>
  <c r="M17" i="50" s="1"/>
  <c r="K16" i="23"/>
  <c r="L16" i="23" s="1"/>
  <c r="K23" i="23"/>
  <c r="L23" i="23" s="1"/>
  <c r="T51" i="17"/>
  <c r="T52" i="17" s="1"/>
  <c r="T52" i="14"/>
  <c r="T53" i="14" s="1"/>
  <c r="L10" i="23"/>
  <c r="T50" i="48"/>
  <c r="T51" i="48" s="1"/>
  <c r="K57" i="23"/>
  <c r="L57" i="23" s="1"/>
  <c r="T51" i="9"/>
  <c r="T52" i="9" s="1"/>
  <c r="K37" i="23"/>
  <c r="L37" i="23" s="1"/>
  <c r="T51" i="10"/>
  <c r="T52" i="10" s="1"/>
  <c r="K30" i="23"/>
  <c r="L30" i="23" s="1"/>
  <c r="I29" i="23"/>
  <c r="T52" i="26"/>
  <c r="T53" i="26" s="1"/>
  <c r="K28" i="23"/>
  <c r="L28" i="23" s="1"/>
  <c r="T43" i="19"/>
  <c r="T44" i="19" s="1"/>
  <c r="K15" i="23"/>
  <c r="L15" i="23" s="1"/>
  <c r="T50" i="7"/>
  <c r="T51" i="7" s="1"/>
  <c r="K22" i="23"/>
  <c r="L22" i="23" s="1"/>
  <c r="T51" i="5"/>
  <c r="T52" i="5" s="1"/>
  <c r="K20" i="23"/>
  <c r="L20" i="23" s="1"/>
  <c r="T32" i="21"/>
  <c r="T48" i="21" s="1"/>
  <c r="G19" i="23"/>
  <c r="G59" i="23" s="1"/>
  <c r="Q13" i="51" s="1"/>
  <c r="T51" i="22" l="1"/>
  <c r="T52" i="22" s="1"/>
  <c r="T53" i="22" s="1"/>
  <c r="L24" i="23"/>
  <c r="M24" i="23" s="1"/>
  <c r="T50" i="21"/>
  <c r="J19" i="23" s="1"/>
  <c r="J59" i="23" s="1"/>
  <c r="Q17" i="51" s="1"/>
  <c r="T49" i="21"/>
  <c r="P34" i="50"/>
  <c r="P17" i="50"/>
  <c r="M20" i="23"/>
  <c r="P27" i="50"/>
  <c r="M28" i="23"/>
  <c r="P35" i="50"/>
  <c r="M33" i="23"/>
  <c r="P40" i="50"/>
  <c r="M30" i="23"/>
  <c r="P37" i="50"/>
  <c r="M57" i="23"/>
  <c r="P64" i="50"/>
  <c r="M23" i="23"/>
  <c r="P30" i="50"/>
  <c r="M15" i="23"/>
  <c r="P22" i="50"/>
  <c r="M22" i="23"/>
  <c r="P29" i="50"/>
  <c r="M16" i="23"/>
  <c r="P23" i="50"/>
  <c r="M51" i="23"/>
  <c r="P58" i="50"/>
  <c r="M37" i="23"/>
  <c r="P44" i="50"/>
  <c r="O17" i="50"/>
  <c r="Q14" i="51"/>
  <c r="U11" i="51" s="1"/>
  <c r="F26" i="50"/>
  <c r="J26" i="50" s="1"/>
  <c r="K26" i="50" s="1"/>
  <c r="L26" i="50" s="1"/>
  <c r="M26" i="50" s="1"/>
  <c r="O26" i="50" s="1"/>
  <c r="M10" i="23"/>
  <c r="J25" i="23"/>
  <c r="T52" i="27"/>
  <c r="T53" i="27" s="1"/>
  <c r="L29" i="23"/>
  <c r="T49" i="30"/>
  <c r="T50" i="30" s="1"/>
  <c r="T51" i="6"/>
  <c r="T52" i="6" s="1"/>
  <c r="K21" i="23"/>
  <c r="L21" i="23" s="1"/>
  <c r="T51" i="18"/>
  <c r="T52" i="18" s="1"/>
  <c r="K18" i="23"/>
  <c r="L18" i="23" s="1"/>
  <c r="P25" i="50" s="1"/>
  <c r="K25" i="23" l="1"/>
  <c r="L25" i="23" s="1"/>
  <c r="P32" i="50" s="1"/>
  <c r="T51" i="21"/>
  <c r="K19" i="23" s="1"/>
  <c r="P31" i="50"/>
  <c r="M21" i="23"/>
  <c r="P28" i="50"/>
  <c r="M29" i="23"/>
  <c r="P36" i="50"/>
  <c r="L66" i="50"/>
  <c r="U12" i="51"/>
  <c r="U13" i="51"/>
  <c r="I19" i="23"/>
  <c r="I59" i="23" s="1"/>
  <c r="Q16" i="51" s="1"/>
  <c r="M18" i="23"/>
  <c r="M25" i="23" l="1"/>
  <c r="T52" i="21"/>
  <c r="T53" i="21" s="1"/>
  <c r="L19" i="23" l="1"/>
  <c r="K59" i="23"/>
  <c r="Q18" i="51" s="1"/>
  <c r="L59" i="23" l="1"/>
  <c r="P26" i="50"/>
  <c r="M19" i="23"/>
  <c r="Q20" i="51"/>
  <c r="N12" i="51" l="1"/>
  <c r="N16" i="51"/>
  <c r="N17" i="51"/>
  <c r="N11" i="51"/>
  <c r="N13" i="51"/>
  <c r="N18" i="51"/>
  <c r="N14" i="51" l="1"/>
  <c r="N20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8" authorId="0" shapeId="0" xr:uid="{B4131385-F61F-1443-B17D-9D8A722FE790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7" authorId="0" shapeId="0" xr:uid="{45821DD3-E0CB-9543-AF38-173771205667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  <comment ref="W51" authorId="0" shapeId="0" xr:uid="{0D846576-2CFC-D542-B48B-9DFBF7635A98}">
      <text>
        <r>
          <rPr>
            <b/>
            <sz val="9"/>
            <color indexed="81"/>
            <rFont val="Tahoma"/>
            <family val="2"/>
          </rPr>
          <t>Planning:</t>
        </r>
        <r>
          <rPr>
            <sz val="9"/>
            <color indexed="81"/>
            <rFont val="Tahoma"/>
            <family val="2"/>
          </rPr>
          <t xml:space="preserve">
7108.27 as per DUPA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44" authorId="0" shapeId="0" xr:uid="{9011E5E4-0413-5E4B-BEB3-E8280339A5F2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9" authorId="0" shapeId="0" xr:uid="{A6AF0104-D96F-B04B-B0BF-5AF476DC2247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9" authorId="0" shapeId="0" xr:uid="{9E4BB43B-7CE9-014C-8B9A-97065050CA67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40" authorId="0" shapeId="0" xr:uid="{5C43F3D2-C83A-194B-9F82-0AEF90C2A04C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9" authorId="0" shapeId="0" xr:uid="{8EDB40BD-DCE2-F94A-BAAA-07B0427BA062}">
      <text>
        <r>
          <rPr>
            <b/>
            <sz val="9"/>
            <color rgb="FF000000"/>
            <rFont val="Tahoma"/>
            <family val="2"/>
          </rPr>
          <t>(handbook of construction of estimate)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form plywood</t>
        </r>
        <r>
          <rPr>
            <sz val="9"/>
            <color rgb="FF000000"/>
            <rFont val="Tahoma"/>
            <family val="2"/>
          </rPr>
          <t xml:space="preserve">=0.8 pieces of 4' x 8' plywood  form per cubic of concrete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usage</t>
        </r>
        <r>
          <rPr>
            <sz val="9"/>
            <color rgb="FF000000"/>
            <rFont val="Tahoma"/>
            <family val="2"/>
          </rPr>
          <t xml:space="preserve">=2 times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9" authorId="0" shapeId="0" xr:uid="{0CDA630B-FA4C-C340-B0EB-1D13E896E382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TSG</author>
  </authors>
  <commentList>
    <comment ref="E7" authorId="0" shapeId="0" xr:uid="{62947497-8B64-F54A-AD2C-35144067F3EA}">
      <text>
        <r>
          <rPr>
            <b/>
            <sz val="9"/>
            <color indexed="81"/>
            <rFont val="Tahoma"/>
            <family val="2"/>
          </rPr>
          <t>As per D.O. 137 s. 2017
Output per day = 1.875m^2/hour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TSG</author>
  </authors>
  <commentList>
    <comment ref="E7" authorId="0" shapeId="0" xr:uid="{D0503B24-BDFD-5E46-A404-669231DC085A}">
      <text>
        <r>
          <rPr>
            <b/>
            <sz val="9"/>
            <color indexed="81"/>
            <rFont val="Tahoma"/>
            <family val="2"/>
          </rPr>
          <t>As per D.O. 137 s. 2017
Output per day = 1.875m^2/hour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TSG</author>
  </authors>
  <commentList>
    <comment ref="E7" authorId="0" shapeId="0" xr:uid="{FA1F65E8-FD9B-5544-B2FB-594BC092A3F8}">
      <text>
        <r>
          <rPr>
            <b/>
            <sz val="9"/>
            <color indexed="81"/>
            <rFont val="Tahoma"/>
            <family val="2"/>
          </rPr>
          <t>As per D.O. 137 s. 2017
Output per day = 1.875m^2/hour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7" authorId="0" shapeId="0" xr:uid="{73515EE5-F30A-344C-BDB6-6C90A92A6B75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7" authorId="0" shapeId="0" xr:uid="{169EAA94-15A5-F042-90F6-B4AA2029C6E1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sharedStrings.xml><?xml version="1.0" encoding="utf-8"?>
<sst xmlns="http://schemas.openxmlformats.org/spreadsheetml/2006/main" count="3987" uniqueCount="425">
  <si>
    <t>DETAILED UNIT PRICE ANALYSIS</t>
  </si>
  <si>
    <t>PROJECT NAME:</t>
  </si>
  <si>
    <t xml:space="preserve">ITEM NO. </t>
  </si>
  <si>
    <t>Item No./Description:</t>
  </si>
  <si>
    <t>SPL - ?</t>
  </si>
  <si>
    <t>CLEARING AND GRUBBING</t>
  </si>
  <si>
    <t>UNIT</t>
  </si>
  <si>
    <t>Unit of Measurement:</t>
  </si>
  <si>
    <t>SQ.M.</t>
  </si>
  <si>
    <t>Output per day:</t>
  </si>
  <si>
    <t>SQ.M./DAY</t>
  </si>
  <si>
    <t>QTY</t>
  </si>
  <si>
    <t>Quantity:</t>
  </si>
  <si>
    <t>Designation</t>
  </si>
  <si>
    <t>No. Person</t>
  </si>
  <si>
    <t>No. of Days</t>
  </si>
  <si>
    <t>Daily Rate</t>
  </si>
  <si>
    <t>Amount</t>
  </si>
  <si>
    <t>A.</t>
  </si>
  <si>
    <t>Labor</t>
  </si>
  <si>
    <t>DURATION</t>
  </si>
  <si>
    <t>a.</t>
  </si>
  <si>
    <t>Construction Foreman/Engineering Assistant</t>
  </si>
  <si>
    <t>b.</t>
  </si>
  <si>
    <t>Laborer</t>
  </si>
  <si>
    <t>Number of Teams:</t>
  </si>
  <si>
    <t>LABOR</t>
  </si>
  <si>
    <t>Sub-Total for A</t>
  </si>
  <si>
    <t>P</t>
  </si>
  <si>
    <t>Name and Capacity</t>
  </si>
  <si>
    <t>No. of Units</t>
  </si>
  <si>
    <t>B.</t>
  </si>
  <si>
    <t>Equipment</t>
  </si>
  <si>
    <t>Dump Truck</t>
  </si>
  <si>
    <t xml:space="preserve">EQUIPMENT </t>
  </si>
  <si>
    <t>Sub-Total for B</t>
  </si>
  <si>
    <t>C.</t>
  </si>
  <si>
    <t>Total (A+B)</t>
  </si>
  <si>
    <t>D.</t>
  </si>
  <si>
    <t xml:space="preserve">Output per day </t>
  </si>
  <si>
    <t>=</t>
  </si>
  <si>
    <t>2Ø 45° bend</t>
  </si>
  <si>
    <t>2Øx2Ø tee</t>
  </si>
  <si>
    <t>4Øx4Ø coupling</t>
  </si>
  <si>
    <t>Name and Specifications</t>
  </si>
  <si>
    <t>Quantity</t>
  </si>
  <si>
    <t>Unit</t>
  </si>
  <si>
    <t>Unit Cost</t>
  </si>
  <si>
    <t>E.</t>
  </si>
  <si>
    <t>Materials</t>
  </si>
  <si>
    <t>N/A</t>
  </si>
  <si>
    <t>MATERIAL</t>
  </si>
  <si>
    <t>Sub-Total for E</t>
  </si>
  <si>
    <t>F.</t>
  </si>
  <si>
    <t>Direct Cost (C+E)</t>
  </si>
  <si>
    <t>G.</t>
  </si>
  <si>
    <t>Overhead, Contingencies &amp; Miscellaneous</t>
  </si>
  <si>
    <t>H.</t>
  </si>
  <si>
    <t>Contractor's Profit (CP)</t>
  </si>
  <si>
    <t>I.</t>
  </si>
  <si>
    <t>Value Added Tax (VAT)</t>
  </si>
  <si>
    <t>CHECKING</t>
  </si>
  <si>
    <t>J.</t>
  </si>
  <si>
    <t>Total Cost</t>
  </si>
  <si>
    <t>ADJUSTED CHECKING</t>
  </si>
  <si>
    <t>k.</t>
  </si>
  <si>
    <t>Total Unit Cost</t>
  </si>
  <si>
    <t>N.A.</t>
  </si>
  <si>
    <t>Minor Tools (10%)</t>
  </si>
  <si>
    <t>Backhoe</t>
  </si>
  <si>
    <t>CU.M./DAY</t>
  </si>
  <si>
    <t>CU.M.</t>
  </si>
  <si>
    <t>NO. OF TEAM:</t>
  </si>
  <si>
    <t>KGS.</t>
  </si>
  <si>
    <t>KGS./DAY</t>
  </si>
  <si>
    <t>NO. OF TEAM</t>
  </si>
  <si>
    <t>Bar Cutter</t>
  </si>
  <si>
    <t>Bar Bender</t>
  </si>
  <si>
    <t>c.</t>
  </si>
  <si>
    <t>Cargo Truck/Hauling Truck</t>
  </si>
  <si>
    <t>Deformed Reinforcing Steel Bar (Grade 40)</t>
  </si>
  <si>
    <t>#16 G.I. Tie-wire</t>
  </si>
  <si>
    <t>Input here the quantity of Steel Bars:</t>
  </si>
  <si>
    <t>Unit Wt.</t>
  </si>
  <si>
    <t>Total kgs</t>
  </si>
  <si>
    <t>*25mmØ x 6.00m Deformed Reinforcing Steel Bar</t>
  </si>
  <si>
    <t>*20mmØ x 6.00m Deformed Reinforcing Steel Bar</t>
  </si>
  <si>
    <t>*16mmØ x 6.00m Deformed Reinforcing Steel Bar</t>
  </si>
  <si>
    <t>*12mmØ x 6.00m Deformed Reinforcing Steel Bar</t>
  </si>
  <si>
    <t>*10mmØ x 6.00m Deformed Reinforcing Steel Bar</t>
  </si>
  <si>
    <t>Concrete Pouring Works</t>
  </si>
  <si>
    <t>Mason</t>
  </si>
  <si>
    <t>Carpenter</t>
  </si>
  <si>
    <t>One Bagger Mixer</t>
  </si>
  <si>
    <t>d.</t>
  </si>
  <si>
    <t>e.</t>
  </si>
  <si>
    <t>f.</t>
  </si>
  <si>
    <t>Portland Cement</t>
  </si>
  <si>
    <t>g.</t>
  </si>
  <si>
    <t>Sand</t>
  </si>
  <si>
    <t>h.</t>
  </si>
  <si>
    <t>Gravel</t>
  </si>
  <si>
    <t>NO. OF TEAMS</t>
  </si>
  <si>
    <t>100MM CHB NON LOAD BEARING/LOAD BEARING (INCLUDING REINFORCING STEEL)</t>
  </si>
  <si>
    <t>Minor Tools (10% of Labor Cost)</t>
  </si>
  <si>
    <t>100mm x 200mm x 400mm Concrete Hollow Blocks</t>
  </si>
  <si>
    <t>Washed Sand</t>
  </si>
  <si>
    <t>Deformed Reinforcing Steel Bar (Sizes to be determined by Estimator)</t>
  </si>
  <si>
    <t>150mm. CHB NON LOAD BEARING (including Reinforcing Steel)</t>
  </si>
  <si>
    <t>150mm x 200mm x 400mm Concrete Hollow Blocks</t>
  </si>
  <si>
    <t>1027(1)</t>
  </si>
  <si>
    <t>CEMENT PLASTER FINISH WITH 19MM THICK &amp; 1:3 MORTAR MIXTURE</t>
  </si>
  <si>
    <t>NO .OF TEAM</t>
  </si>
  <si>
    <t>DESCRIPTION</t>
  </si>
  <si>
    <t>AREA</t>
  </si>
  <si>
    <t>Minor Tools (10% of labor Cost)</t>
  </si>
  <si>
    <t>Fine Sand</t>
  </si>
  <si>
    <t>1032(1)a</t>
  </si>
  <si>
    <t>PAINTING WORKS (MASONRY PAINTING)</t>
  </si>
  <si>
    <t>Painter</t>
  </si>
  <si>
    <t>Concrete Penetrating Sealer</t>
  </si>
  <si>
    <t>Solvent Base Acrylic Primer</t>
  </si>
  <si>
    <t>Patching Compound</t>
  </si>
  <si>
    <t>Semi Gloss Solvent Base Paint (Top Coat)</t>
  </si>
  <si>
    <t>Baby Roller</t>
  </si>
  <si>
    <t>2" Paint Brush</t>
  </si>
  <si>
    <t>4" Paint Brush</t>
  </si>
  <si>
    <t>Body Filler</t>
  </si>
  <si>
    <t>gal.</t>
  </si>
  <si>
    <t>i</t>
  </si>
  <si>
    <t>Other Consumables</t>
  </si>
  <si>
    <t>1032(1)c</t>
  </si>
  <si>
    <t>PAINTING WORKS (METAL PAINTING)</t>
  </si>
  <si>
    <t>EXIST. EXTERIOR CONCRETE SURFACE  1st</t>
  </si>
  <si>
    <t>EXIST. INTERIOR CONCRETE SURFACE 1st</t>
  </si>
  <si>
    <t>EXIST. EXTERIOR CONCRETE SURFACE  2nd</t>
  </si>
  <si>
    <t>EXIST. INTERIOR CONCRETE SURFACE 2nd</t>
  </si>
  <si>
    <t>EXIST. EXTERIOR CONCRETE SURFACE  3rd</t>
  </si>
  <si>
    <t>EXIST. INTERIOR CONCRETE SURFACE 3rd</t>
  </si>
  <si>
    <t>PROP. CONCRETE SURFACE</t>
  </si>
  <si>
    <t>CEILING &amp; INT. DRY WALL SURFACE</t>
  </si>
  <si>
    <t>Red Oxide Metal Primer</t>
  </si>
  <si>
    <t>METAL SURFACE</t>
  </si>
  <si>
    <t>Quick Dry Enamel Paint</t>
  </si>
  <si>
    <t>Paint Thinner</t>
  </si>
  <si>
    <t>Tinting Color</t>
  </si>
  <si>
    <t>Consumables (5% of Material Cost)</t>
  </si>
  <si>
    <t>1016(1)a</t>
  </si>
  <si>
    <t>WATERPROOFING CEMENT BASE</t>
  </si>
  <si>
    <t>Skilled Worker</t>
  </si>
  <si>
    <t>Cementitious Type Waterproofing Membrane</t>
  </si>
  <si>
    <t>Included in the Package</t>
  </si>
  <si>
    <t>Aluminum Framing Analok Type -6mm. Thk. Glass</t>
  </si>
  <si>
    <t>sq.m.</t>
  </si>
  <si>
    <t>1010(2)</t>
  </si>
  <si>
    <t>Wooden PANEL Type Door with Jambs and Header</t>
  </si>
  <si>
    <t>Skilled Laborer</t>
  </si>
  <si>
    <t>Erection:</t>
  </si>
  <si>
    <t>Welding Machine</t>
  </si>
  <si>
    <t>Cutting Outfit</t>
  </si>
  <si>
    <t>Truck Mounted Crane (20-25 mt)</t>
  </si>
  <si>
    <t>Structural Steel</t>
  </si>
  <si>
    <t>Acetylene</t>
  </si>
  <si>
    <t>Oxygene</t>
  </si>
  <si>
    <t>Welding Rod</t>
  </si>
  <si>
    <t>Consumable (5% of Materials Cost)</t>
  </si>
  <si>
    <t>kgs.</t>
  </si>
  <si>
    <t>cyl</t>
  </si>
  <si>
    <t>The estimate need to count and specify the stee materials and compute for its weight in kilograms</t>
  </si>
  <si>
    <t>Fabrication:</t>
  </si>
  <si>
    <t>800(1)</t>
  </si>
  <si>
    <t>Payloader</t>
  </si>
  <si>
    <t>Bulldozer</t>
  </si>
  <si>
    <t>800(3)a</t>
  </si>
  <si>
    <t>INDIVIDUAL REMOVAL OF TREES (UPTO 300MM DIAMETER)</t>
  </si>
  <si>
    <t>EACH</t>
  </si>
  <si>
    <t>EACH/DAY</t>
  </si>
  <si>
    <t xml:space="preserve">Backhoe </t>
  </si>
  <si>
    <t>Chainsaw</t>
  </si>
  <si>
    <t>Minor Tools (5% of Labor Cost)</t>
  </si>
  <si>
    <t>803(1)a</t>
  </si>
  <si>
    <t>STRUCTURE EXCAVATION (COMMON SOIL)</t>
  </si>
  <si>
    <t>Backhoe with Breaker</t>
  </si>
  <si>
    <t>Plate Compactor</t>
  </si>
  <si>
    <t>Gravel Bedding</t>
  </si>
  <si>
    <t>cu.m.</t>
  </si>
  <si>
    <t>900(1)c2</t>
  </si>
  <si>
    <t>STRUCTURAL CONCRETE FOR FOOTING AND SLAB ON FILL (CLASS A, 28 DAYS)</t>
  </si>
  <si>
    <t>900(1)</t>
  </si>
  <si>
    <t>STRUCTURAL CONCRETE FOR FOOTING TIE BEAM, COLUMN, SUSPENDED SLAB, GIRDER/BEAM (CLASS A, 28 DAYS)</t>
  </si>
  <si>
    <t>902(1)</t>
  </si>
  <si>
    <t>REINFORCING STEEL OF REINFORCED CONCRETE STRUCTURES FOR ONE-STOREY, GRADE 40/60</t>
  </si>
  <si>
    <t>REINFORCING STEEL OF REINFORCED CONCRETE STRUCTURES FOR TWO UPTO FIVE STOREY</t>
  </si>
  <si>
    <t>Consumables (5% of Materials Cost)</t>
  </si>
  <si>
    <t xml:space="preserve">903(2) </t>
  </si>
  <si>
    <t>FORMWORKS AND FALSEWORKS (FOR ONE-STOREY BUILDING)</t>
  </si>
  <si>
    <t>SQ.M.DAY</t>
  </si>
  <si>
    <t>Installation:</t>
  </si>
  <si>
    <t>Stripping:</t>
  </si>
  <si>
    <t>Ordinary Plywood - 3 uses</t>
  </si>
  <si>
    <t>pcs.</t>
  </si>
  <si>
    <t>Good Lumber - 3 uses</t>
  </si>
  <si>
    <t>bd. Ft.</t>
  </si>
  <si>
    <t>Assorted Common Wire Nails</t>
  </si>
  <si>
    <t xml:space="preserve">1013(1) </t>
  </si>
  <si>
    <t>CORRUGATED METAL ROOFING</t>
  </si>
  <si>
    <t>Corrugated Roofing Sheet</t>
  </si>
  <si>
    <t>Tekscrew/ J-bolt with Washers</t>
  </si>
  <si>
    <t>Consumables (3% of Materials Costs)</t>
  </si>
  <si>
    <t>pc.</t>
  </si>
  <si>
    <t>Item of Works</t>
  </si>
  <si>
    <t>Qty</t>
  </si>
  <si>
    <t>Units</t>
  </si>
  <si>
    <t>Remarks</t>
  </si>
  <si>
    <t>DIRECT COST</t>
  </si>
  <si>
    <t>OCM</t>
  </si>
  <si>
    <t>Profit</t>
  </si>
  <si>
    <t>VAT</t>
  </si>
  <si>
    <t>INDIRECT COST</t>
  </si>
  <si>
    <t>The estimator may include additional materials such as insualtor foam to meet the detailed engineering plan.</t>
  </si>
  <si>
    <t xml:space="preserve">1013(2) </t>
  </si>
  <si>
    <t>M.</t>
  </si>
  <si>
    <t>M./DAY</t>
  </si>
  <si>
    <t>Ridge/Hip Rolls/Flashing/Valley Roll/ Counter Flashing (0.4-0.6mm Thk</t>
  </si>
  <si>
    <t>m</t>
  </si>
  <si>
    <t>Blind Rivets</t>
  </si>
  <si>
    <t>FABRICATED METAL ROOFING ACCESSORY (GUTTER)</t>
  </si>
  <si>
    <t>FABRICATED METAL ROOFING ACCESSORY (RIDGE/HIP ROLLS/FLASHING/COUNTER FLASHING/ VALLEY ROLL)</t>
  </si>
  <si>
    <t>12" x 1" Plain GI Strap</t>
  </si>
  <si>
    <t>PREPAINTED METAL SHEETS (CORRUGATE, SHORT SPAN/LONG SPAN)</t>
  </si>
  <si>
    <t>Prepainted Metal Roof Sheets  (0.4-0.6mm Thick)</t>
  </si>
  <si>
    <t>Teks Screw/ J-Bolt With Washers</t>
  </si>
  <si>
    <t>.</t>
  </si>
  <si>
    <t>Prepainted Metal Roof Sheets (Rib Type)</t>
  </si>
  <si>
    <t>UNGLAZED TILES/ GRANITE TILES/ SYNTHETIC GRANITE TILES</t>
  </si>
  <si>
    <t>Unglazed Tiles/Granite Tiles</t>
  </si>
  <si>
    <t>Tile Grout</t>
  </si>
  <si>
    <t>bag</t>
  </si>
  <si>
    <t>1043(1)</t>
  </si>
  <si>
    <t>PVC DOORS AND FRAMES W/ HEAVY DUTY DOOR KNOB</t>
  </si>
  <si>
    <t>WOODEN PANEL DOOR WITH HEAVY DUTY DOOR KNOB</t>
  </si>
  <si>
    <t>Structural Steel Purlins</t>
  </si>
  <si>
    <t>1001(1)a</t>
  </si>
  <si>
    <t>50MM DIA - 100MM DIA SANITARY PVC PIPE, SERIES 600/1000</t>
  </si>
  <si>
    <t>m.</t>
  </si>
  <si>
    <t>100mm Sanitary PVC Pipe Series 600/1999</t>
  </si>
  <si>
    <t>WATER CLOSET/ URINAL W/ COMPLETE ACCESSORIES</t>
  </si>
  <si>
    <t>SET</t>
  </si>
  <si>
    <t>SET/DAY</t>
  </si>
  <si>
    <t>Water Closet / Urinal w/ Complete Accessories</t>
  </si>
  <si>
    <t>set</t>
  </si>
  <si>
    <t>KITCHEN SINK/ SCRUB/ SLOP SINK W/ COMPLETE ACCESSORIES</t>
  </si>
  <si>
    <t>Kitchen Sink w/ Complete Accessories</t>
  </si>
  <si>
    <t>WALL HANG/COUNTERTOP/ UNDER COUNTER LAVATORY W/ COMPLETE ACCESSORIES</t>
  </si>
  <si>
    <t>FLOOR DRAIN PLATES (ANY SIZE)</t>
  </si>
  <si>
    <t>Floor Drain Plate</t>
  </si>
  <si>
    <t>1002(5)</t>
  </si>
  <si>
    <t>Shower Head &amp; Valve</t>
  </si>
  <si>
    <t>Facial Mirror</t>
  </si>
  <si>
    <t>1002(6)</t>
  </si>
  <si>
    <t>L.S.</t>
  </si>
  <si>
    <t>NOTE:</t>
  </si>
  <si>
    <t>WATERLINE PIPES &amp; FITTINGS</t>
  </si>
  <si>
    <t>1003(1)</t>
  </si>
  <si>
    <t>PC.</t>
  </si>
  <si>
    <t>4.5mm Fiber Cement Board</t>
  </si>
  <si>
    <t>2" Metal Furring x 3 meter length</t>
  </si>
  <si>
    <t>Carrying Channels 2"</t>
  </si>
  <si>
    <t>Hanger Bars/Rod - 12mm</t>
  </si>
  <si>
    <t>Channel Clip</t>
  </si>
  <si>
    <t>Wall Angle</t>
  </si>
  <si>
    <t>1/8" Blind Rivet</t>
  </si>
  <si>
    <t>boxes</t>
  </si>
  <si>
    <t>1010(2)a</t>
  </si>
  <si>
    <t>HOLLOW CORE FLUSH DOOR</t>
  </si>
  <si>
    <t>Hollow Core Flush Door</t>
  </si>
  <si>
    <t>Estimator shall include the bends/elbow in the material take-off</t>
  </si>
  <si>
    <t>15MM-25MM DIA. FLEXIBLE CONDUIT</t>
  </si>
  <si>
    <t>Flexible/ Rigid Conduit</t>
  </si>
  <si>
    <t>Estimator shall Include fittings in the material take-off.</t>
  </si>
  <si>
    <t>JUNCTION UTILITY/PULL / SQUARE BOX</t>
  </si>
  <si>
    <t>Junction/ Utility/ Pull/ Square Box</t>
  </si>
  <si>
    <t>1101(2)</t>
  </si>
  <si>
    <r>
      <t>1.6MM</t>
    </r>
    <r>
      <rPr>
        <vertAlign val="superscript"/>
        <sz val="11"/>
        <rFont val="Century Gothic"/>
        <family val="1"/>
      </rPr>
      <t>2</t>
    </r>
    <r>
      <rPr>
        <sz val="11"/>
        <rFont val="Century Gothic"/>
        <family val="2"/>
      </rPr>
      <t xml:space="preserve"> - 5.5MM</t>
    </r>
    <r>
      <rPr>
        <vertAlign val="superscript"/>
        <sz val="11"/>
        <rFont val="Century Gothic"/>
        <family val="1"/>
      </rPr>
      <t>2</t>
    </r>
    <r>
      <rPr>
        <sz val="11"/>
        <rFont val="Century Gothic"/>
        <family val="2"/>
      </rPr>
      <t xml:space="preserve"> ELECTRIC WIRE (TW/THHN/TWHN</t>
    </r>
    <r>
      <rPr>
        <vertAlign val="superscript"/>
        <sz val="11"/>
        <rFont val="Century Gothic"/>
        <family val="1"/>
      </rPr>
      <t>2</t>
    </r>
    <r>
      <rPr>
        <sz val="11"/>
        <rFont val="Century Gothic"/>
        <family val="2"/>
      </rPr>
      <t>)</t>
    </r>
  </si>
  <si>
    <t>PC./DAY</t>
  </si>
  <si>
    <r>
      <t>1.6mm</t>
    </r>
    <r>
      <rPr>
        <vertAlign val="superscript"/>
        <sz val="11"/>
        <rFont val="Century Gothic"/>
        <family val="1"/>
      </rPr>
      <t>2</t>
    </r>
    <r>
      <rPr>
        <sz val="11"/>
        <rFont val="Century Gothic"/>
        <family val="2"/>
      </rPr>
      <t xml:space="preserve"> - 5.5mm</t>
    </r>
    <r>
      <rPr>
        <vertAlign val="superscript"/>
        <sz val="11"/>
        <rFont val="Century Gothic"/>
        <family val="1"/>
      </rPr>
      <t>2</t>
    </r>
    <r>
      <rPr>
        <sz val="11"/>
        <rFont val="Century Gothic"/>
        <family val="2"/>
      </rPr>
      <t xml:space="preserve"> Electric Wire (TW/THHN/TWHN2)</t>
    </r>
  </si>
  <si>
    <t>SINGLE CONVINENCE OUTLET/ RECEPTACLE, GROUNDING TYPE/HEAVY DUTY CONVENIENCE OUTLET</t>
  </si>
  <si>
    <t>Single Convenience Outlet/ or Equivalent</t>
  </si>
  <si>
    <t>DUPLEX  CONVINENCE OUTLET/ RECEPTACLE, GROUNDING TYPE/HEAVY DUTY CONVENIENCE OUTLET</t>
  </si>
  <si>
    <t>Duplex Convenience Outlet/ or Equivalent</t>
  </si>
  <si>
    <t>PANEL BOARD WITH MAIN BREAKER/BRANCHES, 3 WIRES, 1 NEUTRAL, 50AMP-200AMP</t>
  </si>
  <si>
    <t xml:space="preserve">Panel Board with Main Breaker and 8-Branches </t>
  </si>
  <si>
    <t>Include the Circuits Breaker needed:</t>
  </si>
  <si>
    <t>?? Amp Circuit Breaker</t>
  </si>
  <si>
    <t>1103(2)</t>
  </si>
  <si>
    <t xml:space="preserve">FLOURESCENT LIGHTING FIXTURE WITH BALLAST/ LIGHT EMITTING DIODE (LED) BULB, 1 BULB </t>
  </si>
  <si>
    <t>Lighting Fixture e.i. 20watts LED Surface Mounted</t>
  </si>
  <si>
    <t>PROJECT TITLE:</t>
  </si>
  <si>
    <t>% OF TOTAL</t>
  </si>
  <si>
    <t>TOTAL</t>
  </si>
  <si>
    <t>QUANTITY</t>
  </si>
  <si>
    <t>MARK-UPS</t>
  </si>
  <si>
    <t>TOTAL MARK-UP</t>
  </si>
  <si>
    <t>TOTAL COST</t>
  </si>
  <si>
    <t>ITEM</t>
  </si>
  <si>
    <t>ESTIMATED</t>
  </si>
  <si>
    <t>IN PERCENT</t>
  </si>
  <si>
    <t>NO.</t>
  </si>
  <si>
    <t>PROFIT</t>
  </si>
  <si>
    <t>%</t>
  </si>
  <si>
    <t>VALUE</t>
  </si>
  <si>
    <t>COST</t>
  </si>
  <si>
    <t>(5)X(8)</t>
  </si>
  <si>
    <t>(9)+(10)</t>
  </si>
  <si>
    <t>(5)+(11)</t>
  </si>
  <si>
    <t>(12)/(3)</t>
  </si>
  <si>
    <t>BREAKDOWN OF EXPENDITURES</t>
  </si>
  <si>
    <t>AMOUNT</t>
  </si>
  <si>
    <t>S U B - T O T A L    (DIRECT COST)</t>
  </si>
  <si>
    <t>xxx p-1</t>
  </si>
  <si>
    <t>Project Location:</t>
  </si>
  <si>
    <t>S U B - T O T A L    (INDIRECT COST)</t>
  </si>
  <si>
    <t>TOTAL PROJECT COST</t>
  </si>
  <si>
    <t xml:space="preserve">Contractor's Profit </t>
  </si>
  <si>
    <t>Value Added Tax</t>
  </si>
  <si>
    <t>DIRECT COST:</t>
  </si>
  <si>
    <t>INDIRECT COST:</t>
  </si>
  <si>
    <t>Overhead, Contingency &amp; Misc.</t>
  </si>
  <si>
    <t>Labor/Manpower</t>
  </si>
  <si>
    <t>Equipment/Tools Expenses</t>
  </si>
  <si>
    <t>Prepared by:</t>
  </si>
  <si>
    <t>Licensed Engineer/Registered Master Plumber/Master Electrician</t>
  </si>
  <si>
    <t>Item Number</t>
  </si>
  <si>
    <t>Area of the project for clearing</t>
  </si>
  <si>
    <t>Number of trees to be removed from project site</t>
  </si>
  <si>
    <t>PROJECT LOCATION:</t>
  </si>
  <si>
    <t>Volume to be excavated by Backhoe</t>
  </si>
  <si>
    <t>STRUCTURE EXCAVATION (SOFT ROCK)</t>
  </si>
  <si>
    <t>804(4)</t>
  </si>
  <si>
    <t>GRAVEL BEDDING</t>
  </si>
  <si>
    <t>Putting gravel as bedding in foundation</t>
  </si>
  <si>
    <t>After estimating the number of steel bars by direct counting on plan, get its total weight in kgs.</t>
  </si>
  <si>
    <t>Manpower /Labor</t>
  </si>
  <si>
    <t>Equipment/ Tools</t>
  </si>
  <si>
    <t xml:space="preserve">Materials </t>
  </si>
  <si>
    <t>Total concrete volume of Footing &amp; Slab on grade</t>
  </si>
  <si>
    <t>Total volume of concrete for beam, column tie beam, suspended slab &amp; girder</t>
  </si>
  <si>
    <t>Area of the surface to be covered. E.i. compute the areas of columns, beams and other structural members that need form for concreting</t>
  </si>
  <si>
    <t>Total area of wall using 4" CHB</t>
  </si>
  <si>
    <t>Total area of wall using 6" CHB</t>
  </si>
  <si>
    <t>Total area of concrete surface to be plastered</t>
  </si>
  <si>
    <t>1047(2)b</t>
  </si>
  <si>
    <t>STRUCTURAL STEEL ROOF TRUSS</t>
  </si>
  <si>
    <t>1047(2)c</t>
  </si>
  <si>
    <t>STRUCTURAL STEEL PURLINS</t>
  </si>
  <si>
    <t>Determine the number of C-Purlins  by direct counting on plan, then convert it to weight in kilograms</t>
  </si>
  <si>
    <t>Determine the steel materials by direct counting on plan, then convert it to weight in kilograms</t>
  </si>
  <si>
    <t>Determine the roof area to be covered by corrugated roof sheet</t>
  </si>
  <si>
    <t>Determine the total length of Flashing, Ridge Roll and Valley Roll</t>
  </si>
  <si>
    <t xml:space="preserve">Determine the total length of Gutter </t>
  </si>
  <si>
    <t>Determine the roof area to be covered by prepainted corrugated roof sheet</t>
  </si>
  <si>
    <t>Determine the roof area to be covered by prepainted rib-type roof sheet</t>
  </si>
  <si>
    <t>PREPAINTED METAL SHEETS (RIB TYPE 0.4-0.5MM THICK)</t>
  </si>
  <si>
    <t>Determine the area for waterproofing</t>
  </si>
  <si>
    <t>Determine the area for tiles</t>
  </si>
  <si>
    <t>Determine the area for Ceiling</t>
  </si>
  <si>
    <t>Determine the total area of Wooden Panel Door</t>
  </si>
  <si>
    <t>Determine the total area of PVC Door</t>
  </si>
  <si>
    <t>Determine the area of concrete surface for painting</t>
  </si>
  <si>
    <t>Determine the area of metal surface for painting</t>
  </si>
  <si>
    <t>SUPPLY AND INSTALLATION OF ANALOK TYPE SLIDING WINDOW</t>
  </si>
  <si>
    <t>Determine the total area of sliding window</t>
  </si>
  <si>
    <t>Note: With installation</t>
  </si>
  <si>
    <t>(INPUT ITEM DESCRIPTION)</t>
  </si>
  <si>
    <t>Determine the number and length of Sanitary Pipes by Sizes and indicate in in the estimate DUPA tab</t>
  </si>
  <si>
    <t xml:space="preserve">The estimator shall determine the needed materials and determine the duration to complete this item. </t>
  </si>
  <si>
    <t>12mm PPR Pipe</t>
  </si>
  <si>
    <t>lot</t>
  </si>
  <si>
    <t>12mm PPR Fittins</t>
  </si>
  <si>
    <t>Input the total quantity of the water closet plus urinal. Also, go to the DUPA and input in the necessary materials.</t>
  </si>
  <si>
    <t>Input the total quantity of the Sinks. Also, go to the DUPA and input in the necessary materials.</t>
  </si>
  <si>
    <t>Input the total quantity of the Countertops/Lavatory. Also, go to the DUPA and input in the necessary materials.</t>
  </si>
  <si>
    <t>Input the total number of floor drain. Go to DUPA and update or input the necessary materials</t>
  </si>
  <si>
    <t>Lavatory/Sinks</t>
  </si>
  <si>
    <t>Input the total number of Toilet &amp; Soap Holder. Go to DUPA and update or input the necessary materials</t>
  </si>
  <si>
    <t>SHOWER HEAD /SHOWER VALVE</t>
  </si>
  <si>
    <t>SOAP HOLDER /TOILET SOAP/LIQUID SOAP/TISSUE HOLDER</t>
  </si>
  <si>
    <t>Soap Holder &amp; Tissue Holder</t>
  </si>
  <si>
    <t>1002(5)p</t>
  </si>
  <si>
    <t>FACIAL MIRROR</t>
  </si>
  <si>
    <t>Input the area of the mirrior. Update the DUPA by inputting the necessary materials</t>
  </si>
  <si>
    <t>(INPUT OTHER PLUMBING WORK ITEM THAT IS NOT FOUND IN THIS SPREADSHEET)</t>
  </si>
  <si>
    <t>SPL- ?</t>
  </si>
  <si>
    <t>Go to DUPA Tab and input the necessary materials, manpower and equipment requirements.</t>
  </si>
  <si>
    <t>ELECTRICAL WORKS</t>
  </si>
  <si>
    <t>PLUMBING WORKS</t>
  </si>
  <si>
    <t>Input the total length of the conduit and update the materials requirement in the DUPA Tab</t>
  </si>
  <si>
    <t>Inpu the total number of utility box, junction box. Go to DUPA Tab and update the necessary materials</t>
  </si>
  <si>
    <t>The estimator shall breakdown the electrical wire requirements</t>
  </si>
  <si>
    <t>Input the total length of Electrical Wire. Go to DUPA Tab and breakdown the materials accroding to wire size</t>
  </si>
  <si>
    <t>Input the total number of Single Convenience Outlet</t>
  </si>
  <si>
    <t>Input the total number of Double Convenience Outlet</t>
  </si>
  <si>
    <t>Input the number of set. Go to DUPA tab and update the materials component and indicate the needed Circuit Breakers.</t>
  </si>
  <si>
    <t>Count and input the number of Bulbs. Go to DUPA tab to update the materials requirements</t>
  </si>
  <si>
    <t>(INPUT OTHER ELECTRICAL WORK ITEM THAT IS NOT FOUND IN THIS SPREADSHEET)</t>
  </si>
  <si>
    <t>VALUE ADDED TAX (VAT)</t>
  </si>
  <si>
    <t>PERCENTAGE</t>
  </si>
  <si>
    <t>MATERIALS</t>
  </si>
  <si>
    <t>EQUIPMENT</t>
  </si>
  <si>
    <t>If you need additional item that is not found in this spreadsheet, you may use this and  go to "Other Item" Tab to create item of work</t>
  </si>
  <si>
    <t>(5)+(9))</t>
  </si>
  <si>
    <t>3. IF YOU USE THIS IN A STUDY OR RESEARCH, PLEASE ACKNOWLEDGE THE AUTHOR.</t>
  </si>
  <si>
    <t>2. THIS ESTIMATE FORMAT IN DETAILED UNIT PRICE ANALYSIS IS A PERSONAL PROPERTY OF ENGR. EDITO M. BAUTISTA, JR. CE, EnP, RMP, RME</t>
  </si>
  <si>
    <t>5. THE BASIS FOR THE DERIVATION OF THIS SPREADSHEET IS THE DPWH DEPARTMENT ORDER NO. 137 SERIES OF 2017, COST ESTIMATION MANUAL FOR LOW RISE BUILDING (UPTO 5 STOREY BUILDING)</t>
  </si>
  <si>
    <t>1. FOR QUERIES REGARDING THIS, YOU MAY COMMUNICATE WITH THE AUTHOR AT em.bautistajr@yahoo.com OR ON HIS YOUTUBE CHANNEL</t>
  </si>
  <si>
    <t xml:space="preserve">4. DISCLAIMER: THE AUTHOR OF THIS SPREADSHEET  IS DENYING ANY AND ALL LIABILITY FOR ANY DAMAGES ARISING OUT FROM USING THIS SPREADSHEET. </t>
  </si>
  <si>
    <t>6. THE USER MAY CHANGE THE MANPOWER RATES, EQUIPMENT RATES, MATERIALS PRICES AND THE MARK-UPS (OCM, PROFIT &amp; TAX)</t>
  </si>
  <si>
    <t>Determine and input the total area of flush type door</t>
  </si>
  <si>
    <t>FIBER CEMENT BOARD/MARINE PLYWOOD/ORDINARY PLYWOOD ON METAL FRAME CEILING</t>
  </si>
  <si>
    <t>PROPOSED ONE STOREY TWO BED ROOM RESIDENTIAL BUILDING</t>
  </si>
  <si>
    <t>ANGELES, PAMPANGA</t>
  </si>
  <si>
    <t>INPUT ONLY ON GRAY CELLS</t>
  </si>
  <si>
    <r>
      <rPr>
        <b/>
        <sz val="11"/>
        <color theme="1"/>
        <rFont val="Calibri"/>
        <family val="2"/>
        <scheme val="minor"/>
      </rPr>
      <t xml:space="preserve">This is for two to 5 storey only. </t>
    </r>
    <r>
      <rPr>
        <sz val="11"/>
        <color theme="1"/>
        <rFont val="Calibri"/>
        <family val="2"/>
        <scheme val="minor"/>
      </rPr>
      <t>After estimating the number of steel bars by direct counting on plan, get its total weight in kgs.</t>
    </r>
  </si>
  <si>
    <r>
      <t xml:space="preserve">It is suggested that the unit for this item  is always </t>
    </r>
    <r>
      <rPr>
        <b/>
        <sz val="11"/>
        <color theme="1"/>
        <rFont val="Calibri"/>
        <family val="2"/>
        <scheme val="minor"/>
      </rPr>
      <t>1.00 Lump Sum</t>
    </r>
    <r>
      <rPr>
        <sz val="11"/>
        <color theme="1"/>
        <rFont val="Calibri"/>
        <family val="2"/>
        <scheme val="minor"/>
      </rPr>
      <t>.  The estimator shall go to its DUPA tab and indicate the necessary materials, tools and manpower</t>
    </r>
  </si>
  <si>
    <t>ARCHITECTURAL / CIVIL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</si>
</sst>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([$Php-3409]* #,##0.00000_);_([$Php-3409]* \(#,##0.00000\);_([$Php-3409]* &quot;-&quot;??_);_(@_)"/>
    <numFmt numFmtId="166" formatCode="#,##0.00;[Red]#,##0.00"/>
    <numFmt numFmtId="167" formatCode="0.000"/>
    <numFmt numFmtId="168" formatCode="_([$Php-3409]* #,##0.00_);_([$Php-3409]* \(#,##0.00\);_([$Php-3409]* &quot;-&quot;??_);_(@_)"/>
    <numFmt numFmtId="169" formatCode="#,##0.000"/>
    <numFmt numFmtId="170" formatCode="_(* #,##0_);_(* \(#,##0\);_(* &quot;-&quot;??_);_(@_)"/>
    <numFmt numFmtId="171" formatCode="_([$Php-3409]* #,##0.0000_);_([$Php-3409]* \(#,##0.0000\);_([$Php-3409]* &quot;-&quot;??_);_(@_)"/>
    <numFmt numFmtId="172" formatCode="0\ &quot;mm dia.&quot;"/>
    <numFmt numFmtId="173" formatCode="0.00000"/>
    <numFmt numFmtId="174" formatCode="#,##0;[Red]#,##0"/>
    <numFmt numFmtId="175" formatCode="0_);\(0\)"/>
    <numFmt numFmtId="176" formatCode="&quot;Php&quot;#,##0.00_);\(&quot;Php&quot;#,##0.00\)"/>
    <numFmt numFmtId="177" formatCode="_([$Php-3409]* #,##0.000_);_([$Php-3409]* \(#,##0.000\);_([$Php-3409]* &quot;-&quot;??_);_(@_)"/>
    <numFmt numFmtId="178" formatCode="0.0%"/>
  </numFmts>
  <fonts count="6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FFC000"/>
      <name val="Calibri"/>
      <family val="2"/>
      <scheme val="minor"/>
    </font>
    <font>
      <sz val="10"/>
      <name val="Arial"/>
      <family val="2"/>
    </font>
    <font>
      <sz val="1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indexed="8"/>
      <name val="Century Gothic"/>
      <family val="2"/>
    </font>
    <font>
      <sz val="11"/>
      <color rgb="FFC00000"/>
      <name val="Calibri"/>
      <family val="2"/>
      <scheme val="minor"/>
    </font>
    <font>
      <sz val="11"/>
      <color rgb="FFFF0000"/>
      <name val="Century Gothic"/>
      <family val="2"/>
    </font>
    <font>
      <sz val="11"/>
      <color rgb="FFFFFF00"/>
      <name val="Century Gothic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Century Gothic"/>
      <family val="2"/>
    </font>
    <font>
      <sz val="14"/>
      <color theme="1"/>
      <name val="Calibri"/>
      <family val="2"/>
      <scheme val="minor"/>
    </font>
    <font>
      <b/>
      <sz val="11"/>
      <color theme="1"/>
      <name val="Century Gothic"/>
      <family val="1"/>
    </font>
    <font>
      <sz val="48"/>
      <color theme="1"/>
      <name val="Century Gothic"/>
      <family val="2"/>
    </font>
    <font>
      <b/>
      <sz val="11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00"/>
      <name val="Century Gothic"/>
      <family val="2"/>
    </font>
    <font>
      <sz val="11"/>
      <color indexed="8"/>
      <name val="Calibri"/>
      <family val="2"/>
    </font>
    <font>
      <b/>
      <i/>
      <sz val="11"/>
      <color theme="1"/>
      <name val="Century Gothic"/>
      <family val="1"/>
    </font>
    <font>
      <b/>
      <i/>
      <sz val="11"/>
      <name val="Century Gothic"/>
      <family val="1"/>
    </font>
    <font>
      <b/>
      <sz val="11"/>
      <name val="Century Gothic"/>
      <family val="1"/>
    </font>
    <font>
      <vertAlign val="superscript"/>
      <sz val="11"/>
      <name val="Century Gothic"/>
      <family val="1"/>
    </font>
    <font>
      <b/>
      <sz val="11"/>
      <color indexed="8"/>
      <name val="Century Gothic"/>
      <family val="2"/>
    </font>
    <font>
      <sz val="10"/>
      <color theme="1"/>
      <name val="Arial"/>
      <family val="2"/>
    </font>
    <font>
      <sz val="15"/>
      <name val="Century Gothic"/>
      <family val="2"/>
    </font>
    <font>
      <b/>
      <sz val="22"/>
      <name val="Century Gothic"/>
      <family val="2"/>
    </font>
    <font>
      <u/>
      <sz val="10"/>
      <name val="Century Gothic"/>
      <family val="2"/>
    </font>
    <font>
      <b/>
      <sz val="13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4"/>
      <name val="Century Gothic"/>
      <family val="2"/>
    </font>
    <font>
      <sz val="12"/>
      <name val="Century Gothic"/>
      <family val="1"/>
    </font>
    <font>
      <b/>
      <sz val="12"/>
      <name val="Century Gothic"/>
      <family val="1"/>
    </font>
    <font>
      <b/>
      <sz val="16"/>
      <color theme="1"/>
      <name val="Calibri"/>
      <family val="2"/>
      <scheme val="minor"/>
    </font>
    <font>
      <b/>
      <sz val="13"/>
      <name val="Century Gothic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u/>
      <sz val="11"/>
      <name val="Century Gothic"/>
      <family val="2"/>
    </font>
    <font>
      <sz val="15"/>
      <color theme="1"/>
      <name val="Arial"/>
      <family val="2"/>
    </font>
    <font>
      <sz val="13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8"/>
      <color theme="0"/>
      <name val="Calibri Light"/>
      <family val="2"/>
      <scheme val="major"/>
    </font>
    <font>
      <b/>
      <sz val="16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b/>
      <sz val="13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medium">
        <color auto="1"/>
      </bottom>
      <diagonal/>
    </border>
    <border>
      <left/>
      <right/>
      <top style="hair">
        <color indexed="64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7">
    <xf numFmtId="168" fontId="0" fillId="0" borderId="0"/>
    <xf numFmtId="0" fontId="2" fillId="0" borderId="0"/>
    <xf numFmtId="0" fontId="7" fillId="0" borderId="0"/>
    <xf numFmtId="165" fontId="2" fillId="0" borderId="0"/>
    <xf numFmtId="164" fontId="2" fillId="0" borderId="0" applyFont="0" applyFill="0" applyBorder="0" applyAlignment="0" applyProtection="0"/>
    <xf numFmtId="168" fontId="2" fillId="0" borderId="0"/>
    <xf numFmtId="170" fontId="7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65" fontId="7" fillId="0" borderId="0"/>
    <xf numFmtId="0" fontId="7" fillId="0" borderId="0"/>
    <xf numFmtId="164" fontId="29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9" fillId="0" borderId="0"/>
    <xf numFmtId="0" fontId="2" fillId="0" borderId="0"/>
    <xf numFmtId="164" fontId="2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7" fillId="0" borderId="0"/>
    <xf numFmtId="0" fontId="2" fillId="0" borderId="0"/>
    <xf numFmtId="9" fontId="2" fillId="0" borderId="0" applyFont="0" applyFill="0" applyBorder="0" applyAlignment="0" applyProtection="0"/>
  </cellStyleXfs>
  <cellXfs count="767">
    <xf numFmtId="168" fontId="0" fillId="0" borderId="0" xfId="0"/>
    <xf numFmtId="0" fontId="2" fillId="0" borderId="0" xfId="1"/>
    <xf numFmtId="0" fontId="4" fillId="0" borderId="0" xfId="1" applyFont="1"/>
    <xf numFmtId="0" fontId="5" fillId="0" borderId="0" xfId="1" applyFont="1"/>
    <xf numFmtId="0" fontId="2" fillId="0" borderId="0" xfId="1" applyAlignment="1">
      <alignment vertical="top"/>
    </xf>
    <xf numFmtId="0" fontId="4" fillId="0" borderId="0" xfId="1" applyFont="1" applyAlignment="1">
      <alignment vertical="top"/>
    </xf>
    <xf numFmtId="0" fontId="6" fillId="2" borderId="0" xfId="1" applyFont="1" applyFill="1" applyAlignment="1">
      <alignment vertical="top"/>
    </xf>
    <xf numFmtId="0" fontId="4" fillId="0" borderId="0" xfId="1" applyFont="1" applyAlignment="1">
      <alignment horizontal="center"/>
    </xf>
    <xf numFmtId="0" fontId="6" fillId="2" borderId="0" xfId="1" applyFont="1" applyFill="1"/>
    <xf numFmtId="164" fontId="4" fillId="0" borderId="0" xfId="1" applyNumberFormat="1" applyFont="1"/>
    <xf numFmtId="4" fontId="4" fillId="0" borderId="0" xfId="1" applyNumberFormat="1" applyFont="1" applyAlignment="1">
      <alignment horizontal="center"/>
    </xf>
    <xf numFmtId="0" fontId="4" fillId="0" borderId="0" xfId="1" quotePrefix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/>
    <xf numFmtId="0" fontId="4" fillId="0" borderId="9" xfId="1" applyFont="1" applyBorder="1"/>
    <xf numFmtId="4" fontId="4" fillId="0" borderId="0" xfId="1" applyNumberFormat="1" applyFont="1"/>
    <xf numFmtId="165" fontId="4" fillId="0" borderId="8" xfId="3" applyFont="1" applyBorder="1" applyAlignment="1">
      <alignment vertical="center"/>
    </xf>
    <xf numFmtId="2" fontId="4" fillId="0" borderId="0" xfId="3" applyNumberFormat="1" applyFont="1" applyAlignment="1">
      <alignment vertical="center"/>
    </xf>
    <xf numFmtId="4" fontId="4" fillId="0" borderId="8" xfId="1" applyNumberFormat="1" applyFont="1" applyBorder="1" applyAlignment="1">
      <alignment horizontal="center"/>
    </xf>
    <xf numFmtId="4" fontId="4" fillId="0" borderId="9" xfId="1" applyNumberFormat="1" applyFont="1" applyBorder="1" applyAlignment="1">
      <alignment horizontal="center"/>
    </xf>
    <xf numFmtId="166" fontId="4" fillId="0" borderId="8" xfId="4" applyNumberFormat="1" applyFont="1" applyFill="1" applyBorder="1" applyAlignment="1">
      <alignment horizontal="center"/>
    </xf>
    <xf numFmtId="166" fontId="4" fillId="0" borderId="0" xfId="4" applyNumberFormat="1" applyFont="1" applyFill="1" applyBorder="1" applyAlignment="1">
      <alignment horizontal="center"/>
    </xf>
    <xf numFmtId="166" fontId="4" fillId="0" borderId="9" xfId="4" applyNumberFormat="1" applyFont="1" applyFill="1" applyBorder="1" applyAlignment="1">
      <alignment horizontal="center"/>
    </xf>
    <xf numFmtId="0" fontId="0" fillId="0" borderId="0" xfId="1" applyFont="1" applyAlignment="1">
      <alignment horizontal="right"/>
    </xf>
    <xf numFmtId="167" fontId="2" fillId="3" borderId="0" xfId="4" applyNumberFormat="1" applyFill="1" applyBorder="1"/>
    <xf numFmtId="0" fontId="0" fillId="0" borderId="0" xfId="1" applyFont="1"/>
    <xf numFmtId="0" fontId="5" fillId="0" borderId="0" xfId="1" applyFont="1" applyAlignment="1">
      <alignment vertical="center"/>
    </xf>
    <xf numFmtId="39" fontId="8" fillId="0" borderId="8" xfId="0" applyNumberFormat="1" applyFont="1" applyBorder="1" applyAlignment="1">
      <alignment horizontal="center"/>
    </xf>
    <xf numFmtId="39" fontId="8" fillId="0" borderId="0" xfId="0" applyNumberFormat="1" applyFont="1" applyAlignment="1">
      <alignment horizontal="center"/>
    </xf>
    <xf numFmtId="39" fontId="8" fillId="0" borderId="9" xfId="0" applyNumberFormat="1" applyFont="1" applyBorder="1" applyAlignment="1">
      <alignment horizontal="center"/>
    </xf>
    <xf numFmtId="168" fontId="4" fillId="0" borderId="0" xfId="0" applyFont="1" applyAlignment="1">
      <alignment vertical="center"/>
    </xf>
    <xf numFmtId="168" fontId="4" fillId="0" borderId="0" xfId="0" applyFont="1" applyAlignment="1">
      <alignment horizontal="center" vertical="center"/>
    </xf>
    <xf numFmtId="0" fontId="9" fillId="0" borderId="0" xfId="3" applyNumberFormat="1" applyFont="1" applyAlignment="1">
      <alignment vertical="center"/>
    </xf>
    <xf numFmtId="0" fontId="4" fillId="0" borderId="8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20" fontId="4" fillId="0" borderId="0" xfId="0" quotePrefix="1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3" applyNumberFormat="1" applyFont="1" applyAlignment="1">
      <alignment vertical="center"/>
    </xf>
    <xf numFmtId="0" fontId="4" fillId="0" borderId="7" xfId="1" applyFont="1" applyBorder="1"/>
    <xf numFmtId="0" fontId="4" fillId="0" borderId="0" xfId="0" applyNumberFormat="1" applyFont="1" applyAlignment="1">
      <alignment vertical="center"/>
    </xf>
    <xf numFmtId="2" fontId="4" fillId="0" borderId="8" xfId="1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 vertical="center"/>
    </xf>
    <xf numFmtId="0" fontId="6" fillId="0" borderId="0" xfId="1" applyFont="1"/>
    <xf numFmtId="0" fontId="4" fillId="0" borderId="10" xfId="1" applyFont="1" applyBorder="1"/>
    <xf numFmtId="0" fontId="4" fillId="0" borderId="11" xfId="1" applyFont="1" applyBorder="1"/>
    <xf numFmtId="0" fontId="4" fillId="0" borderId="12" xfId="1" applyFont="1" applyBorder="1"/>
    <xf numFmtId="0" fontId="4" fillId="0" borderId="13" xfId="1" applyFont="1" applyBorder="1"/>
    <xf numFmtId="0" fontId="4" fillId="0" borderId="13" xfId="1" applyFont="1" applyBorder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166" fontId="2" fillId="0" borderId="0" xfId="1" applyNumberFormat="1" applyAlignment="1">
      <alignment horizontal="center" vertical="center"/>
    </xf>
    <xf numFmtId="2" fontId="2" fillId="0" borderId="0" xfId="5" applyNumberFormat="1"/>
    <xf numFmtId="2" fontId="10" fillId="0" borderId="0" xfId="5" applyNumberFormat="1" applyFont="1" applyAlignment="1">
      <alignment horizontal="center"/>
    </xf>
    <xf numFmtId="165" fontId="11" fillId="0" borderId="0" xfId="3" applyFont="1" applyAlignment="1">
      <alignment horizontal="center"/>
    </xf>
    <xf numFmtId="2" fontId="10" fillId="0" borderId="0" xfId="5" applyNumberFormat="1" applyFont="1"/>
    <xf numFmtId="2" fontId="2" fillId="0" borderId="0" xfId="5" applyNumberFormat="1" applyAlignment="1">
      <alignment horizontal="center"/>
    </xf>
    <xf numFmtId="2" fontId="10" fillId="0" borderId="0" xfId="5" applyNumberFormat="1" applyFont="1" applyAlignment="1">
      <alignment horizontal="center" wrapText="1"/>
    </xf>
    <xf numFmtId="0" fontId="8" fillId="0" borderId="0" xfId="6" applyNumberFormat="1" applyFont="1" applyAlignment="1">
      <alignment horizontal="center"/>
    </xf>
    <xf numFmtId="165" fontId="4" fillId="0" borderId="0" xfId="3" applyFont="1" applyAlignment="1">
      <alignment vertical="center"/>
    </xf>
    <xf numFmtId="0" fontId="6" fillId="0" borderId="10" xfId="7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0" xfId="1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4" fillId="0" borderId="10" xfId="1" applyFont="1" applyBorder="1" applyAlignment="1">
      <alignment horizontal="center" vertical="center"/>
    </xf>
    <xf numFmtId="0" fontId="4" fillId="0" borderId="12" xfId="1" quotePrefix="1" applyFont="1" applyBorder="1" applyAlignment="1">
      <alignment horizontal="center"/>
    </xf>
    <xf numFmtId="4" fontId="4" fillId="0" borderId="12" xfId="1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2" fontId="13" fillId="0" borderId="13" xfId="0" applyNumberFormat="1" applyFont="1" applyBorder="1" applyAlignment="1">
      <alignment horizontal="center"/>
    </xf>
    <xf numFmtId="2" fontId="13" fillId="0" borderId="10" xfId="0" applyNumberFormat="1" applyFont="1" applyBorder="1" applyAlignment="1">
      <alignment horizontal="center"/>
    </xf>
    <xf numFmtId="2" fontId="14" fillId="0" borderId="0" xfId="0" applyNumberFormat="1" applyFont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14" fillId="0" borderId="13" xfId="0" applyNumberFormat="1" applyFont="1" applyBorder="1" applyAlignment="1">
      <alignment horizontal="center"/>
    </xf>
    <xf numFmtId="2" fontId="14" fillId="0" borderId="10" xfId="0" applyNumberFormat="1" applyFont="1" applyBorder="1" applyAlignment="1">
      <alignment horizontal="center"/>
    </xf>
    <xf numFmtId="0" fontId="4" fillId="0" borderId="8" xfId="3" applyNumberFormat="1" applyFont="1" applyBorder="1" applyAlignment="1">
      <alignment horizontal="center"/>
    </xf>
    <xf numFmtId="0" fontId="8" fillId="0" borderId="0" xfId="3" applyNumberFormat="1" applyFont="1" applyAlignment="1">
      <alignment wrapText="1"/>
    </xf>
    <xf numFmtId="0" fontId="8" fillId="0" borderId="9" xfId="3" applyNumberFormat="1" applyFont="1" applyBorder="1" applyAlignment="1">
      <alignment wrapText="1"/>
    </xf>
    <xf numFmtId="4" fontId="4" fillId="0" borderId="8" xfId="3" applyNumberFormat="1" applyFont="1" applyBorder="1"/>
    <xf numFmtId="4" fontId="4" fillId="0" borderId="0" xfId="3" applyNumberFormat="1" applyFont="1"/>
    <xf numFmtId="4" fontId="4" fillId="0" borderId="9" xfId="3" applyNumberFormat="1" applyFont="1" applyBorder="1"/>
    <xf numFmtId="171" fontId="15" fillId="0" borderId="8" xfId="8" applyNumberFormat="1" applyFont="1" applyBorder="1"/>
    <xf numFmtId="171" fontId="15" fillId="0" borderId="0" xfId="8" applyNumberFormat="1" applyFont="1"/>
    <xf numFmtId="171" fontId="15" fillId="0" borderId="9" xfId="8" applyNumberFormat="1" applyFont="1" applyBorder="1"/>
    <xf numFmtId="4" fontId="8" fillId="0" borderId="8" xfId="1" applyNumberFormat="1" applyFont="1" applyBorder="1" applyAlignment="1">
      <alignment vertical="top"/>
    </xf>
    <xf numFmtId="4" fontId="8" fillId="0" borderId="0" xfId="1" applyNumberFormat="1" applyFont="1" applyAlignment="1">
      <alignment vertical="top"/>
    </xf>
    <xf numFmtId="4" fontId="8" fillId="0" borderId="9" xfId="1" applyNumberFormat="1" applyFont="1" applyBorder="1" applyAlignment="1">
      <alignment vertical="top"/>
    </xf>
    <xf numFmtId="166" fontId="4" fillId="0" borderId="8" xfId="4" applyNumberFormat="1" applyFont="1" applyFill="1" applyBorder="1" applyAlignment="1">
      <alignment vertical="top"/>
    </xf>
    <xf numFmtId="166" fontId="4" fillId="0" borderId="0" xfId="4" applyNumberFormat="1" applyFont="1" applyFill="1" applyBorder="1" applyAlignment="1">
      <alignment vertical="top"/>
    </xf>
    <xf numFmtId="166" fontId="4" fillId="0" borderId="9" xfId="4" applyNumberFormat="1" applyFont="1" applyFill="1" applyBorder="1" applyAlignment="1">
      <alignment vertical="top"/>
    </xf>
    <xf numFmtId="165" fontId="4" fillId="0" borderId="8" xfId="3" applyFont="1" applyBorder="1" applyAlignment="1">
      <alignment horizontal="center"/>
    </xf>
    <xf numFmtId="0" fontId="8" fillId="0" borderId="0" xfId="3" applyNumberFormat="1" applyFont="1"/>
    <xf numFmtId="0" fontId="8" fillId="0" borderId="9" xfId="3" applyNumberFormat="1" applyFont="1" applyBorder="1"/>
    <xf numFmtId="2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2" fontId="16" fillId="0" borderId="13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4" fontId="4" fillId="0" borderId="8" xfId="3" applyNumberFormat="1" applyFont="1" applyBorder="1" applyAlignment="1">
      <alignment horizontal="center"/>
    </xf>
    <xf numFmtId="4" fontId="4" fillId="0" borderId="0" xfId="3" applyNumberFormat="1" applyFont="1" applyAlignment="1">
      <alignment horizontal="center"/>
    </xf>
    <xf numFmtId="4" fontId="4" fillId="0" borderId="9" xfId="3" applyNumberFormat="1" applyFont="1" applyBorder="1" applyAlignment="1">
      <alignment horizontal="center"/>
    </xf>
    <xf numFmtId="171" fontId="15" fillId="0" borderId="8" xfId="8" applyNumberFormat="1" applyFont="1" applyBorder="1" applyAlignment="1">
      <alignment horizontal="center"/>
    </xf>
    <xf numFmtId="171" fontId="15" fillId="0" borderId="0" xfId="8" applyNumberFormat="1" applyFont="1" applyAlignment="1">
      <alignment horizontal="center"/>
    </xf>
    <xf numFmtId="171" fontId="15" fillId="0" borderId="9" xfId="8" applyNumberFormat="1" applyFont="1" applyBorder="1" applyAlignment="1">
      <alignment horizontal="center"/>
    </xf>
    <xf numFmtId="4" fontId="8" fillId="0" borderId="8" xfId="1" applyNumberFormat="1" applyFont="1" applyBorder="1" applyAlignment="1">
      <alignment horizontal="center" vertical="top"/>
    </xf>
    <xf numFmtId="4" fontId="8" fillId="0" borderId="0" xfId="1" applyNumberFormat="1" applyFont="1" applyAlignment="1">
      <alignment horizontal="center" vertical="top"/>
    </xf>
    <xf numFmtId="4" fontId="8" fillId="0" borderId="9" xfId="1" applyNumberFormat="1" applyFont="1" applyBorder="1" applyAlignment="1">
      <alignment horizontal="center" vertical="top"/>
    </xf>
    <xf numFmtId="166" fontId="4" fillId="0" borderId="8" xfId="4" applyNumberFormat="1" applyFont="1" applyFill="1" applyBorder="1" applyAlignment="1">
      <alignment horizontal="center" vertical="top"/>
    </xf>
    <xf numFmtId="166" fontId="4" fillId="0" borderId="0" xfId="4" applyNumberFormat="1" applyFont="1" applyFill="1" applyBorder="1" applyAlignment="1">
      <alignment horizontal="center" vertical="top"/>
    </xf>
    <xf numFmtId="166" fontId="4" fillId="0" borderId="9" xfId="4" applyNumberFormat="1" applyFont="1" applyFill="1" applyBorder="1" applyAlignment="1">
      <alignment horizontal="center" vertical="top"/>
    </xf>
    <xf numFmtId="165" fontId="5" fillId="0" borderId="8" xfId="3" applyFont="1" applyBorder="1"/>
    <xf numFmtId="2" fontId="4" fillId="0" borderId="8" xfId="3" applyNumberFormat="1" applyFont="1" applyBorder="1" applyAlignment="1">
      <alignment horizontal="center"/>
    </xf>
    <xf numFmtId="2" fontId="4" fillId="0" borderId="0" xfId="3" applyNumberFormat="1" applyFont="1" applyAlignment="1">
      <alignment horizontal="center"/>
    </xf>
    <xf numFmtId="2" fontId="4" fillId="0" borderId="9" xfId="3" applyNumberFormat="1" applyFont="1" applyBorder="1" applyAlignment="1">
      <alignment horizontal="center"/>
    </xf>
    <xf numFmtId="4" fontId="4" fillId="0" borderId="8" xfId="3" applyNumberFormat="1" applyFont="1" applyBorder="1" applyAlignment="1">
      <alignment vertical="center"/>
    </xf>
    <xf numFmtId="4" fontId="4" fillId="0" borderId="0" xfId="3" applyNumberFormat="1" applyFont="1" applyAlignment="1">
      <alignment vertical="center"/>
    </xf>
    <xf numFmtId="4" fontId="4" fillId="0" borderId="9" xfId="3" applyNumberFormat="1" applyFont="1" applyBorder="1" applyAlignment="1">
      <alignment vertical="center"/>
    </xf>
    <xf numFmtId="2" fontId="4" fillId="0" borderId="8" xfId="3" applyNumberFormat="1" applyFont="1" applyBorder="1" applyAlignment="1">
      <alignment vertical="center"/>
    </xf>
    <xf numFmtId="2" fontId="4" fillId="0" borderId="9" xfId="3" applyNumberFormat="1" applyFont="1" applyBorder="1" applyAlignment="1">
      <alignment vertical="center"/>
    </xf>
    <xf numFmtId="171" fontId="8" fillId="0" borderId="0" xfId="9" applyFont="1"/>
    <xf numFmtId="0" fontId="8" fillId="0" borderId="0" xfId="0" applyNumberFormat="1" applyFont="1"/>
    <xf numFmtId="0" fontId="8" fillId="0" borderId="0" xfId="1" applyFont="1" applyAlignment="1">
      <alignment vertical="justify"/>
    </xf>
    <xf numFmtId="4" fontId="4" fillId="0" borderId="8" xfId="3" applyNumberFormat="1" applyFont="1" applyBorder="1" applyAlignment="1">
      <alignment horizontal="center" vertical="center"/>
    </xf>
    <xf numFmtId="4" fontId="4" fillId="0" borderId="0" xfId="3" applyNumberFormat="1" applyFont="1" applyAlignment="1">
      <alignment horizontal="center" vertical="center"/>
    </xf>
    <xf numFmtId="4" fontId="4" fillId="0" borderId="9" xfId="3" applyNumberFormat="1" applyFont="1" applyBorder="1" applyAlignment="1">
      <alignment horizontal="center" vertical="center"/>
    </xf>
    <xf numFmtId="171" fontId="15" fillId="0" borderId="8" xfId="10" applyFont="1" applyBorder="1" applyAlignment="1">
      <alignment horizontal="center"/>
    </xf>
    <xf numFmtId="171" fontId="15" fillId="0" borderId="0" xfId="10" applyFont="1" applyAlignment="1">
      <alignment horizontal="center"/>
    </xf>
    <xf numFmtId="171" fontId="15" fillId="0" borderId="9" xfId="10" applyFont="1" applyBorder="1" applyAlignment="1">
      <alignment horizontal="center"/>
    </xf>
    <xf numFmtId="2" fontId="0" fillId="0" borderId="0" xfId="0" applyNumberFormat="1" applyAlignment="1">
      <alignment vertical="center"/>
    </xf>
    <xf numFmtId="9" fontId="4" fillId="0" borderId="12" xfId="1" applyNumberFormat="1" applyFont="1" applyBorder="1"/>
    <xf numFmtId="0" fontId="9" fillId="0" borderId="12" xfId="1" applyFont="1" applyBorder="1"/>
    <xf numFmtId="2" fontId="4" fillId="0" borderId="0" xfId="0" applyNumberFormat="1" applyFont="1" applyAlignment="1">
      <alignment vertical="center"/>
    </xf>
    <xf numFmtId="0" fontId="4" fillId="0" borderId="2" xfId="1" applyFont="1" applyBorder="1"/>
    <xf numFmtId="164" fontId="4" fillId="0" borderId="0" xfId="4" applyFon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4" fillId="0" borderId="0" xfId="11" applyNumberFormat="1" applyFont="1" applyAlignment="1">
      <alignment horizontal="center" vertical="center"/>
    </xf>
    <xf numFmtId="2" fontId="17" fillId="2" borderId="0" xfId="11" applyNumberFormat="1" applyFont="1" applyFill="1" applyAlignment="1">
      <alignment vertical="center"/>
    </xf>
    <xf numFmtId="2" fontId="4" fillId="0" borderId="0" xfId="11" applyNumberFormat="1" applyFont="1" applyAlignment="1">
      <alignment vertical="center"/>
    </xf>
    <xf numFmtId="168" fontId="17" fillId="0" borderId="0" xfId="0" applyFont="1" applyAlignment="1">
      <alignment vertical="center"/>
    </xf>
    <xf numFmtId="167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vertical="center"/>
    </xf>
    <xf numFmtId="168" fontId="18" fillId="0" borderId="0" xfId="0" applyFont="1" applyAlignment="1">
      <alignment vertical="center"/>
    </xf>
    <xf numFmtId="168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" fillId="0" borderId="0" xfId="1" applyAlignment="1">
      <alignment horizontal="left"/>
    </xf>
    <xf numFmtId="2" fontId="2" fillId="0" borderId="0" xfId="1" applyNumberFormat="1" applyAlignment="1">
      <alignment horizontal="center"/>
    </xf>
    <xf numFmtId="2" fontId="4" fillId="0" borderId="0" xfId="4" applyNumberFormat="1" applyFont="1" applyFill="1" applyBorder="1" applyAlignment="1">
      <alignment horizontal="center"/>
    </xf>
    <xf numFmtId="0" fontId="6" fillId="0" borderId="0" xfId="1" applyFont="1" applyAlignment="1">
      <alignment horizontal="left"/>
    </xf>
    <xf numFmtId="2" fontId="4" fillId="0" borderId="0" xfId="1" applyNumberFormat="1" applyFont="1" applyAlignment="1">
      <alignment horizontal="center"/>
    </xf>
    <xf numFmtId="4" fontId="4" fillId="0" borderId="9" xfId="4" applyNumberFormat="1" applyFont="1" applyFill="1" applyBorder="1" applyAlignment="1"/>
    <xf numFmtId="4" fontId="4" fillId="0" borderId="0" xfId="4" applyNumberFormat="1" applyFont="1" applyFill="1" applyBorder="1" applyAlignment="1"/>
    <xf numFmtId="4" fontId="4" fillId="0" borderId="8" xfId="4" applyNumberFormat="1" applyFont="1" applyFill="1" applyBorder="1" applyAlignment="1"/>
    <xf numFmtId="2" fontId="4" fillId="0" borderId="9" xfId="1" applyNumberFormat="1" applyFont="1" applyBorder="1"/>
    <xf numFmtId="2" fontId="4" fillId="0" borderId="0" xfId="1" applyNumberFormat="1" applyFont="1"/>
    <xf numFmtId="2" fontId="4" fillId="0" borderId="8" xfId="1" applyNumberFormat="1" applyFont="1" applyBorder="1"/>
    <xf numFmtId="4" fontId="4" fillId="0" borderId="9" xfId="1" applyNumberFormat="1" applyFont="1" applyBorder="1"/>
    <xf numFmtId="4" fontId="4" fillId="0" borderId="8" xfId="1" applyNumberFormat="1" applyFont="1" applyBorder="1"/>
    <xf numFmtId="4" fontId="4" fillId="0" borderId="9" xfId="4" applyNumberFormat="1" applyFont="1" applyFill="1" applyBorder="1" applyAlignment="1">
      <alignment horizontal="center"/>
    </xf>
    <xf numFmtId="4" fontId="4" fillId="0" borderId="0" xfId="4" applyNumberFormat="1" applyFont="1" applyFill="1" applyBorder="1" applyAlignment="1">
      <alignment horizontal="center"/>
    </xf>
    <xf numFmtId="4" fontId="4" fillId="0" borderId="8" xfId="4" applyNumberFormat="1" applyFont="1" applyFill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164" fontId="4" fillId="0" borderId="8" xfId="1" applyNumberFormat="1" applyFont="1" applyBorder="1"/>
    <xf numFmtId="164" fontId="4" fillId="0" borderId="9" xfId="4" applyFont="1" applyFill="1" applyBorder="1" applyAlignment="1"/>
    <xf numFmtId="164" fontId="4" fillId="0" borderId="0" xfId="4" applyFont="1" applyFill="1" applyBorder="1" applyAlignment="1"/>
    <xf numFmtId="164" fontId="4" fillId="0" borderId="8" xfId="4" applyFont="1" applyFill="1" applyBorder="1" applyAlignment="1"/>
    <xf numFmtId="169" fontId="4" fillId="0" borderId="9" xfId="1" applyNumberFormat="1" applyFont="1" applyBorder="1"/>
    <xf numFmtId="169" fontId="4" fillId="0" borderId="0" xfId="1" applyNumberFormat="1" applyFont="1"/>
    <xf numFmtId="169" fontId="4" fillId="0" borderId="8" xfId="1" applyNumberFormat="1" applyFont="1" applyBorder="1"/>
    <xf numFmtId="0" fontId="4" fillId="0" borderId="0" xfId="1" applyFont="1" applyAlignment="1">
      <alignment wrapText="1"/>
    </xf>
    <xf numFmtId="0" fontId="4" fillId="0" borderId="8" xfId="1" applyFont="1" applyBorder="1" applyAlignment="1">
      <alignment horizontal="left" vertical="top"/>
    </xf>
    <xf numFmtId="0" fontId="2" fillId="0" borderId="0" xfId="1" applyAlignment="1">
      <alignment horizontal="center" vertical="center"/>
    </xf>
    <xf numFmtId="4" fontId="4" fillId="0" borderId="13" xfId="1" applyNumberFormat="1" applyFont="1" applyBorder="1" applyAlignment="1">
      <alignment horizontal="center"/>
    </xf>
    <xf numFmtId="0" fontId="6" fillId="0" borderId="0" xfId="7" applyFont="1" applyAlignment="1">
      <alignment horizontal="left" vertical="center"/>
    </xf>
    <xf numFmtId="0" fontId="4" fillId="0" borderId="0" xfId="1" applyFont="1" applyAlignment="1">
      <alignment vertical="center"/>
    </xf>
    <xf numFmtId="0" fontId="0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2" fillId="0" borderId="0" xfId="1" applyAlignment="1">
      <alignment vertical="center"/>
    </xf>
    <xf numFmtId="0" fontId="9" fillId="0" borderId="0" xfId="1" applyFont="1"/>
    <xf numFmtId="4" fontId="4" fillId="0" borderId="0" xfId="1" applyNumberFormat="1" applyFont="1" applyAlignment="1">
      <alignment horizontal="center" vertical="center"/>
    </xf>
    <xf numFmtId="0" fontId="6" fillId="2" borderId="0" xfId="1" applyFont="1" applyFill="1" applyAlignment="1">
      <alignment horizontal="left"/>
    </xf>
    <xf numFmtId="164" fontId="19" fillId="0" borderId="0" xfId="2" applyNumberFormat="1" applyFont="1" applyAlignment="1">
      <alignment vertical="center"/>
    </xf>
    <xf numFmtId="164" fontId="8" fillId="0" borderId="0" xfId="2" applyNumberFormat="1" applyFont="1" applyAlignment="1">
      <alignment vertical="center"/>
    </xf>
    <xf numFmtId="0" fontId="8" fillId="0" borderId="0" xfId="2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 vertical="top"/>
    </xf>
    <xf numFmtId="4" fontId="2" fillId="0" borderId="0" xfId="1" applyNumberFormat="1"/>
    <xf numFmtId="166" fontId="0" fillId="0" borderId="0" xfId="12" applyNumberFormat="1" applyFont="1" applyAlignment="1">
      <alignment horizontal="center" vertical="center"/>
    </xf>
    <xf numFmtId="0" fontId="4" fillId="0" borderId="0" xfId="3" applyNumberFormat="1" applyFont="1"/>
    <xf numFmtId="0" fontId="0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4" fillId="0" borderId="8" xfId="1" applyFont="1" applyBorder="1" applyAlignment="1">
      <alignment vertical="justify"/>
    </xf>
    <xf numFmtId="2" fontId="8" fillId="0" borderId="8" xfId="3" applyNumberFormat="1" applyFont="1" applyBorder="1" applyAlignment="1">
      <alignment horizontal="center"/>
    </xf>
    <xf numFmtId="2" fontId="8" fillId="0" borderId="0" xfId="3" applyNumberFormat="1" applyFont="1" applyAlignment="1">
      <alignment horizontal="center"/>
    </xf>
    <xf numFmtId="2" fontId="8" fillId="0" borderId="9" xfId="3" applyNumberFormat="1" applyFont="1" applyBorder="1" applyAlignment="1">
      <alignment horizontal="center"/>
    </xf>
    <xf numFmtId="0" fontId="4" fillId="0" borderId="8" xfId="1" applyFont="1" applyBorder="1" applyAlignment="1">
      <alignment vertical="top"/>
    </xf>
    <xf numFmtId="0" fontId="4" fillId="0" borderId="0" xfId="1" applyFont="1" applyAlignment="1">
      <alignment horizontal="left" vertical="top"/>
    </xf>
    <xf numFmtId="164" fontId="8" fillId="0" borderId="0" xfId="0" applyNumberFormat="1" applyFont="1"/>
    <xf numFmtId="164" fontId="20" fillId="0" borderId="0" xfId="0" applyNumberFormat="1" applyFont="1"/>
    <xf numFmtId="0" fontId="21" fillId="0" borderId="0" xfId="1" applyFont="1"/>
    <xf numFmtId="2" fontId="4" fillId="0" borderId="8" xfId="1" applyNumberFormat="1" applyFont="1" applyBorder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2" fontId="4" fillId="0" borderId="9" xfId="1" applyNumberFormat="1" applyFont="1" applyBorder="1" applyAlignment="1">
      <alignment horizontal="center" vertical="top"/>
    </xf>
    <xf numFmtId="168" fontId="8" fillId="0" borderId="0" xfId="0" applyFont="1"/>
    <xf numFmtId="2" fontId="4" fillId="0" borderId="8" xfId="1" applyNumberFormat="1" applyFont="1" applyBorder="1" applyAlignment="1">
      <alignment vertical="top"/>
    </xf>
    <xf numFmtId="2" fontId="4" fillId="0" borderId="0" xfId="1" applyNumberFormat="1" applyFont="1" applyAlignment="1">
      <alignment vertical="top"/>
    </xf>
    <xf numFmtId="2" fontId="4" fillId="0" borderId="9" xfId="1" applyNumberFormat="1" applyFont="1" applyBorder="1" applyAlignment="1">
      <alignment vertical="top"/>
    </xf>
    <xf numFmtId="2" fontId="8" fillId="0" borderId="8" xfId="0" applyNumberFormat="1" applyFont="1" applyBorder="1" applyAlignment="1">
      <alignment vertical="top"/>
    </xf>
    <xf numFmtId="2" fontId="8" fillId="0" borderId="0" xfId="0" applyNumberFormat="1" applyFont="1" applyAlignment="1">
      <alignment vertical="top"/>
    </xf>
    <xf numFmtId="2" fontId="8" fillId="0" borderId="9" xfId="0" applyNumberFormat="1" applyFont="1" applyBorder="1" applyAlignment="1">
      <alignment vertical="top"/>
    </xf>
    <xf numFmtId="164" fontId="4" fillId="0" borderId="8" xfId="4" applyFont="1" applyFill="1" applyBorder="1" applyAlignment="1">
      <alignment vertical="top"/>
    </xf>
    <xf numFmtId="164" fontId="4" fillId="0" borderId="0" xfId="4" applyFont="1" applyFill="1" applyBorder="1" applyAlignment="1">
      <alignment vertical="top"/>
    </xf>
    <xf numFmtId="164" fontId="4" fillId="0" borderId="9" xfId="4" applyFont="1" applyFill="1" applyBorder="1" applyAlignment="1">
      <alignment vertical="top"/>
    </xf>
    <xf numFmtId="168" fontId="4" fillId="0" borderId="0" xfId="0" applyFont="1"/>
    <xf numFmtId="172" fontId="2" fillId="0" borderId="0" xfId="1" applyNumberFormat="1"/>
    <xf numFmtId="0" fontId="22" fillId="0" borderId="0" xfId="1" applyFont="1"/>
    <xf numFmtId="0" fontId="2" fillId="0" borderId="14" xfId="1" applyBorder="1"/>
    <xf numFmtId="0" fontId="2" fillId="0" borderId="15" xfId="1" applyBorder="1"/>
    <xf numFmtId="168" fontId="4" fillId="0" borderId="15" xfId="0" applyFont="1" applyBorder="1"/>
    <xf numFmtId="168" fontId="4" fillId="0" borderId="16" xfId="0" applyFont="1" applyBorder="1"/>
    <xf numFmtId="168" fontId="4" fillId="0" borderId="17" xfId="0" applyFont="1" applyBorder="1"/>
    <xf numFmtId="0" fontId="4" fillId="0" borderId="19" xfId="1" applyFont="1" applyBorder="1" applyAlignment="1">
      <alignment vertical="top"/>
    </xf>
    <xf numFmtId="0" fontId="2" fillId="0" borderId="20" xfId="1" applyBorder="1"/>
    <xf numFmtId="168" fontId="4" fillId="0" borderId="20" xfId="0" applyFont="1" applyBorder="1"/>
    <xf numFmtId="168" fontId="4" fillId="0" borderId="21" xfId="0" applyFont="1" applyBorder="1"/>
    <xf numFmtId="2" fontId="4" fillId="0" borderId="22" xfId="0" applyNumberFormat="1" applyFont="1" applyBorder="1" applyAlignment="1">
      <alignment horizontal="center"/>
    </xf>
    <xf numFmtId="0" fontId="2" fillId="0" borderId="19" xfId="1" applyBorder="1"/>
    <xf numFmtId="168" fontId="4" fillId="0" borderId="22" xfId="0" applyFont="1" applyBorder="1"/>
    <xf numFmtId="0" fontId="2" fillId="0" borderId="24" xfId="1" applyBorder="1"/>
    <xf numFmtId="0" fontId="2" fillId="0" borderId="25" xfId="1" applyBorder="1"/>
    <xf numFmtId="168" fontId="4" fillId="0" borderId="25" xfId="0" applyFont="1" applyBorder="1"/>
    <xf numFmtId="168" fontId="4" fillId="0" borderId="26" xfId="0" applyFont="1" applyBorder="1"/>
    <xf numFmtId="168" fontId="4" fillId="0" borderId="27" xfId="0" applyFont="1" applyBorder="1"/>
    <xf numFmtId="0" fontId="14" fillId="0" borderId="0" xfId="1" applyFont="1"/>
    <xf numFmtId="168" fontId="24" fillId="0" borderId="0" xfId="0" applyFont="1" applyAlignment="1">
      <alignment vertical="center"/>
    </xf>
    <xf numFmtId="168" fontId="18" fillId="0" borderId="0" xfId="0" applyFont="1"/>
    <xf numFmtId="2" fontId="18" fillId="0" borderId="0" xfId="0" applyNumberFormat="1" applyFont="1" applyAlignment="1">
      <alignment horizontal="center"/>
    </xf>
    <xf numFmtId="0" fontId="8" fillId="0" borderId="0" xfId="13" applyNumberFormat="1" applyFont="1" applyAlignment="1">
      <alignment horizontal="left" vertical="center"/>
    </xf>
    <xf numFmtId="2" fontId="4" fillId="0" borderId="8" xfId="3" applyNumberFormat="1" applyFont="1" applyBorder="1" applyAlignment="1">
      <alignment horizontal="center" vertical="center"/>
    </xf>
    <xf numFmtId="2" fontId="4" fillId="0" borderId="0" xfId="3" applyNumberFormat="1" applyFont="1" applyAlignment="1">
      <alignment horizontal="center" vertical="center"/>
    </xf>
    <xf numFmtId="2" fontId="4" fillId="0" borderId="9" xfId="3" applyNumberFormat="1" applyFont="1" applyBorder="1" applyAlignment="1">
      <alignment horizontal="center" vertical="center"/>
    </xf>
    <xf numFmtId="168" fontId="17" fillId="0" borderId="0" xfId="0" applyFont="1"/>
    <xf numFmtId="0" fontId="25" fillId="0" borderId="0" xfId="2" applyFont="1" applyAlignment="1">
      <alignment horizontal="center"/>
    </xf>
    <xf numFmtId="0" fontId="4" fillId="0" borderId="7" xfId="1" applyFont="1" applyBorder="1" applyAlignment="1">
      <alignment vertical="top"/>
    </xf>
    <xf numFmtId="165" fontId="4" fillId="0" borderId="8" xfId="3" applyFont="1" applyBorder="1" applyAlignment="1">
      <alignment vertical="top"/>
    </xf>
    <xf numFmtId="2" fontId="13" fillId="0" borderId="0" xfId="3" applyNumberFormat="1" applyFont="1" applyAlignment="1">
      <alignment horizontal="center" vertical="center"/>
    </xf>
    <xf numFmtId="2" fontId="11" fillId="0" borderId="0" xfId="3" applyNumberFormat="1" applyFont="1" applyAlignment="1">
      <alignment vertical="center"/>
    </xf>
    <xf numFmtId="2" fontId="13" fillId="0" borderId="0" xfId="3" applyNumberFormat="1" applyFont="1" applyAlignment="1">
      <alignment horizontal="right" vertical="center"/>
    </xf>
    <xf numFmtId="165" fontId="13" fillId="0" borderId="0" xfId="3" applyFont="1" applyAlignment="1">
      <alignment vertical="top"/>
    </xf>
    <xf numFmtId="4" fontId="4" fillId="0" borderId="0" xfId="3" applyNumberFormat="1" applyFont="1" applyAlignment="1">
      <alignment vertical="top"/>
    </xf>
    <xf numFmtId="172" fontId="4" fillId="0" borderId="0" xfId="0" applyNumberFormat="1" applyFont="1" applyAlignment="1">
      <alignment horizontal="center" vertical="center"/>
    </xf>
    <xf numFmtId="168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4" fontId="4" fillId="0" borderId="0" xfId="0" applyNumberFormat="1" applyFont="1"/>
    <xf numFmtId="168" fontId="4" fillId="2" borderId="0" xfId="0" applyFont="1" applyFill="1" applyAlignment="1">
      <alignment vertical="center"/>
    </xf>
    <xf numFmtId="168" fontId="4" fillId="2" borderId="0" xfId="0" applyFont="1" applyFill="1" applyAlignment="1">
      <alignment horizontal="center" vertical="center"/>
    </xf>
    <xf numFmtId="167" fontId="4" fillId="2" borderId="0" xfId="0" applyNumberFormat="1" applyFont="1" applyFill="1" applyAlignment="1">
      <alignment horizontal="center" vertical="center"/>
    </xf>
    <xf numFmtId="168" fontId="4" fillId="0" borderId="0" xfId="0" applyFont="1" applyAlignment="1">
      <alignment horizontal="left" vertical="center"/>
    </xf>
    <xf numFmtId="168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173" fontId="4" fillId="0" borderId="0" xfId="0" applyNumberFormat="1" applyFont="1" applyAlignment="1">
      <alignment horizontal="center" vertical="center"/>
    </xf>
    <xf numFmtId="165" fontId="8" fillId="0" borderId="0" xfId="3" applyFont="1" applyAlignment="1">
      <alignment vertical="center"/>
    </xf>
    <xf numFmtId="4" fontId="17" fillId="0" borderId="8" xfId="3" applyNumberFormat="1" applyFont="1" applyBorder="1" applyAlignment="1">
      <alignment horizontal="center" vertical="center"/>
    </xf>
    <xf numFmtId="4" fontId="17" fillId="0" borderId="0" xfId="3" applyNumberFormat="1" applyFont="1" applyAlignment="1">
      <alignment horizontal="center" vertical="center"/>
    </xf>
    <xf numFmtId="4" fontId="17" fillId="0" borderId="9" xfId="3" applyNumberFormat="1" applyFont="1" applyBorder="1" applyAlignment="1">
      <alignment horizontal="center" vertical="center"/>
    </xf>
    <xf numFmtId="165" fontId="17" fillId="0" borderId="0" xfId="3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7" fontId="17" fillId="2" borderId="0" xfId="0" applyNumberFormat="1" applyFont="1" applyFill="1" applyAlignment="1">
      <alignment horizontal="center" vertical="center"/>
    </xf>
    <xf numFmtId="2" fontId="4" fillId="0" borderId="0" xfId="0" applyNumberFormat="1" applyFont="1"/>
    <xf numFmtId="168" fontId="18" fillId="2" borderId="0" xfId="0" applyFont="1" applyFill="1"/>
    <xf numFmtId="168" fontId="12" fillId="0" borderId="0" xfId="0" applyFont="1"/>
    <xf numFmtId="168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7" fontId="14" fillId="0" borderId="0" xfId="0" applyNumberFormat="1" applyFont="1" applyAlignment="1">
      <alignment horizontal="center"/>
    </xf>
    <xf numFmtId="168" fontId="14" fillId="0" borderId="0" xfId="0" applyFont="1"/>
    <xf numFmtId="168" fontId="14" fillId="0" borderId="0" xfId="0" applyFont="1" applyAlignment="1">
      <alignment horizontal="center"/>
    </xf>
    <xf numFmtId="168" fontId="28" fillId="0" borderId="0" xfId="0" applyFont="1" applyAlignment="1">
      <alignment vertical="center"/>
    </xf>
    <xf numFmtId="2" fontId="18" fillId="0" borderId="0" xfId="0" applyNumberFormat="1" applyFont="1" applyAlignment="1">
      <alignment horizontal="center" vertical="center"/>
    </xf>
    <xf numFmtId="2" fontId="8" fillId="0" borderId="0" xfId="9" applyNumberFormat="1" applyFont="1"/>
    <xf numFmtId="168" fontId="5" fillId="2" borderId="0" xfId="0" applyFont="1" applyFill="1" applyAlignment="1">
      <alignment horizontal="right" vertical="center"/>
    </xf>
    <xf numFmtId="2" fontId="4" fillId="2" borderId="0" xfId="0" applyNumberFormat="1" applyFont="1" applyFill="1" applyAlignment="1">
      <alignment horizontal="center" vertical="center"/>
    </xf>
    <xf numFmtId="2" fontId="8" fillId="0" borderId="8" xfId="5" applyNumberFormat="1" applyFont="1" applyBorder="1" applyAlignment="1">
      <alignment horizontal="center" vertical="top"/>
    </xf>
    <xf numFmtId="2" fontId="8" fillId="0" borderId="0" xfId="5" applyNumberFormat="1" applyFont="1" applyAlignment="1">
      <alignment horizontal="center" vertical="top"/>
    </xf>
    <xf numFmtId="2" fontId="8" fillId="0" borderId="9" xfId="5" applyNumberFormat="1" applyFont="1" applyBorder="1" applyAlignment="1">
      <alignment horizontal="center" vertical="top"/>
    </xf>
    <xf numFmtId="168" fontId="4" fillId="0" borderId="29" xfId="0" applyFont="1" applyBorder="1" applyAlignment="1">
      <alignment horizontal="center" vertical="center"/>
    </xf>
    <xf numFmtId="168" fontId="4" fillId="0" borderId="30" xfId="0" applyFont="1" applyBorder="1" applyAlignment="1">
      <alignment horizontal="center" vertical="center"/>
    </xf>
    <xf numFmtId="168" fontId="4" fillId="0" borderId="31" xfId="0" applyFont="1" applyBorder="1" applyAlignment="1">
      <alignment vertical="center"/>
    </xf>
    <xf numFmtId="2" fontId="4" fillId="0" borderId="32" xfId="0" applyNumberFormat="1" applyFont="1" applyBorder="1" applyAlignment="1">
      <alignment horizontal="center" vertical="center"/>
    </xf>
    <xf numFmtId="168" fontId="28" fillId="0" borderId="31" xfId="0" applyFont="1" applyBorder="1" applyAlignment="1">
      <alignment vertical="center"/>
    </xf>
    <xf numFmtId="2" fontId="18" fillId="0" borderId="32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8" fillId="0" borderId="0" xfId="14" applyFont="1" applyAlignment="1">
      <alignment vertical="top" wrapText="1"/>
    </xf>
    <xf numFmtId="0" fontId="8" fillId="0" borderId="9" xfId="14" applyFont="1" applyBorder="1" applyAlignment="1">
      <alignment vertical="top" wrapText="1"/>
    </xf>
    <xf numFmtId="0" fontId="8" fillId="0" borderId="0" xfId="1" applyFont="1" applyAlignment="1">
      <alignment vertical="top"/>
    </xf>
    <xf numFmtId="0" fontId="4" fillId="0" borderId="9" xfId="1" applyFont="1" applyBorder="1" applyAlignment="1">
      <alignment vertical="top"/>
    </xf>
    <xf numFmtId="0" fontId="8" fillId="0" borderId="0" xfId="14" applyFont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2" fillId="0" borderId="5" xfId="1" applyBorder="1" applyAlignment="1">
      <alignment horizontal="center"/>
    </xf>
    <xf numFmtId="2" fontId="4" fillId="0" borderId="0" xfId="1" applyNumberFormat="1" applyFont="1" applyAlignment="1">
      <alignment horizontal="center" vertical="center"/>
    </xf>
    <xf numFmtId="2" fontId="10" fillId="0" borderId="0" xfId="1" applyNumberFormat="1" applyFont="1" applyAlignment="1">
      <alignment horizontal="center"/>
    </xf>
    <xf numFmtId="168" fontId="5" fillId="0" borderId="0" xfId="0" applyFont="1" applyAlignment="1">
      <alignment vertical="center"/>
    </xf>
    <xf numFmtId="0" fontId="8" fillId="0" borderId="8" xfId="1" applyFont="1" applyBorder="1" applyAlignment="1">
      <alignment vertical="top"/>
    </xf>
    <xf numFmtId="4" fontId="4" fillId="0" borderId="0" xfId="1" applyNumberFormat="1" applyFont="1" applyAlignment="1">
      <alignment vertical="top"/>
    </xf>
    <xf numFmtId="2" fontId="14" fillId="0" borderId="0" xfId="0" applyNumberFormat="1" applyFont="1" applyAlignment="1">
      <alignment horizontal="center" vertical="top"/>
    </xf>
    <xf numFmtId="168" fontId="28" fillId="0" borderId="0" xfId="0" applyFont="1" applyAlignment="1">
      <alignment vertical="top"/>
    </xf>
    <xf numFmtId="2" fontId="18" fillId="0" borderId="0" xfId="0" applyNumberFormat="1" applyFont="1" applyAlignment="1">
      <alignment horizontal="center" vertical="top"/>
    </xf>
    <xf numFmtId="2" fontId="14" fillId="0" borderId="13" xfId="0" applyNumberFormat="1" applyFont="1" applyBorder="1" applyAlignment="1">
      <alignment horizontal="center" vertical="top"/>
    </xf>
    <xf numFmtId="2" fontId="14" fillId="0" borderId="10" xfId="0" applyNumberFormat="1" applyFont="1" applyBorder="1" applyAlignment="1">
      <alignment horizontal="center" vertical="top"/>
    </xf>
    <xf numFmtId="0" fontId="8" fillId="0" borderId="8" xfId="1" applyFont="1" applyBorder="1" applyAlignment="1">
      <alignment vertical="justify"/>
    </xf>
    <xf numFmtId="0" fontId="8" fillId="0" borderId="0" xfId="9" applyNumberFormat="1" applyFont="1"/>
    <xf numFmtId="0" fontId="8" fillId="0" borderId="0" xfId="3" applyNumberFormat="1" applyFont="1" applyAlignment="1">
      <alignment vertical="center"/>
    </xf>
    <xf numFmtId="165" fontId="8" fillId="0" borderId="8" xfId="3" applyFont="1" applyBorder="1" applyAlignment="1">
      <alignment horizontal="center"/>
    </xf>
    <xf numFmtId="165" fontId="25" fillId="0" borderId="8" xfId="3" applyFont="1" applyBorder="1"/>
    <xf numFmtId="164" fontId="2" fillId="0" borderId="0" xfId="4" applyFill="1"/>
    <xf numFmtId="2" fontId="2" fillId="0" borderId="0" xfId="5" applyNumberFormat="1" applyAlignment="1">
      <alignment horizontal="center" vertical="top"/>
    </xf>
    <xf numFmtId="2" fontId="2" fillId="0" borderId="0" xfId="1" applyNumberFormat="1"/>
    <xf numFmtId="2" fontId="8" fillId="0" borderId="0" xfId="0" applyNumberFormat="1" applyFont="1"/>
    <xf numFmtId="2" fontId="8" fillId="0" borderId="0" xfId="1" applyNumberFormat="1" applyFont="1" applyAlignment="1">
      <alignment vertical="justify"/>
    </xf>
    <xf numFmtId="165" fontId="30" fillId="0" borderId="8" xfId="3" applyFont="1" applyBorder="1" applyAlignment="1">
      <alignment vertical="center"/>
    </xf>
    <xf numFmtId="0" fontId="4" fillId="0" borderId="9" xfId="3" applyNumberFormat="1" applyFont="1" applyBorder="1" applyAlignment="1">
      <alignment vertical="center"/>
    </xf>
    <xf numFmtId="2" fontId="31" fillId="0" borderId="0" xfId="9" applyNumberFormat="1" applyFont="1"/>
    <xf numFmtId="2" fontId="25" fillId="0" borderId="0" xfId="9" applyNumberFormat="1" applyFont="1"/>
    <xf numFmtId="2" fontId="10" fillId="0" borderId="0" xfId="1" applyNumberFormat="1" applyFont="1"/>
    <xf numFmtId="2" fontId="25" fillId="0" borderId="0" xfId="0" applyNumberFormat="1" applyFont="1"/>
    <xf numFmtId="2" fontId="25" fillId="0" borderId="0" xfId="1" applyNumberFormat="1" applyFont="1" applyAlignment="1">
      <alignment vertical="justify"/>
    </xf>
    <xf numFmtId="2" fontId="32" fillId="0" borderId="0" xfId="1" applyNumberFormat="1" applyFont="1" applyAlignment="1">
      <alignment vertical="justify"/>
    </xf>
    <xf numFmtId="168" fontId="0" fillId="0" borderId="8" xfId="0" applyBorder="1"/>
    <xf numFmtId="168" fontId="0" fillId="0" borderId="4" xfId="0" applyBorder="1"/>
    <xf numFmtId="171" fontId="8" fillId="0" borderId="5" xfId="9" applyFont="1" applyBorder="1"/>
    <xf numFmtId="0" fontId="2" fillId="0" borderId="5" xfId="1" applyBorder="1"/>
    <xf numFmtId="0" fontId="8" fillId="0" borderId="5" xfId="0" applyNumberFormat="1" applyFont="1" applyBorder="1"/>
    <xf numFmtId="0" fontId="8" fillId="0" borderId="5" xfId="1" applyFont="1" applyBorder="1" applyAlignment="1">
      <alignment vertical="justify"/>
    </xf>
    <xf numFmtId="0" fontId="4" fillId="0" borderId="6" xfId="1" applyFont="1" applyBorder="1"/>
    <xf numFmtId="2" fontId="8" fillId="0" borderId="8" xfId="5" applyNumberFormat="1" applyFont="1" applyBorder="1" applyAlignment="1">
      <alignment vertical="top"/>
    </xf>
    <xf numFmtId="2" fontId="8" fillId="0" borderId="0" xfId="5" applyNumberFormat="1" applyFont="1" applyAlignment="1">
      <alignment vertical="top"/>
    </xf>
    <xf numFmtId="2" fontId="8" fillId="0" borderId="9" xfId="5" applyNumberFormat="1" applyFont="1" applyBorder="1" applyAlignment="1">
      <alignment vertical="top"/>
    </xf>
    <xf numFmtId="164" fontId="4" fillId="0" borderId="8" xfId="16" applyFont="1" applyBorder="1"/>
    <xf numFmtId="164" fontId="4" fillId="0" borderId="0" xfId="16" applyFont="1"/>
    <xf numFmtId="164" fontId="4" fillId="0" borderId="9" xfId="16" applyFont="1" applyBorder="1"/>
    <xf numFmtId="164" fontId="8" fillId="0" borderId="8" xfId="16" applyFont="1" applyBorder="1" applyAlignment="1">
      <alignment vertical="top"/>
    </xf>
    <xf numFmtId="164" fontId="8" fillId="0" borderId="0" xfId="16" applyFont="1" applyAlignment="1">
      <alignment vertical="top"/>
    </xf>
    <xf numFmtId="164" fontId="8" fillId="0" borderId="9" xfId="16" applyFont="1" applyBorder="1" applyAlignment="1">
      <alignment vertical="top"/>
    </xf>
    <xf numFmtId="164" fontId="4" fillId="0" borderId="8" xfId="16" applyFont="1" applyFill="1" applyBorder="1" applyAlignment="1">
      <alignment vertical="top"/>
    </xf>
    <xf numFmtId="164" fontId="4" fillId="0" borderId="0" xfId="16" applyFont="1" applyFill="1" applyBorder="1" applyAlignment="1">
      <alignment vertical="top"/>
    </xf>
    <xf numFmtId="164" fontId="4" fillId="0" borderId="9" xfId="16" applyFont="1" applyFill="1" applyBorder="1" applyAlignment="1">
      <alignment vertical="top"/>
    </xf>
    <xf numFmtId="165" fontId="4" fillId="0" borderId="8" xfId="3" applyFont="1" applyBorder="1"/>
    <xf numFmtId="165" fontId="4" fillId="0" borderId="0" xfId="3" applyFont="1"/>
    <xf numFmtId="165" fontId="4" fillId="0" borderId="9" xfId="3" applyFont="1" applyBorder="1"/>
    <xf numFmtId="165" fontId="4" fillId="0" borderId="8" xfId="3" applyFont="1" applyBorder="1" applyAlignment="1">
      <alignment wrapText="1"/>
    </xf>
    <xf numFmtId="165" fontId="4" fillId="0" borderId="0" xfId="3" applyFont="1" applyAlignment="1">
      <alignment wrapText="1"/>
    </xf>
    <xf numFmtId="165" fontId="4" fillId="0" borderId="9" xfId="3" applyFont="1" applyBorder="1" applyAlignment="1">
      <alignment wrapText="1"/>
    </xf>
    <xf numFmtId="168" fontId="35" fillId="0" borderId="0" xfId="0" applyFont="1"/>
    <xf numFmtId="174" fontId="35" fillId="0" borderId="0" xfId="0" applyNumberFormat="1" applyFont="1"/>
    <xf numFmtId="168" fontId="35" fillId="0" borderId="0" xfId="0" applyFont="1" applyAlignment="1">
      <alignment horizontal="center" vertical="center"/>
    </xf>
    <xf numFmtId="176" fontId="2" fillId="0" borderId="0" xfId="22" applyNumberFormat="1"/>
    <xf numFmtId="164" fontId="35" fillId="0" borderId="0" xfId="0" applyNumberFormat="1" applyFont="1"/>
    <xf numFmtId="2" fontId="35" fillId="0" borderId="0" xfId="0" applyNumberFormat="1" applyFont="1"/>
    <xf numFmtId="168" fontId="35" fillId="3" borderId="0" xfId="0" applyFont="1" applyFill="1"/>
    <xf numFmtId="176" fontId="2" fillId="3" borderId="0" xfId="22" applyNumberFormat="1" applyFill="1"/>
    <xf numFmtId="168" fontId="35" fillId="3" borderId="0" xfId="0" applyFont="1" applyFill="1" applyAlignment="1">
      <alignment horizontal="center" vertical="center"/>
    </xf>
    <xf numFmtId="164" fontId="35" fillId="3" borderId="0" xfId="0" applyNumberFormat="1" applyFont="1" applyFill="1"/>
    <xf numFmtId="2" fontId="35" fillId="3" borderId="0" xfId="0" applyNumberFormat="1" applyFont="1" applyFill="1"/>
    <xf numFmtId="168" fontId="2" fillId="0" borderId="0" xfId="22" applyNumberFormat="1"/>
    <xf numFmtId="168" fontId="2" fillId="3" borderId="0" xfId="22" applyNumberFormat="1" applyFill="1"/>
    <xf numFmtId="4" fontId="4" fillId="0" borderId="8" xfId="3" applyNumberFormat="1" applyFont="1" applyBorder="1" applyAlignment="1">
      <alignment vertical="top"/>
    </xf>
    <xf numFmtId="4" fontId="4" fillId="0" borderId="9" xfId="3" applyNumberFormat="1" applyFont="1" applyBorder="1" applyAlignment="1">
      <alignment vertical="top"/>
    </xf>
    <xf numFmtId="2" fontId="4" fillId="0" borderId="8" xfId="3" applyNumberFormat="1" applyFont="1" applyBorder="1" applyAlignment="1">
      <alignment vertical="top"/>
    </xf>
    <xf numFmtId="2" fontId="4" fillId="0" borderId="0" xfId="3" applyNumberFormat="1" applyFont="1" applyAlignment="1">
      <alignment vertical="top"/>
    </xf>
    <xf numFmtId="2" fontId="4" fillId="0" borderId="9" xfId="3" applyNumberFormat="1" applyFont="1" applyBorder="1" applyAlignment="1">
      <alignment vertical="top"/>
    </xf>
    <xf numFmtId="0" fontId="4" fillId="0" borderId="0" xfId="3" applyNumberFormat="1" applyFont="1" applyAlignment="1">
      <alignment vertical="top" wrapText="1"/>
    </xf>
    <xf numFmtId="0" fontId="4" fillId="0" borderId="9" xfId="3" applyNumberFormat="1" applyFont="1" applyBorder="1" applyAlignment="1">
      <alignment vertical="top" wrapText="1"/>
    </xf>
    <xf numFmtId="164" fontId="4" fillId="0" borderId="0" xfId="16" applyFont="1" applyAlignment="1">
      <alignment vertical="top"/>
    </xf>
    <xf numFmtId="168" fontId="49" fillId="0" borderId="0" xfId="0" applyFont="1"/>
    <xf numFmtId="168" fontId="49" fillId="0" borderId="0" xfId="0" applyFont="1" applyAlignment="1">
      <alignment horizontal="right"/>
    </xf>
    <xf numFmtId="168" fontId="49" fillId="0" borderId="5" xfId="0" applyFont="1" applyBorder="1" applyAlignment="1">
      <alignment vertical="top"/>
    </xf>
    <xf numFmtId="168" fontId="49" fillId="4" borderId="0" xfId="0" applyFont="1" applyFill="1"/>
    <xf numFmtId="168" fontId="49" fillId="0" borderId="3" xfId="0" applyFont="1" applyBorder="1" applyAlignment="1">
      <alignment horizontal="center" vertical="center"/>
    </xf>
    <xf numFmtId="168" fontId="49" fillId="0" borderId="33" xfId="0" applyFont="1" applyBorder="1"/>
    <xf numFmtId="168" fontId="49" fillId="0" borderId="1" xfId="0" applyFont="1" applyBorder="1"/>
    <xf numFmtId="168" fontId="49" fillId="0" borderId="9" xfId="0" applyFont="1" applyBorder="1" applyAlignment="1">
      <alignment horizontal="center" vertical="center"/>
    </xf>
    <xf numFmtId="168" fontId="49" fillId="0" borderId="7" xfId="0" applyFont="1" applyBorder="1" applyAlignment="1">
      <alignment horizontal="center" vertical="center"/>
    </xf>
    <xf numFmtId="168" fontId="49" fillId="0" borderId="6" xfId="0" applyFont="1" applyBorder="1" applyAlignment="1">
      <alignment horizontal="center" vertical="center"/>
    </xf>
    <xf numFmtId="168" fontId="49" fillId="0" borderId="8" xfId="0" applyFont="1" applyBorder="1" applyAlignment="1">
      <alignment horizontal="center"/>
    </xf>
    <xf numFmtId="168" fontId="49" fillId="0" borderId="34" xfId="0" applyFont="1" applyBorder="1"/>
    <xf numFmtId="168" fontId="49" fillId="0" borderId="4" xfId="0" applyFont="1" applyBorder="1"/>
    <xf numFmtId="175" fontId="49" fillId="0" borderId="33" xfId="0" applyNumberFormat="1" applyFont="1" applyBorder="1" applyAlignment="1">
      <alignment horizontal="center" vertical="center"/>
    </xf>
    <xf numFmtId="175" fontId="49" fillId="0" borderId="3" xfId="0" applyNumberFormat="1" applyFont="1" applyBorder="1" applyAlignment="1">
      <alignment horizontal="center" vertical="center"/>
    </xf>
    <xf numFmtId="175" fontId="49" fillId="0" borderId="34" xfId="0" applyNumberFormat="1" applyFont="1" applyBorder="1" applyAlignment="1">
      <alignment horizontal="center" vertical="center"/>
    </xf>
    <xf numFmtId="175" fontId="49" fillId="0" borderId="6" xfId="0" applyNumberFormat="1" applyFont="1" applyBorder="1" applyAlignment="1">
      <alignment horizontal="center" vertical="center"/>
    </xf>
    <xf numFmtId="4" fontId="49" fillId="0" borderId="10" xfId="0" applyNumberFormat="1" applyFont="1" applyBorder="1" applyAlignment="1">
      <alignment horizontal="center" vertical="top"/>
    </xf>
    <xf numFmtId="168" fontId="49" fillId="0" borderId="10" xfId="0" applyFont="1" applyBorder="1" applyAlignment="1">
      <alignment horizontal="center" vertical="top"/>
    </xf>
    <xf numFmtId="9" fontId="49" fillId="0" borderId="10" xfId="0" applyNumberFormat="1" applyFont="1" applyBorder="1" applyAlignment="1">
      <alignment horizontal="center" vertical="top"/>
    </xf>
    <xf numFmtId="0" fontId="8" fillId="0" borderId="5" xfId="0" applyNumberFormat="1" applyFont="1" applyBorder="1" applyAlignment="1">
      <alignment vertical="center"/>
    </xf>
    <xf numFmtId="0" fontId="50" fillId="0" borderId="5" xfId="0" applyNumberFormat="1" applyFont="1" applyBorder="1" applyAlignment="1">
      <alignment vertical="center"/>
    </xf>
    <xf numFmtId="0" fontId="50" fillId="0" borderId="0" xfId="0" applyNumberFormat="1" applyFont="1" applyAlignment="1">
      <alignment vertical="center"/>
    </xf>
    <xf numFmtId="168" fontId="47" fillId="0" borderId="0" xfId="0" applyFont="1"/>
    <xf numFmtId="0" fontId="49" fillId="0" borderId="0" xfId="0" applyNumberFormat="1" applyFont="1"/>
    <xf numFmtId="0" fontId="49" fillId="0" borderId="33" xfId="0" applyNumberFormat="1" applyFont="1" applyBorder="1"/>
    <xf numFmtId="0" fontId="49" fillId="0" borderId="7" xfId="0" applyNumberFormat="1" applyFont="1" applyBorder="1" applyAlignment="1">
      <alignment horizontal="center" vertical="center"/>
    </xf>
    <xf numFmtId="0" fontId="49" fillId="0" borderId="34" xfId="0" applyNumberFormat="1" applyFont="1" applyBorder="1"/>
    <xf numFmtId="0" fontId="49" fillId="0" borderId="10" xfId="0" applyNumberFormat="1" applyFont="1" applyBorder="1" applyAlignment="1">
      <alignment horizontal="center" vertical="top"/>
    </xf>
    <xf numFmtId="0" fontId="35" fillId="0" borderId="0" xfId="0" applyNumberFormat="1" applyFont="1"/>
    <xf numFmtId="177" fontId="35" fillId="0" borderId="0" xfId="0" applyNumberFormat="1" applyFont="1"/>
    <xf numFmtId="164" fontId="0" fillId="0" borderId="10" xfId="16" applyFont="1" applyBorder="1" applyProtection="1"/>
    <xf numFmtId="0" fontId="0" fillId="0" borderId="10" xfId="16" applyNumberFormat="1" applyFont="1" applyBorder="1" applyAlignment="1" applyProtection="1">
      <alignment horizontal="left"/>
    </xf>
    <xf numFmtId="164" fontId="0" fillId="0" borderId="10" xfId="16" applyFont="1" applyFill="1" applyBorder="1" applyProtection="1"/>
    <xf numFmtId="164" fontId="45" fillId="5" borderId="10" xfId="16" applyFont="1" applyFill="1" applyBorder="1" applyProtection="1"/>
    <xf numFmtId="168" fontId="39" fillId="0" borderId="0" xfId="0" applyFont="1"/>
    <xf numFmtId="168" fontId="52" fillId="0" borderId="0" xfId="0" applyFont="1"/>
    <xf numFmtId="0" fontId="21" fillId="0" borderId="0" xfId="0" applyNumberFormat="1" applyFont="1" applyAlignment="1" applyProtection="1">
      <alignment vertical="center"/>
      <protection locked="0"/>
    </xf>
    <xf numFmtId="0" fontId="15" fillId="0" borderId="0" xfId="0" applyNumberFormat="1" applyFont="1" applyProtection="1">
      <protection locked="0"/>
    </xf>
    <xf numFmtId="0" fontId="15" fillId="0" borderId="1" xfId="0" applyNumberFormat="1" applyFont="1" applyBorder="1" applyProtection="1">
      <protection locked="0"/>
    </xf>
    <xf numFmtId="0" fontId="34" fillId="0" borderId="0" xfId="0" applyNumberFormat="1" applyFont="1" applyProtection="1">
      <protection locked="0"/>
    </xf>
    <xf numFmtId="164" fontId="8" fillId="0" borderId="0" xfId="17" applyNumberFormat="1" applyFont="1" applyAlignment="1" applyProtection="1">
      <alignment horizontal="right" vertical="center"/>
      <protection locked="0"/>
    </xf>
    <xf numFmtId="0" fontId="21" fillId="0" borderId="0" xfId="17" applyFont="1" applyAlignment="1" applyProtection="1">
      <alignment vertical="center"/>
      <protection locked="0"/>
    </xf>
    <xf numFmtId="168" fontId="21" fillId="0" borderId="5" xfId="0" applyFont="1" applyBorder="1" applyProtection="1">
      <protection locked="0"/>
    </xf>
    <xf numFmtId="2" fontId="21" fillId="0" borderId="0" xfId="17" applyNumberFormat="1" applyFont="1" applyAlignment="1" applyProtection="1">
      <alignment vertical="center"/>
      <protection locked="0"/>
    </xf>
    <xf numFmtId="0" fontId="21" fillId="0" borderId="9" xfId="17" applyFont="1" applyBorder="1" applyAlignment="1" applyProtection="1">
      <alignment vertical="center"/>
      <protection locked="0"/>
    </xf>
    <xf numFmtId="0" fontId="21" fillId="0" borderId="10" xfId="17" applyFont="1" applyBorder="1" applyAlignment="1" applyProtection="1">
      <alignment vertical="center"/>
      <protection locked="0"/>
    </xf>
    <xf numFmtId="0" fontId="43" fillId="0" borderId="8" xfId="17" applyFont="1" applyBorder="1" applyAlignment="1" applyProtection="1">
      <alignment vertical="center"/>
      <protection locked="0"/>
    </xf>
    <xf numFmtId="0" fontId="44" fillId="0" borderId="0" xfId="17" applyFont="1" applyAlignment="1" applyProtection="1">
      <alignment vertical="center"/>
      <protection locked="0"/>
    </xf>
    <xf numFmtId="0" fontId="43" fillId="0" borderId="0" xfId="17" applyFont="1" applyAlignment="1" applyProtection="1">
      <alignment vertical="center"/>
      <protection locked="0"/>
    </xf>
    <xf numFmtId="0" fontId="43" fillId="0" borderId="0" xfId="17" applyFont="1" applyAlignment="1" applyProtection="1">
      <alignment horizontal="center" vertical="center"/>
      <protection locked="0"/>
    </xf>
    <xf numFmtId="0" fontId="44" fillId="0" borderId="8" xfId="17" applyFont="1" applyBorder="1" applyAlignment="1" applyProtection="1">
      <alignment horizontal="center" vertical="center"/>
      <protection locked="0"/>
    </xf>
    <xf numFmtId="0" fontId="44" fillId="0" borderId="0" xfId="17" applyFont="1" applyAlignment="1" applyProtection="1">
      <alignment horizontal="center" vertical="center"/>
      <protection locked="0"/>
    </xf>
    <xf numFmtId="0" fontId="44" fillId="0" borderId="9" xfId="17" applyFont="1" applyBorder="1" applyAlignment="1" applyProtection="1">
      <alignment horizontal="center" vertical="center"/>
      <protection locked="0"/>
    </xf>
    <xf numFmtId="0" fontId="8" fillId="0" borderId="9" xfId="17" applyFont="1" applyBorder="1" applyAlignment="1" applyProtection="1">
      <alignment vertical="center"/>
      <protection locked="0"/>
    </xf>
    <xf numFmtId="166" fontId="43" fillId="0" borderId="0" xfId="17" applyNumberFormat="1" applyFont="1" applyAlignment="1" applyProtection="1">
      <alignment horizontal="center"/>
      <protection locked="0"/>
    </xf>
    <xf numFmtId="166" fontId="43" fillId="0" borderId="9" xfId="17" applyNumberFormat="1" applyFont="1" applyBorder="1" applyAlignment="1" applyProtection="1">
      <alignment horizontal="center"/>
      <protection locked="0"/>
    </xf>
    <xf numFmtId="0" fontId="8" fillId="0" borderId="0" xfId="17" applyFont="1" applyAlignment="1" applyProtection="1">
      <alignment vertical="center"/>
      <protection locked="0"/>
    </xf>
    <xf numFmtId="10" fontId="8" fillId="0" borderId="10" xfId="26" applyNumberFormat="1" applyFont="1" applyBorder="1" applyAlignment="1" applyProtection="1">
      <alignment vertical="center"/>
      <protection locked="0"/>
    </xf>
    <xf numFmtId="2" fontId="8" fillId="0" borderId="0" xfId="17" applyNumberFormat="1" applyFont="1" applyAlignment="1" applyProtection="1">
      <alignment vertical="center"/>
      <protection locked="0"/>
    </xf>
    <xf numFmtId="164" fontId="8" fillId="0" borderId="0" xfId="17" applyNumberFormat="1" applyFont="1" applyAlignment="1" applyProtection="1">
      <alignment vertical="center"/>
      <protection locked="0"/>
    </xf>
    <xf numFmtId="22" fontId="2" fillId="0" borderId="0" xfId="25" applyNumberFormat="1" applyProtection="1">
      <protection locked="0"/>
    </xf>
    <xf numFmtId="166" fontId="8" fillId="0" borderId="0" xfId="17" applyNumberFormat="1" applyFont="1" applyAlignment="1" applyProtection="1">
      <alignment vertical="center"/>
      <protection locked="0"/>
    </xf>
    <xf numFmtId="166" fontId="25" fillId="0" borderId="0" xfId="17" applyNumberFormat="1" applyFont="1" applyAlignment="1" applyProtection="1">
      <alignment vertical="center"/>
      <protection locked="0"/>
    </xf>
    <xf numFmtId="164" fontId="36" fillId="0" borderId="0" xfId="16" applyFont="1" applyFill="1" applyAlignment="1" applyProtection="1">
      <alignment vertical="center"/>
      <protection locked="0"/>
    </xf>
    <xf numFmtId="164" fontId="8" fillId="0" borderId="0" xfId="16" applyFont="1" applyFill="1" applyAlignment="1" applyProtection="1">
      <alignment vertical="center"/>
      <protection locked="0"/>
    </xf>
    <xf numFmtId="4" fontId="44" fillId="0" borderId="8" xfId="17" applyNumberFormat="1" applyFont="1" applyBorder="1" applyAlignment="1" applyProtection="1">
      <alignment horizontal="center" vertical="center"/>
      <protection locked="0"/>
    </xf>
    <xf numFmtId="166" fontId="44" fillId="0" borderId="0" xfId="17" applyNumberFormat="1" applyFont="1" applyAlignment="1" applyProtection="1">
      <alignment horizontal="center"/>
      <protection locked="0"/>
    </xf>
    <xf numFmtId="166" fontId="44" fillId="0" borderId="9" xfId="17" applyNumberFormat="1" applyFont="1" applyBorder="1" applyAlignment="1" applyProtection="1">
      <alignment horizontal="center"/>
      <protection locked="0"/>
    </xf>
    <xf numFmtId="0" fontId="44" fillId="0" borderId="8" xfId="17" applyFont="1" applyBorder="1" applyAlignment="1" applyProtection="1">
      <alignment horizontal="left" vertical="center"/>
      <protection locked="0"/>
    </xf>
    <xf numFmtId="0" fontId="43" fillId="0" borderId="0" xfId="17" applyFont="1" applyAlignment="1" applyProtection="1">
      <alignment horizontal="left" vertical="center"/>
      <protection locked="0"/>
    </xf>
    <xf numFmtId="39" fontId="8" fillId="0" borderId="0" xfId="17" applyNumberFormat="1" applyFont="1" applyAlignment="1" applyProtection="1">
      <alignment vertical="center"/>
      <protection locked="0"/>
    </xf>
    <xf numFmtId="168" fontId="8" fillId="0" borderId="9" xfId="0" applyFont="1" applyBorder="1" applyProtection="1">
      <protection locked="0"/>
    </xf>
    <xf numFmtId="168" fontId="43" fillId="0" borderId="8" xfId="0" applyFont="1" applyBorder="1" applyProtection="1">
      <protection locked="0"/>
    </xf>
    <xf numFmtId="168" fontId="43" fillId="0" borderId="0" xfId="0" applyFont="1" applyProtection="1">
      <protection locked="0"/>
    </xf>
    <xf numFmtId="0" fontId="43" fillId="0" borderId="0" xfId="0" applyNumberFormat="1" applyFont="1" applyAlignment="1" applyProtection="1">
      <alignment vertical="center"/>
      <protection locked="0"/>
    </xf>
    <xf numFmtId="175" fontId="43" fillId="0" borderId="0" xfId="0" applyNumberFormat="1" applyFont="1" applyProtection="1">
      <protection locked="0"/>
    </xf>
    <xf numFmtId="168" fontId="43" fillId="0" borderId="0" xfId="0" applyFont="1" applyAlignment="1" applyProtection="1">
      <alignment horizontal="center"/>
      <protection locked="0"/>
    </xf>
    <xf numFmtId="0" fontId="8" fillId="0" borderId="0" xfId="0" applyNumberFormat="1" applyFont="1" applyProtection="1">
      <protection locked="0"/>
    </xf>
    <xf numFmtId="168" fontId="8" fillId="0" borderId="0" xfId="0" applyFont="1" applyProtection="1">
      <protection locked="0"/>
    </xf>
    <xf numFmtId="0" fontId="43" fillId="0" borderId="0" xfId="0" applyNumberFormat="1" applyFont="1" applyProtection="1">
      <protection locked="0"/>
    </xf>
    <xf numFmtId="37" fontId="43" fillId="0" borderId="8" xfId="17" applyNumberFormat="1" applyFont="1" applyBorder="1" applyAlignment="1" applyProtection="1">
      <alignment vertical="center"/>
      <protection locked="0"/>
    </xf>
    <xf numFmtId="37" fontId="43" fillId="0" borderId="0" xfId="17" applyNumberFormat="1" applyFont="1" applyAlignment="1" applyProtection="1">
      <alignment vertical="center"/>
      <protection locked="0"/>
    </xf>
    <xf numFmtId="39" fontId="43" fillId="0" borderId="9" xfId="17" applyNumberFormat="1" applyFont="1" applyBorder="1" applyAlignment="1" applyProtection="1">
      <alignment horizontal="center" vertical="center"/>
      <protection locked="0"/>
    </xf>
    <xf numFmtId="166" fontId="21" fillId="0" borderId="0" xfId="17" applyNumberFormat="1" applyFont="1" applyAlignment="1" applyProtection="1">
      <alignment vertical="center"/>
      <protection locked="0"/>
    </xf>
    <xf numFmtId="164" fontId="21" fillId="0" borderId="0" xfId="16" applyFont="1" applyFill="1" applyAlignment="1" applyProtection="1">
      <alignment vertical="center"/>
      <protection locked="0"/>
    </xf>
    <xf numFmtId="164" fontId="37" fillId="0" borderId="0" xfId="0" applyNumberFormat="1" applyFont="1" applyProtection="1">
      <protection locked="0"/>
    </xf>
    <xf numFmtId="0" fontId="38" fillId="0" borderId="5" xfId="0" applyNumberFormat="1" applyFont="1" applyBorder="1" applyAlignment="1" applyProtection="1">
      <alignment vertical="center"/>
      <protection locked="0"/>
    </xf>
    <xf numFmtId="0" fontId="21" fillId="0" borderId="0" xfId="0" applyNumberFormat="1" applyFont="1" applyAlignment="1">
      <alignment vertical="center"/>
    </xf>
    <xf numFmtId="168" fontId="13" fillId="0" borderId="10" xfId="0" applyFont="1" applyBorder="1" applyAlignment="1">
      <alignment wrapText="1"/>
    </xf>
    <xf numFmtId="164" fontId="0" fillId="9" borderId="10" xfId="16" applyFont="1" applyFill="1" applyBorder="1" applyProtection="1"/>
    <xf numFmtId="168" fontId="55" fillId="0" borderId="0" xfId="0" applyFont="1" applyAlignment="1">
      <alignment horizontal="center"/>
    </xf>
    <xf numFmtId="168" fontId="56" fillId="0" borderId="0" xfId="0" applyFont="1"/>
    <xf numFmtId="168" fontId="57" fillId="0" borderId="0" xfId="0" applyFont="1" applyAlignment="1">
      <alignment horizontal="left"/>
    </xf>
    <xf numFmtId="168" fontId="60" fillId="0" borderId="10" xfId="0" applyFont="1" applyBorder="1"/>
    <xf numFmtId="168" fontId="60" fillId="0" borderId="0" xfId="0" applyFont="1"/>
    <xf numFmtId="168" fontId="61" fillId="0" borderId="10" xfId="0" applyFont="1" applyBorder="1" applyAlignment="1">
      <alignment horizontal="center" wrapText="1"/>
    </xf>
    <xf numFmtId="168" fontId="61" fillId="0" borderId="10" xfId="0" applyFont="1" applyBorder="1" applyAlignment="1">
      <alignment horizontal="center"/>
    </xf>
    <xf numFmtId="9" fontId="60" fillId="9" borderId="10" xfId="26" applyFont="1" applyFill="1" applyBorder="1" applyProtection="1"/>
    <xf numFmtId="168" fontId="62" fillId="0" borderId="0" xfId="0" applyFont="1"/>
    <xf numFmtId="168" fontId="0" fillId="0" borderId="10" xfId="0" applyBorder="1"/>
    <xf numFmtId="168" fontId="0" fillId="0" borderId="10" xfId="0" applyBorder="1" applyAlignment="1">
      <alignment wrapText="1"/>
    </xf>
    <xf numFmtId="168" fontId="0" fillId="0" borderId="10" xfId="0" applyBorder="1" applyAlignment="1">
      <alignment horizontal="left" wrapText="1"/>
    </xf>
    <xf numFmtId="0" fontId="0" fillId="0" borderId="10" xfId="0" applyNumberFormat="1" applyBorder="1" applyAlignment="1">
      <alignment horizontal="left"/>
    </xf>
    <xf numFmtId="1" fontId="0" fillId="0" borderId="10" xfId="0" applyNumberFormat="1" applyBorder="1" applyAlignment="1">
      <alignment horizontal="left"/>
    </xf>
    <xf numFmtId="168" fontId="54" fillId="11" borderId="10" xfId="0" applyFont="1" applyFill="1" applyBorder="1" applyAlignment="1">
      <alignment horizontal="center" wrapText="1"/>
    </xf>
    <xf numFmtId="168" fontId="54" fillId="11" borderId="10" xfId="0" applyFont="1" applyFill="1" applyBorder="1" applyAlignment="1">
      <alignment horizontal="center"/>
    </xf>
    <xf numFmtId="168" fontId="1" fillId="11" borderId="10" xfId="0" applyFont="1" applyFill="1" applyBorder="1"/>
    <xf numFmtId="168" fontId="55" fillId="0" borderId="0" xfId="0" applyFont="1" applyAlignment="1">
      <alignment horizontal="left"/>
    </xf>
    <xf numFmtId="168" fontId="56" fillId="0" borderId="0" xfId="0" applyFont="1" applyAlignment="1">
      <alignment horizontal="left"/>
    </xf>
    <xf numFmtId="168" fontId="0" fillId="0" borderId="10" xfId="0" applyBorder="1" applyAlignment="1">
      <alignment horizontal="left"/>
    </xf>
    <xf numFmtId="168" fontId="63" fillId="10" borderId="11" xfId="0" applyFont="1" applyFill="1" applyBorder="1" applyAlignment="1">
      <alignment horizontal="center" wrapText="1"/>
    </xf>
    <xf numFmtId="168" fontId="63" fillId="10" borderId="12" xfId="0" applyFont="1" applyFill="1" applyBorder="1" applyAlignment="1">
      <alignment horizontal="center" wrapText="1"/>
    </xf>
    <xf numFmtId="168" fontId="63" fillId="10" borderId="13" xfId="0" applyFont="1" applyFill="1" applyBorder="1" applyAlignment="1">
      <alignment horizontal="center" wrapText="1"/>
    </xf>
    <xf numFmtId="168" fontId="55" fillId="0" borderId="0" xfId="0" applyFont="1" applyAlignment="1">
      <alignment horizontal="center" vertical="center"/>
    </xf>
    <xf numFmtId="168" fontId="54" fillId="11" borderId="10" xfId="0" applyFont="1" applyFill="1" applyBorder="1" applyAlignment="1">
      <alignment horizontal="center" wrapText="1"/>
    </xf>
    <xf numFmtId="168" fontId="54" fillId="11" borderId="10" xfId="0" applyFont="1" applyFill="1" applyBorder="1" applyAlignment="1">
      <alignment horizontal="center"/>
    </xf>
    <xf numFmtId="168" fontId="54" fillId="11" borderId="10" xfId="0" applyFont="1" applyFill="1" applyBorder="1" applyAlignment="1">
      <alignment horizontal="center" vertical="center"/>
    </xf>
    <xf numFmtId="168" fontId="54" fillId="11" borderId="10" xfId="0" applyFont="1" applyFill="1" applyBorder="1" applyAlignment="1">
      <alignment horizontal="center" vertical="center" wrapText="1"/>
    </xf>
    <xf numFmtId="168" fontId="58" fillId="7" borderId="0" xfId="0" applyFont="1" applyFill="1" applyAlignment="1">
      <alignment horizontal="left"/>
    </xf>
    <xf numFmtId="168" fontId="59" fillId="8" borderId="0" xfId="0" applyFont="1" applyFill="1" applyAlignment="1">
      <alignment horizontal="left"/>
    </xf>
    <xf numFmtId="0" fontId="21" fillId="0" borderId="0" xfId="0" applyNumberFormat="1" applyFont="1" applyAlignment="1" applyProtection="1">
      <alignment horizontal="center" vertical="center"/>
      <protection locked="0"/>
    </xf>
    <xf numFmtId="0" fontId="42" fillId="0" borderId="0" xfId="0" applyNumberFormat="1" applyFont="1" applyAlignment="1" applyProtection="1">
      <alignment horizontal="center" vertical="center"/>
      <protection locked="0"/>
    </xf>
    <xf numFmtId="164" fontId="34" fillId="0" borderId="0" xfId="16" applyFont="1" applyAlignment="1" applyProtection="1">
      <alignment horizontal="left"/>
      <protection locked="0"/>
    </xf>
    <xf numFmtId="0" fontId="46" fillId="0" borderId="11" xfId="17" applyFont="1" applyBorder="1" applyAlignment="1" applyProtection="1">
      <alignment horizontal="center" vertical="center"/>
      <protection locked="0"/>
    </xf>
    <xf numFmtId="0" fontId="46" fillId="0" borderId="12" xfId="17" applyFont="1" applyBorder="1" applyAlignment="1" applyProtection="1">
      <alignment horizontal="center" vertical="center"/>
      <protection locked="0"/>
    </xf>
    <xf numFmtId="0" fontId="46" fillId="0" borderId="13" xfId="17" applyFont="1" applyBorder="1" applyAlignment="1" applyProtection="1">
      <alignment horizontal="center" vertical="center"/>
      <protection locked="0"/>
    </xf>
    <xf numFmtId="166" fontId="43" fillId="0" borderId="5" xfId="17" applyNumberFormat="1" applyFont="1" applyBorder="1" applyAlignment="1" applyProtection="1">
      <alignment horizontal="center"/>
      <protection locked="0"/>
    </xf>
    <xf numFmtId="166" fontId="43" fillId="0" borderId="6" xfId="17" applyNumberFormat="1" applyFont="1" applyBorder="1" applyAlignment="1" applyProtection="1">
      <alignment horizontal="center"/>
      <protection locked="0"/>
    </xf>
    <xf numFmtId="178" fontId="43" fillId="0" borderId="4" xfId="26" applyNumberFormat="1" applyFont="1" applyBorder="1" applyAlignment="1" applyProtection="1">
      <alignment horizontal="center" vertical="center"/>
      <protection locked="0"/>
    </xf>
    <xf numFmtId="178" fontId="43" fillId="0" borderId="5" xfId="26" applyNumberFormat="1" applyFont="1" applyBorder="1" applyAlignment="1" applyProtection="1">
      <alignment horizontal="center" vertical="center"/>
      <protection locked="0"/>
    </xf>
    <xf numFmtId="178" fontId="43" fillId="0" borderId="6" xfId="26" applyNumberFormat="1" applyFont="1" applyBorder="1" applyAlignment="1" applyProtection="1">
      <alignment horizontal="center" vertical="center"/>
      <protection locked="0"/>
    </xf>
    <xf numFmtId="178" fontId="43" fillId="0" borderId="8" xfId="26" applyNumberFormat="1" applyFont="1" applyBorder="1" applyAlignment="1" applyProtection="1">
      <alignment horizontal="center" vertical="center"/>
      <protection locked="0"/>
    </xf>
    <xf numFmtId="178" fontId="43" fillId="0" borderId="0" xfId="26" applyNumberFormat="1" applyFont="1" applyAlignment="1" applyProtection="1">
      <alignment horizontal="center" vertical="center"/>
      <protection locked="0"/>
    </xf>
    <xf numFmtId="178" fontId="43" fillId="0" borderId="9" xfId="26" applyNumberFormat="1" applyFont="1" applyBorder="1" applyAlignment="1" applyProtection="1">
      <alignment horizontal="center" vertical="center"/>
      <protection locked="0"/>
    </xf>
    <xf numFmtId="166" fontId="43" fillId="0" borderId="8" xfId="17" applyNumberFormat="1" applyFont="1" applyBorder="1" applyAlignment="1" applyProtection="1">
      <alignment horizontal="center"/>
      <protection locked="0"/>
    </xf>
    <xf numFmtId="166" fontId="43" fillId="0" borderId="0" xfId="17" applyNumberFormat="1" applyFont="1" applyAlignment="1" applyProtection="1">
      <alignment horizontal="center"/>
      <protection locked="0"/>
    </xf>
    <xf numFmtId="166" fontId="43" fillId="0" borderId="9" xfId="17" applyNumberFormat="1" applyFont="1" applyBorder="1" applyAlignment="1" applyProtection="1">
      <alignment horizontal="center"/>
      <protection locked="0"/>
    </xf>
    <xf numFmtId="0" fontId="44" fillId="0" borderId="8" xfId="17" applyFont="1" applyBorder="1" applyAlignment="1" applyProtection="1">
      <alignment horizontal="center" vertical="center"/>
      <protection locked="0"/>
    </xf>
    <xf numFmtId="0" fontId="44" fillId="0" borderId="0" xfId="17" applyFont="1" applyAlignment="1" applyProtection="1">
      <alignment horizontal="center" vertical="center"/>
      <protection locked="0"/>
    </xf>
    <xf numFmtId="0" fontId="44" fillId="0" borderId="9" xfId="17" applyFont="1" applyBorder="1" applyAlignment="1" applyProtection="1">
      <alignment horizontal="center" vertical="center"/>
      <protection locked="0"/>
    </xf>
    <xf numFmtId="0" fontId="44" fillId="0" borderId="11" xfId="17" applyFont="1" applyBorder="1" applyAlignment="1" applyProtection="1">
      <alignment horizontal="center" vertical="center"/>
      <protection locked="0"/>
    </xf>
    <xf numFmtId="0" fontId="44" fillId="0" borderId="12" xfId="17" applyFont="1" applyBorder="1" applyAlignment="1" applyProtection="1">
      <alignment horizontal="center" vertical="center"/>
      <protection locked="0"/>
    </xf>
    <xf numFmtId="0" fontId="44" fillId="0" borderId="13" xfId="17" applyFont="1" applyBorder="1" applyAlignment="1" applyProtection="1">
      <alignment horizontal="center" vertical="center"/>
      <protection locked="0"/>
    </xf>
    <xf numFmtId="9" fontId="44" fillId="0" borderId="11" xfId="26" applyFont="1" applyBorder="1" applyAlignment="1" applyProtection="1">
      <alignment horizontal="center" vertical="center"/>
      <protection locked="0"/>
    </xf>
    <xf numFmtId="9" fontId="44" fillId="0" borderId="12" xfId="26" applyFont="1" applyBorder="1" applyAlignment="1" applyProtection="1">
      <alignment horizontal="center" vertical="center"/>
      <protection locked="0"/>
    </xf>
    <xf numFmtId="9" fontId="44" fillId="0" borderId="13" xfId="26" applyFont="1" applyBorder="1" applyAlignment="1" applyProtection="1">
      <alignment horizontal="center" vertical="center"/>
      <protection locked="0"/>
    </xf>
    <xf numFmtId="166" fontId="44" fillId="0" borderId="11" xfId="17" applyNumberFormat="1" applyFont="1" applyBorder="1" applyAlignment="1" applyProtection="1">
      <alignment horizontal="center"/>
      <protection locked="0"/>
    </xf>
    <xf numFmtId="166" fontId="44" fillId="0" borderId="12" xfId="17" applyNumberFormat="1" applyFont="1" applyBorder="1" applyAlignment="1" applyProtection="1">
      <alignment horizontal="center"/>
      <protection locked="0"/>
    </xf>
    <xf numFmtId="166" fontId="44" fillId="0" borderId="13" xfId="17" applyNumberFormat="1" applyFont="1" applyBorder="1" applyAlignment="1" applyProtection="1">
      <alignment horizontal="center"/>
      <protection locked="0"/>
    </xf>
    <xf numFmtId="4" fontId="44" fillId="0" borderId="11" xfId="17" applyNumberFormat="1" applyFont="1" applyBorder="1" applyAlignment="1" applyProtection="1">
      <alignment horizontal="center" vertical="center"/>
      <protection locked="0"/>
    </xf>
    <xf numFmtId="178" fontId="43" fillId="0" borderId="0" xfId="26" applyNumberFormat="1" applyFont="1" applyBorder="1" applyAlignment="1" applyProtection="1">
      <alignment horizontal="center" vertical="center"/>
      <protection locked="0"/>
    </xf>
    <xf numFmtId="168" fontId="48" fillId="0" borderId="0" xfId="0" applyFont="1" applyAlignment="1">
      <alignment horizontal="left"/>
    </xf>
    <xf numFmtId="174" fontId="49" fillId="0" borderId="0" xfId="0" applyNumberFormat="1" applyFont="1" applyAlignment="1">
      <alignment horizontal="center"/>
    </xf>
    <xf numFmtId="174" fontId="51" fillId="0" borderId="0" xfId="0" applyNumberFormat="1" applyFont="1" applyAlignment="1">
      <alignment horizontal="center"/>
    </xf>
    <xf numFmtId="168" fontId="49" fillId="0" borderId="11" xfId="0" applyFont="1" applyBorder="1" applyAlignment="1">
      <alignment vertical="top" wrapText="1"/>
    </xf>
    <xf numFmtId="168" fontId="49" fillId="0" borderId="13" xfId="0" applyFont="1" applyBorder="1" applyAlignment="1">
      <alignment vertical="top" wrapText="1"/>
    </xf>
    <xf numFmtId="4" fontId="49" fillId="0" borderId="11" xfId="0" applyNumberFormat="1" applyFont="1" applyBorder="1" applyAlignment="1">
      <alignment horizontal="center" vertical="top"/>
    </xf>
    <xf numFmtId="4" fontId="49" fillId="0" borderId="13" xfId="0" applyNumberFormat="1" applyFont="1" applyBorder="1" applyAlignment="1">
      <alignment horizontal="center" vertical="top"/>
    </xf>
    <xf numFmtId="168" fontId="53" fillId="0" borderId="2" xfId="0" applyFont="1" applyBorder="1" applyAlignment="1">
      <alignment horizontal="center"/>
    </xf>
    <xf numFmtId="168" fontId="49" fillId="0" borderId="33" xfId="0" applyFont="1" applyBorder="1" applyAlignment="1">
      <alignment horizontal="center" vertical="center"/>
    </xf>
    <xf numFmtId="168" fontId="49" fillId="0" borderId="7" xfId="0" applyFont="1" applyBorder="1" applyAlignment="1">
      <alignment horizontal="center" vertical="center"/>
    </xf>
    <xf numFmtId="168" fontId="49" fillId="0" borderId="34" xfId="0" applyFont="1" applyBorder="1" applyAlignment="1">
      <alignment horizontal="center" vertical="center"/>
    </xf>
    <xf numFmtId="168" fontId="49" fillId="0" borderId="1" xfId="0" applyFont="1" applyBorder="1" applyAlignment="1">
      <alignment horizontal="center" vertical="center"/>
    </xf>
    <xf numFmtId="168" fontId="49" fillId="0" borderId="3" xfId="0" applyFont="1" applyBorder="1" applyAlignment="1">
      <alignment horizontal="center" vertical="center"/>
    </xf>
    <xf numFmtId="168" fontId="49" fillId="0" borderId="8" xfId="0" applyFont="1" applyBorder="1" applyAlignment="1">
      <alignment horizontal="center" vertical="center"/>
    </xf>
    <xf numFmtId="168" fontId="49" fillId="0" borderId="9" xfId="0" applyFont="1" applyBorder="1" applyAlignment="1">
      <alignment horizontal="center" vertical="center"/>
    </xf>
    <xf numFmtId="168" fontId="49" fillId="0" borderId="4" xfId="0" applyFont="1" applyBorder="1" applyAlignment="1">
      <alignment horizontal="center" vertical="center"/>
    </xf>
    <xf numFmtId="168" fontId="49" fillId="0" borderId="6" xfId="0" applyFont="1" applyBorder="1" applyAlignment="1">
      <alignment horizontal="center" vertical="center"/>
    </xf>
    <xf numFmtId="168" fontId="49" fillId="0" borderId="4" xfId="0" applyFont="1" applyBorder="1" applyAlignment="1">
      <alignment horizontal="center"/>
    </xf>
    <xf numFmtId="168" fontId="49" fillId="0" borderId="6" xfId="0" applyFont="1" applyBorder="1" applyAlignment="1">
      <alignment horizontal="center"/>
    </xf>
    <xf numFmtId="174" fontId="48" fillId="6" borderId="11" xfId="0" applyNumberFormat="1" applyFont="1" applyFill="1" applyBorder="1" applyAlignment="1">
      <alignment horizontal="center" vertical="top"/>
    </xf>
    <xf numFmtId="174" fontId="48" fillId="6" borderId="12" xfId="0" applyNumberFormat="1" applyFont="1" applyFill="1" applyBorder="1" applyAlignment="1">
      <alignment horizontal="center" vertical="top"/>
    </xf>
    <xf numFmtId="174" fontId="48" fillId="6" borderId="13" xfId="0" applyNumberFormat="1" applyFont="1" applyFill="1" applyBorder="1" applyAlignment="1">
      <alignment horizontal="center" vertical="top"/>
    </xf>
    <xf numFmtId="0" fontId="49" fillId="0" borderId="33" xfId="0" applyNumberFormat="1" applyFont="1" applyBorder="1" applyAlignment="1">
      <alignment horizontal="center" vertical="center"/>
    </xf>
    <xf numFmtId="0" fontId="49" fillId="0" borderId="34" xfId="0" applyNumberFormat="1" applyFont="1" applyBorder="1" applyAlignment="1">
      <alignment horizontal="center" vertical="center"/>
    </xf>
    <xf numFmtId="175" fontId="49" fillId="0" borderId="1" xfId="0" applyNumberFormat="1" applyFont="1" applyBorder="1" applyAlignment="1">
      <alignment horizontal="center" vertical="center"/>
    </xf>
    <xf numFmtId="175" fontId="49" fillId="0" borderId="3" xfId="0" applyNumberFormat="1" applyFont="1" applyBorder="1" applyAlignment="1">
      <alignment horizontal="center" vertical="center"/>
    </xf>
    <xf numFmtId="175" fontId="49" fillId="0" borderId="4" xfId="0" applyNumberFormat="1" applyFont="1" applyBorder="1" applyAlignment="1">
      <alignment horizontal="center" vertical="center"/>
    </xf>
    <xf numFmtId="175" fontId="49" fillId="0" borderId="6" xfId="0" applyNumberFormat="1" applyFont="1" applyBorder="1" applyAlignment="1">
      <alignment horizontal="center" vertical="center"/>
    </xf>
    <xf numFmtId="175" fontId="49" fillId="0" borderId="33" xfId="0" applyNumberFormat="1" applyFont="1" applyBorder="1" applyAlignment="1">
      <alignment horizontal="center" vertical="center"/>
    </xf>
    <xf numFmtId="175" fontId="49" fillId="0" borderId="34" xfId="0" applyNumberFormat="1" applyFont="1" applyBorder="1" applyAlignment="1">
      <alignment horizontal="center" vertical="center"/>
    </xf>
    <xf numFmtId="168" fontId="49" fillId="0" borderId="1" xfId="0" applyFont="1" applyBorder="1" applyAlignment="1">
      <alignment horizontal="center"/>
    </xf>
    <xf numFmtId="168" fontId="49" fillId="0" borderId="3" xfId="0" applyFont="1" applyBorder="1" applyAlignment="1">
      <alignment horizontal="center"/>
    </xf>
    <xf numFmtId="166" fontId="4" fillId="0" borderId="11" xfId="4" applyNumberFormat="1" applyFont="1" applyFill="1" applyBorder="1" applyAlignment="1">
      <alignment horizontal="center"/>
    </xf>
    <xf numFmtId="166" fontId="4" fillId="0" borderId="12" xfId="4" applyNumberFormat="1" applyFont="1" applyFill="1" applyBorder="1" applyAlignment="1">
      <alignment horizontal="center"/>
    </xf>
    <xf numFmtId="166" fontId="4" fillId="0" borderId="13" xfId="4" applyNumberFormat="1" applyFont="1" applyFill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166" fontId="4" fillId="0" borderId="11" xfId="4" applyNumberFormat="1" applyFont="1" applyFill="1" applyBorder="1" applyAlignment="1">
      <alignment horizontal="center" vertical="center"/>
    </xf>
    <xf numFmtId="166" fontId="4" fillId="0" borderId="12" xfId="4" applyNumberFormat="1" applyFont="1" applyFill="1" applyBorder="1" applyAlignment="1">
      <alignment horizontal="center" vertical="center"/>
    </xf>
    <xf numFmtId="166" fontId="4" fillId="0" borderId="13" xfId="4" applyNumberFormat="1" applyFont="1" applyFill="1" applyBorder="1" applyAlignment="1">
      <alignment horizontal="center" vertical="center"/>
    </xf>
    <xf numFmtId="4" fontId="4" fillId="0" borderId="12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8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9" xfId="1" applyFont="1" applyBorder="1" applyAlignment="1">
      <alignment horizontal="center"/>
    </xf>
    <xf numFmtId="4" fontId="4" fillId="0" borderId="8" xfId="1" applyNumberFormat="1" applyFont="1" applyBorder="1" applyAlignment="1">
      <alignment horizontal="center"/>
    </xf>
    <xf numFmtId="4" fontId="4" fillId="0" borderId="0" xfId="1" applyNumberFormat="1" applyFont="1" applyAlignment="1">
      <alignment horizontal="center"/>
    </xf>
    <xf numFmtId="4" fontId="4" fillId="0" borderId="9" xfId="1" applyNumberFormat="1" applyFont="1" applyBorder="1" applyAlignment="1">
      <alignment horizontal="center"/>
    </xf>
    <xf numFmtId="166" fontId="4" fillId="0" borderId="8" xfId="4" applyNumberFormat="1" applyFont="1" applyFill="1" applyBorder="1" applyAlignment="1">
      <alignment horizontal="center"/>
    </xf>
    <xf numFmtId="166" fontId="4" fillId="0" borderId="0" xfId="4" applyNumberFormat="1" applyFont="1" applyFill="1" applyBorder="1" applyAlignment="1">
      <alignment horizontal="center"/>
    </xf>
    <xf numFmtId="166" fontId="4" fillId="0" borderId="9" xfId="4" applyNumberFormat="1" applyFont="1" applyFill="1" applyBorder="1" applyAlignment="1">
      <alignment horizontal="center"/>
    </xf>
    <xf numFmtId="4" fontId="8" fillId="0" borderId="8" xfId="1" applyNumberFormat="1" applyFont="1" applyBorder="1" applyAlignment="1">
      <alignment horizontal="center" vertical="center"/>
    </xf>
    <xf numFmtId="4" fontId="8" fillId="0" borderId="0" xfId="1" applyNumberFormat="1" applyFont="1" applyAlignment="1">
      <alignment horizontal="center" vertical="center"/>
    </xf>
    <xf numFmtId="4" fontId="8" fillId="0" borderId="9" xfId="1" applyNumberFormat="1" applyFont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/>
    </xf>
    <xf numFmtId="169" fontId="4" fillId="0" borderId="8" xfId="1" applyNumberFormat="1" applyFont="1" applyBorder="1" applyAlignment="1">
      <alignment horizontal="center"/>
    </xf>
    <xf numFmtId="169" fontId="4" fillId="0" borderId="0" xfId="1" applyNumberFormat="1" applyFont="1" applyAlignment="1">
      <alignment horizontal="center"/>
    </xf>
    <xf numFmtId="169" fontId="4" fillId="0" borderId="9" xfId="1" applyNumberFormat="1" applyFont="1" applyBorder="1" applyAlignment="1">
      <alignment horizontal="center"/>
    </xf>
    <xf numFmtId="39" fontId="8" fillId="0" borderId="8" xfId="0" applyNumberFormat="1" applyFont="1" applyBorder="1" applyAlignment="1">
      <alignment horizontal="center"/>
    </xf>
    <xf numFmtId="39" fontId="8" fillId="0" borderId="0" xfId="0" applyNumberFormat="1" applyFont="1" applyAlignment="1">
      <alignment horizontal="center"/>
    </xf>
    <xf numFmtId="39" fontId="8" fillId="0" borderId="9" xfId="0" applyNumberFormat="1" applyFont="1" applyBorder="1" applyAlignment="1">
      <alignment horizontal="center"/>
    </xf>
    <xf numFmtId="0" fontId="4" fillId="0" borderId="8" xfId="3" applyNumberFormat="1" applyFont="1" applyBorder="1" applyAlignment="1">
      <alignment horizontal="center" vertical="center"/>
    </xf>
    <xf numFmtId="0" fontId="4" fillId="0" borderId="0" xfId="3" applyNumberFormat="1" applyFont="1" applyAlignment="1">
      <alignment horizontal="center" vertical="center"/>
    </xf>
    <xf numFmtId="0" fontId="4" fillId="0" borderId="9" xfId="3" applyNumberFormat="1" applyFont="1" applyBorder="1" applyAlignment="1">
      <alignment horizontal="center" vertical="center"/>
    </xf>
    <xf numFmtId="4" fontId="8" fillId="0" borderId="8" xfId="1" applyNumberFormat="1" applyFont="1" applyBorder="1" applyAlignment="1">
      <alignment horizontal="center"/>
    </xf>
    <xf numFmtId="4" fontId="8" fillId="0" borderId="0" xfId="1" applyNumberFormat="1" applyFont="1" applyAlignment="1">
      <alignment horizontal="center"/>
    </xf>
    <xf numFmtId="4" fontId="8" fillId="0" borderId="9" xfId="1" applyNumberFormat="1" applyFont="1" applyBorder="1" applyAlignment="1">
      <alignment horizontal="center"/>
    </xf>
    <xf numFmtId="0" fontId="4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164" fontId="5" fillId="0" borderId="0" xfId="16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" fontId="4" fillId="0" borderId="8" xfId="4" applyNumberFormat="1" applyFont="1" applyFill="1" applyBorder="1" applyAlignment="1">
      <alignment horizontal="center"/>
    </xf>
    <xf numFmtId="4" fontId="4" fillId="0" borderId="0" xfId="4" applyNumberFormat="1" applyFont="1" applyFill="1" applyBorder="1" applyAlignment="1">
      <alignment horizontal="center"/>
    </xf>
    <xf numFmtId="4" fontId="4" fillId="0" borderId="9" xfId="4" applyNumberFormat="1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4" fontId="4" fillId="0" borderId="11" xfId="4" applyNumberFormat="1" applyFont="1" applyFill="1" applyBorder="1" applyAlignment="1">
      <alignment horizontal="center"/>
    </xf>
    <xf numFmtId="4" fontId="4" fillId="0" borderId="12" xfId="4" applyNumberFormat="1" applyFont="1" applyFill="1" applyBorder="1" applyAlignment="1">
      <alignment horizontal="center"/>
    </xf>
    <xf numFmtId="4" fontId="4" fillId="0" borderId="13" xfId="4" applyNumberFormat="1" applyFont="1" applyFill="1" applyBorder="1" applyAlignment="1">
      <alignment horizontal="center"/>
    </xf>
    <xf numFmtId="4" fontId="4" fillId="0" borderId="1" xfId="1" applyNumberFormat="1" applyFont="1" applyBorder="1" applyAlignment="1">
      <alignment horizontal="center" vertical="center"/>
    </xf>
    <xf numFmtId="4" fontId="4" fillId="0" borderId="2" xfId="1" applyNumberFormat="1" applyFont="1" applyBorder="1" applyAlignment="1">
      <alignment horizontal="center" vertical="center"/>
    </xf>
    <xf numFmtId="4" fontId="4" fillId="0" borderId="3" xfId="1" applyNumberFormat="1" applyFont="1" applyBorder="1" applyAlignment="1">
      <alignment horizontal="center" vertical="center"/>
    </xf>
    <xf numFmtId="4" fontId="4" fillId="0" borderId="4" xfId="1" applyNumberFormat="1" applyFont="1" applyBorder="1" applyAlignment="1">
      <alignment horizontal="center" vertical="center"/>
    </xf>
    <xf numFmtId="4" fontId="4" fillId="0" borderId="5" xfId="1" applyNumberFormat="1" applyFont="1" applyBorder="1" applyAlignment="1">
      <alignment horizontal="center" vertical="center"/>
    </xf>
    <xf numFmtId="4" fontId="4" fillId="0" borderId="6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168" fontId="4" fillId="0" borderId="22" xfId="0" applyFont="1" applyBorder="1" applyAlignment="1">
      <alignment horizontal="center"/>
    </xf>
    <xf numFmtId="4" fontId="4" fillId="0" borderId="22" xfId="0" applyNumberFormat="1" applyFont="1" applyBorder="1" applyAlignment="1">
      <alignment horizontal="center"/>
    </xf>
    <xf numFmtId="4" fontId="4" fillId="0" borderId="23" xfId="0" applyNumberFormat="1" applyFont="1" applyBorder="1" applyAlignment="1">
      <alignment horizontal="center"/>
    </xf>
    <xf numFmtId="168" fontId="4" fillId="0" borderId="27" xfId="0" applyFont="1" applyBorder="1" applyAlignment="1">
      <alignment horizontal="center"/>
    </xf>
    <xf numFmtId="4" fontId="23" fillId="0" borderId="27" xfId="0" applyNumberFormat="1" applyFont="1" applyBorder="1" applyAlignment="1">
      <alignment horizontal="center"/>
    </xf>
    <xf numFmtId="4" fontId="23" fillId="0" borderId="28" xfId="0" applyNumberFormat="1" applyFont="1" applyBorder="1" applyAlignment="1">
      <alignment horizontal="center"/>
    </xf>
    <xf numFmtId="166" fontId="4" fillId="0" borderId="8" xfId="4" applyNumberFormat="1" applyFont="1" applyFill="1" applyBorder="1" applyAlignment="1">
      <alignment horizontal="center" vertical="top"/>
    </xf>
    <xf numFmtId="166" fontId="4" fillId="0" borderId="0" xfId="4" applyNumberFormat="1" applyFont="1" applyFill="1" applyBorder="1" applyAlignment="1">
      <alignment horizontal="center" vertical="top"/>
    </xf>
    <xf numFmtId="166" fontId="4" fillId="0" borderId="9" xfId="4" applyNumberFormat="1" applyFont="1" applyFill="1" applyBorder="1" applyAlignment="1">
      <alignment horizontal="center" vertical="top"/>
    </xf>
    <xf numFmtId="2" fontId="4" fillId="0" borderId="22" xfId="0" applyNumberFormat="1" applyFont="1" applyBorder="1" applyAlignment="1">
      <alignment horizontal="center"/>
    </xf>
    <xf numFmtId="168" fontId="4" fillId="0" borderId="17" xfId="0" applyFont="1" applyBorder="1" applyAlignment="1">
      <alignment horizontal="center"/>
    </xf>
    <xf numFmtId="168" fontId="4" fillId="0" borderId="18" xfId="0" applyFont="1" applyBorder="1" applyAlignment="1">
      <alignment horizontal="center"/>
    </xf>
    <xf numFmtId="2" fontId="4" fillId="0" borderId="8" xfId="1" applyNumberFormat="1" applyFont="1" applyBorder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2" fontId="4" fillId="0" borderId="9" xfId="1" applyNumberFormat="1" applyFont="1" applyBorder="1" applyAlignment="1">
      <alignment horizontal="center" vertical="top"/>
    </xf>
    <xf numFmtId="2" fontId="8" fillId="0" borderId="8" xfId="0" applyNumberFormat="1" applyFont="1" applyBorder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2" fontId="8" fillId="0" borderId="9" xfId="0" applyNumberFormat="1" applyFont="1" applyBorder="1" applyAlignment="1">
      <alignment horizontal="center" vertical="top"/>
    </xf>
    <xf numFmtId="4" fontId="8" fillId="0" borderId="8" xfId="1" applyNumberFormat="1" applyFont="1" applyBorder="1" applyAlignment="1">
      <alignment horizontal="center" vertical="top"/>
    </xf>
    <xf numFmtId="4" fontId="8" fillId="0" borderId="0" xfId="1" applyNumberFormat="1" applyFont="1" applyAlignment="1">
      <alignment horizontal="center" vertical="top"/>
    </xf>
    <xf numFmtId="4" fontId="8" fillId="0" borderId="9" xfId="1" applyNumberFormat="1" applyFont="1" applyBorder="1" applyAlignment="1">
      <alignment horizontal="center" vertical="top"/>
    </xf>
    <xf numFmtId="2" fontId="4" fillId="0" borderId="8" xfId="1" applyNumberFormat="1" applyFont="1" applyBorder="1" applyAlignment="1">
      <alignment horizontal="center" vertical="justify"/>
    </xf>
    <xf numFmtId="2" fontId="4" fillId="0" borderId="0" xfId="1" applyNumberFormat="1" applyFont="1" applyAlignment="1">
      <alignment horizontal="center" vertical="justify"/>
    </xf>
    <xf numFmtId="2" fontId="4" fillId="0" borderId="9" xfId="1" applyNumberFormat="1" applyFont="1" applyBorder="1" applyAlignment="1">
      <alignment horizontal="center" vertical="justify"/>
    </xf>
    <xf numFmtId="2" fontId="8" fillId="0" borderId="8" xfId="3" applyNumberFormat="1" applyFont="1" applyBorder="1" applyAlignment="1">
      <alignment horizontal="center"/>
    </xf>
    <xf numFmtId="2" fontId="8" fillId="0" borderId="0" xfId="3" applyNumberFormat="1" applyFont="1" applyAlignment="1">
      <alignment horizontal="center"/>
    </xf>
    <xf numFmtId="2" fontId="8" fillId="0" borderId="9" xfId="3" applyNumberFormat="1" applyFont="1" applyBorder="1" applyAlignment="1">
      <alignment horizontal="center"/>
    </xf>
    <xf numFmtId="4" fontId="4" fillId="0" borderId="8" xfId="3" applyNumberFormat="1" applyFont="1" applyBorder="1" applyAlignment="1">
      <alignment horizontal="center"/>
    </xf>
    <xf numFmtId="165" fontId="4" fillId="0" borderId="0" xfId="3" applyFont="1" applyAlignment="1">
      <alignment horizontal="center"/>
    </xf>
    <xf numFmtId="165" fontId="4" fillId="0" borderId="9" xfId="3" applyFont="1" applyBorder="1" applyAlignment="1">
      <alignment horizontal="center"/>
    </xf>
    <xf numFmtId="4" fontId="4" fillId="0" borderId="8" xfId="3" applyNumberFormat="1" applyFont="1" applyBorder="1" applyAlignment="1">
      <alignment horizontal="center" vertical="center"/>
    </xf>
    <xf numFmtId="4" fontId="4" fillId="0" borderId="0" xfId="3" applyNumberFormat="1" applyFont="1" applyAlignment="1">
      <alignment horizontal="center" vertical="center"/>
    </xf>
    <xf numFmtId="4" fontId="4" fillId="0" borderId="9" xfId="3" applyNumberFormat="1" applyFont="1" applyBorder="1" applyAlignment="1">
      <alignment horizontal="center" vertical="center"/>
    </xf>
    <xf numFmtId="2" fontId="4" fillId="0" borderId="8" xfId="3" applyNumberFormat="1" applyFont="1" applyBorder="1" applyAlignment="1">
      <alignment horizontal="center" vertical="center"/>
    </xf>
    <xf numFmtId="2" fontId="4" fillId="0" borderId="0" xfId="3" applyNumberFormat="1" applyFont="1" applyAlignment="1">
      <alignment horizontal="center" vertical="center"/>
    </xf>
    <xf numFmtId="2" fontId="4" fillId="0" borderId="9" xfId="3" applyNumberFormat="1" applyFont="1" applyBorder="1" applyAlignment="1">
      <alignment horizontal="center" vertical="center"/>
    </xf>
    <xf numFmtId="0" fontId="4" fillId="0" borderId="0" xfId="3" applyNumberFormat="1" applyFont="1" applyAlignment="1">
      <alignment horizontal="left" vertical="top" wrapText="1"/>
    </xf>
    <xf numFmtId="0" fontId="4" fillId="0" borderId="9" xfId="3" applyNumberFormat="1" applyFont="1" applyBorder="1" applyAlignment="1">
      <alignment horizontal="left" vertical="top" wrapText="1"/>
    </xf>
    <xf numFmtId="4" fontId="4" fillId="0" borderId="8" xfId="3" applyNumberFormat="1" applyFont="1" applyBorder="1" applyAlignment="1">
      <alignment horizontal="center" vertical="top"/>
    </xf>
    <xf numFmtId="4" fontId="4" fillId="0" borderId="0" xfId="3" applyNumberFormat="1" applyFont="1" applyAlignment="1">
      <alignment horizontal="center" vertical="top"/>
    </xf>
    <xf numFmtId="4" fontId="4" fillId="0" borderId="9" xfId="3" applyNumberFormat="1" applyFont="1" applyBorder="1" applyAlignment="1">
      <alignment horizontal="center" vertical="top"/>
    </xf>
    <xf numFmtId="2" fontId="4" fillId="0" borderId="8" xfId="3" applyNumberFormat="1" applyFont="1" applyBorder="1" applyAlignment="1">
      <alignment horizontal="center" vertical="top"/>
    </xf>
    <xf numFmtId="2" fontId="4" fillId="0" borderId="0" xfId="3" applyNumberFormat="1" applyFont="1" applyAlignment="1">
      <alignment horizontal="center" vertical="top"/>
    </xf>
    <xf numFmtId="2" fontId="4" fillId="0" borderId="9" xfId="3" applyNumberFormat="1" applyFont="1" applyBorder="1" applyAlignment="1">
      <alignment horizontal="center" vertical="top"/>
    </xf>
    <xf numFmtId="0" fontId="4" fillId="0" borderId="0" xfId="1" applyFont="1" applyAlignment="1">
      <alignment horizontal="center" vertical="top"/>
    </xf>
    <xf numFmtId="4" fontId="4" fillId="0" borderId="0" xfId="0" applyNumberFormat="1" applyFont="1" applyAlignment="1">
      <alignment horizontal="center" vertical="center"/>
    </xf>
    <xf numFmtId="168" fontId="4" fillId="0" borderId="0" xfId="0" applyFont="1" applyAlignment="1">
      <alignment horizontal="center" vertical="center"/>
    </xf>
    <xf numFmtId="4" fontId="17" fillId="0" borderId="8" xfId="3" applyNumberFormat="1" applyFont="1" applyBorder="1" applyAlignment="1">
      <alignment horizontal="center" vertical="center"/>
    </xf>
    <xf numFmtId="4" fontId="17" fillId="0" borderId="0" xfId="3" applyNumberFormat="1" applyFont="1" applyAlignment="1">
      <alignment horizontal="center" vertical="center"/>
    </xf>
    <xf numFmtId="4" fontId="17" fillId="0" borderId="9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left" vertical="center" wrapText="1"/>
    </xf>
    <xf numFmtId="165" fontId="8" fillId="0" borderId="9" xfId="3" applyFont="1" applyBorder="1" applyAlignment="1">
      <alignment horizontal="left" vertical="center" wrapText="1"/>
    </xf>
    <xf numFmtId="4" fontId="8" fillId="0" borderId="8" xfId="3" applyNumberFormat="1" applyFont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4" fontId="8" fillId="0" borderId="9" xfId="3" applyNumberFormat="1" applyFont="1" applyBorder="1" applyAlignment="1">
      <alignment horizontal="center" vertical="center"/>
    </xf>
    <xf numFmtId="2" fontId="8" fillId="0" borderId="8" xfId="3" applyNumberFormat="1" applyFont="1" applyBorder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8" fillId="0" borderId="9" xfId="3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/>
    </xf>
    <xf numFmtId="168" fontId="4" fillId="0" borderId="0" xfId="0" applyFont="1" applyAlignment="1">
      <alignment horizontal="center"/>
    </xf>
    <xf numFmtId="0" fontId="2" fillId="0" borderId="0" xfId="1" applyAlignment="1">
      <alignment horizontal="center"/>
    </xf>
    <xf numFmtId="2" fontId="8" fillId="0" borderId="8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9" xfId="0" applyNumberFormat="1" applyFont="1" applyBorder="1" applyAlignment="1">
      <alignment horizontal="center"/>
    </xf>
    <xf numFmtId="0" fontId="4" fillId="0" borderId="0" xfId="3" applyNumberFormat="1" applyFont="1" applyAlignment="1">
      <alignment horizontal="left" vertical="center" wrapText="1"/>
    </xf>
    <xf numFmtId="0" fontId="4" fillId="0" borderId="9" xfId="3" applyNumberFormat="1" applyFont="1" applyBorder="1" applyAlignment="1">
      <alignment horizontal="left" vertical="center" wrapText="1"/>
    </xf>
    <xf numFmtId="165" fontId="4" fillId="0" borderId="0" xfId="3" applyFont="1" applyAlignment="1">
      <alignment horizontal="left" vertical="center" wrapText="1"/>
    </xf>
    <xf numFmtId="165" fontId="4" fillId="0" borderId="9" xfId="3" applyFont="1" applyBorder="1" applyAlignment="1">
      <alignment horizontal="left" vertical="center" wrapText="1"/>
    </xf>
    <xf numFmtId="0" fontId="8" fillId="0" borderId="0" xfId="2" applyFont="1" applyAlignment="1">
      <alignment horizontal="left" wrapText="1"/>
    </xf>
    <xf numFmtId="4" fontId="4" fillId="0" borderId="0" xfId="3" applyNumberFormat="1" applyFont="1" applyAlignment="1">
      <alignment horizontal="center"/>
    </xf>
    <xf numFmtId="4" fontId="4" fillId="0" borderId="9" xfId="3" applyNumberFormat="1" applyFont="1" applyBorder="1" applyAlignment="1">
      <alignment horizontal="center"/>
    </xf>
    <xf numFmtId="2" fontId="4" fillId="0" borderId="8" xfId="3" applyNumberFormat="1" applyFont="1" applyBorder="1" applyAlignment="1">
      <alignment horizontal="center"/>
    </xf>
    <xf numFmtId="2" fontId="4" fillId="0" borderId="0" xfId="3" applyNumberFormat="1" applyFont="1" applyAlignment="1">
      <alignment horizontal="center"/>
    </xf>
    <xf numFmtId="2" fontId="4" fillId="0" borderId="9" xfId="3" applyNumberFormat="1" applyFont="1" applyBorder="1" applyAlignment="1">
      <alignment horizontal="center"/>
    </xf>
    <xf numFmtId="2" fontId="8" fillId="0" borderId="8" xfId="5" applyNumberFormat="1" applyFont="1" applyBorder="1" applyAlignment="1">
      <alignment horizontal="center" vertical="top"/>
    </xf>
    <xf numFmtId="2" fontId="8" fillId="0" borderId="0" xfId="5" applyNumberFormat="1" applyFont="1" applyAlignment="1">
      <alignment horizontal="center" vertical="top"/>
    </xf>
    <xf numFmtId="2" fontId="8" fillId="0" borderId="9" xfId="5" applyNumberFormat="1" applyFont="1" applyBorder="1" applyAlignment="1">
      <alignment horizontal="center" vertical="top"/>
    </xf>
    <xf numFmtId="0" fontId="8" fillId="0" borderId="0" xfId="3" applyNumberFormat="1" applyFont="1"/>
    <xf numFmtId="0" fontId="8" fillId="0" borderId="9" xfId="3" applyNumberFormat="1" applyFont="1" applyBorder="1"/>
    <xf numFmtId="0" fontId="8" fillId="0" borderId="8" xfId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8" fillId="0" borderId="9" xfId="1" applyFont="1" applyBorder="1" applyAlignment="1">
      <alignment horizontal="center" vertical="top"/>
    </xf>
    <xf numFmtId="4" fontId="4" fillId="0" borderId="8" xfId="4" applyNumberFormat="1" applyFont="1" applyFill="1" applyBorder="1" applyAlignment="1" applyProtection="1">
      <alignment horizontal="center" vertical="center"/>
    </xf>
    <xf numFmtId="4" fontId="4" fillId="0" borderId="0" xfId="4" applyNumberFormat="1" applyFont="1" applyFill="1" applyBorder="1" applyAlignment="1" applyProtection="1">
      <alignment horizontal="center" vertical="center"/>
    </xf>
    <xf numFmtId="4" fontId="4" fillId="0" borderId="9" xfId="4" applyNumberFormat="1" applyFont="1" applyFill="1" applyBorder="1" applyAlignment="1" applyProtection="1">
      <alignment horizontal="center" vertical="center"/>
    </xf>
    <xf numFmtId="166" fontId="8" fillId="0" borderId="8" xfId="15" applyNumberFormat="1" applyFont="1" applyBorder="1" applyAlignment="1">
      <alignment horizontal="center" vertical="top"/>
    </xf>
    <xf numFmtId="166" fontId="8" fillId="0" borderId="0" xfId="15" applyNumberFormat="1" applyFont="1" applyAlignment="1">
      <alignment horizontal="center" vertical="top"/>
    </xf>
    <xf numFmtId="166" fontId="8" fillId="0" borderId="9" xfId="15" applyNumberFormat="1" applyFont="1" applyBorder="1" applyAlignment="1">
      <alignment horizontal="center" vertical="top"/>
    </xf>
    <xf numFmtId="166" fontId="8" fillId="0" borderId="8" xfId="15" applyNumberFormat="1" applyFont="1" applyFill="1" applyBorder="1" applyAlignment="1">
      <alignment horizontal="center" vertical="top"/>
    </xf>
    <xf numFmtId="166" fontId="8" fillId="0" borderId="0" xfId="15" applyNumberFormat="1" applyFont="1" applyFill="1" applyAlignment="1">
      <alignment horizontal="center" vertical="top"/>
    </xf>
    <xf numFmtId="166" fontId="8" fillId="0" borderId="9" xfId="15" applyNumberFormat="1" applyFont="1" applyFill="1" applyBorder="1" applyAlignment="1">
      <alignment horizontal="center" vertical="top"/>
    </xf>
    <xf numFmtId="0" fontId="8" fillId="0" borderId="0" xfId="3" applyNumberFormat="1" applyFont="1" applyAlignment="1">
      <alignment horizontal="left" vertical="top" wrapText="1"/>
    </xf>
    <xf numFmtId="0" fontId="8" fillId="0" borderId="9" xfId="3" applyNumberFormat="1" applyFont="1" applyBorder="1" applyAlignment="1">
      <alignment horizontal="left" vertical="top" wrapText="1"/>
    </xf>
    <xf numFmtId="4" fontId="8" fillId="0" borderId="8" xfId="4" applyNumberFormat="1" applyFont="1" applyFill="1" applyBorder="1" applyAlignment="1">
      <alignment horizontal="center"/>
    </xf>
    <xf numFmtId="4" fontId="8" fillId="0" borderId="0" xfId="4" applyNumberFormat="1" applyFont="1" applyFill="1" applyBorder="1" applyAlignment="1">
      <alignment horizontal="center"/>
    </xf>
    <xf numFmtId="4" fontId="8" fillId="0" borderId="9" xfId="4" applyNumberFormat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5" fillId="0" borderId="0" xfId="1" applyFont="1" applyAlignment="1">
      <alignment horizontal="left" vertical="top" wrapText="1"/>
    </xf>
    <xf numFmtId="2" fontId="8" fillId="0" borderId="0" xfId="9" applyNumberFormat="1" applyFont="1" applyAlignment="1">
      <alignment horizontal="left" vertical="top" wrapText="1"/>
    </xf>
    <xf numFmtId="2" fontId="8" fillId="0" borderId="9" xfId="9" applyNumberFormat="1" applyFont="1" applyBorder="1" applyAlignment="1">
      <alignment horizontal="left" vertical="top" wrapText="1"/>
    </xf>
    <xf numFmtId="2" fontId="4" fillId="0" borderId="8" xfId="9" applyNumberFormat="1" applyFont="1" applyBorder="1" applyAlignment="1">
      <alignment horizontal="center" vertical="top"/>
    </xf>
    <xf numFmtId="2" fontId="4" fillId="0" borderId="0" xfId="9" applyNumberFormat="1" applyFont="1" applyAlignment="1">
      <alignment horizontal="center" vertical="top"/>
    </xf>
    <xf numFmtId="2" fontId="4" fillId="0" borderId="9" xfId="9" applyNumberFormat="1" applyFont="1" applyBorder="1" applyAlignment="1">
      <alignment horizontal="center" vertical="top"/>
    </xf>
    <xf numFmtId="171" fontId="8" fillId="0" borderId="8" xfId="10" applyFont="1" applyBorder="1" applyAlignment="1">
      <alignment horizontal="center"/>
    </xf>
    <xf numFmtId="171" fontId="8" fillId="0" borderId="0" xfId="10" applyFont="1" applyAlignment="1">
      <alignment horizontal="center"/>
    </xf>
    <xf numFmtId="171" fontId="8" fillId="0" borderId="9" xfId="10" applyFont="1" applyBorder="1" applyAlignment="1">
      <alignment horizontal="center"/>
    </xf>
    <xf numFmtId="2" fontId="4" fillId="0" borderId="8" xfId="9" applyNumberFormat="1" applyFont="1" applyBorder="1" applyAlignment="1">
      <alignment horizontal="center"/>
    </xf>
    <xf numFmtId="2" fontId="4" fillId="0" borderId="0" xfId="9" applyNumberFormat="1" applyFont="1" applyAlignment="1">
      <alignment horizontal="center"/>
    </xf>
    <xf numFmtId="2" fontId="4" fillId="0" borderId="9" xfId="9" applyNumberFormat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165" fontId="4" fillId="0" borderId="8" xfId="3" applyFont="1" applyBorder="1" applyAlignment="1">
      <alignment horizontal="center" vertical="center"/>
    </xf>
    <xf numFmtId="165" fontId="4" fillId="0" borderId="0" xfId="3" applyFont="1" applyAlignment="1">
      <alignment horizontal="center" vertical="center"/>
    </xf>
    <xf numFmtId="165" fontId="4" fillId="0" borderId="9" xfId="3" applyFont="1" applyBorder="1" applyAlignment="1">
      <alignment horizontal="center" vertical="center"/>
    </xf>
    <xf numFmtId="165" fontId="8" fillId="0" borderId="8" xfId="3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8" fillId="0" borderId="9" xfId="3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164" fontId="4" fillId="0" borderId="0" xfId="16" applyFont="1" applyAlignment="1">
      <alignment horizontal="left"/>
    </xf>
    <xf numFmtId="2" fontId="8" fillId="0" borderId="0" xfId="9" applyNumberFormat="1" applyFont="1" applyAlignment="1">
      <alignment horizontal="left" wrapText="1"/>
    </xf>
    <xf numFmtId="2" fontId="8" fillId="0" borderId="9" xfId="9" applyNumberFormat="1" applyFont="1" applyBorder="1" applyAlignment="1">
      <alignment horizontal="left" wrapText="1"/>
    </xf>
    <xf numFmtId="164" fontId="8" fillId="0" borderId="8" xfId="16" applyFont="1" applyBorder="1" applyAlignment="1">
      <alignment horizontal="center" vertical="center"/>
    </xf>
    <xf numFmtId="164" fontId="8" fillId="0" borderId="0" xfId="16" applyFont="1" applyBorder="1" applyAlignment="1">
      <alignment horizontal="center" vertical="center"/>
    </xf>
    <xf numFmtId="164" fontId="8" fillId="0" borderId="9" xfId="16" applyFont="1" applyBorder="1" applyAlignment="1">
      <alignment horizontal="center" vertical="center"/>
    </xf>
    <xf numFmtId="164" fontId="8" fillId="0" borderId="8" xfId="16" applyFont="1" applyBorder="1" applyAlignment="1">
      <alignment horizontal="center" vertical="top"/>
    </xf>
    <xf numFmtId="164" fontId="8" fillId="0" borderId="0" xfId="16" applyFont="1" applyAlignment="1">
      <alignment horizontal="center" vertical="top"/>
    </xf>
    <xf numFmtId="164" fontId="8" fillId="0" borderId="9" xfId="16" applyFont="1" applyBorder="1" applyAlignment="1">
      <alignment horizontal="center" vertical="top"/>
    </xf>
    <xf numFmtId="164" fontId="4" fillId="0" borderId="8" xfId="16" applyFont="1" applyFill="1" applyBorder="1" applyAlignment="1">
      <alignment horizontal="center" vertical="top"/>
    </xf>
    <xf numFmtId="164" fontId="4" fillId="0" borderId="0" xfId="16" applyFont="1" applyFill="1" applyBorder="1" applyAlignment="1">
      <alignment horizontal="center" vertical="top"/>
    </xf>
    <xf numFmtId="164" fontId="4" fillId="0" borderId="9" xfId="16" applyFont="1" applyFill="1" applyBorder="1" applyAlignment="1">
      <alignment horizontal="center" vertical="top"/>
    </xf>
    <xf numFmtId="0" fontId="8" fillId="0" borderId="0" xfId="0" applyNumberFormat="1" applyFont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166" fontId="4" fillId="0" borderId="4" xfId="4" applyNumberFormat="1" applyFont="1" applyFill="1" applyBorder="1" applyAlignment="1">
      <alignment horizontal="center"/>
    </xf>
    <xf numFmtId="166" fontId="4" fillId="0" borderId="5" xfId="4" applyNumberFormat="1" applyFont="1" applyFill="1" applyBorder="1" applyAlignment="1">
      <alignment horizontal="center"/>
    </xf>
    <xf numFmtId="166" fontId="4" fillId="0" borderId="6" xfId="4" applyNumberFormat="1" applyFont="1" applyFill="1" applyBorder="1" applyAlignment="1">
      <alignment horizontal="center"/>
    </xf>
  </cellXfs>
  <cellStyles count="27">
    <cellStyle name="Comma" xfId="16" builtinId="3"/>
    <cellStyle name="Comma 10" xfId="19" xr:uid="{E02455C6-3561-1A4E-8090-F5F3322F2CFA}"/>
    <cellStyle name="Comma 11" xfId="23" xr:uid="{8BBCC44D-B7FC-BA40-8D64-65A740F358DF}"/>
    <cellStyle name="Comma 12" xfId="15" xr:uid="{A2208DFA-FB2E-3042-A62F-EA65F8729943}"/>
    <cellStyle name="Comma 3 6 2" xfId="4" xr:uid="{C6130431-ECC8-7541-9067-26E0D915DA2F}"/>
    <cellStyle name="Normal" xfId="0" builtinId="0"/>
    <cellStyle name="Normal 11 4" xfId="14" xr:uid="{288B41C3-DF84-8248-81C9-9B70069F22E2}"/>
    <cellStyle name="Normal 12" xfId="5" xr:uid="{D21D0174-642B-5F41-9288-AFCCE344B6CB}"/>
    <cellStyle name="Normal 12 3" xfId="11" xr:uid="{55EF8D2F-0666-FB49-AA52-A8370479F7D9}"/>
    <cellStyle name="Normal 14 3" xfId="24" xr:uid="{BDD039A2-8C05-4744-9CA8-1E42A637184B}"/>
    <cellStyle name="Normal 15" xfId="1" xr:uid="{12686CE9-DB06-6D47-AE33-AA9704A8C15C}"/>
    <cellStyle name="Normal 15 2" xfId="10" xr:uid="{C4B23C87-72BC-6849-83AE-13710BDA6F63}"/>
    <cellStyle name="Normal 15 2 2" xfId="8" xr:uid="{6918F5CA-E1AF-554B-8041-D37472881A6C}"/>
    <cellStyle name="Normal 15 3" xfId="3" xr:uid="{2B2FB6A0-9F2D-3741-B2BD-B7EAA4CEB811}"/>
    <cellStyle name="Normal 15 3 2 2" xfId="9" xr:uid="{55233B64-309A-034A-AECA-54A5366BF36B}"/>
    <cellStyle name="Normal 16" xfId="20" xr:uid="{A52DC40E-4F6C-814A-A2C3-A58C7051224E}"/>
    <cellStyle name="Normal 2 10" xfId="13" xr:uid="{97826B9F-C4A3-4D4A-925F-DD2A8CBE2AE2}"/>
    <cellStyle name="Normal 2 2 3 3" xfId="6" xr:uid="{499C8F04-8E0B-C84B-8214-0FF7A672F1C6}"/>
    <cellStyle name="Normal 2 2 4" xfId="2" xr:uid="{BFB8161A-812C-6441-B49C-B42A60553C79}"/>
    <cellStyle name="Normal 26" xfId="21" xr:uid="{021CAB5B-791B-6B4A-8064-2FF902ADB1BE}"/>
    <cellStyle name="Normal 27" xfId="18" xr:uid="{C123728E-062E-F644-883F-3A3D6C8FC0DA}"/>
    <cellStyle name="Normal 29" xfId="7" xr:uid="{2AB77CC7-E8A2-B74E-A86B-528D9B8D1F8F}"/>
    <cellStyle name="Normal 3 2 2 2 2 3" xfId="17" xr:uid="{250152A7-D22D-754A-A4F4-073C911C49EC}"/>
    <cellStyle name="Normal 35" xfId="12" xr:uid="{4F138AC4-5E40-7740-AFB7-F6EC7497148D}"/>
    <cellStyle name="Normal_ABC" xfId="22" xr:uid="{3602EB00-8158-A141-AEF5-18AB28CB1EF8}"/>
    <cellStyle name="Normal_BOE" xfId="25" xr:uid="{23E5548F-0464-CD4B-8C33-7108BB7B9D3D}"/>
    <cellStyle name="Percent" xfId="26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ABC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AB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14</xdr:row>
      <xdr:rowOff>0</xdr:rowOff>
    </xdr:from>
    <xdr:to>
      <xdr:col>24</xdr:col>
      <xdr:colOff>653143</xdr:colOff>
      <xdr:row>16</xdr:row>
      <xdr:rowOff>54429</xdr:rowOff>
    </xdr:to>
    <xdr:sp macro="" textlink="">
      <xdr:nvSpPr>
        <xdr:cNvPr id="2" name="Righ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2C381-1331-614A-B966-A43CA98D1B58}"/>
            </a:ext>
          </a:extLst>
        </xdr:cNvPr>
        <xdr:cNvSpPr/>
      </xdr:nvSpPr>
      <xdr:spPr>
        <a:xfrm>
          <a:off x="13042900" y="2717800"/>
          <a:ext cx="653143" cy="435429"/>
        </a:xfrm>
        <a:prstGeom prst="rightArrow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50800" dir="5400000" algn="ctr" rotWithShape="0">
            <a:schemeClr val="tx1"/>
          </a:outerShdw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3d prstMaterial="dkEdge"/>
        </a:bodyPr>
        <a:lstStyle/>
        <a:p>
          <a:pPr algn="ctr"/>
          <a:r>
            <a:rPr lang="en-PH" sz="1100" b="1"/>
            <a:t>ABC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14</xdr:row>
      <xdr:rowOff>0</xdr:rowOff>
    </xdr:from>
    <xdr:to>
      <xdr:col>24</xdr:col>
      <xdr:colOff>653143</xdr:colOff>
      <xdr:row>16</xdr:row>
      <xdr:rowOff>54429</xdr:rowOff>
    </xdr:to>
    <xdr:sp macro="" textlink="">
      <xdr:nvSpPr>
        <xdr:cNvPr id="2" name="Righ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65C808-3245-4141-96FF-143EC766980E}"/>
            </a:ext>
          </a:extLst>
        </xdr:cNvPr>
        <xdr:cNvSpPr/>
      </xdr:nvSpPr>
      <xdr:spPr>
        <a:xfrm>
          <a:off x="13042900" y="2717800"/>
          <a:ext cx="653143" cy="435429"/>
        </a:xfrm>
        <a:prstGeom prst="rightArrow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50800" dir="5400000" algn="ctr" rotWithShape="0">
            <a:schemeClr val="tx1"/>
          </a:outerShdw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3d prstMaterial="dkEdge"/>
        </a:bodyPr>
        <a:lstStyle/>
        <a:p>
          <a:pPr algn="ctr"/>
          <a:r>
            <a:rPr lang="en-PH" sz="1100" b="1"/>
            <a:t>ABC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EAD1-66B1-E340-BC69-C8CAFD49E0B8}">
  <sheetPr codeName="Sheet1">
    <tabColor rgb="FFFFFF00"/>
  </sheetPr>
  <dimension ref="A1:M81"/>
  <sheetViews>
    <sheetView showGridLines="0" tabSelected="1" topLeftCell="B1" zoomScale="85" zoomScaleNormal="85" workbookViewId="0">
      <pane ySplit="8" topLeftCell="A15" activePane="bottomLeft" state="frozen"/>
      <selection activeCell="X57" sqref="X57"/>
      <selection pane="bottomLeft" activeCell="L15" sqref="L15"/>
    </sheetView>
  </sheetViews>
  <sheetFormatPr defaultColWidth="0" defaultRowHeight="15" zeroHeight="1" x14ac:dyDescent="0.25"/>
  <cols>
    <col min="1" max="1" width="10" style="469" customWidth="1"/>
    <col min="2" max="2" width="40.42578125" style="469" bestFit="1" customWidth="1"/>
    <col min="3" max="3" width="9.5703125" style="469" bestFit="1" customWidth="1"/>
    <col min="4" max="4" width="7.7109375" style="469" bestFit="1" customWidth="1"/>
    <col min="5" max="5" width="44" style="486" bestFit="1" customWidth="1"/>
    <col min="6" max="6" width="11.5703125" style="469" bestFit="1" customWidth="1"/>
    <col min="7" max="7" width="13.42578125" style="469" customWidth="1"/>
    <col min="8" max="8" width="15" style="469" bestFit="1" customWidth="1"/>
    <col min="9" max="9" width="12" style="469" bestFit="1" customWidth="1"/>
    <col min="10" max="10" width="13.140625" style="469" bestFit="1" customWidth="1"/>
    <col min="11" max="11" width="11.5703125" style="469" bestFit="1" customWidth="1"/>
    <col min="12" max="12" width="20" style="469" bestFit="1" customWidth="1"/>
    <col min="13" max="13" width="11.5703125" style="469" bestFit="1" customWidth="1"/>
    <col min="14" max="16384" width="10.85546875" style="469" hidden="1"/>
  </cols>
  <sheetData>
    <row r="1" spans="1:13" ht="24.95" customHeight="1" x14ac:dyDescent="0.35">
      <c r="A1" s="468"/>
      <c r="B1" s="468"/>
      <c r="C1" s="468"/>
      <c r="D1" s="468"/>
      <c r="E1" s="485"/>
      <c r="F1" s="468"/>
      <c r="G1" s="468"/>
      <c r="H1" s="468"/>
      <c r="I1" s="468"/>
      <c r="J1" s="468"/>
      <c r="K1" s="468"/>
      <c r="L1" s="468"/>
    </row>
    <row r="2" spans="1:13" ht="38.1" customHeight="1" x14ac:dyDescent="0.25">
      <c r="A2" s="491" t="s">
        <v>421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</row>
    <row r="3" spans="1:13" ht="23.25" x14ac:dyDescent="0.35">
      <c r="A3" s="468"/>
      <c r="B3" s="468"/>
      <c r="C3" s="468"/>
      <c r="D3" s="468"/>
      <c r="E3" s="485"/>
      <c r="F3" s="468"/>
      <c r="G3" s="468"/>
      <c r="H3" s="468"/>
      <c r="I3" s="468"/>
      <c r="J3" s="468"/>
      <c r="K3" s="468"/>
      <c r="L3" s="468"/>
    </row>
    <row r="4" spans="1:13" ht="20.100000000000001" customHeight="1" x14ac:dyDescent="0.35">
      <c r="A4" s="468"/>
      <c r="B4" s="470" t="s">
        <v>297</v>
      </c>
      <c r="C4" s="496" t="s">
        <v>419</v>
      </c>
      <c r="D4" s="496"/>
      <c r="E4" s="496"/>
      <c r="F4" s="496"/>
      <c r="G4" s="496"/>
      <c r="H4" s="496"/>
      <c r="I4" s="496"/>
      <c r="J4" s="468"/>
      <c r="K4" s="468"/>
      <c r="L4" s="468"/>
    </row>
    <row r="5" spans="1:13" ht="20.100000000000001" customHeight="1" x14ac:dyDescent="0.35">
      <c r="A5" s="468"/>
      <c r="B5" s="470" t="s">
        <v>335</v>
      </c>
      <c r="C5" s="497" t="s">
        <v>420</v>
      </c>
      <c r="D5" s="497"/>
      <c r="E5" s="497"/>
      <c r="F5" s="497"/>
      <c r="G5" s="497"/>
      <c r="H5" s="497"/>
      <c r="I5" s="497"/>
      <c r="J5" s="468"/>
      <c r="K5" s="468"/>
      <c r="L5" s="468"/>
    </row>
    <row r="6" spans="1:13" x14ac:dyDescent="0.25"/>
    <row r="7" spans="1:13" s="472" customFormat="1" ht="15" customHeight="1" x14ac:dyDescent="0.25">
      <c r="A7" s="492" t="s">
        <v>332</v>
      </c>
      <c r="B7" s="494" t="s">
        <v>210</v>
      </c>
      <c r="C7" s="494" t="s">
        <v>211</v>
      </c>
      <c r="D7" s="495" t="s">
        <v>212</v>
      </c>
      <c r="E7" s="494" t="s">
        <v>213</v>
      </c>
      <c r="F7" s="493" t="s">
        <v>214</v>
      </c>
      <c r="G7" s="493"/>
      <c r="H7" s="493"/>
      <c r="I7" s="493" t="s">
        <v>218</v>
      </c>
      <c r="J7" s="493"/>
      <c r="K7" s="493"/>
      <c r="L7" s="483"/>
      <c r="M7" s="484"/>
    </row>
    <row r="8" spans="1:13" s="472" customFormat="1" ht="47.25" x14ac:dyDescent="0.25">
      <c r="A8" s="492"/>
      <c r="B8" s="494"/>
      <c r="C8" s="494"/>
      <c r="D8" s="495"/>
      <c r="E8" s="494"/>
      <c r="F8" s="482" t="s">
        <v>342</v>
      </c>
      <c r="G8" s="482" t="s">
        <v>343</v>
      </c>
      <c r="H8" s="483" t="s">
        <v>344</v>
      </c>
      <c r="I8" s="483" t="s">
        <v>215</v>
      </c>
      <c r="J8" s="483" t="s">
        <v>216</v>
      </c>
      <c r="K8" s="483" t="s">
        <v>217</v>
      </c>
      <c r="L8" s="483" t="s">
        <v>63</v>
      </c>
      <c r="M8" s="483" t="s">
        <v>47</v>
      </c>
    </row>
    <row r="9" spans="1:13" ht="17.25" x14ac:dyDescent="0.3">
      <c r="A9" s="488" t="s">
        <v>424</v>
      </c>
      <c r="B9" s="489"/>
      <c r="C9" s="489"/>
      <c r="D9" s="489"/>
      <c r="E9" s="489"/>
      <c r="F9" s="489"/>
      <c r="G9" s="489"/>
      <c r="H9" s="489"/>
      <c r="I9" s="489"/>
      <c r="J9" s="489"/>
      <c r="K9" s="489"/>
      <c r="L9" s="489"/>
      <c r="M9" s="490"/>
    </row>
    <row r="10" spans="1:13" x14ac:dyDescent="0.25">
      <c r="A10" s="477" t="str">
        <f>'800(1) Clearing &amp; Grab'!E5</f>
        <v>800(1)</v>
      </c>
      <c r="B10" s="477" t="str">
        <f>'800(1) Clearing &amp; Grab'!G5</f>
        <v>CLEARING AND GRUBBING</v>
      </c>
      <c r="C10" s="467">
        <v>200</v>
      </c>
      <c r="D10" s="477" t="str">
        <f>'800(1) Clearing &amp; Grab'!G8</f>
        <v>SQ.M.</v>
      </c>
      <c r="E10" s="487" t="s">
        <v>333</v>
      </c>
      <c r="F10" s="408">
        <f>'800(1) Clearing &amp; Grab'!T20</f>
        <v>600</v>
      </c>
      <c r="G10" s="408">
        <f>'800(1) Clearing &amp; Grab'!T29</f>
        <v>21555.200000000001</v>
      </c>
      <c r="H10" s="408">
        <f>'800(1) Clearing &amp; Grab'!T46</f>
        <v>0</v>
      </c>
      <c r="I10" s="408">
        <f>'800(1) Clearing &amp; Grab'!T48</f>
        <v>1107.76</v>
      </c>
      <c r="J10" s="408">
        <f>'800(1) Clearing &amp; Grab'!T49</f>
        <v>2215.52</v>
      </c>
      <c r="K10" s="408">
        <f>'800(1) Clearing &amp; Grab'!T50</f>
        <v>0</v>
      </c>
      <c r="L10" s="408">
        <f>SUM(F10:K10)</f>
        <v>25478.48</v>
      </c>
      <c r="M10" s="408">
        <f>L10/C10</f>
        <v>127.39239999999999</v>
      </c>
    </row>
    <row r="11" spans="1:13" ht="30" x14ac:dyDescent="0.25">
      <c r="A11" s="477" t="str">
        <f>'800(3)a Ind Remov of Trees'!E5</f>
        <v>800(3)a</v>
      </c>
      <c r="B11" s="478" t="str">
        <f>'800(3)a Ind Remov of Trees'!G5</f>
        <v>INDIVIDUAL REMOVAL OF TREES (UPTO 300MM DIAMETER)</v>
      </c>
      <c r="C11" s="467">
        <v>2</v>
      </c>
      <c r="D11" s="477" t="str">
        <f>'800(3)a Ind Remov of Trees'!E6</f>
        <v>EACH</v>
      </c>
      <c r="E11" s="479" t="s">
        <v>334</v>
      </c>
      <c r="F11" s="408">
        <f>'800(3)a Ind Remov of Trees'!T20</f>
        <v>550</v>
      </c>
      <c r="G11" s="408">
        <f>'800(3)a Ind Remov of Trees'!T30</f>
        <v>3908.94</v>
      </c>
      <c r="H11" s="408">
        <f>'800(3)a Ind Remov of Trees'!T47</f>
        <v>0</v>
      </c>
      <c r="I11" s="408">
        <f>'800(3)a Ind Remov of Trees'!T49</f>
        <v>222.94700000000003</v>
      </c>
      <c r="J11" s="408">
        <f>'800(3)a Ind Remov of Trees'!T50</f>
        <v>445.89400000000006</v>
      </c>
      <c r="K11" s="408">
        <f>'800(3)a Ind Remov of Trees'!T51</f>
        <v>0</v>
      </c>
      <c r="L11" s="408">
        <f t="shared" ref="L11:L58" si="0">SUM(F11:K11)</f>
        <v>5127.7810000000009</v>
      </c>
      <c r="M11" s="408">
        <f t="shared" ref="M11:M57" si="1">L11/C11</f>
        <v>2563.8905000000004</v>
      </c>
    </row>
    <row r="12" spans="1:13" x14ac:dyDescent="0.25">
      <c r="A12" s="477" t="str">
        <f>'803(1)a-Struc Exca Common Soil'!E5</f>
        <v>803(1)a</v>
      </c>
      <c r="B12" s="477" t="str">
        <f>'803(1)a-Struc Exca Common Soil'!G5</f>
        <v>STRUCTURE EXCAVATION (COMMON SOIL)</v>
      </c>
      <c r="C12" s="467">
        <v>23</v>
      </c>
      <c r="D12" s="477" t="str">
        <f>'803(1)a-Struc Exca Common Soil'!G8</f>
        <v>CU.M.</v>
      </c>
      <c r="E12" s="487" t="s">
        <v>336</v>
      </c>
      <c r="F12" s="408">
        <f>'803(1)a-Struc Exca Common Soil'!T19</f>
        <v>287.5</v>
      </c>
      <c r="G12" s="408">
        <f>'803(1)a-Struc Exca Common Soil'!T29</f>
        <v>4905.8999999999996</v>
      </c>
      <c r="H12" s="408">
        <f>'803(1)a-Struc Exca Common Soil'!T42</f>
        <v>0</v>
      </c>
      <c r="I12" s="408">
        <f>'803(1)a-Struc Exca Common Soil'!T44</f>
        <v>259.67</v>
      </c>
      <c r="J12" s="408">
        <f>'803(1)a-Struc Exca Common Soil'!T45</f>
        <v>519.34</v>
      </c>
      <c r="K12" s="408">
        <f>'803(1)a-Struc Exca Common Soil'!T46</f>
        <v>0</v>
      </c>
      <c r="L12" s="408">
        <f t="shared" si="0"/>
        <v>5972.41</v>
      </c>
      <c r="M12" s="408">
        <f t="shared" si="1"/>
        <v>259.67</v>
      </c>
    </row>
    <row r="13" spans="1:13" x14ac:dyDescent="0.25">
      <c r="A13" s="477" t="str">
        <f>'803(1)a-Struc Exca Soft Rock'!E5</f>
        <v>803(1)a</v>
      </c>
      <c r="B13" s="477" t="str">
        <f>'803(1)a-Struc Exca Soft Rock'!G5</f>
        <v>STRUCTURE EXCAVATION (SOFT ROCK)</v>
      </c>
      <c r="C13" s="467">
        <v>0</v>
      </c>
      <c r="D13" s="477" t="str">
        <f>'803(1)a-Struc Exca Soft Rock'!E6</f>
        <v>CU.M.</v>
      </c>
      <c r="E13" s="487" t="s">
        <v>336</v>
      </c>
      <c r="F13" s="408">
        <f>'803(1)a-Struc Exca Soft Rock'!T19</f>
        <v>0</v>
      </c>
      <c r="G13" s="408">
        <f>'803(1)a-Struc Exca Soft Rock'!T30</f>
        <v>0</v>
      </c>
      <c r="H13" s="408">
        <f>'803(1)a-Struc Exca Soft Rock'!T43</f>
        <v>0</v>
      </c>
      <c r="I13" s="408">
        <f>'803(1)a-Struc Exca Soft Rock'!T45</f>
        <v>0</v>
      </c>
      <c r="J13" s="408">
        <f>'803(1)a-Struc Exca Soft Rock'!T46</f>
        <v>0</v>
      </c>
      <c r="K13" s="408">
        <f>'803(1)a-Struc Exca Soft Rock'!T47</f>
        <v>0</v>
      </c>
      <c r="L13" s="408">
        <f t="shared" si="0"/>
        <v>0</v>
      </c>
      <c r="M13" s="408" t="e">
        <f t="shared" si="1"/>
        <v>#DIV/0!</v>
      </c>
    </row>
    <row r="14" spans="1:13" x14ac:dyDescent="0.25">
      <c r="A14" s="477" t="str">
        <f>'804(4) Gravel Bedding'!E5</f>
        <v>804(4)</v>
      </c>
      <c r="B14" s="477" t="str">
        <f>'804(4) Gravel Bedding'!G5</f>
        <v>GRAVEL BEDDING</v>
      </c>
      <c r="C14" s="467">
        <v>3</v>
      </c>
      <c r="D14" s="477" t="str">
        <f>'804(4) Gravel Bedding'!G8</f>
        <v>CU.M.</v>
      </c>
      <c r="E14" s="487" t="s">
        <v>340</v>
      </c>
      <c r="F14" s="408">
        <f>'804(4) Gravel Bedding'!T19</f>
        <v>625</v>
      </c>
      <c r="G14" s="408">
        <f>'804(4) Gravel Bedding'!T28</f>
        <v>677.5</v>
      </c>
      <c r="H14" s="408">
        <f>'804(4) Gravel Bedding'!T41</f>
        <v>4200</v>
      </c>
      <c r="I14" s="408">
        <f>'804(4) Gravel Bedding'!T43</f>
        <v>275.125</v>
      </c>
      <c r="J14" s="408">
        <f>'804(4) Gravel Bedding'!T44</f>
        <v>550.25</v>
      </c>
      <c r="K14" s="408">
        <f>'804(4) Gravel Bedding'!T45</f>
        <v>0</v>
      </c>
      <c r="L14" s="408">
        <f t="shared" si="0"/>
        <v>6327.875</v>
      </c>
      <c r="M14" s="408">
        <f t="shared" si="1"/>
        <v>2109.2916666666665</v>
      </c>
    </row>
    <row r="15" spans="1:13" ht="45" x14ac:dyDescent="0.25">
      <c r="A15" s="477" t="str">
        <f>'902(1)-Reinforced S for 1Storey'!E5</f>
        <v>902(1)</v>
      </c>
      <c r="B15" s="478" t="str">
        <f>'902(1)-Reinforced S for 1Storey'!G5</f>
        <v>REINFORCING STEEL OF REINFORCED CONCRETE STRUCTURES FOR ONE-STOREY, GRADE 40/60</v>
      </c>
      <c r="C15" s="467">
        <v>1200</v>
      </c>
      <c r="D15" s="477" t="str">
        <f>'902(1)-Reinforced S for 1Storey'!E6</f>
        <v>KGS.</v>
      </c>
      <c r="E15" s="479" t="s">
        <v>341</v>
      </c>
      <c r="F15" s="408">
        <f>'902(1)-Reinforced S for 1Storey'!T17</f>
        <v>7738.54</v>
      </c>
      <c r="G15" s="408">
        <f>'902(1)-Reinforced S for 1Storey'!T26</f>
        <v>3772.43</v>
      </c>
      <c r="H15" s="408">
        <f>'902(1)-Reinforced S for 1Storey'!T38</f>
        <v>96201</v>
      </c>
      <c r="I15" s="408">
        <f>'902(1)-Reinforced S for 1Storey'!T40</f>
        <v>5385.5985000000001</v>
      </c>
      <c r="J15" s="408">
        <f>'902(1)-Reinforced S for 1Storey'!T41</f>
        <v>10771.197</v>
      </c>
      <c r="K15" s="408">
        <f>'902(1)-Reinforced S for 1Storey'!T42</f>
        <v>0</v>
      </c>
      <c r="L15" s="408">
        <f t="shared" si="0"/>
        <v>123868.76549999999</v>
      </c>
      <c r="M15" s="408">
        <f t="shared" si="1"/>
        <v>103.22397124999999</v>
      </c>
    </row>
    <row r="16" spans="1:13" ht="51.95" customHeight="1" x14ac:dyDescent="0.25">
      <c r="A16" s="477" t="str">
        <f>'902(1)-Rein St for 2-5storey'!E5</f>
        <v>902(1)</v>
      </c>
      <c r="B16" s="478" t="str">
        <f>'902(1)-Rein St for 2-5storey'!G5</f>
        <v>REINFORCING STEEL OF REINFORCED CONCRETE STRUCTURES FOR TWO UPTO FIVE STOREY</v>
      </c>
      <c r="C16" s="467">
        <v>50</v>
      </c>
      <c r="D16" s="477" t="str">
        <f>'902(1)-Rein St for 2-5storey'!E6</f>
        <v>KGS.</v>
      </c>
      <c r="E16" s="479" t="s">
        <v>422</v>
      </c>
      <c r="F16" s="408">
        <f>'902(1)-Rein St for 2-5storey'!T17</f>
        <v>358.27</v>
      </c>
      <c r="G16" s="408">
        <f>'902(1)-Rein St for 2-5storey'!T26</f>
        <v>146.44999999999999</v>
      </c>
      <c r="H16" s="408">
        <f>'902(1)-Rein St for 2-5storey'!T38</f>
        <v>4008.38</v>
      </c>
      <c r="I16" s="408">
        <f>'902(1)-Rein St for 2-5storey'!T40</f>
        <v>225.65500000000003</v>
      </c>
      <c r="J16" s="408">
        <f>'902(1)-Rein St for 2-5storey'!T41</f>
        <v>451.31000000000006</v>
      </c>
      <c r="K16" s="408">
        <f>'902(1)-Rein St for 2-5storey'!T42</f>
        <v>0</v>
      </c>
      <c r="L16" s="408">
        <f t="shared" si="0"/>
        <v>5190.0650000000005</v>
      </c>
      <c r="M16" s="408">
        <f t="shared" si="1"/>
        <v>103.80130000000001</v>
      </c>
    </row>
    <row r="17" spans="1:13" ht="35.1" customHeight="1" x14ac:dyDescent="0.25">
      <c r="A17" s="477" t="str">
        <f>'900(1)c2 Struc Con for footing'!E5</f>
        <v>900(1)c2</v>
      </c>
      <c r="B17" s="479" t="str">
        <f>'900(1)c2 Struc Con for footing'!G5</f>
        <v>STRUCTURAL CONCRETE FOR FOOTING AND SLAB ON FILL (CLASS A, 28 DAYS)</v>
      </c>
      <c r="C17" s="467">
        <v>12.4</v>
      </c>
      <c r="D17" s="477" t="str">
        <f>'900(1)c2 Struc Con for footing'!G8</f>
        <v>CU.M.</v>
      </c>
      <c r="E17" s="479" t="s">
        <v>345</v>
      </c>
      <c r="F17" s="408">
        <f>'900(1)c2 Struc Con for footing'!T21</f>
        <v>13025.21</v>
      </c>
      <c r="G17" s="408">
        <f>'900(1)c2 Struc Con for footing'!T30</f>
        <v>7276.75</v>
      </c>
      <c r="H17" s="408">
        <f>'900(1)c2 Struc Con for footing'!T46</f>
        <v>55942.6</v>
      </c>
      <c r="I17" s="408">
        <f>'900(1)c2 Struc Con for footing'!T48</f>
        <v>3812.2280000000001</v>
      </c>
      <c r="J17" s="408">
        <f>'900(1)c2 Struc Con for footing'!T49</f>
        <v>7624.4560000000001</v>
      </c>
      <c r="K17" s="408">
        <f>'900(1)c2 Struc Con for footing'!T50</f>
        <v>0</v>
      </c>
      <c r="L17" s="408">
        <f t="shared" si="0"/>
        <v>87681.244000000006</v>
      </c>
      <c r="M17" s="408">
        <f t="shared" si="1"/>
        <v>7071.0680645161292</v>
      </c>
    </row>
    <row r="18" spans="1:13" ht="45" x14ac:dyDescent="0.25">
      <c r="A18" s="477" t="str">
        <f>'900(1)Struc Con for beam col su'!E5</f>
        <v>900(1)</v>
      </c>
      <c r="B18" s="478" t="str">
        <f>'900(1)Struc Con for beam col su'!G5</f>
        <v>STRUCTURAL CONCRETE FOR FOOTING TIE BEAM, COLUMN, SUSPENDED SLAB, GIRDER/BEAM (CLASS A, 28 DAYS)</v>
      </c>
      <c r="C18" s="467">
        <v>23.6</v>
      </c>
      <c r="D18" s="477" t="str">
        <f>'900(1)Struc Con for beam col su'!G8</f>
        <v>CU.M.</v>
      </c>
      <c r="E18" s="479" t="s">
        <v>346</v>
      </c>
      <c r="F18" s="408">
        <f>'900(1)Struc Con for beam col su'!T21</f>
        <v>32777.78</v>
      </c>
      <c r="G18" s="408">
        <f>'900(1)Struc Con for beam col su'!T30</f>
        <v>18311.849999999999</v>
      </c>
      <c r="H18" s="408">
        <f>'900(1)Struc Con for beam col su'!T46</f>
        <v>99391.4</v>
      </c>
      <c r="I18" s="408">
        <f>'900(1)Struc Con for beam col su'!T48</f>
        <v>7524.0515000000005</v>
      </c>
      <c r="J18" s="408">
        <f>'900(1)Struc Con for beam col su'!T49</f>
        <v>15048.103000000001</v>
      </c>
      <c r="K18" s="408">
        <f>'900(1)Struc Con for beam col su'!T50</f>
        <v>0</v>
      </c>
      <c r="L18" s="408">
        <f t="shared" si="0"/>
        <v>173053.1845</v>
      </c>
      <c r="M18" s="408">
        <f t="shared" si="1"/>
        <v>7332.762055084745</v>
      </c>
    </row>
    <row r="19" spans="1:13" ht="60" x14ac:dyDescent="0.25">
      <c r="A19" s="477" t="str">
        <f>'903(2) Formworks for 1-storey'!E5</f>
        <v xml:space="preserve">903(2) </v>
      </c>
      <c r="B19" s="478" t="str">
        <f>'903(2) Formworks for 1-storey'!G5</f>
        <v>FORMWORKS AND FALSEWORKS (FOR ONE-STOREY BUILDING)</v>
      </c>
      <c r="C19" s="467">
        <v>49</v>
      </c>
      <c r="D19" s="477" t="str">
        <f>'903(2) Formworks for 1-storey'!G8</f>
        <v>SQ.M.</v>
      </c>
      <c r="E19" s="479" t="s">
        <v>347</v>
      </c>
      <c r="F19" s="408">
        <f>'903(2) Formworks for 1-storey'!T22</f>
        <v>9285.7999999999993</v>
      </c>
      <c r="G19" s="408">
        <f>'903(2) Formworks for 1-storey'!T31</f>
        <v>928.58</v>
      </c>
      <c r="H19" s="408">
        <f>'903(2) Formworks for 1-storey'!T47</f>
        <v>29647.03</v>
      </c>
      <c r="I19" s="408">
        <f>'903(2) Formworks for 1-storey'!T49</f>
        <v>1993.0704999999998</v>
      </c>
      <c r="J19" s="408">
        <f>'903(2) Formworks for 1-storey'!T50</f>
        <v>3986.1409999999996</v>
      </c>
      <c r="K19" s="408">
        <f>'903(2) Formworks for 1-storey'!T51</f>
        <v>0</v>
      </c>
      <c r="L19" s="408">
        <f t="shared" si="0"/>
        <v>45840.621499999994</v>
      </c>
      <c r="M19" s="408">
        <f t="shared" si="1"/>
        <v>935.52288775510192</v>
      </c>
    </row>
    <row r="20" spans="1:13" ht="44.1" customHeight="1" x14ac:dyDescent="0.25">
      <c r="A20" s="480">
        <f>'1046 4"CHB'!E5</f>
        <v>1046</v>
      </c>
      <c r="B20" s="478" t="str">
        <f>'1046 4"CHB'!G5</f>
        <v>100MM CHB NON LOAD BEARING/LOAD BEARING (INCLUDING REINFORCING STEEL)</v>
      </c>
      <c r="C20" s="467">
        <v>189</v>
      </c>
      <c r="D20" s="477" t="str">
        <f>'1046 4"CHB'!E6</f>
        <v>SQ.M.</v>
      </c>
      <c r="E20" s="487" t="s">
        <v>348</v>
      </c>
      <c r="F20" s="408">
        <f>'1046 4"CHB'!T21</f>
        <v>19764.71</v>
      </c>
      <c r="G20" s="408">
        <f>'1046 4"CHB'!T30</f>
        <v>10475.290000000001</v>
      </c>
      <c r="H20" s="408">
        <f>'1046 4"CHB'!T46</f>
        <v>120511.13</v>
      </c>
      <c r="I20" s="408">
        <f>'1046 4"CHB'!T48</f>
        <v>7537.5565000000006</v>
      </c>
      <c r="J20" s="408">
        <f>'1046 4"CHB'!T49</f>
        <v>15075.113000000001</v>
      </c>
      <c r="K20" s="408">
        <f>'1046 4"CHB'!T50</f>
        <v>0</v>
      </c>
      <c r="L20" s="408">
        <f t="shared" si="0"/>
        <v>173363.79950000002</v>
      </c>
      <c r="M20" s="408">
        <f t="shared" si="1"/>
        <v>917.26878042328053</v>
      </c>
    </row>
    <row r="21" spans="1:13" ht="30" x14ac:dyDescent="0.25">
      <c r="A21" s="409">
        <f>'1046 6" CHB'!E5</f>
        <v>1046</v>
      </c>
      <c r="B21" s="478" t="str">
        <f>'1046 6" CHB'!G5</f>
        <v>150mm. CHB NON LOAD BEARING (including Reinforcing Steel)</v>
      </c>
      <c r="C21" s="467">
        <v>36</v>
      </c>
      <c r="D21" s="477" t="str">
        <f>'1046 6" CHB'!E6</f>
        <v>SQ.M.</v>
      </c>
      <c r="E21" s="487" t="s">
        <v>349</v>
      </c>
      <c r="F21" s="408">
        <f>'1046 6" CHB'!T21</f>
        <v>4528.3</v>
      </c>
      <c r="G21" s="408">
        <f>'1046 6" CHB'!T30</f>
        <v>2400</v>
      </c>
      <c r="H21" s="408">
        <f>'1046 6" CHB'!T46</f>
        <v>33660</v>
      </c>
      <c r="I21" s="408">
        <f>'1046 6" CHB'!T48</f>
        <v>2029.4150000000002</v>
      </c>
      <c r="J21" s="408">
        <f>'1046 6" CHB'!T49</f>
        <v>4058.8300000000004</v>
      </c>
      <c r="K21" s="408">
        <f>'1046 6" CHB'!T50</f>
        <v>0</v>
      </c>
      <c r="L21" s="408">
        <f t="shared" si="0"/>
        <v>46676.545000000006</v>
      </c>
      <c r="M21" s="408">
        <f t="shared" si="1"/>
        <v>1296.5706944444446</v>
      </c>
    </row>
    <row r="22" spans="1:13" ht="30" x14ac:dyDescent="0.25">
      <c r="A22" s="477" t="str">
        <f>'1027-Plaster'!E5</f>
        <v>1027(1)</v>
      </c>
      <c r="B22" s="478" t="str">
        <f>'1027-Plaster'!G5</f>
        <v>CEMENT PLASTER FINISH WITH 19MM THICK &amp; 1:3 MORTAR MIXTURE</v>
      </c>
      <c r="C22" s="467">
        <v>420</v>
      </c>
      <c r="D22" s="477" t="str">
        <f>'1027-Plaster'!G8</f>
        <v>SQ.M.</v>
      </c>
      <c r="E22" s="479" t="s">
        <v>350</v>
      </c>
      <c r="F22" s="408">
        <f>'1027-Plaster'!T20</f>
        <v>26526.32</v>
      </c>
      <c r="G22" s="408">
        <f>'1027-Plaster'!T29</f>
        <v>2652.63</v>
      </c>
      <c r="H22" s="408">
        <f>'1027-Plaster'!T45</f>
        <v>57141</v>
      </c>
      <c r="I22" s="408">
        <f>'1027-Plaster'!T47</f>
        <v>4315.9975000000004</v>
      </c>
      <c r="J22" s="408">
        <f>'1027-Plaster'!T48</f>
        <v>8631.9950000000008</v>
      </c>
      <c r="K22" s="408">
        <f>'1027-Plaster'!T49</f>
        <v>0</v>
      </c>
      <c r="L22" s="408">
        <f t="shared" si="0"/>
        <v>99267.94249999999</v>
      </c>
      <c r="M22" s="408">
        <f t="shared" si="1"/>
        <v>236.35224404761902</v>
      </c>
    </row>
    <row r="23" spans="1:13" ht="45" x14ac:dyDescent="0.25">
      <c r="A23" s="477" t="str">
        <f>'1047(2)b Struc Steel Truss'!E5</f>
        <v>1047(2)b</v>
      </c>
      <c r="B23" s="477" t="str">
        <f>'1047(2)b Struc Steel Truss'!G5</f>
        <v>STRUCTURAL STEEL ROOF TRUSS</v>
      </c>
      <c r="C23" s="467">
        <v>0</v>
      </c>
      <c r="D23" s="477" t="str">
        <f>'1047(2)b Struc Steel Truss'!G8</f>
        <v>KGS.</v>
      </c>
      <c r="E23" s="479" t="s">
        <v>356</v>
      </c>
      <c r="F23" s="408">
        <f>'1047(2)b Struc Steel Truss'!T27</f>
        <v>0</v>
      </c>
      <c r="G23" s="408">
        <f>'1047(2)b Struc Steel Truss'!T36</f>
        <v>0</v>
      </c>
      <c r="H23" s="408">
        <f>'1047(2)b Struc Steel Truss'!T52</f>
        <v>0</v>
      </c>
      <c r="I23" s="408">
        <f>'1047(2)b Struc Steel Truss'!T54</f>
        <v>0</v>
      </c>
      <c r="J23" s="408">
        <f>'1047(2)b Struc Steel Truss'!T55</f>
        <v>0</v>
      </c>
      <c r="K23" s="408">
        <f>'1047(2)b Struc Steel Truss'!T56</f>
        <v>0</v>
      </c>
      <c r="L23" s="408">
        <f t="shared" si="0"/>
        <v>0</v>
      </c>
      <c r="M23" s="408" t="e">
        <f t="shared" si="1"/>
        <v>#DIV/0!</v>
      </c>
    </row>
    <row r="24" spans="1:13" ht="45" x14ac:dyDescent="0.25">
      <c r="A24" s="477" t="str">
        <f>'1047(2)C Struc Steel Purlins'!E5</f>
        <v>1047(2)c</v>
      </c>
      <c r="B24" s="477" t="str">
        <f>'1047(2)C Struc Steel Purlins'!G5</f>
        <v>STRUCTURAL STEEL PURLINS</v>
      </c>
      <c r="C24" s="467">
        <v>200</v>
      </c>
      <c r="D24" s="477" t="str">
        <f>'1047(2)C Struc Steel Purlins'!G8</f>
        <v>KGS.</v>
      </c>
      <c r="E24" s="479" t="s">
        <v>355</v>
      </c>
      <c r="F24" s="408">
        <f>'1047(2)C Struc Steel Purlins'!T21</f>
        <v>995.02</v>
      </c>
      <c r="G24" s="408">
        <f>'1047(2)C Struc Steel Purlins'!T30</f>
        <v>895.52</v>
      </c>
      <c r="H24" s="408">
        <f>'1047(2)C Struc Steel Purlins'!T44</f>
        <v>16107</v>
      </c>
      <c r="I24" s="408">
        <f>'1047(2)C Struc Steel Purlins'!T46</f>
        <v>899.87700000000007</v>
      </c>
      <c r="J24" s="408">
        <f>'1047(2)C Struc Steel Purlins'!T47</f>
        <v>1799.7540000000001</v>
      </c>
      <c r="K24" s="408">
        <f>'1047(2)C Struc Steel Purlins'!T48</f>
        <v>0</v>
      </c>
      <c r="L24" s="408">
        <f t="shared" si="0"/>
        <v>20697.171000000002</v>
      </c>
      <c r="M24" s="408">
        <f t="shared" si="1"/>
        <v>103.48585500000002</v>
      </c>
    </row>
    <row r="25" spans="1:13" ht="30" x14ac:dyDescent="0.25">
      <c r="A25" s="477" t="str">
        <f>'1013(1) Corr Metal Roofing'!E5</f>
        <v xml:space="preserve">1013(1) </v>
      </c>
      <c r="B25" s="477" t="str">
        <f>'1013(1) Corr Metal Roofing'!G5</f>
        <v>CORRUGATED METAL ROOFING</v>
      </c>
      <c r="C25" s="467">
        <v>0</v>
      </c>
      <c r="D25" s="477" t="str">
        <f>'1013(1) Corr Metal Roofing'!E6</f>
        <v>SQ.M.</v>
      </c>
      <c r="E25" s="479" t="s">
        <v>357</v>
      </c>
      <c r="F25" s="408">
        <f>'1013(1) Corr Metal Roofing'!T22</f>
        <v>0</v>
      </c>
      <c r="G25" s="408">
        <f>'1013(1) Corr Metal Roofing'!T31</f>
        <v>0</v>
      </c>
      <c r="H25" s="408">
        <f>'1013(1) Corr Metal Roofing'!T47</f>
        <v>0</v>
      </c>
      <c r="I25" s="408">
        <f>'1013(1) Corr Metal Roofing'!T47</f>
        <v>0</v>
      </c>
      <c r="J25" s="408">
        <f>'1013(1) Corr Metal Roofing'!T50</f>
        <v>0</v>
      </c>
      <c r="K25" s="408">
        <f>'1013(1) Corr Metal Roofing'!T51</f>
        <v>0</v>
      </c>
      <c r="L25" s="408">
        <f t="shared" si="0"/>
        <v>0</v>
      </c>
      <c r="M25" s="408" t="e">
        <f t="shared" si="1"/>
        <v>#DIV/0!</v>
      </c>
    </row>
    <row r="26" spans="1:13" ht="45" x14ac:dyDescent="0.25">
      <c r="A26" s="477" t="str">
        <f>'1013(2) Roof ridge flash valley'!E5</f>
        <v xml:space="preserve">1013(2) </v>
      </c>
      <c r="B26" s="479" t="str">
        <f>'1013(2) Roof ridge flash valley'!G5</f>
        <v>FABRICATED METAL ROOFING ACCESSORY (RIDGE/HIP ROLLS/FLASHING/COUNTER FLASHING/ VALLEY ROLL)</v>
      </c>
      <c r="C26" s="467">
        <v>38</v>
      </c>
      <c r="D26" s="477" t="str">
        <f>'1013(2) Roof ridge flash valley'!E6</f>
        <v>M.</v>
      </c>
      <c r="E26" s="479" t="s">
        <v>358</v>
      </c>
      <c r="F26" s="408">
        <f>'1013(2) Roof ridge flash valley'!T22</f>
        <v>855</v>
      </c>
      <c r="G26" s="408">
        <f>'1013(2) Roof ridge flash valley'!T31</f>
        <v>85.5</v>
      </c>
      <c r="H26" s="408">
        <f>'1013(2) Roof ridge flash valley'!T47</f>
        <v>8167.21</v>
      </c>
      <c r="I26" s="408">
        <f>'1013(2) Roof ridge flash valley'!T49</f>
        <v>455.38549999999998</v>
      </c>
      <c r="J26" s="408">
        <f>'1013(2) Roof ridge flash valley'!T50</f>
        <v>910.77099999999996</v>
      </c>
      <c r="K26" s="408">
        <f>'1013(2) Roof ridge flash valley'!T51</f>
        <v>0</v>
      </c>
      <c r="L26" s="408">
        <f t="shared" si="0"/>
        <v>10473.8665</v>
      </c>
      <c r="M26" s="408">
        <f t="shared" si="1"/>
        <v>275.62806578947368</v>
      </c>
    </row>
    <row r="27" spans="1:13" ht="30" x14ac:dyDescent="0.25">
      <c r="A27" s="477" t="str">
        <f>'1013(2) Metal Roof Acc (Gutter'!E5</f>
        <v xml:space="preserve">1013(2) </v>
      </c>
      <c r="B27" s="479" t="str">
        <f>'1013(2) Metal Roof Acc (Gutter'!G5</f>
        <v>FABRICATED METAL ROOFING ACCESSORY (GUTTER)</v>
      </c>
      <c r="C27" s="467">
        <v>13</v>
      </c>
      <c r="D27" s="477" t="str">
        <f>'1013(2) Metal Roof Acc (Gutter'!G8</f>
        <v>M.</v>
      </c>
      <c r="E27" s="479" t="s">
        <v>359</v>
      </c>
      <c r="F27" s="408">
        <f>'1013(2) Metal Roof Acc (Gutter'!T22</f>
        <v>247.88</v>
      </c>
      <c r="G27" s="408">
        <f>'1013(2) Metal Roof Acc (Gutter'!T31</f>
        <v>24.79</v>
      </c>
      <c r="H27" s="408">
        <f>'1013(2) Metal Roof Acc (Gutter'!T48</f>
        <v>2941.34</v>
      </c>
      <c r="I27" s="408">
        <f>'1013(2) Metal Roof Acc (Gutter'!T50</f>
        <v>160.70050000000003</v>
      </c>
      <c r="J27" s="408">
        <f>'1013(2) Metal Roof Acc (Gutter'!T51</f>
        <v>321.40100000000007</v>
      </c>
      <c r="K27" s="408">
        <f>'1013(2) Metal Roof Acc (Gutter'!T52</f>
        <v>0</v>
      </c>
      <c r="L27" s="408">
        <f t="shared" si="0"/>
        <v>3696.1115</v>
      </c>
      <c r="M27" s="408">
        <f t="shared" si="1"/>
        <v>284.31626923076925</v>
      </c>
    </row>
    <row r="28" spans="1:13" ht="30" x14ac:dyDescent="0.25">
      <c r="A28" s="480">
        <f>'1014 Prepainted Met Sheets-Roof'!E5</f>
        <v>1014</v>
      </c>
      <c r="B28" s="478" t="str">
        <f>'1014 Prepainted Met Sheets-Roof'!G5</f>
        <v>PREPAINTED METAL SHEETS (CORRUGATE, SHORT SPAN/LONG SPAN)</v>
      </c>
      <c r="C28" s="467">
        <v>0</v>
      </c>
      <c r="D28" s="477" t="str">
        <f>'1014 Prepainted Met Sheets-Roof'!E6</f>
        <v>SQ.M.</v>
      </c>
      <c r="E28" s="479" t="s">
        <v>360</v>
      </c>
      <c r="F28" s="408">
        <f>'1014 Prepainted Met Sheets-Roof'!T22</f>
        <v>0</v>
      </c>
      <c r="G28" s="408">
        <f>'1014 Prepainted Met Sheets-Roof'!T31</f>
        <v>0</v>
      </c>
      <c r="H28" s="408">
        <f>'1014 Prepainted Met Sheets-Roof'!T47</f>
        <v>0</v>
      </c>
      <c r="I28" s="408">
        <f>'1014 Prepainted Met Sheets-Roof'!T49</f>
        <v>0</v>
      </c>
      <c r="J28" s="408">
        <f>'1014 Prepainted Met Sheets-Roof'!T50</f>
        <v>0</v>
      </c>
      <c r="K28" s="408">
        <f>'1014 Prepainted Met Sheets-Roof'!T51</f>
        <v>0</v>
      </c>
      <c r="L28" s="408">
        <f t="shared" si="0"/>
        <v>0</v>
      </c>
      <c r="M28" s="408" t="e">
        <f t="shared" si="1"/>
        <v>#DIV/0!</v>
      </c>
    </row>
    <row r="29" spans="1:13" ht="30" x14ac:dyDescent="0.25">
      <c r="A29" s="409">
        <f>'1014 Prepainted Met Sheets RIB'!E5</f>
        <v>1014</v>
      </c>
      <c r="B29" s="478" t="str">
        <f>'1014 Prepainted Met Sheets RIB'!G5</f>
        <v>PREPAINTED METAL SHEETS (RIB TYPE 0.4-0.5MM THICK)</v>
      </c>
      <c r="C29" s="467">
        <v>140</v>
      </c>
      <c r="D29" s="477" t="str">
        <f>'1014 Prepainted Met Sheets RIB'!E6</f>
        <v>SQ.M.</v>
      </c>
      <c r="E29" s="479" t="s">
        <v>361</v>
      </c>
      <c r="F29" s="408">
        <f>'1014 Prepainted Met Sheets RIB'!T22</f>
        <v>13903.94</v>
      </c>
      <c r="G29" s="408">
        <f>'1014 Prepainted Met Sheets RIB'!T31</f>
        <v>1390.39</v>
      </c>
      <c r="H29" s="408">
        <f>'1014 Prepainted Met Sheets RIB'!T47</f>
        <v>53354</v>
      </c>
      <c r="I29" s="408">
        <f>'1014 Prepainted Met Sheets RIB'!T49</f>
        <v>3432.4165000000003</v>
      </c>
      <c r="J29" s="408">
        <f>'1014 Prepainted Met Sheets RIB'!T50</f>
        <v>6864.8330000000005</v>
      </c>
      <c r="K29" s="408">
        <f>'1014 Prepainted Met Sheets RIB'!T51</f>
        <v>0</v>
      </c>
      <c r="L29" s="408">
        <f t="shared" si="0"/>
        <v>78945.579500000007</v>
      </c>
      <c r="M29" s="408">
        <f t="shared" si="1"/>
        <v>563.89699642857147</v>
      </c>
    </row>
    <row r="30" spans="1:13" x14ac:dyDescent="0.25">
      <c r="A30" s="477" t="str">
        <f>'1016-Waterproof Cement'!E5</f>
        <v>1016(1)a</v>
      </c>
      <c r="B30" s="477" t="str">
        <f>'1016-Waterproof Cement'!G5</f>
        <v>WATERPROOFING CEMENT BASE</v>
      </c>
      <c r="C30" s="467">
        <v>66</v>
      </c>
      <c r="D30" s="477" t="str">
        <f>'1016-Waterproof Cement'!E6</f>
        <v>SQ.M.</v>
      </c>
      <c r="E30" s="487" t="s">
        <v>363</v>
      </c>
      <c r="F30" s="408">
        <f>'1016-Waterproof Cement'!T20</f>
        <v>7920</v>
      </c>
      <c r="G30" s="408">
        <f>'1016-Waterproof Cement'!T29</f>
        <v>792</v>
      </c>
      <c r="H30" s="408">
        <f>'1016-Waterproof Cement'!T46</f>
        <v>3499.47</v>
      </c>
      <c r="I30" s="408">
        <f>'1016-Waterproof Cement'!T48</f>
        <v>610.57349999999997</v>
      </c>
      <c r="J30" s="408">
        <f>'1016-Waterproof Cement'!T49</f>
        <v>1221.1469999999999</v>
      </c>
      <c r="K30" s="408">
        <f>'1016-Waterproof Cement'!T50</f>
        <v>0</v>
      </c>
      <c r="L30" s="408">
        <f t="shared" si="0"/>
        <v>14043.190500000001</v>
      </c>
      <c r="M30" s="408">
        <f t="shared" si="1"/>
        <v>212.77561363636366</v>
      </c>
    </row>
    <row r="31" spans="1:13" ht="30" x14ac:dyDescent="0.25">
      <c r="A31" s="481">
        <f>'1018- Tiles'!E5</f>
        <v>1018</v>
      </c>
      <c r="B31" s="478" t="str">
        <f>'1018- Tiles'!G5</f>
        <v>UNGLAZED TILES/ GRANITE TILES/ SYNTHETIC GRANITE TILES</v>
      </c>
      <c r="C31" s="467">
        <v>80</v>
      </c>
      <c r="D31" s="477" t="str">
        <f>'1018- Tiles'!G8</f>
        <v>SQ.M.</v>
      </c>
      <c r="E31" s="487" t="s">
        <v>364</v>
      </c>
      <c r="F31" s="408">
        <f>'1018- Tiles'!T20</f>
        <v>29743.59</v>
      </c>
      <c r="G31" s="408">
        <f>'1018- Tiles'!T29</f>
        <v>2974.3590000000004</v>
      </c>
      <c r="H31" s="408">
        <f>'1018- Tiles'!T46</f>
        <v>70502</v>
      </c>
      <c r="I31" s="408">
        <f>'1018- Tiles'!T48</f>
        <v>5160.9974499999998</v>
      </c>
      <c r="J31" s="408">
        <f>'1018- Tiles'!T49</f>
        <v>10321.9949</v>
      </c>
      <c r="K31" s="408">
        <f>'1018- Tiles'!T50</f>
        <v>0</v>
      </c>
      <c r="L31" s="408">
        <f t="shared" si="0"/>
        <v>118702.94134999999</v>
      </c>
      <c r="M31" s="408">
        <f t="shared" si="1"/>
        <v>1483.786766875</v>
      </c>
    </row>
    <row r="32" spans="1:13" ht="45" x14ac:dyDescent="0.25">
      <c r="A32" s="477" t="str">
        <f>'1003(1) Ceiling'!E5</f>
        <v>1003(1)</v>
      </c>
      <c r="B32" s="466" t="str">
        <f>'1003(1) Ceiling'!G5</f>
        <v>FIBER CEMENT BOARD/MARINE PLYWOOD/ORDINARY PLYWOOD ON METAL FRAME CEILING</v>
      </c>
      <c r="C32" s="467">
        <v>130</v>
      </c>
      <c r="D32" s="477" t="str">
        <f>'1003(1) Ceiling'!G8</f>
        <v>SQ.M.</v>
      </c>
      <c r="E32" s="487" t="s">
        <v>365</v>
      </c>
      <c r="F32" s="408">
        <f>'1003(1) Ceiling'!T20</f>
        <v>28761.06</v>
      </c>
      <c r="G32" s="408">
        <f>'1003(1) Ceiling'!T29</f>
        <v>2876.1060000000002</v>
      </c>
      <c r="H32" s="408">
        <f>'1003(1) Ceiling'!T46</f>
        <v>125787.57</v>
      </c>
      <c r="I32" s="408">
        <f>'1003(1) Ceiling'!T48</f>
        <v>7871.2368000000006</v>
      </c>
      <c r="J32" s="408">
        <f>'1003(1) Ceiling'!T49</f>
        <v>15742.473600000001</v>
      </c>
      <c r="K32" s="408">
        <f>'1003(1) Ceiling'!T50</f>
        <v>0</v>
      </c>
      <c r="L32" s="408">
        <f t="shared" si="0"/>
        <v>181038.44640000002</v>
      </c>
      <c r="M32" s="408">
        <f t="shared" si="1"/>
        <v>1392.6034338461541</v>
      </c>
    </row>
    <row r="33" spans="1:13" ht="30" x14ac:dyDescent="0.25">
      <c r="A33" s="477" t="str">
        <f>'1010(2) Hollow Flush Door'!E5</f>
        <v>1010(2)a</v>
      </c>
      <c r="B33" s="478" t="str">
        <f>'1010(2) Hollow Flush Door'!G5</f>
        <v>HOLLOW CORE FLUSH DOOR</v>
      </c>
      <c r="C33" s="467">
        <v>5.04</v>
      </c>
      <c r="D33" s="477" t="str">
        <f>'1010(2) Hollow Flush Door'!G8</f>
        <v>SQ.M.</v>
      </c>
      <c r="E33" s="479" t="s">
        <v>417</v>
      </c>
      <c r="F33" s="408">
        <f>'1010(2) Hollow Flush Door'!T20</f>
        <v>3543.75</v>
      </c>
      <c r="G33" s="408">
        <f>'1010(2) Hollow Flush Door'!T29</f>
        <v>354.38</v>
      </c>
      <c r="H33" s="408">
        <f>'1010(2) Hollow Flush Door'!T46</f>
        <v>11550</v>
      </c>
      <c r="I33" s="408">
        <f>'1010(2) Hollow Flush Door'!T48</f>
        <v>772.40650000000005</v>
      </c>
      <c r="J33" s="408">
        <f>'1010(2) Hollow Flush Door'!T49</f>
        <v>1544.8130000000001</v>
      </c>
      <c r="K33" s="408">
        <f>'1010(2) Hollow Flush Door'!T50</f>
        <v>0</v>
      </c>
      <c r="L33" s="408">
        <f t="shared" ref="L33" si="2">SUM(F33:K33)</f>
        <v>17765.349500000004</v>
      </c>
      <c r="M33" s="408">
        <f t="shared" ref="M33" si="3">L33/C33</f>
        <v>3524.8709325396835</v>
      </c>
    </row>
    <row r="34" spans="1:13" ht="30" x14ac:dyDescent="0.25">
      <c r="A34" s="477" t="str">
        <f>'1010(2) Panel Door'!E5</f>
        <v>1010(2)</v>
      </c>
      <c r="B34" s="478" t="str">
        <f>'1010(2) Panel Door'!G5</f>
        <v>WOODEN PANEL DOOR WITH HEAVY DUTY DOOR KNOB</v>
      </c>
      <c r="C34" s="467">
        <v>2.1</v>
      </c>
      <c r="D34" s="477" t="str">
        <f>'1010(2) Panel Door'!G8</f>
        <v>SQ.M.</v>
      </c>
      <c r="E34" s="479" t="s">
        <v>366</v>
      </c>
      <c r="F34" s="408">
        <f>'1010(2) Panel Door'!T20</f>
        <v>1604.17</v>
      </c>
      <c r="G34" s="408">
        <f>'1010(2) Panel Door'!T29</f>
        <v>160.41999999999999</v>
      </c>
      <c r="H34" s="408">
        <f>'1010(2) Panel Door'!T46</f>
        <v>6600</v>
      </c>
      <c r="I34" s="408">
        <f>'1010(2) Panel Door'!T48</f>
        <v>418.22950000000003</v>
      </c>
      <c r="J34" s="408">
        <f>'1010(2) Panel Door'!T49</f>
        <v>836.45900000000006</v>
      </c>
      <c r="K34" s="408">
        <f>'1010(2) Panel Door'!T50</f>
        <v>0</v>
      </c>
      <c r="L34" s="408">
        <f t="shared" si="0"/>
        <v>9619.2785000000003</v>
      </c>
      <c r="M34" s="408">
        <f t="shared" si="1"/>
        <v>4580.6088095238092</v>
      </c>
    </row>
    <row r="35" spans="1:13" ht="30" x14ac:dyDescent="0.25">
      <c r="A35" s="477" t="str">
        <f>'1043(1) PVC Door'!E5</f>
        <v>1043(1)</v>
      </c>
      <c r="B35" s="478" t="str">
        <f>'1043(1) PVC Door'!G5</f>
        <v>PVC DOORS AND FRAMES W/ HEAVY DUTY DOOR KNOB</v>
      </c>
      <c r="C35" s="467">
        <v>1.26</v>
      </c>
      <c r="D35" s="477" t="str">
        <f>'1043(1) PVC Door'!G8</f>
        <v>SQ.M.</v>
      </c>
      <c r="E35" s="479" t="s">
        <v>367</v>
      </c>
      <c r="F35" s="408">
        <f>'1043(1) PVC Door'!T20</f>
        <v>900</v>
      </c>
      <c r="G35" s="408">
        <f>'1043(1) PVC Door'!T29</f>
        <v>90</v>
      </c>
      <c r="H35" s="408">
        <f>'1043(1) PVC Door'!T45</f>
        <v>2625</v>
      </c>
      <c r="I35" s="408">
        <f>'1043(1) PVC Door'!T47</f>
        <v>180.75</v>
      </c>
      <c r="J35" s="408">
        <f>'1043(1) PVC Door'!T48</f>
        <v>361.5</v>
      </c>
      <c r="K35" s="408">
        <f>'1043(1) PVC Door'!T49</f>
        <v>0</v>
      </c>
      <c r="L35" s="408">
        <f t="shared" si="0"/>
        <v>4157.25</v>
      </c>
      <c r="M35" s="408">
        <f t="shared" si="1"/>
        <v>3299.4047619047619</v>
      </c>
    </row>
    <row r="36" spans="1:13" ht="30" x14ac:dyDescent="0.25">
      <c r="A36" s="477" t="str">
        <f>'1032-Paint Concrete'!E5</f>
        <v>1032(1)a</v>
      </c>
      <c r="B36" s="477" t="str">
        <f>'1032-Paint Concrete'!G5</f>
        <v>PAINTING WORKS (MASONRY PAINTING)</v>
      </c>
      <c r="C36" s="467">
        <v>540</v>
      </c>
      <c r="D36" s="477" t="str">
        <f>'1032-Paint Concrete'!G8</f>
        <v>SQ.M.</v>
      </c>
      <c r="E36" s="479" t="s">
        <v>368</v>
      </c>
      <c r="F36" s="408">
        <f>'1032-Paint Concrete'!T20</f>
        <v>77142.86</v>
      </c>
      <c r="G36" s="408">
        <f>'1032-Paint Concrete'!T29</f>
        <v>0</v>
      </c>
      <c r="H36" s="408">
        <f>'1032-Paint Concrete'!T46</f>
        <v>78160.100000000006</v>
      </c>
      <c r="I36" s="408">
        <f>'1032-Paint Concrete'!T48</f>
        <v>7765.148000000001</v>
      </c>
      <c r="J36" s="408">
        <f>'1032-Paint Concrete'!T49</f>
        <v>15530.296000000002</v>
      </c>
      <c r="K36" s="408">
        <f>'1032-Paint Concrete'!T50</f>
        <v>0</v>
      </c>
      <c r="L36" s="408">
        <f t="shared" si="0"/>
        <v>178598.40400000001</v>
      </c>
      <c r="M36" s="408">
        <f t="shared" si="1"/>
        <v>330.7377851851852</v>
      </c>
    </row>
    <row r="37" spans="1:13" ht="30" x14ac:dyDescent="0.25">
      <c r="A37" s="477" t="str">
        <f>'1032-Paint Metal'!E5</f>
        <v>1032(1)c</v>
      </c>
      <c r="B37" s="477" t="str">
        <f>'1032-Paint Metal'!G5</f>
        <v>PAINTING WORKS (METAL PAINTING)</v>
      </c>
      <c r="C37" s="467">
        <v>45</v>
      </c>
      <c r="D37" s="477" t="str">
        <f>'1032-Paint Metal'!G8</f>
        <v>SQ.M.</v>
      </c>
      <c r="E37" s="479" t="s">
        <v>369</v>
      </c>
      <c r="F37" s="408">
        <f>'1032-Paint Metal'!T20</f>
        <v>6750</v>
      </c>
      <c r="G37" s="408">
        <f>'1032-Paint Metal'!T29</f>
        <v>0</v>
      </c>
      <c r="H37" s="408">
        <f>'1032-Paint Metal'!T46</f>
        <v>22411.13</v>
      </c>
      <c r="I37" s="408">
        <f>'1032-Paint Metal'!T48</f>
        <v>1458.0565000000001</v>
      </c>
      <c r="J37" s="408">
        <f>'1032-Paint Metal'!T49</f>
        <v>2916.1130000000003</v>
      </c>
      <c r="K37" s="408">
        <f>'1032-Paint Metal'!T50</f>
        <v>0</v>
      </c>
      <c r="L37" s="408">
        <f t="shared" si="0"/>
        <v>33535.299500000001</v>
      </c>
      <c r="M37" s="408">
        <f t="shared" si="1"/>
        <v>745.22887777777783</v>
      </c>
    </row>
    <row r="38" spans="1:13" ht="30" x14ac:dyDescent="0.25">
      <c r="A38" s="477" t="str">
        <f>'Sliding Glass'!E5</f>
        <v>SPL - ?</v>
      </c>
      <c r="B38" s="478" t="str">
        <f>'Sliding Glass'!G5</f>
        <v>SUPPLY AND INSTALLATION OF ANALOK TYPE SLIDING WINDOW</v>
      </c>
      <c r="C38" s="467">
        <v>11.34</v>
      </c>
      <c r="D38" s="477" t="str">
        <f>'Sliding Glass'!G8</f>
        <v>SQ.M.</v>
      </c>
      <c r="E38" s="479" t="s">
        <v>371</v>
      </c>
      <c r="F38" s="408">
        <f>'Sliding Glass'!T20</f>
        <v>0</v>
      </c>
      <c r="G38" s="408">
        <f>'Sliding Glass'!T29</f>
        <v>0</v>
      </c>
      <c r="H38" s="408">
        <f>'Sliding Glass'!T45</f>
        <v>45360</v>
      </c>
      <c r="I38" s="408">
        <f>'Sliding Glass'!T47</f>
        <v>2268</v>
      </c>
      <c r="J38" s="408">
        <f>'Sliding Glass'!T48</f>
        <v>4536</v>
      </c>
      <c r="K38" s="408">
        <f>'Sliding Glass'!T49</f>
        <v>0</v>
      </c>
      <c r="L38" s="408">
        <f t="shared" si="0"/>
        <v>52164</v>
      </c>
      <c r="M38" s="408">
        <f t="shared" si="1"/>
        <v>4600</v>
      </c>
    </row>
    <row r="39" spans="1:13" ht="54" customHeight="1" x14ac:dyDescent="0.25">
      <c r="A39" s="477" t="str">
        <f>'Other item-Civil Works'!E5</f>
        <v>SPL - ?</v>
      </c>
      <c r="B39" s="478" t="str">
        <f>'Other item-Civil Works'!G5</f>
        <v>(INPUT ITEM DESCRIPTION)</v>
      </c>
      <c r="C39" s="410">
        <v>1</v>
      </c>
      <c r="D39" s="408" t="str">
        <f>'Other item-Civil Works'!E6</f>
        <v>L.S.</v>
      </c>
      <c r="E39" s="479" t="s">
        <v>409</v>
      </c>
      <c r="F39" s="408">
        <f>'Other item-Civil Works'!T20</f>
        <v>0</v>
      </c>
      <c r="G39" s="408">
        <f>'Other item-Civil Works'!T29</f>
        <v>0</v>
      </c>
      <c r="H39" s="408">
        <f>'Other item-Civil Works'!T45</f>
        <v>0</v>
      </c>
      <c r="I39" s="408">
        <f>'Other item-Civil Works'!T47</f>
        <v>0</v>
      </c>
      <c r="J39" s="408">
        <f>'Other item-Civil Works'!T48</f>
        <v>0</v>
      </c>
      <c r="K39" s="408">
        <f>'Other item-Civil Works'!T49</f>
        <v>0</v>
      </c>
      <c r="L39" s="408">
        <f t="shared" ref="L39" si="4">SUM(F39:K39)</f>
        <v>0</v>
      </c>
      <c r="M39" s="408">
        <f t="shared" ref="M39" si="5">L39/C39</f>
        <v>0</v>
      </c>
    </row>
    <row r="40" spans="1:13" ht="17.25" x14ac:dyDescent="0.3">
      <c r="A40" s="488" t="s">
        <v>395</v>
      </c>
      <c r="B40" s="489"/>
      <c r="C40" s="489"/>
      <c r="D40" s="489"/>
      <c r="E40" s="489"/>
      <c r="F40" s="489"/>
      <c r="G40" s="489"/>
      <c r="H40" s="489"/>
      <c r="I40" s="489"/>
      <c r="J40" s="489"/>
      <c r="K40" s="489"/>
      <c r="L40" s="489"/>
      <c r="M40" s="490"/>
    </row>
    <row r="41" spans="1:13" ht="45" x14ac:dyDescent="0.25">
      <c r="A41" s="477" t="str">
        <f>'1001(1)a 2" -4" San PVC Pipe'!E5</f>
        <v>1001(1)a</v>
      </c>
      <c r="B41" s="479" t="str">
        <f>'1001(1)a 2" -4" San PVC Pipe'!G5</f>
        <v>50MM DIA - 100MM DIA SANITARY PVC PIPE, SERIES 600/1000</v>
      </c>
      <c r="C41" s="467">
        <v>12</v>
      </c>
      <c r="D41" s="477" t="str">
        <f>'1001(1)a 2" -4" San PVC Pipe'!E6</f>
        <v>M.</v>
      </c>
      <c r="E41" s="479" t="s">
        <v>374</v>
      </c>
      <c r="F41" s="408">
        <f>'1001(1)a 2" -4" San PVC Pipe'!T20</f>
        <v>1100</v>
      </c>
      <c r="G41" s="408">
        <f>'1001(1)a 2" -4" San PVC Pipe'!T29</f>
        <v>110</v>
      </c>
      <c r="H41" s="408">
        <f>'1001(1)a 2" -4" San PVC Pipe'!T45</f>
        <v>1980</v>
      </c>
      <c r="I41" s="408">
        <f>'1001(1)a 2" -4" San PVC Pipe'!T47</f>
        <v>159.5</v>
      </c>
      <c r="J41" s="408">
        <f>'1001(1)a 2" -4" San PVC Pipe'!T48</f>
        <v>319</v>
      </c>
      <c r="K41" s="408">
        <f>'1001(1)a 2" -4" San PVC Pipe'!T49</f>
        <v>0</v>
      </c>
      <c r="L41" s="408">
        <f t="shared" si="0"/>
        <v>3668.5</v>
      </c>
      <c r="M41" s="408">
        <f t="shared" si="1"/>
        <v>305.70833333333331</v>
      </c>
    </row>
    <row r="42" spans="1:13" ht="60" x14ac:dyDescent="0.25">
      <c r="A42" s="477" t="str">
        <f>'1002(6) Waterline Pipes fitting'!E5</f>
        <v>1002(6)</v>
      </c>
      <c r="B42" s="477" t="str">
        <f>'1002(6) Waterline Pipes fitting'!G5</f>
        <v>WATERLINE PIPES &amp; FITTINGS</v>
      </c>
      <c r="C42" s="410">
        <v>1</v>
      </c>
      <c r="D42" s="477" t="str">
        <f>'1002(6) Waterline Pipes fitting'!G8</f>
        <v>L.S.</v>
      </c>
      <c r="E42" s="479" t="s">
        <v>423</v>
      </c>
      <c r="F42" s="408">
        <f>'1002(6) Waterline Pipes fitting'!T20</f>
        <v>2200</v>
      </c>
      <c r="G42" s="408">
        <f>'1002(6) Waterline Pipes fitting'!T29</f>
        <v>220</v>
      </c>
      <c r="H42" s="408">
        <f>'1002(6) Waterline Pipes fitting'!T45</f>
        <v>2780</v>
      </c>
      <c r="I42" s="408">
        <f>'1002(6) Waterline Pipes fitting'!T47</f>
        <v>260</v>
      </c>
      <c r="J42" s="408">
        <f>'1002(6) Waterline Pipes fitting'!T48</f>
        <v>520</v>
      </c>
      <c r="K42" s="408">
        <f>'1002(6) Waterline Pipes fitting'!T49</f>
        <v>0</v>
      </c>
      <c r="L42" s="408">
        <f t="shared" si="0"/>
        <v>5980</v>
      </c>
      <c r="M42" s="408">
        <f t="shared" si="1"/>
        <v>5980</v>
      </c>
    </row>
    <row r="43" spans="1:13" ht="45" x14ac:dyDescent="0.25">
      <c r="A43" s="477" t="str">
        <f>'1002(5) W Closet w acc'!E5</f>
        <v>1002(5)</v>
      </c>
      <c r="B43" s="478" t="str">
        <f>'1002(5) W Closet w acc'!G5</f>
        <v>WATER CLOSET/ URINAL W/ COMPLETE ACCESSORIES</v>
      </c>
      <c r="C43" s="467">
        <v>1</v>
      </c>
      <c r="D43" s="477" t="str">
        <f>'1002(5) W Closet w acc'!G8</f>
        <v>SET</v>
      </c>
      <c r="E43" s="479" t="s">
        <v>379</v>
      </c>
      <c r="F43" s="408">
        <f>'1002(5) W Closet w acc'!T20</f>
        <v>450</v>
      </c>
      <c r="G43" s="408">
        <f>'1002(5) W Closet w acc'!T29</f>
        <v>45</v>
      </c>
      <c r="H43" s="408">
        <f>'1002(5) W Closet w acc'!T45</f>
        <v>6600</v>
      </c>
      <c r="I43" s="408">
        <f>'1002(5) W Closet w acc'!T47</f>
        <v>354.75</v>
      </c>
      <c r="J43" s="408">
        <f>'1002(5) W Closet w acc'!T48</f>
        <v>709.5</v>
      </c>
      <c r="K43" s="408">
        <f>'1002(5) W Closet w acc'!T49</f>
        <v>0</v>
      </c>
      <c r="L43" s="408">
        <f t="shared" si="0"/>
        <v>8159.25</v>
      </c>
      <c r="M43" s="408">
        <f t="shared" si="1"/>
        <v>8159.25</v>
      </c>
    </row>
    <row r="44" spans="1:13" ht="45" x14ac:dyDescent="0.25">
      <c r="A44" s="477" t="str">
        <f>'1002(5) Kitch SInk'!E5</f>
        <v>1002(5)</v>
      </c>
      <c r="B44" s="478" t="str">
        <f>'1002(5) Kitch SInk'!G5</f>
        <v>KITCHEN SINK/ SCRUB/ SLOP SINK W/ COMPLETE ACCESSORIES</v>
      </c>
      <c r="C44" s="467">
        <v>1</v>
      </c>
      <c r="D44" s="477" t="str">
        <f>'1002(5) Kitch SInk'!G8</f>
        <v>SET</v>
      </c>
      <c r="E44" s="479" t="s">
        <v>380</v>
      </c>
      <c r="F44" s="408">
        <f>'1002(5) Kitch SInk'!T20</f>
        <v>450</v>
      </c>
      <c r="G44" s="408">
        <f>'1002(5) Kitch SInk'!T29</f>
        <v>45</v>
      </c>
      <c r="H44" s="408">
        <f>'1002(5) Kitch SInk'!T45</f>
        <v>4950</v>
      </c>
      <c r="I44" s="408">
        <f>'1002(5) Kitch SInk'!T47</f>
        <v>272.25</v>
      </c>
      <c r="J44" s="408">
        <f>'1002(5) Kitch SInk'!T48</f>
        <v>544.5</v>
      </c>
      <c r="K44" s="408">
        <f>'1002(5) Kitch SInk'!T49</f>
        <v>0</v>
      </c>
      <c r="L44" s="408">
        <f t="shared" si="0"/>
        <v>6261.75</v>
      </c>
      <c r="M44" s="408">
        <f t="shared" si="1"/>
        <v>6261.75</v>
      </c>
    </row>
    <row r="45" spans="1:13" ht="45" x14ac:dyDescent="0.25">
      <c r="A45" s="477" t="str">
        <f>'1002(5) Counter Lavatory'!E5</f>
        <v>1002(5)</v>
      </c>
      <c r="B45" s="478" t="str">
        <f>'1002(5) Counter Lavatory'!G5</f>
        <v>WALL HANG/COUNTERTOP/ UNDER COUNTER LAVATORY W/ COMPLETE ACCESSORIES</v>
      </c>
      <c r="C45" s="467">
        <v>1</v>
      </c>
      <c r="D45" s="477" t="str">
        <f>'1002(5) Counter Lavatory'!G8</f>
        <v>SET</v>
      </c>
      <c r="E45" s="479" t="s">
        <v>381</v>
      </c>
      <c r="F45" s="408">
        <f>'1002(5) Counter Lavatory'!T20</f>
        <v>450</v>
      </c>
      <c r="G45" s="408">
        <f>'1002(5) Counter Lavatory'!T29</f>
        <v>45</v>
      </c>
      <c r="H45" s="408">
        <f>'1002(5) Counter Lavatory'!T45</f>
        <v>3850</v>
      </c>
      <c r="I45" s="408">
        <f>'1002(5) Counter Lavatory'!T47</f>
        <v>217.25</v>
      </c>
      <c r="J45" s="408">
        <f>'1002(5) Counter Lavatory'!T48</f>
        <v>434.5</v>
      </c>
      <c r="K45" s="408">
        <f>'1002(5) Counter Lavatory'!T49</f>
        <v>0</v>
      </c>
      <c r="L45" s="408">
        <f t="shared" si="0"/>
        <v>4996.75</v>
      </c>
      <c r="M45" s="408">
        <f t="shared" si="1"/>
        <v>4996.75</v>
      </c>
    </row>
    <row r="46" spans="1:13" ht="45" x14ac:dyDescent="0.25">
      <c r="A46" s="477" t="str">
        <f>'1002(5) h Floor Drain'!E5</f>
        <v>1002(5)</v>
      </c>
      <c r="B46" s="477" t="str">
        <f>'1002(5) h Floor Drain'!G5</f>
        <v>FLOOR DRAIN PLATES (ANY SIZE)</v>
      </c>
      <c r="C46" s="467">
        <v>2</v>
      </c>
      <c r="D46" s="477" t="str">
        <f>'1002(5) h Floor Drain'!G8</f>
        <v>SET</v>
      </c>
      <c r="E46" s="479" t="s">
        <v>382</v>
      </c>
      <c r="F46" s="408">
        <f>'1002(5) h Floor Drain'!T20</f>
        <v>180</v>
      </c>
      <c r="G46" s="408">
        <f>'1002(5) h Floor Drain'!T29</f>
        <v>18</v>
      </c>
      <c r="H46" s="408">
        <f>'1002(5) h Floor Drain'!T45</f>
        <v>770</v>
      </c>
      <c r="I46" s="408">
        <f>'1002(5) h Floor Drain'!T47</f>
        <v>48.400000000000006</v>
      </c>
      <c r="J46" s="408">
        <f>'1002(5) h Floor Drain'!T48</f>
        <v>96.800000000000011</v>
      </c>
      <c r="K46" s="408">
        <f>'1002(5) h Floor Drain'!T49</f>
        <v>0</v>
      </c>
      <c r="L46" s="408">
        <f t="shared" si="0"/>
        <v>1113.2</v>
      </c>
      <c r="M46" s="408">
        <f t="shared" si="1"/>
        <v>556.6</v>
      </c>
    </row>
    <row r="47" spans="1:13" ht="45" x14ac:dyDescent="0.25">
      <c r="A47" s="477" t="str">
        <f>'1002(5) Soap Holder'!E5</f>
        <v>1002(5)</v>
      </c>
      <c r="B47" s="479" t="str">
        <f>'1002(5) Soap Holder'!G5</f>
        <v>SOAP HOLDER /TOILET SOAP/LIQUID SOAP/TISSUE HOLDER</v>
      </c>
      <c r="C47" s="467">
        <v>1</v>
      </c>
      <c r="D47" s="477" t="str">
        <f>'1002(5) Soap Holder'!G8</f>
        <v>SET</v>
      </c>
      <c r="E47" s="479" t="s">
        <v>384</v>
      </c>
      <c r="F47" s="408">
        <f>'1002(5) Soap Holder'!T20</f>
        <v>168.75</v>
      </c>
      <c r="G47" s="408">
        <f>'1002(5) Soap Holder'!T29</f>
        <v>16.875</v>
      </c>
      <c r="H47" s="408">
        <f>'1002(5) Soap Holder'!T45</f>
        <v>385</v>
      </c>
      <c r="I47" s="408">
        <f>'1002(5) Soap Holder'!T47</f>
        <v>28.53125</v>
      </c>
      <c r="J47" s="408">
        <f>'1002(5) Soap Holder'!T48</f>
        <v>57.0625</v>
      </c>
      <c r="K47" s="408">
        <f>'1002(5) Soap Holder'!T49</f>
        <v>0</v>
      </c>
      <c r="L47" s="408">
        <f t="shared" si="0"/>
        <v>656.21875</v>
      </c>
      <c r="M47" s="408">
        <f t="shared" si="1"/>
        <v>656.21875</v>
      </c>
    </row>
    <row r="48" spans="1:13" ht="30" x14ac:dyDescent="0.25">
      <c r="A48" s="477" t="str">
        <f>'1002(5)p Facial Mirror'!E5</f>
        <v>1002(5)p</v>
      </c>
      <c r="B48" s="477" t="str">
        <f>'1002(5)p Facial Mirror'!G5</f>
        <v>FACIAL MIRROR</v>
      </c>
      <c r="C48" s="467">
        <v>0.5</v>
      </c>
      <c r="D48" s="477" t="str">
        <f>'1002(5)p Facial Mirror'!G8</f>
        <v>SQ.M.</v>
      </c>
      <c r="E48" s="479" t="s">
        <v>390</v>
      </c>
      <c r="F48" s="408">
        <f>'1002(5)p Facial Mirror'!T20</f>
        <v>281.25</v>
      </c>
      <c r="G48" s="408">
        <f>'1002(5)p Facial Mirror'!T29</f>
        <v>28.125</v>
      </c>
      <c r="H48" s="408">
        <f>'1002(5)p Facial Mirror'!T45</f>
        <v>495</v>
      </c>
      <c r="I48" s="408">
        <f>'1002(5)p Facial Mirror'!T47</f>
        <v>40.21875</v>
      </c>
      <c r="J48" s="408">
        <f>'1002(5)p Facial Mirror'!T48</f>
        <v>80.4375</v>
      </c>
      <c r="K48" s="408">
        <f>'1002(5)p Facial Mirror'!T49</f>
        <v>0</v>
      </c>
      <c r="L48" s="408">
        <f t="shared" si="0"/>
        <v>925.03125</v>
      </c>
      <c r="M48" s="408">
        <f t="shared" si="1"/>
        <v>1850.0625</v>
      </c>
    </row>
    <row r="49" spans="1:13" ht="45" x14ac:dyDescent="0.25">
      <c r="A49" s="477" t="str">
        <f>'Other item-Plumbing'!E5</f>
        <v>SPL- ?</v>
      </c>
      <c r="B49" s="478" t="str">
        <f>'Other item-Plumbing'!G5</f>
        <v>(INPUT OTHER PLUMBING WORK ITEM THAT IS NOT FOUND IN THIS SPREADSHEET)</v>
      </c>
      <c r="C49" s="410">
        <v>1</v>
      </c>
      <c r="D49" s="477" t="str">
        <f>'Other item-Plumbing'!G8</f>
        <v>L.S.</v>
      </c>
      <c r="E49" s="479" t="s">
        <v>393</v>
      </c>
      <c r="F49" s="408">
        <f>'Other item-Plumbing'!T20</f>
        <v>0</v>
      </c>
      <c r="G49" s="408">
        <f>'Other item-Plumbing'!T29</f>
        <v>0</v>
      </c>
      <c r="H49" s="408">
        <f>'Other item-Plumbing'!T45</f>
        <v>0</v>
      </c>
      <c r="I49" s="408">
        <f>'Other item-Plumbing'!T47</f>
        <v>0</v>
      </c>
      <c r="J49" s="408">
        <f>'Other item-Plumbing'!T48</f>
        <v>0</v>
      </c>
      <c r="K49" s="408">
        <f>'Other item-Plumbing'!T49</f>
        <v>0</v>
      </c>
      <c r="L49" s="408">
        <f t="shared" si="0"/>
        <v>0</v>
      </c>
      <c r="M49" s="408">
        <f t="shared" si="1"/>
        <v>0</v>
      </c>
    </row>
    <row r="50" spans="1:13" ht="17.25" x14ac:dyDescent="0.3">
      <c r="A50" s="488" t="s">
        <v>394</v>
      </c>
      <c r="B50" s="489"/>
      <c r="C50" s="489"/>
      <c r="D50" s="489"/>
      <c r="E50" s="489"/>
      <c r="F50" s="489"/>
      <c r="G50" s="489"/>
      <c r="H50" s="489"/>
      <c r="I50" s="489"/>
      <c r="J50" s="489"/>
      <c r="K50" s="489"/>
      <c r="L50" s="489"/>
      <c r="M50" s="490"/>
    </row>
    <row r="51" spans="1:13" ht="45" x14ac:dyDescent="0.25">
      <c r="A51" s="477" t="str">
        <f>'1100(1) Conduit'!E5</f>
        <v>1002(5)</v>
      </c>
      <c r="B51" s="477" t="str">
        <f>'1100(1) Conduit'!G5</f>
        <v>15MM-25MM DIA. FLEXIBLE CONDUIT</v>
      </c>
      <c r="C51" s="467">
        <v>200</v>
      </c>
      <c r="D51" s="477" t="str">
        <f>'1100(1) Conduit'!G8</f>
        <v>M.</v>
      </c>
      <c r="E51" s="479" t="s">
        <v>396</v>
      </c>
      <c r="F51" s="408">
        <f>'1100(1) Conduit'!T20</f>
        <v>12733.45</v>
      </c>
      <c r="G51" s="408">
        <f>'1100(1) Conduit'!T29</f>
        <v>1273.3450000000003</v>
      </c>
      <c r="H51" s="408">
        <f>'1100(1) Conduit'!T45</f>
        <v>3300</v>
      </c>
      <c r="I51" s="408">
        <f>'1100(1) Conduit'!T47</f>
        <v>865.33975000000009</v>
      </c>
      <c r="J51" s="408">
        <f>'1100(1) Conduit'!T48</f>
        <v>1730.6795000000002</v>
      </c>
      <c r="K51" s="408">
        <f>'1100(1) Conduit'!T49</f>
        <v>0</v>
      </c>
      <c r="L51" s="408">
        <f t="shared" si="0"/>
        <v>19902.814250000003</v>
      </c>
      <c r="M51" s="408">
        <f t="shared" si="1"/>
        <v>99.514071250000015</v>
      </c>
    </row>
    <row r="52" spans="1:13" ht="45" x14ac:dyDescent="0.25">
      <c r="A52" s="409">
        <f>'1100 Junc Utility Box'!E5</f>
        <v>1100</v>
      </c>
      <c r="B52" s="477" t="str">
        <f>'1100 Junc Utility Box'!G5</f>
        <v>JUNCTION UTILITY/PULL / SQUARE BOX</v>
      </c>
      <c r="C52" s="467">
        <v>33</v>
      </c>
      <c r="D52" s="477" t="str">
        <f>'1100 Junc Utility Box'!G8</f>
        <v>PC.</v>
      </c>
      <c r="E52" s="479" t="s">
        <v>397</v>
      </c>
      <c r="F52" s="408">
        <f>'1100 Junc Utility Box'!T20</f>
        <v>2970</v>
      </c>
      <c r="G52" s="408">
        <f>'1100 Junc Utility Box'!T29</f>
        <v>297</v>
      </c>
      <c r="H52" s="408">
        <f>'1100 Junc Utility Box'!T45</f>
        <v>1633.5</v>
      </c>
      <c r="I52" s="408">
        <f>'1100 Junc Utility Box'!T47</f>
        <v>245.02500000000001</v>
      </c>
      <c r="J52" s="408">
        <f>'1100 Junc Utility Box'!T48</f>
        <v>490.05</v>
      </c>
      <c r="K52" s="408">
        <f>'1100 Junc Utility Box'!T49</f>
        <v>0</v>
      </c>
      <c r="L52" s="408">
        <f t="shared" si="0"/>
        <v>5635.5749999999998</v>
      </c>
      <c r="M52" s="408">
        <f t="shared" si="1"/>
        <v>170.77500000000001</v>
      </c>
    </row>
    <row r="53" spans="1:13" ht="45" x14ac:dyDescent="0.25">
      <c r="A53" s="477" t="str">
        <f>'1101(2) 1.6-5.5 mm2 Elec Wire'!E5</f>
        <v>1101(2)</v>
      </c>
      <c r="B53" s="478" t="str">
        <f>'1101(2) 1.6-5.5 mm2 Elec Wire'!G5</f>
        <v>1.6MM2 - 5.5MM2 ELECTRIC WIRE (TW/THHN/TWHN2)</v>
      </c>
      <c r="C53" s="467">
        <v>600</v>
      </c>
      <c r="D53" s="477" t="str">
        <f>'1101(2) 1.6-5.5 mm2 Elec Wire'!E6</f>
        <v>M.</v>
      </c>
      <c r="E53" s="479" t="s">
        <v>399</v>
      </c>
      <c r="F53" s="408">
        <f>'1101(2) 1.6-5.5 mm2 Elec Wire'!T20</f>
        <v>5400</v>
      </c>
      <c r="G53" s="408">
        <f>'1101(2) 1.6-5.5 mm2 Elec Wire'!T29</f>
        <v>540</v>
      </c>
      <c r="H53" s="408">
        <f>'1101(2) 1.6-5.5 mm2 Elec Wire'!T45</f>
        <v>19140</v>
      </c>
      <c r="I53" s="408">
        <f>'1101(2) 1.6-5.5 mm2 Elec Wire'!T47</f>
        <v>1254</v>
      </c>
      <c r="J53" s="408">
        <f>'1101(2) 1.6-5.5 mm2 Elec Wire'!T48</f>
        <v>2508</v>
      </c>
      <c r="K53" s="408">
        <f>'1101(2) 1.6-5.5 mm2 Elec Wire'!T49</f>
        <v>0</v>
      </c>
      <c r="L53" s="408">
        <f t="shared" si="0"/>
        <v>28842</v>
      </c>
      <c r="M53" s="408">
        <f t="shared" si="1"/>
        <v>48.07</v>
      </c>
    </row>
    <row r="54" spans="1:13" ht="45" x14ac:dyDescent="0.25">
      <c r="A54" s="480">
        <f>'1101 Single C Outlet'!E5</f>
        <v>1101</v>
      </c>
      <c r="B54" s="478" t="str">
        <f>'1101 Single C Outlet'!G5</f>
        <v>SINGLE CONVINENCE OUTLET/ RECEPTACLE, GROUNDING TYPE/HEAVY DUTY CONVENIENCE OUTLET</v>
      </c>
      <c r="C54" s="467">
        <v>13</v>
      </c>
      <c r="D54" s="477" t="str">
        <f>'1101 Single C Outlet'!E6</f>
        <v>SET</v>
      </c>
      <c r="E54" s="479" t="s">
        <v>400</v>
      </c>
      <c r="F54" s="408">
        <f>'1101 Single C Outlet'!T20</f>
        <v>731.25</v>
      </c>
      <c r="G54" s="408">
        <f>'1101 Single C Outlet'!T29</f>
        <v>0</v>
      </c>
      <c r="H54" s="408">
        <f>'1101 Single C Outlet'!T45</f>
        <v>2574</v>
      </c>
      <c r="I54" s="408">
        <f>'1101 Single C Outlet'!T47</f>
        <v>165.26250000000002</v>
      </c>
      <c r="J54" s="408">
        <f>'1101 Single C Outlet'!T48</f>
        <v>330.52500000000003</v>
      </c>
      <c r="K54" s="408">
        <f>'1101 Single C Outlet'!T49</f>
        <v>0</v>
      </c>
      <c r="L54" s="408">
        <f t="shared" si="0"/>
        <v>3801.0374999999999</v>
      </c>
      <c r="M54" s="408">
        <f t="shared" si="1"/>
        <v>292.38749999999999</v>
      </c>
    </row>
    <row r="55" spans="1:13" ht="45" x14ac:dyDescent="0.25">
      <c r="A55" s="480">
        <f>'1101 Duplex C Outlet'!E5</f>
        <v>1101</v>
      </c>
      <c r="B55" s="478" t="str">
        <f>'1101 Duplex C Outlet'!G5</f>
        <v>DUPLEX  CONVINENCE OUTLET/ RECEPTACLE, GROUNDING TYPE/HEAVY DUTY CONVENIENCE OUTLET</v>
      </c>
      <c r="C55" s="467">
        <v>10</v>
      </c>
      <c r="D55" s="477" t="str">
        <f>'1101 Duplex C Outlet'!E6</f>
        <v>SET</v>
      </c>
      <c r="E55" s="479" t="s">
        <v>401</v>
      </c>
      <c r="F55" s="408">
        <f>'1101 Duplex C Outlet'!T20</f>
        <v>675</v>
      </c>
      <c r="G55" s="408">
        <f>'1101 Duplex C Outlet'!T29</f>
        <v>0</v>
      </c>
      <c r="H55" s="408">
        <f>'1101 Duplex C Outlet'!T45</f>
        <v>2530</v>
      </c>
      <c r="I55" s="408">
        <f>'1101 Duplex C Outlet'!T47</f>
        <v>160.25</v>
      </c>
      <c r="J55" s="408">
        <f>'1101 Duplex C Outlet'!T48</f>
        <v>320.5</v>
      </c>
      <c r="K55" s="408">
        <f>'1101 Duplex C Outlet'!T49</f>
        <v>0</v>
      </c>
      <c r="L55" s="408">
        <f t="shared" si="0"/>
        <v>3685.75</v>
      </c>
      <c r="M55" s="408">
        <f t="shared" si="1"/>
        <v>368.57499999999999</v>
      </c>
    </row>
    <row r="56" spans="1:13" ht="45" x14ac:dyDescent="0.25">
      <c r="A56" s="480">
        <f>'1102 Panel Board'!E5</f>
        <v>1102</v>
      </c>
      <c r="B56" s="478" t="str">
        <f>'1102 Panel Board'!G5</f>
        <v>PANEL BOARD WITH MAIN BREAKER/BRANCHES, 3 WIRES, 1 NEUTRAL, 50AMP-200AMP</v>
      </c>
      <c r="C56" s="467">
        <v>1</v>
      </c>
      <c r="D56" s="477" t="str">
        <f>'1102 Panel Board'!G8</f>
        <v>SET</v>
      </c>
      <c r="E56" s="479" t="s">
        <v>402</v>
      </c>
      <c r="F56" s="408">
        <f>'1102 Panel Board'!T20</f>
        <v>1512.5</v>
      </c>
      <c r="G56" s="408">
        <f>'1102 Panel Board'!T29</f>
        <v>0</v>
      </c>
      <c r="H56" s="408">
        <f>'1102 Panel Board'!T45</f>
        <v>6656</v>
      </c>
      <c r="I56" s="408">
        <f>'1102 Panel Board'!T47</f>
        <v>408.42500000000001</v>
      </c>
      <c r="J56" s="408">
        <f>'1102 Panel Board'!T48</f>
        <v>816.85</v>
      </c>
      <c r="K56" s="408">
        <f>'1102 Panel Board'!T49</f>
        <v>0</v>
      </c>
      <c r="L56" s="408">
        <f t="shared" si="0"/>
        <v>9393.7749999999996</v>
      </c>
      <c r="M56" s="408">
        <f t="shared" si="1"/>
        <v>9393.7749999999996</v>
      </c>
    </row>
    <row r="57" spans="1:13" ht="45" x14ac:dyDescent="0.25">
      <c r="A57" s="477" t="str">
        <f>'1103(2) Lighting Fixtures'!E5</f>
        <v>1103(2)</v>
      </c>
      <c r="B57" s="478" t="str">
        <f>'1103(2) Lighting Fixtures'!G5</f>
        <v xml:space="preserve">FLOURESCENT LIGHTING FIXTURE WITH BALLAST/ LIGHT EMITTING DIODE (LED) BULB, 1 BULB </v>
      </c>
      <c r="C57" s="467">
        <v>40</v>
      </c>
      <c r="D57" s="477" t="str">
        <f>'1103(2) Lighting Fixtures'!G8</f>
        <v>SET</v>
      </c>
      <c r="E57" s="479" t="s">
        <v>403</v>
      </c>
      <c r="F57" s="408">
        <f>'1103(2) Lighting Fixtures'!T20</f>
        <v>9000</v>
      </c>
      <c r="G57" s="408">
        <f>'1103(2) Lighting Fixtures'!T29</f>
        <v>900</v>
      </c>
      <c r="H57" s="408">
        <f>'1103(2) Lighting Fixtures'!T45</f>
        <v>7920</v>
      </c>
      <c r="I57" s="408">
        <f>'1103(2) Lighting Fixtures'!T47</f>
        <v>891</v>
      </c>
      <c r="J57" s="408">
        <f>'1103(2) Lighting Fixtures'!T48</f>
        <v>1782</v>
      </c>
      <c r="K57" s="408">
        <f>'1103(2) Lighting Fixtures'!T49</f>
        <v>0</v>
      </c>
      <c r="L57" s="408">
        <f t="shared" si="0"/>
        <v>20493</v>
      </c>
      <c r="M57" s="408">
        <f t="shared" si="1"/>
        <v>512.32500000000005</v>
      </c>
    </row>
    <row r="58" spans="1:13" ht="45" x14ac:dyDescent="0.25">
      <c r="A58" s="477" t="str">
        <f>'Other item-Electrical'!E5</f>
        <v>SPL- ?</v>
      </c>
      <c r="B58" s="478" t="str">
        <f>'Other item-Electrical'!G5</f>
        <v>(INPUT OTHER ELECTRICAL WORK ITEM THAT IS NOT FOUND IN THIS SPREADSHEET)</v>
      </c>
      <c r="C58" s="410">
        <v>1</v>
      </c>
      <c r="D58" s="477" t="str">
        <f>'Other item-Electrical'!G8</f>
        <v>L.S.</v>
      </c>
      <c r="E58" s="479" t="s">
        <v>393</v>
      </c>
      <c r="F58" s="408">
        <f>'Other item-Electrical'!T20</f>
        <v>0</v>
      </c>
      <c r="G58" s="408">
        <f>'Other item-Electrical'!T29</f>
        <v>0</v>
      </c>
      <c r="H58" s="408">
        <f>'Other item-Electrical'!T45</f>
        <v>0</v>
      </c>
      <c r="I58" s="408">
        <f>'Other item-Electrical'!T47</f>
        <v>0</v>
      </c>
      <c r="J58" s="408">
        <f>'Other item-Electrical'!T48</f>
        <v>0</v>
      </c>
      <c r="K58" s="408">
        <f>'Other item-Electrical'!T49</f>
        <v>0</v>
      </c>
      <c r="L58" s="408">
        <f t="shared" si="0"/>
        <v>0</v>
      </c>
      <c r="M58" s="408"/>
    </row>
    <row r="59" spans="1:13" ht="21" x14ac:dyDescent="0.35">
      <c r="A59" s="477"/>
      <c r="B59" s="477"/>
      <c r="C59" s="477"/>
      <c r="D59" s="477"/>
      <c r="E59" s="487"/>
      <c r="F59" s="410">
        <f t="shared" ref="F59:K59" si="6">SUM(F10:F58)</f>
        <v>326736.90000000002</v>
      </c>
      <c r="G59" s="410">
        <f t="shared" si="6"/>
        <v>90193.33</v>
      </c>
      <c r="H59" s="410">
        <f t="shared" si="6"/>
        <v>1013330.8599999999</v>
      </c>
      <c r="I59" s="410">
        <f t="shared" si="6"/>
        <v>71513.054499999984</v>
      </c>
      <c r="J59" s="410">
        <f t="shared" si="6"/>
        <v>143026.10899999997</v>
      </c>
      <c r="K59" s="410">
        <f t="shared" si="6"/>
        <v>0</v>
      </c>
      <c r="L59" s="411">
        <f>SUM(L10:L58)</f>
        <v>1644800.2535000001</v>
      </c>
      <c r="M59" s="477"/>
    </row>
    <row r="60" spans="1:13" x14ac:dyDescent="0.25"/>
    <row r="61" spans="1:13" ht="45" x14ac:dyDescent="0.25">
      <c r="B61" s="472" t="s">
        <v>301</v>
      </c>
      <c r="C61" s="472"/>
      <c r="F61" s="473" t="s">
        <v>342</v>
      </c>
      <c r="G61" s="473" t="s">
        <v>343</v>
      </c>
      <c r="H61" s="474" t="s">
        <v>344</v>
      </c>
      <c r="I61" s="474" t="s">
        <v>215</v>
      </c>
      <c r="J61" s="474" t="s">
        <v>216</v>
      </c>
      <c r="K61" s="474" t="s">
        <v>217</v>
      </c>
      <c r="L61" s="474" t="s">
        <v>63</v>
      </c>
    </row>
    <row r="62" spans="1:13" ht="15.75" x14ac:dyDescent="0.25">
      <c r="B62" s="471" t="s">
        <v>215</v>
      </c>
      <c r="C62" s="475">
        <v>0.05</v>
      </c>
    </row>
    <row r="63" spans="1:13" ht="15.75" x14ac:dyDescent="0.25">
      <c r="B63" s="471" t="s">
        <v>308</v>
      </c>
      <c r="C63" s="475">
        <v>0.1</v>
      </c>
    </row>
    <row r="64" spans="1:13" ht="15.75" x14ac:dyDescent="0.25">
      <c r="B64" s="471" t="s">
        <v>405</v>
      </c>
      <c r="C64" s="475">
        <v>0</v>
      </c>
    </row>
    <row r="65" spans="3:3" x14ac:dyDescent="0.25"/>
    <row r="75" spans="3:3" ht="17.25" hidden="1" x14ac:dyDescent="0.3">
      <c r="C75" s="476"/>
    </row>
    <row r="76" spans="3:3" ht="17.25" hidden="1" x14ac:dyDescent="0.3">
      <c r="C76" s="476"/>
    </row>
    <row r="77" spans="3:3" ht="17.25" hidden="1" x14ac:dyDescent="0.3">
      <c r="C77" s="476"/>
    </row>
    <row r="78" spans="3:3" ht="17.25" hidden="1" x14ac:dyDescent="0.3">
      <c r="C78" s="476"/>
    </row>
    <row r="79" spans="3:3" ht="17.25" hidden="1" x14ac:dyDescent="0.3">
      <c r="C79" s="476"/>
    </row>
    <row r="80" spans="3:3" ht="17.25" hidden="1" x14ac:dyDescent="0.3">
      <c r="C80" s="476"/>
    </row>
    <row r="81" spans="3:3" ht="17.25" hidden="1" x14ac:dyDescent="0.3">
      <c r="C81" s="476"/>
    </row>
  </sheetData>
  <mergeCells count="13">
    <mergeCell ref="A9:M9"/>
    <mergeCell ref="A40:M40"/>
    <mergeCell ref="A50:M50"/>
    <mergeCell ref="A2:M2"/>
    <mergeCell ref="A7:A8"/>
    <mergeCell ref="F7:H7"/>
    <mergeCell ref="B7:B8"/>
    <mergeCell ref="C7:C8"/>
    <mergeCell ref="D7:D8"/>
    <mergeCell ref="E7:E8"/>
    <mergeCell ref="I7:K7"/>
    <mergeCell ref="C4:I4"/>
    <mergeCell ref="C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098F-F041-5B4F-A675-AD0614B79029}">
  <sheetPr codeName="Sheet2">
    <tabColor rgb="FF7030A0"/>
    <pageSetUpPr fitToPage="1"/>
  </sheetPr>
  <dimension ref="A1:AX45"/>
  <sheetViews>
    <sheetView view="pageBreakPreview" topLeftCell="A13" zoomScale="115" zoomScaleSheetLayoutView="115" workbookViewId="0">
      <selection activeCell="O15" sqref="O15"/>
    </sheetView>
  </sheetViews>
  <sheetFormatPr defaultColWidth="8.85546875" defaultRowHeight="13.5" x14ac:dyDescent="0.25"/>
  <cols>
    <col min="1" max="1" width="2.7109375" style="414" customWidth="1"/>
    <col min="2" max="2" width="5.7109375" style="414" customWidth="1"/>
    <col min="3" max="3" width="3.140625" style="414" customWidth="1"/>
    <col min="4" max="4" width="3.85546875" style="414" customWidth="1"/>
    <col min="5" max="5" width="4" style="414" customWidth="1"/>
    <col min="6" max="6" width="8.85546875" style="414"/>
    <col min="7" max="7" width="5.7109375" style="414" customWidth="1"/>
    <col min="8" max="8" width="5.42578125" style="414" customWidth="1"/>
    <col min="9" max="9" width="11.28515625" style="414" customWidth="1"/>
    <col min="10" max="11" width="6.7109375" style="414" customWidth="1"/>
    <col min="12" max="14" width="6.140625" style="414" customWidth="1"/>
    <col min="15" max="16" width="6.28515625" style="414" customWidth="1"/>
    <col min="17" max="17" width="6.140625" style="414" customWidth="1"/>
    <col min="18" max="18" width="6.28515625" style="414" customWidth="1"/>
    <col min="19" max="19" width="6.7109375" style="414" customWidth="1"/>
    <col min="20" max="20" width="1.42578125" style="414" customWidth="1"/>
    <col min="21" max="21" width="16.140625" style="414" customWidth="1"/>
    <col min="22" max="22" width="16.85546875" style="414" bestFit="1" customWidth="1"/>
    <col min="23" max="23" width="16.42578125" style="414" customWidth="1"/>
    <col min="24" max="24" width="15.42578125" style="414" customWidth="1"/>
    <col min="25" max="25" width="15.28515625" style="414" bestFit="1" customWidth="1"/>
    <col min="26" max="26" width="34" style="414" bestFit="1" customWidth="1"/>
    <col min="27" max="27" width="10.42578125" style="414" bestFit="1" customWidth="1"/>
    <col min="28" max="32" width="8.85546875" style="414"/>
    <col min="33" max="33" width="31" style="414" customWidth="1"/>
    <col min="34" max="34" width="8.85546875" style="414"/>
    <col min="35" max="35" width="16.42578125" style="414" bestFit="1" customWidth="1"/>
    <col min="36" max="235" width="8.85546875" style="414"/>
    <col min="236" max="236" width="2.7109375" style="414" customWidth="1"/>
    <col min="237" max="237" width="5.7109375" style="414" customWidth="1"/>
    <col min="238" max="238" width="3.140625" style="414" customWidth="1"/>
    <col min="239" max="239" width="3.85546875" style="414" customWidth="1"/>
    <col min="240" max="240" width="2.85546875" style="414" customWidth="1"/>
    <col min="241" max="241" width="8.85546875" style="414"/>
    <col min="242" max="242" width="5.7109375" style="414" customWidth="1"/>
    <col min="243" max="244" width="5.42578125" style="414" customWidth="1"/>
    <col min="245" max="246" width="6.7109375" style="414" customWidth="1"/>
    <col min="247" max="249" width="6.140625" style="414" customWidth="1"/>
    <col min="250" max="251" width="6.28515625" style="414" customWidth="1"/>
    <col min="252" max="252" width="6.140625" style="414" customWidth="1"/>
    <col min="253" max="254" width="6.28515625" style="414" customWidth="1"/>
    <col min="255" max="255" width="0.85546875" style="414" customWidth="1"/>
    <col min="256" max="256" width="15" style="414" customWidth="1"/>
    <col min="257" max="491" width="8.85546875" style="414"/>
    <col min="492" max="492" width="2.7109375" style="414" customWidth="1"/>
    <col min="493" max="493" width="5.7109375" style="414" customWidth="1"/>
    <col min="494" max="494" width="3.140625" style="414" customWidth="1"/>
    <col min="495" max="495" width="3.85546875" style="414" customWidth="1"/>
    <col min="496" max="496" width="2.85546875" style="414" customWidth="1"/>
    <col min="497" max="497" width="8.85546875" style="414"/>
    <col min="498" max="498" width="5.7109375" style="414" customWidth="1"/>
    <col min="499" max="500" width="5.42578125" style="414" customWidth="1"/>
    <col min="501" max="502" width="6.7109375" style="414" customWidth="1"/>
    <col min="503" max="505" width="6.140625" style="414" customWidth="1"/>
    <col min="506" max="507" width="6.28515625" style="414" customWidth="1"/>
    <col min="508" max="508" width="6.140625" style="414" customWidth="1"/>
    <col min="509" max="510" width="6.28515625" style="414" customWidth="1"/>
    <col min="511" max="511" width="0.85546875" style="414" customWidth="1"/>
    <col min="512" max="512" width="15" style="414" customWidth="1"/>
    <col min="513" max="747" width="8.85546875" style="414"/>
    <col min="748" max="748" width="2.7109375" style="414" customWidth="1"/>
    <col min="749" max="749" width="5.7109375" style="414" customWidth="1"/>
    <col min="750" max="750" width="3.140625" style="414" customWidth="1"/>
    <col min="751" max="751" width="3.85546875" style="414" customWidth="1"/>
    <col min="752" max="752" width="2.85546875" style="414" customWidth="1"/>
    <col min="753" max="753" width="8.85546875" style="414"/>
    <col min="754" max="754" width="5.7109375" style="414" customWidth="1"/>
    <col min="755" max="756" width="5.42578125" style="414" customWidth="1"/>
    <col min="757" max="758" width="6.7109375" style="414" customWidth="1"/>
    <col min="759" max="761" width="6.140625" style="414" customWidth="1"/>
    <col min="762" max="763" width="6.28515625" style="414" customWidth="1"/>
    <col min="764" max="764" width="6.140625" style="414" customWidth="1"/>
    <col min="765" max="766" width="6.28515625" style="414" customWidth="1"/>
    <col min="767" max="767" width="0.85546875" style="414" customWidth="1"/>
    <col min="768" max="768" width="15" style="414" customWidth="1"/>
    <col min="769" max="1003" width="8.85546875" style="414"/>
    <col min="1004" max="1004" width="2.7109375" style="414" customWidth="1"/>
    <col min="1005" max="1005" width="5.7109375" style="414" customWidth="1"/>
    <col min="1006" max="1006" width="3.140625" style="414" customWidth="1"/>
    <col min="1007" max="1007" width="3.85546875" style="414" customWidth="1"/>
    <col min="1008" max="1008" width="2.85546875" style="414" customWidth="1"/>
    <col min="1009" max="1009" width="8.85546875" style="414"/>
    <col min="1010" max="1010" width="5.7109375" style="414" customWidth="1"/>
    <col min="1011" max="1012" width="5.42578125" style="414" customWidth="1"/>
    <col min="1013" max="1014" width="6.7109375" style="414" customWidth="1"/>
    <col min="1015" max="1017" width="6.140625" style="414" customWidth="1"/>
    <col min="1018" max="1019" width="6.28515625" style="414" customWidth="1"/>
    <col min="1020" max="1020" width="6.140625" style="414" customWidth="1"/>
    <col min="1021" max="1022" width="6.28515625" style="414" customWidth="1"/>
    <col min="1023" max="1023" width="0.85546875" style="414" customWidth="1"/>
    <col min="1024" max="1024" width="15" style="414" customWidth="1"/>
    <col min="1025" max="1259" width="8.85546875" style="414"/>
    <col min="1260" max="1260" width="2.7109375" style="414" customWidth="1"/>
    <col min="1261" max="1261" width="5.7109375" style="414" customWidth="1"/>
    <col min="1262" max="1262" width="3.140625" style="414" customWidth="1"/>
    <col min="1263" max="1263" width="3.85546875" style="414" customWidth="1"/>
    <col min="1264" max="1264" width="2.85546875" style="414" customWidth="1"/>
    <col min="1265" max="1265" width="8.85546875" style="414"/>
    <col min="1266" max="1266" width="5.7109375" style="414" customWidth="1"/>
    <col min="1267" max="1268" width="5.42578125" style="414" customWidth="1"/>
    <col min="1269" max="1270" width="6.7109375" style="414" customWidth="1"/>
    <col min="1271" max="1273" width="6.140625" style="414" customWidth="1"/>
    <col min="1274" max="1275" width="6.28515625" style="414" customWidth="1"/>
    <col min="1276" max="1276" width="6.140625" style="414" customWidth="1"/>
    <col min="1277" max="1278" width="6.28515625" style="414" customWidth="1"/>
    <col min="1279" max="1279" width="0.85546875" style="414" customWidth="1"/>
    <col min="1280" max="1280" width="15" style="414" customWidth="1"/>
    <col min="1281" max="1515" width="8.85546875" style="414"/>
    <col min="1516" max="1516" width="2.7109375" style="414" customWidth="1"/>
    <col min="1517" max="1517" width="5.7109375" style="414" customWidth="1"/>
    <col min="1518" max="1518" width="3.140625" style="414" customWidth="1"/>
    <col min="1519" max="1519" width="3.85546875" style="414" customWidth="1"/>
    <col min="1520" max="1520" width="2.85546875" style="414" customWidth="1"/>
    <col min="1521" max="1521" width="8.85546875" style="414"/>
    <col min="1522" max="1522" width="5.7109375" style="414" customWidth="1"/>
    <col min="1523" max="1524" width="5.42578125" style="414" customWidth="1"/>
    <col min="1525" max="1526" width="6.7109375" style="414" customWidth="1"/>
    <col min="1527" max="1529" width="6.140625" style="414" customWidth="1"/>
    <col min="1530" max="1531" width="6.28515625" style="414" customWidth="1"/>
    <col min="1532" max="1532" width="6.140625" style="414" customWidth="1"/>
    <col min="1533" max="1534" width="6.28515625" style="414" customWidth="1"/>
    <col min="1535" max="1535" width="0.85546875" style="414" customWidth="1"/>
    <col min="1536" max="1536" width="15" style="414" customWidth="1"/>
    <col min="1537" max="1771" width="8.85546875" style="414"/>
    <col min="1772" max="1772" width="2.7109375" style="414" customWidth="1"/>
    <col min="1773" max="1773" width="5.7109375" style="414" customWidth="1"/>
    <col min="1774" max="1774" width="3.140625" style="414" customWidth="1"/>
    <col min="1775" max="1775" width="3.85546875" style="414" customWidth="1"/>
    <col min="1776" max="1776" width="2.85546875" style="414" customWidth="1"/>
    <col min="1777" max="1777" width="8.85546875" style="414"/>
    <col min="1778" max="1778" width="5.7109375" style="414" customWidth="1"/>
    <col min="1779" max="1780" width="5.42578125" style="414" customWidth="1"/>
    <col min="1781" max="1782" width="6.7109375" style="414" customWidth="1"/>
    <col min="1783" max="1785" width="6.140625" style="414" customWidth="1"/>
    <col min="1786" max="1787" width="6.28515625" style="414" customWidth="1"/>
    <col min="1788" max="1788" width="6.140625" style="414" customWidth="1"/>
    <col min="1789" max="1790" width="6.28515625" style="414" customWidth="1"/>
    <col min="1791" max="1791" width="0.85546875" style="414" customWidth="1"/>
    <col min="1792" max="1792" width="15" style="414" customWidth="1"/>
    <col min="1793" max="2027" width="8.85546875" style="414"/>
    <col min="2028" max="2028" width="2.7109375" style="414" customWidth="1"/>
    <col min="2029" max="2029" width="5.7109375" style="414" customWidth="1"/>
    <col min="2030" max="2030" width="3.140625" style="414" customWidth="1"/>
    <col min="2031" max="2031" width="3.85546875" style="414" customWidth="1"/>
    <col min="2032" max="2032" width="2.85546875" style="414" customWidth="1"/>
    <col min="2033" max="2033" width="8.85546875" style="414"/>
    <col min="2034" max="2034" width="5.7109375" style="414" customWidth="1"/>
    <col min="2035" max="2036" width="5.42578125" style="414" customWidth="1"/>
    <col min="2037" max="2038" width="6.7109375" style="414" customWidth="1"/>
    <col min="2039" max="2041" width="6.140625" style="414" customWidth="1"/>
    <col min="2042" max="2043" width="6.28515625" style="414" customWidth="1"/>
    <col min="2044" max="2044" width="6.140625" style="414" customWidth="1"/>
    <col min="2045" max="2046" width="6.28515625" style="414" customWidth="1"/>
    <col min="2047" max="2047" width="0.85546875" style="414" customWidth="1"/>
    <col min="2048" max="2048" width="15" style="414" customWidth="1"/>
    <col min="2049" max="2283" width="8.85546875" style="414"/>
    <col min="2284" max="2284" width="2.7109375" style="414" customWidth="1"/>
    <col min="2285" max="2285" width="5.7109375" style="414" customWidth="1"/>
    <col min="2286" max="2286" width="3.140625" style="414" customWidth="1"/>
    <col min="2287" max="2287" width="3.85546875" style="414" customWidth="1"/>
    <col min="2288" max="2288" width="2.85546875" style="414" customWidth="1"/>
    <col min="2289" max="2289" width="8.85546875" style="414"/>
    <col min="2290" max="2290" width="5.7109375" style="414" customWidth="1"/>
    <col min="2291" max="2292" width="5.42578125" style="414" customWidth="1"/>
    <col min="2293" max="2294" width="6.7109375" style="414" customWidth="1"/>
    <col min="2295" max="2297" width="6.140625" style="414" customWidth="1"/>
    <col min="2298" max="2299" width="6.28515625" style="414" customWidth="1"/>
    <col min="2300" max="2300" width="6.140625" style="414" customWidth="1"/>
    <col min="2301" max="2302" width="6.28515625" style="414" customWidth="1"/>
    <col min="2303" max="2303" width="0.85546875" style="414" customWidth="1"/>
    <col min="2304" max="2304" width="15" style="414" customWidth="1"/>
    <col min="2305" max="2539" width="8.85546875" style="414"/>
    <col min="2540" max="2540" width="2.7109375" style="414" customWidth="1"/>
    <col min="2541" max="2541" width="5.7109375" style="414" customWidth="1"/>
    <col min="2542" max="2542" width="3.140625" style="414" customWidth="1"/>
    <col min="2543" max="2543" width="3.85546875" style="414" customWidth="1"/>
    <col min="2544" max="2544" width="2.85546875" style="414" customWidth="1"/>
    <col min="2545" max="2545" width="8.85546875" style="414"/>
    <col min="2546" max="2546" width="5.7109375" style="414" customWidth="1"/>
    <col min="2547" max="2548" width="5.42578125" style="414" customWidth="1"/>
    <col min="2549" max="2550" width="6.7109375" style="414" customWidth="1"/>
    <col min="2551" max="2553" width="6.140625" style="414" customWidth="1"/>
    <col min="2554" max="2555" width="6.28515625" style="414" customWidth="1"/>
    <col min="2556" max="2556" width="6.140625" style="414" customWidth="1"/>
    <col min="2557" max="2558" width="6.28515625" style="414" customWidth="1"/>
    <col min="2559" max="2559" width="0.85546875" style="414" customWidth="1"/>
    <col min="2560" max="2560" width="15" style="414" customWidth="1"/>
    <col min="2561" max="2795" width="8.85546875" style="414"/>
    <col min="2796" max="2796" width="2.7109375" style="414" customWidth="1"/>
    <col min="2797" max="2797" width="5.7109375" style="414" customWidth="1"/>
    <col min="2798" max="2798" width="3.140625" style="414" customWidth="1"/>
    <col min="2799" max="2799" width="3.85546875" style="414" customWidth="1"/>
    <col min="2800" max="2800" width="2.85546875" style="414" customWidth="1"/>
    <col min="2801" max="2801" width="8.85546875" style="414"/>
    <col min="2802" max="2802" width="5.7109375" style="414" customWidth="1"/>
    <col min="2803" max="2804" width="5.42578125" style="414" customWidth="1"/>
    <col min="2805" max="2806" width="6.7109375" style="414" customWidth="1"/>
    <col min="2807" max="2809" width="6.140625" style="414" customWidth="1"/>
    <col min="2810" max="2811" width="6.28515625" style="414" customWidth="1"/>
    <col min="2812" max="2812" width="6.140625" style="414" customWidth="1"/>
    <col min="2813" max="2814" width="6.28515625" style="414" customWidth="1"/>
    <col min="2815" max="2815" width="0.85546875" style="414" customWidth="1"/>
    <col min="2816" max="2816" width="15" style="414" customWidth="1"/>
    <col min="2817" max="3051" width="8.85546875" style="414"/>
    <col min="3052" max="3052" width="2.7109375" style="414" customWidth="1"/>
    <col min="3053" max="3053" width="5.7109375" style="414" customWidth="1"/>
    <col min="3054" max="3054" width="3.140625" style="414" customWidth="1"/>
    <col min="3055" max="3055" width="3.85546875" style="414" customWidth="1"/>
    <col min="3056" max="3056" width="2.85546875" style="414" customWidth="1"/>
    <col min="3057" max="3057" width="8.85546875" style="414"/>
    <col min="3058" max="3058" width="5.7109375" style="414" customWidth="1"/>
    <col min="3059" max="3060" width="5.42578125" style="414" customWidth="1"/>
    <col min="3061" max="3062" width="6.7109375" style="414" customWidth="1"/>
    <col min="3063" max="3065" width="6.140625" style="414" customWidth="1"/>
    <col min="3066" max="3067" width="6.28515625" style="414" customWidth="1"/>
    <col min="3068" max="3068" width="6.140625" style="414" customWidth="1"/>
    <col min="3069" max="3070" width="6.28515625" style="414" customWidth="1"/>
    <col min="3071" max="3071" width="0.85546875" style="414" customWidth="1"/>
    <col min="3072" max="3072" width="15" style="414" customWidth="1"/>
    <col min="3073" max="3307" width="8.85546875" style="414"/>
    <col min="3308" max="3308" width="2.7109375" style="414" customWidth="1"/>
    <col min="3309" max="3309" width="5.7109375" style="414" customWidth="1"/>
    <col min="3310" max="3310" width="3.140625" style="414" customWidth="1"/>
    <col min="3311" max="3311" width="3.85546875" style="414" customWidth="1"/>
    <col min="3312" max="3312" width="2.85546875" style="414" customWidth="1"/>
    <col min="3313" max="3313" width="8.85546875" style="414"/>
    <col min="3314" max="3314" width="5.7109375" style="414" customWidth="1"/>
    <col min="3315" max="3316" width="5.42578125" style="414" customWidth="1"/>
    <col min="3317" max="3318" width="6.7109375" style="414" customWidth="1"/>
    <col min="3319" max="3321" width="6.140625" style="414" customWidth="1"/>
    <col min="3322" max="3323" width="6.28515625" style="414" customWidth="1"/>
    <col min="3324" max="3324" width="6.140625" style="414" customWidth="1"/>
    <col min="3325" max="3326" width="6.28515625" style="414" customWidth="1"/>
    <col min="3327" max="3327" width="0.85546875" style="414" customWidth="1"/>
    <col min="3328" max="3328" width="15" style="414" customWidth="1"/>
    <col min="3329" max="3563" width="8.85546875" style="414"/>
    <col min="3564" max="3564" width="2.7109375" style="414" customWidth="1"/>
    <col min="3565" max="3565" width="5.7109375" style="414" customWidth="1"/>
    <col min="3566" max="3566" width="3.140625" style="414" customWidth="1"/>
    <col min="3567" max="3567" width="3.85546875" style="414" customWidth="1"/>
    <col min="3568" max="3568" width="2.85546875" style="414" customWidth="1"/>
    <col min="3569" max="3569" width="8.85546875" style="414"/>
    <col min="3570" max="3570" width="5.7109375" style="414" customWidth="1"/>
    <col min="3571" max="3572" width="5.42578125" style="414" customWidth="1"/>
    <col min="3573" max="3574" width="6.7109375" style="414" customWidth="1"/>
    <col min="3575" max="3577" width="6.140625" style="414" customWidth="1"/>
    <col min="3578" max="3579" width="6.28515625" style="414" customWidth="1"/>
    <col min="3580" max="3580" width="6.140625" style="414" customWidth="1"/>
    <col min="3581" max="3582" width="6.28515625" style="414" customWidth="1"/>
    <col min="3583" max="3583" width="0.85546875" style="414" customWidth="1"/>
    <col min="3584" max="3584" width="15" style="414" customWidth="1"/>
    <col min="3585" max="3819" width="8.85546875" style="414"/>
    <col min="3820" max="3820" width="2.7109375" style="414" customWidth="1"/>
    <col min="3821" max="3821" width="5.7109375" style="414" customWidth="1"/>
    <col min="3822" max="3822" width="3.140625" style="414" customWidth="1"/>
    <col min="3823" max="3823" width="3.85546875" style="414" customWidth="1"/>
    <col min="3824" max="3824" width="2.85546875" style="414" customWidth="1"/>
    <col min="3825" max="3825" width="8.85546875" style="414"/>
    <col min="3826" max="3826" width="5.7109375" style="414" customWidth="1"/>
    <col min="3827" max="3828" width="5.42578125" style="414" customWidth="1"/>
    <col min="3829" max="3830" width="6.7109375" style="414" customWidth="1"/>
    <col min="3831" max="3833" width="6.140625" style="414" customWidth="1"/>
    <col min="3834" max="3835" width="6.28515625" style="414" customWidth="1"/>
    <col min="3836" max="3836" width="6.140625" style="414" customWidth="1"/>
    <col min="3837" max="3838" width="6.28515625" style="414" customWidth="1"/>
    <col min="3839" max="3839" width="0.85546875" style="414" customWidth="1"/>
    <col min="3840" max="3840" width="15" style="414" customWidth="1"/>
    <col min="3841" max="4075" width="8.85546875" style="414"/>
    <col min="4076" max="4076" width="2.7109375" style="414" customWidth="1"/>
    <col min="4077" max="4077" width="5.7109375" style="414" customWidth="1"/>
    <col min="4078" max="4078" width="3.140625" style="414" customWidth="1"/>
    <col min="4079" max="4079" width="3.85546875" style="414" customWidth="1"/>
    <col min="4080" max="4080" width="2.85546875" style="414" customWidth="1"/>
    <col min="4081" max="4081" width="8.85546875" style="414"/>
    <col min="4082" max="4082" width="5.7109375" style="414" customWidth="1"/>
    <col min="4083" max="4084" width="5.42578125" style="414" customWidth="1"/>
    <col min="4085" max="4086" width="6.7109375" style="414" customWidth="1"/>
    <col min="4087" max="4089" width="6.140625" style="414" customWidth="1"/>
    <col min="4090" max="4091" width="6.28515625" style="414" customWidth="1"/>
    <col min="4092" max="4092" width="6.140625" style="414" customWidth="1"/>
    <col min="4093" max="4094" width="6.28515625" style="414" customWidth="1"/>
    <col min="4095" max="4095" width="0.85546875" style="414" customWidth="1"/>
    <col min="4096" max="4096" width="15" style="414" customWidth="1"/>
    <col min="4097" max="4331" width="8.85546875" style="414"/>
    <col min="4332" max="4332" width="2.7109375" style="414" customWidth="1"/>
    <col min="4333" max="4333" width="5.7109375" style="414" customWidth="1"/>
    <col min="4334" max="4334" width="3.140625" style="414" customWidth="1"/>
    <col min="4335" max="4335" width="3.85546875" style="414" customWidth="1"/>
    <col min="4336" max="4336" width="2.85546875" style="414" customWidth="1"/>
    <col min="4337" max="4337" width="8.85546875" style="414"/>
    <col min="4338" max="4338" width="5.7109375" style="414" customWidth="1"/>
    <col min="4339" max="4340" width="5.42578125" style="414" customWidth="1"/>
    <col min="4341" max="4342" width="6.7109375" style="414" customWidth="1"/>
    <col min="4343" max="4345" width="6.140625" style="414" customWidth="1"/>
    <col min="4346" max="4347" width="6.28515625" style="414" customWidth="1"/>
    <col min="4348" max="4348" width="6.140625" style="414" customWidth="1"/>
    <col min="4349" max="4350" width="6.28515625" style="414" customWidth="1"/>
    <col min="4351" max="4351" width="0.85546875" style="414" customWidth="1"/>
    <col min="4352" max="4352" width="15" style="414" customWidth="1"/>
    <col min="4353" max="4587" width="8.85546875" style="414"/>
    <col min="4588" max="4588" width="2.7109375" style="414" customWidth="1"/>
    <col min="4589" max="4589" width="5.7109375" style="414" customWidth="1"/>
    <col min="4590" max="4590" width="3.140625" style="414" customWidth="1"/>
    <col min="4591" max="4591" width="3.85546875" style="414" customWidth="1"/>
    <col min="4592" max="4592" width="2.85546875" style="414" customWidth="1"/>
    <col min="4593" max="4593" width="8.85546875" style="414"/>
    <col min="4594" max="4594" width="5.7109375" style="414" customWidth="1"/>
    <col min="4595" max="4596" width="5.42578125" style="414" customWidth="1"/>
    <col min="4597" max="4598" width="6.7109375" style="414" customWidth="1"/>
    <col min="4599" max="4601" width="6.140625" style="414" customWidth="1"/>
    <col min="4602" max="4603" width="6.28515625" style="414" customWidth="1"/>
    <col min="4604" max="4604" width="6.140625" style="414" customWidth="1"/>
    <col min="4605" max="4606" width="6.28515625" style="414" customWidth="1"/>
    <col min="4607" max="4607" width="0.85546875" style="414" customWidth="1"/>
    <col min="4608" max="4608" width="15" style="414" customWidth="1"/>
    <col min="4609" max="4843" width="8.85546875" style="414"/>
    <col min="4844" max="4844" width="2.7109375" style="414" customWidth="1"/>
    <col min="4845" max="4845" width="5.7109375" style="414" customWidth="1"/>
    <col min="4846" max="4846" width="3.140625" style="414" customWidth="1"/>
    <col min="4847" max="4847" width="3.85546875" style="414" customWidth="1"/>
    <col min="4848" max="4848" width="2.85546875" style="414" customWidth="1"/>
    <col min="4849" max="4849" width="8.85546875" style="414"/>
    <col min="4850" max="4850" width="5.7109375" style="414" customWidth="1"/>
    <col min="4851" max="4852" width="5.42578125" style="414" customWidth="1"/>
    <col min="4853" max="4854" width="6.7109375" style="414" customWidth="1"/>
    <col min="4855" max="4857" width="6.140625" style="414" customWidth="1"/>
    <col min="4858" max="4859" width="6.28515625" style="414" customWidth="1"/>
    <col min="4860" max="4860" width="6.140625" style="414" customWidth="1"/>
    <col min="4861" max="4862" width="6.28515625" style="414" customWidth="1"/>
    <col min="4863" max="4863" width="0.85546875" style="414" customWidth="1"/>
    <col min="4864" max="4864" width="15" style="414" customWidth="1"/>
    <col min="4865" max="5099" width="8.85546875" style="414"/>
    <col min="5100" max="5100" width="2.7109375" style="414" customWidth="1"/>
    <col min="5101" max="5101" width="5.7109375" style="414" customWidth="1"/>
    <col min="5102" max="5102" width="3.140625" style="414" customWidth="1"/>
    <col min="5103" max="5103" width="3.85546875" style="414" customWidth="1"/>
    <col min="5104" max="5104" width="2.85546875" style="414" customWidth="1"/>
    <col min="5105" max="5105" width="8.85546875" style="414"/>
    <col min="5106" max="5106" width="5.7109375" style="414" customWidth="1"/>
    <col min="5107" max="5108" width="5.42578125" style="414" customWidth="1"/>
    <col min="5109" max="5110" width="6.7109375" style="414" customWidth="1"/>
    <col min="5111" max="5113" width="6.140625" style="414" customWidth="1"/>
    <col min="5114" max="5115" width="6.28515625" style="414" customWidth="1"/>
    <col min="5116" max="5116" width="6.140625" style="414" customWidth="1"/>
    <col min="5117" max="5118" width="6.28515625" style="414" customWidth="1"/>
    <col min="5119" max="5119" width="0.85546875" style="414" customWidth="1"/>
    <col min="5120" max="5120" width="15" style="414" customWidth="1"/>
    <col min="5121" max="5355" width="8.85546875" style="414"/>
    <col min="5356" max="5356" width="2.7109375" style="414" customWidth="1"/>
    <col min="5357" max="5357" width="5.7109375" style="414" customWidth="1"/>
    <col min="5358" max="5358" width="3.140625" style="414" customWidth="1"/>
    <col min="5359" max="5359" width="3.85546875" style="414" customWidth="1"/>
    <col min="5360" max="5360" width="2.85546875" style="414" customWidth="1"/>
    <col min="5361" max="5361" width="8.85546875" style="414"/>
    <col min="5362" max="5362" width="5.7109375" style="414" customWidth="1"/>
    <col min="5363" max="5364" width="5.42578125" style="414" customWidth="1"/>
    <col min="5365" max="5366" width="6.7109375" style="414" customWidth="1"/>
    <col min="5367" max="5369" width="6.140625" style="414" customWidth="1"/>
    <col min="5370" max="5371" width="6.28515625" style="414" customWidth="1"/>
    <col min="5372" max="5372" width="6.140625" style="414" customWidth="1"/>
    <col min="5373" max="5374" width="6.28515625" style="414" customWidth="1"/>
    <col min="5375" max="5375" width="0.85546875" style="414" customWidth="1"/>
    <col min="5376" max="5376" width="15" style="414" customWidth="1"/>
    <col min="5377" max="5611" width="8.85546875" style="414"/>
    <col min="5612" max="5612" width="2.7109375" style="414" customWidth="1"/>
    <col min="5613" max="5613" width="5.7109375" style="414" customWidth="1"/>
    <col min="5614" max="5614" width="3.140625" style="414" customWidth="1"/>
    <col min="5615" max="5615" width="3.85546875" style="414" customWidth="1"/>
    <col min="5616" max="5616" width="2.85546875" style="414" customWidth="1"/>
    <col min="5617" max="5617" width="8.85546875" style="414"/>
    <col min="5618" max="5618" width="5.7109375" style="414" customWidth="1"/>
    <col min="5619" max="5620" width="5.42578125" style="414" customWidth="1"/>
    <col min="5621" max="5622" width="6.7109375" style="414" customWidth="1"/>
    <col min="5623" max="5625" width="6.140625" style="414" customWidth="1"/>
    <col min="5626" max="5627" width="6.28515625" style="414" customWidth="1"/>
    <col min="5628" max="5628" width="6.140625" style="414" customWidth="1"/>
    <col min="5629" max="5630" width="6.28515625" style="414" customWidth="1"/>
    <col min="5631" max="5631" width="0.85546875" style="414" customWidth="1"/>
    <col min="5632" max="5632" width="15" style="414" customWidth="1"/>
    <col min="5633" max="5867" width="8.85546875" style="414"/>
    <col min="5868" max="5868" width="2.7109375" style="414" customWidth="1"/>
    <col min="5869" max="5869" width="5.7109375" style="414" customWidth="1"/>
    <col min="5870" max="5870" width="3.140625" style="414" customWidth="1"/>
    <col min="5871" max="5871" width="3.85546875" style="414" customWidth="1"/>
    <col min="5872" max="5872" width="2.85546875" style="414" customWidth="1"/>
    <col min="5873" max="5873" width="8.85546875" style="414"/>
    <col min="5874" max="5874" width="5.7109375" style="414" customWidth="1"/>
    <col min="5875" max="5876" width="5.42578125" style="414" customWidth="1"/>
    <col min="5877" max="5878" width="6.7109375" style="414" customWidth="1"/>
    <col min="5879" max="5881" width="6.140625" style="414" customWidth="1"/>
    <col min="5882" max="5883" width="6.28515625" style="414" customWidth="1"/>
    <col min="5884" max="5884" width="6.140625" style="414" customWidth="1"/>
    <col min="5885" max="5886" width="6.28515625" style="414" customWidth="1"/>
    <col min="5887" max="5887" width="0.85546875" style="414" customWidth="1"/>
    <col min="5888" max="5888" width="15" style="414" customWidth="1"/>
    <col min="5889" max="6123" width="8.85546875" style="414"/>
    <col min="6124" max="6124" width="2.7109375" style="414" customWidth="1"/>
    <col min="6125" max="6125" width="5.7109375" style="414" customWidth="1"/>
    <col min="6126" max="6126" width="3.140625" style="414" customWidth="1"/>
    <col min="6127" max="6127" width="3.85546875" style="414" customWidth="1"/>
    <col min="6128" max="6128" width="2.85546875" style="414" customWidth="1"/>
    <col min="6129" max="6129" width="8.85546875" style="414"/>
    <col min="6130" max="6130" width="5.7109375" style="414" customWidth="1"/>
    <col min="6131" max="6132" width="5.42578125" style="414" customWidth="1"/>
    <col min="6133" max="6134" width="6.7109375" style="414" customWidth="1"/>
    <col min="6135" max="6137" width="6.140625" style="414" customWidth="1"/>
    <col min="6138" max="6139" width="6.28515625" style="414" customWidth="1"/>
    <col min="6140" max="6140" width="6.140625" style="414" customWidth="1"/>
    <col min="6141" max="6142" width="6.28515625" style="414" customWidth="1"/>
    <col min="6143" max="6143" width="0.85546875" style="414" customWidth="1"/>
    <col min="6144" max="6144" width="15" style="414" customWidth="1"/>
    <col min="6145" max="6379" width="8.85546875" style="414"/>
    <col min="6380" max="6380" width="2.7109375" style="414" customWidth="1"/>
    <col min="6381" max="6381" width="5.7109375" style="414" customWidth="1"/>
    <col min="6382" max="6382" width="3.140625" style="414" customWidth="1"/>
    <col min="6383" max="6383" width="3.85546875" style="414" customWidth="1"/>
    <col min="6384" max="6384" width="2.85546875" style="414" customWidth="1"/>
    <col min="6385" max="6385" width="8.85546875" style="414"/>
    <col min="6386" max="6386" width="5.7109375" style="414" customWidth="1"/>
    <col min="6387" max="6388" width="5.42578125" style="414" customWidth="1"/>
    <col min="6389" max="6390" width="6.7109375" style="414" customWidth="1"/>
    <col min="6391" max="6393" width="6.140625" style="414" customWidth="1"/>
    <col min="6394" max="6395" width="6.28515625" style="414" customWidth="1"/>
    <col min="6396" max="6396" width="6.140625" style="414" customWidth="1"/>
    <col min="6397" max="6398" width="6.28515625" style="414" customWidth="1"/>
    <col min="6399" max="6399" width="0.85546875" style="414" customWidth="1"/>
    <col min="6400" max="6400" width="15" style="414" customWidth="1"/>
    <col min="6401" max="6635" width="8.85546875" style="414"/>
    <col min="6636" max="6636" width="2.7109375" style="414" customWidth="1"/>
    <col min="6637" max="6637" width="5.7109375" style="414" customWidth="1"/>
    <col min="6638" max="6638" width="3.140625" style="414" customWidth="1"/>
    <col min="6639" max="6639" width="3.85546875" style="414" customWidth="1"/>
    <col min="6640" max="6640" width="2.85546875" style="414" customWidth="1"/>
    <col min="6641" max="6641" width="8.85546875" style="414"/>
    <col min="6642" max="6642" width="5.7109375" style="414" customWidth="1"/>
    <col min="6643" max="6644" width="5.42578125" style="414" customWidth="1"/>
    <col min="6645" max="6646" width="6.7109375" style="414" customWidth="1"/>
    <col min="6647" max="6649" width="6.140625" style="414" customWidth="1"/>
    <col min="6650" max="6651" width="6.28515625" style="414" customWidth="1"/>
    <col min="6652" max="6652" width="6.140625" style="414" customWidth="1"/>
    <col min="6653" max="6654" width="6.28515625" style="414" customWidth="1"/>
    <col min="6655" max="6655" width="0.85546875" style="414" customWidth="1"/>
    <col min="6656" max="6656" width="15" style="414" customWidth="1"/>
    <col min="6657" max="6891" width="8.85546875" style="414"/>
    <col min="6892" max="6892" width="2.7109375" style="414" customWidth="1"/>
    <col min="6893" max="6893" width="5.7109375" style="414" customWidth="1"/>
    <col min="6894" max="6894" width="3.140625" style="414" customWidth="1"/>
    <col min="6895" max="6895" width="3.85546875" style="414" customWidth="1"/>
    <col min="6896" max="6896" width="2.85546875" style="414" customWidth="1"/>
    <col min="6897" max="6897" width="8.85546875" style="414"/>
    <col min="6898" max="6898" width="5.7109375" style="414" customWidth="1"/>
    <col min="6899" max="6900" width="5.42578125" style="414" customWidth="1"/>
    <col min="6901" max="6902" width="6.7109375" style="414" customWidth="1"/>
    <col min="6903" max="6905" width="6.140625" style="414" customWidth="1"/>
    <col min="6906" max="6907" width="6.28515625" style="414" customWidth="1"/>
    <col min="6908" max="6908" width="6.140625" style="414" customWidth="1"/>
    <col min="6909" max="6910" width="6.28515625" style="414" customWidth="1"/>
    <col min="6911" max="6911" width="0.85546875" style="414" customWidth="1"/>
    <col min="6912" max="6912" width="15" style="414" customWidth="1"/>
    <col min="6913" max="7147" width="8.85546875" style="414"/>
    <col min="7148" max="7148" width="2.7109375" style="414" customWidth="1"/>
    <col min="7149" max="7149" width="5.7109375" style="414" customWidth="1"/>
    <col min="7150" max="7150" width="3.140625" style="414" customWidth="1"/>
    <col min="7151" max="7151" width="3.85546875" style="414" customWidth="1"/>
    <col min="7152" max="7152" width="2.85546875" style="414" customWidth="1"/>
    <col min="7153" max="7153" width="8.85546875" style="414"/>
    <col min="7154" max="7154" width="5.7109375" style="414" customWidth="1"/>
    <col min="7155" max="7156" width="5.42578125" style="414" customWidth="1"/>
    <col min="7157" max="7158" width="6.7109375" style="414" customWidth="1"/>
    <col min="7159" max="7161" width="6.140625" style="414" customWidth="1"/>
    <col min="7162" max="7163" width="6.28515625" style="414" customWidth="1"/>
    <col min="7164" max="7164" width="6.140625" style="414" customWidth="1"/>
    <col min="7165" max="7166" width="6.28515625" style="414" customWidth="1"/>
    <col min="7167" max="7167" width="0.85546875" style="414" customWidth="1"/>
    <col min="7168" max="7168" width="15" style="414" customWidth="1"/>
    <col min="7169" max="7403" width="8.85546875" style="414"/>
    <col min="7404" max="7404" width="2.7109375" style="414" customWidth="1"/>
    <col min="7405" max="7405" width="5.7109375" style="414" customWidth="1"/>
    <col min="7406" max="7406" width="3.140625" style="414" customWidth="1"/>
    <col min="7407" max="7407" width="3.85546875" style="414" customWidth="1"/>
    <col min="7408" max="7408" width="2.85546875" style="414" customWidth="1"/>
    <col min="7409" max="7409" width="8.85546875" style="414"/>
    <col min="7410" max="7410" width="5.7109375" style="414" customWidth="1"/>
    <col min="7411" max="7412" width="5.42578125" style="414" customWidth="1"/>
    <col min="7413" max="7414" width="6.7109375" style="414" customWidth="1"/>
    <col min="7415" max="7417" width="6.140625" style="414" customWidth="1"/>
    <col min="7418" max="7419" width="6.28515625" style="414" customWidth="1"/>
    <col min="7420" max="7420" width="6.140625" style="414" customWidth="1"/>
    <col min="7421" max="7422" width="6.28515625" style="414" customWidth="1"/>
    <col min="7423" max="7423" width="0.85546875" style="414" customWidth="1"/>
    <col min="7424" max="7424" width="15" style="414" customWidth="1"/>
    <col min="7425" max="7659" width="8.85546875" style="414"/>
    <col min="7660" max="7660" width="2.7109375" style="414" customWidth="1"/>
    <col min="7661" max="7661" width="5.7109375" style="414" customWidth="1"/>
    <col min="7662" max="7662" width="3.140625" style="414" customWidth="1"/>
    <col min="7663" max="7663" width="3.85546875" style="414" customWidth="1"/>
    <col min="7664" max="7664" width="2.85546875" style="414" customWidth="1"/>
    <col min="7665" max="7665" width="8.85546875" style="414"/>
    <col min="7666" max="7666" width="5.7109375" style="414" customWidth="1"/>
    <col min="7667" max="7668" width="5.42578125" style="414" customWidth="1"/>
    <col min="7669" max="7670" width="6.7109375" style="414" customWidth="1"/>
    <col min="7671" max="7673" width="6.140625" style="414" customWidth="1"/>
    <col min="7674" max="7675" width="6.28515625" style="414" customWidth="1"/>
    <col min="7676" max="7676" width="6.140625" style="414" customWidth="1"/>
    <col min="7677" max="7678" width="6.28515625" style="414" customWidth="1"/>
    <col min="7679" max="7679" width="0.85546875" style="414" customWidth="1"/>
    <col min="7680" max="7680" width="15" style="414" customWidth="1"/>
    <col min="7681" max="7915" width="8.85546875" style="414"/>
    <col min="7916" max="7916" width="2.7109375" style="414" customWidth="1"/>
    <col min="7917" max="7917" width="5.7109375" style="414" customWidth="1"/>
    <col min="7918" max="7918" width="3.140625" style="414" customWidth="1"/>
    <col min="7919" max="7919" width="3.85546875" style="414" customWidth="1"/>
    <col min="7920" max="7920" width="2.85546875" style="414" customWidth="1"/>
    <col min="7921" max="7921" width="8.85546875" style="414"/>
    <col min="7922" max="7922" width="5.7109375" style="414" customWidth="1"/>
    <col min="7923" max="7924" width="5.42578125" style="414" customWidth="1"/>
    <col min="7925" max="7926" width="6.7109375" style="414" customWidth="1"/>
    <col min="7927" max="7929" width="6.140625" style="414" customWidth="1"/>
    <col min="7930" max="7931" width="6.28515625" style="414" customWidth="1"/>
    <col min="7932" max="7932" width="6.140625" style="414" customWidth="1"/>
    <col min="7933" max="7934" width="6.28515625" style="414" customWidth="1"/>
    <col min="7935" max="7935" width="0.85546875" style="414" customWidth="1"/>
    <col min="7936" max="7936" width="15" style="414" customWidth="1"/>
    <col min="7937" max="8171" width="8.85546875" style="414"/>
    <col min="8172" max="8172" width="2.7109375" style="414" customWidth="1"/>
    <col min="8173" max="8173" width="5.7109375" style="414" customWidth="1"/>
    <col min="8174" max="8174" width="3.140625" style="414" customWidth="1"/>
    <col min="8175" max="8175" width="3.85546875" style="414" customWidth="1"/>
    <col min="8176" max="8176" width="2.85546875" style="414" customWidth="1"/>
    <col min="8177" max="8177" width="8.85546875" style="414"/>
    <col min="8178" max="8178" width="5.7109375" style="414" customWidth="1"/>
    <col min="8179" max="8180" width="5.42578125" style="414" customWidth="1"/>
    <col min="8181" max="8182" width="6.7109375" style="414" customWidth="1"/>
    <col min="8183" max="8185" width="6.140625" style="414" customWidth="1"/>
    <col min="8186" max="8187" width="6.28515625" style="414" customWidth="1"/>
    <col min="8188" max="8188" width="6.140625" style="414" customWidth="1"/>
    <col min="8189" max="8190" width="6.28515625" style="414" customWidth="1"/>
    <col min="8191" max="8191" width="0.85546875" style="414" customWidth="1"/>
    <col min="8192" max="8192" width="15" style="414" customWidth="1"/>
    <col min="8193" max="8427" width="8.85546875" style="414"/>
    <col min="8428" max="8428" width="2.7109375" style="414" customWidth="1"/>
    <col min="8429" max="8429" width="5.7109375" style="414" customWidth="1"/>
    <col min="8430" max="8430" width="3.140625" style="414" customWidth="1"/>
    <col min="8431" max="8431" width="3.85546875" style="414" customWidth="1"/>
    <col min="8432" max="8432" width="2.85546875" style="414" customWidth="1"/>
    <col min="8433" max="8433" width="8.85546875" style="414"/>
    <col min="8434" max="8434" width="5.7109375" style="414" customWidth="1"/>
    <col min="8435" max="8436" width="5.42578125" style="414" customWidth="1"/>
    <col min="8437" max="8438" width="6.7109375" style="414" customWidth="1"/>
    <col min="8439" max="8441" width="6.140625" style="414" customWidth="1"/>
    <col min="8442" max="8443" width="6.28515625" style="414" customWidth="1"/>
    <col min="8444" max="8444" width="6.140625" style="414" customWidth="1"/>
    <col min="8445" max="8446" width="6.28515625" style="414" customWidth="1"/>
    <col min="8447" max="8447" width="0.85546875" style="414" customWidth="1"/>
    <col min="8448" max="8448" width="15" style="414" customWidth="1"/>
    <col min="8449" max="8683" width="8.85546875" style="414"/>
    <col min="8684" max="8684" width="2.7109375" style="414" customWidth="1"/>
    <col min="8685" max="8685" width="5.7109375" style="414" customWidth="1"/>
    <col min="8686" max="8686" width="3.140625" style="414" customWidth="1"/>
    <col min="8687" max="8687" width="3.85546875" style="414" customWidth="1"/>
    <col min="8688" max="8688" width="2.85546875" style="414" customWidth="1"/>
    <col min="8689" max="8689" width="8.85546875" style="414"/>
    <col min="8690" max="8690" width="5.7109375" style="414" customWidth="1"/>
    <col min="8691" max="8692" width="5.42578125" style="414" customWidth="1"/>
    <col min="8693" max="8694" width="6.7109375" style="414" customWidth="1"/>
    <col min="8695" max="8697" width="6.140625" style="414" customWidth="1"/>
    <col min="8698" max="8699" width="6.28515625" style="414" customWidth="1"/>
    <col min="8700" max="8700" width="6.140625" style="414" customWidth="1"/>
    <col min="8701" max="8702" width="6.28515625" style="414" customWidth="1"/>
    <col min="8703" max="8703" width="0.85546875" style="414" customWidth="1"/>
    <col min="8704" max="8704" width="15" style="414" customWidth="1"/>
    <col min="8705" max="8939" width="8.85546875" style="414"/>
    <col min="8940" max="8940" width="2.7109375" style="414" customWidth="1"/>
    <col min="8941" max="8941" width="5.7109375" style="414" customWidth="1"/>
    <col min="8942" max="8942" width="3.140625" style="414" customWidth="1"/>
    <col min="8943" max="8943" width="3.85546875" style="414" customWidth="1"/>
    <col min="8944" max="8944" width="2.85546875" style="414" customWidth="1"/>
    <col min="8945" max="8945" width="8.85546875" style="414"/>
    <col min="8946" max="8946" width="5.7109375" style="414" customWidth="1"/>
    <col min="8947" max="8948" width="5.42578125" style="414" customWidth="1"/>
    <col min="8949" max="8950" width="6.7109375" style="414" customWidth="1"/>
    <col min="8951" max="8953" width="6.140625" style="414" customWidth="1"/>
    <col min="8954" max="8955" width="6.28515625" style="414" customWidth="1"/>
    <col min="8956" max="8956" width="6.140625" style="414" customWidth="1"/>
    <col min="8957" max="8958" width="6.28515625" style="414" customWidth="1"/>
    <col min="8959" max="8959" width="0.85546875" style="414" customWidth="1"/>
    <col min="8960" max="8960" width="15" style="414" customWidth="1"/>
    <col min="8961" max="9195" width="8.85546875" style="414"/>
    <col min="9196" max="9196" width="2.7109375" style="414" customWidth="1"/>
    <col min="9197" max="9197" width="5.7109375" style="414" customWidth="1"/>
    <col min="9198" max="9198" width="3.140625" style="414" customWidth="1"/>
    <col min="9199" max="9199" width="3.85546875" style="414" customWidth="1"/>
    <col min="9200" max="9200" width="2.85546875" style="414" customWidth="1"/>
    <col min="9201" max="9201" width="8.85546875" style="414"/>
    <col min="9202" max="9202" width="5.7109375" style="414" customWidth="1"/>
    <col min="9203" max="9204" width="5.42578125" style="414" customWidth="1"/>
    <col min="9205" max="9206" width="6.7109375" style="414" customWidth="1"/>
    <col min="9207" max="9209" width="6.140625" style="414" customWidth="1"/>
    <col min="9210" max="9211" width="6.28515625" style="414" customWidth="1"/>
    <col min="9212" max="9212" width="6.140625" style="414" customWidth="1"/>
    <col min="9213" max="9214" width="6.28515625" style="414" customWidth="1"/>
    <col min="9215" max="9215" width="0.85546875" style="414" customWidth="1"/>
    <col min="9216" max="9216" width="15" style="414" customWidth="1"/>
    <col min="9217" max="9451" width="8.85546875" style="414"/>
    <col min="9452" max="9452" width="2.7109375" style="414" customWidth="1"/>
    <col min="9453" max="9453" width="5.7109375" style="414" customWidth="1"/>
    <col min="9454" max="9454" width="3.140625" style="414" customWidth="1"/>
    <col min="9455" max="9455" width="3.85546875" style="414" customWidth="1"/>
    <col min="9456" max="9456" width="2.85546875" style="414" customWidth="1"/>
    <col min="9457" max="9457" width="8.85546875" style="414"/>
    <col min="9458" max="9458" width="5.7109375" style="414" customWidth="1"/>
    <col min="9459" max="9460" width="5.42578125" style="414" customWidth="1"/>
    <col min="9461" max="9462" width="6.7109375" style="414" customWidth="1"/>
    <col min="9463" max="9465" width="6.140625" style="414" customWidth="1"/>
    <col min="9466" max="9467" width="6.28515625" style="414" customWidth="1"/>
    <col min="9468" max="9468" width="6.140625" style="414" customWidth="1"/>
    <col min="9469" max="9470" width="6.28515625" style="414" customWidth="1"/>
    <col min="9471" max="9471" width="0.85546875" style="414" customWidth="1"/>
    <col min="9472" max="9472" width="15" style="414" customWidth="1"/>
    <col min="9473" max="9707" width="8.85546875" style="414"/>
    <col min="9708" max="9708" width="2.7109375" style="414" customWidth="1"/>
    <col min="9709" max="9709" width="5.7109375" style="414" customWidth="1"/>
    <col min="9710" max="9710" width="3.140625" style="414" customWidth="1"/>
    <col min="9711" max="9711" width="3.85546875" style="414" customWidth="1"/>
    <col min="9712" max="9712" width="2.85546875" style="414" customWidth="1"/>
    <col min="9713" max="9713" width="8.85546875" style="414"/>
    <col min="9714" max="9714" width="5.7109375" style="414" customWidth="1"/>
    <col min="9715" max="9716" width="5.42578125" style="414" customWidth="1"/>
    <col min="9717" max="9718" width="6.7109375" style="414" customWidth="1"/>
    <col min="9719" max="9721" width="6.140625" style="414" customWidth="1"/>
    <col min="9722" max="9723" width="6.28515625" style="414" customWidth="1"/>
    <col min="9724" max="9724" width="6.140625" style="414" customWidth="1"/>
    <col min="9725" max="9726" width="6.28515625" style="414" customWidth="1"/>
    <col min="9727" max="9727" width="0.85546875" style="414" customWidth="1"/>
    <col min="9728" max="9728" width="15" style="414" customWidth="1"/>
    <col min="9729" max="9963" width="8.85546875" style="414"/>
    <col min="9964" max="9964" width="2.7109375" style="414" customWidth="1"/>
    <col min="9965" max="9965" width="5.7109375" style="414" customWidth="1"/>
    <col min="9966" max="9966" width="3.140625" style="414" customWidth="1"/>
    <col min="9967" max="9967" width="3.85546875" style="414" customWidth="1"/>
    <col min="9968" max="9968" width="2.85546875" style="414" customWidth="1"/>
    <col min="9969" max="9969" width="8.85546875" style="414"/>
    <col min="9970" max="9970" width="5.7109375" style="414" customWidth="1"/>
    <col min="9971" max="9972" width="5.42578125" style="414" customWidth="1"/>
    <col min="9973" max="9974" width="6.7109375" style="414" customWidth="1"/>
    <col min="9975" max="9977" width="6.140625" style="414" customWidth="1"/>
    <col min="9978" max="9979" width="6.28515625" style="414" customWidth="1"/>
    <col min="9980" max="9980" width="6.140625" style="414" customWidth="1"/>
    <col min="9981" max="9982" width="6.28515625" style="414" customWidth="1"/>
    <col min="9983" max="9983" width="0.85546875" style="414" customWidth="1"/>
    <col min="9984" max="9984" width="15" style="414" customWidth="1"/>
    <col min="9985" max="10219" width="8.85546875" style="414"/>
    <col min="10220" max="10220" width="2.7109375" style="414" customWidth="1"/>
    <col min="10221" max="10221" width="5.7109375" style="414" customWidth="1"/>
    <col min="10222" max="10222" width="3.140625" style="414" customWidth="1"/>
    <col min="10223" max="10223" width="3.85546875" style="414" customWidth="1"/>
    <col min="10224" max="10224" width="2.85546875" style="414" customWidth="1"/>
    <col min="10225" max="10225" width="8.85546875" style="414"/>
    <col min="10226" max="10226" width="5.7109375" style="414" customWidth="1"/>
    <col min="10227" max="10228" width="5.42578125" style="414" customWidth="1"/>
    <col min="10229" max="10230" width="6.7109375" style="414" customWidth="1"/>
    <col min="10231" max="10233" width="6.140625" style="414" customWidth="1"/>
    <col min="10234" max="10235" width="6.28515625" style="414" customWidth="1"/>
    <col min="10236" max="10236" width="6.140625" style="414" customWidth="1"/>
    <col min="10237" max="10238" width="6.28515625" style="414" customWidth="1"/>
    <col min="10239" max="10239" width="0.85546875" style="414" customWidth="1"/>
    <col min="10240" max="10240" width="15" style="414" customWidth="1"/>
    <col min="10241" max="10475" width="8.85546875" style="414"/>
    <col min="10476" max="10476" width="2.7109375" style="414" customWidth="1"/>
    <col min="10477" max="10477" width="5.7109375" style="414" customWidth="1"/>
    <col min="10478" max="10478" width="3.140625" style="414" customWidth="1"/>
    <col min="10479" max="10479" width="3.85546875" style="414" customWidth="1"/>
    <col min="10480" max="10480" width="2.85546875" style="414" customWidth="1"/>
    <col min="10481" max="10481" width="8.85546875" style="414"/>
    <col min="10482" max="10482" width="5.7109375" style="414" customWidth="1"/>
    <col min="10483" max="10484" width="5.42578125" style="414" customWidth="1"/>
    <col min="10485" max="10486" width="6.7109375" style="414" customWidth="1"/>
    <col min="10487" max="10489" width="6.140625" style="414" customWidth="1"/>
    <col min="10490" max="10491" width="6.28515625" style="414" customWidth="1"/>
    <col min="10492" max="10492" width="6.140625" style="414" customWidth="1"/>
    <col min="10493" max="10494" width="6.28515625" style="414" customWidth="1"/>
    <col min="10495" max="10495" width="0.85546875" style="414" customWidth="1"/>
    <col min="10496" max="10496" width="15" style="414" customWidth="1"/>
    <col min="10497" max="10731" width="8.85546875" style="414"/>
    <col min="10732" max="10732" width="2.7109375" style="414" customWidth="1"/>
    <col min="10733" max="10733" width="5.7109375" style="414" customWidth="1"/>
    <col min="10734" max="10734" width="3.140625" style="414" customWidth="1"/>
    <col min="10735" max="10735" width="3.85546875" style="414" customWidth="1"/>
    <col min="10736" max="10736" width="2.85546875" style="414" customWidth="1"/>
    <col min="10737" max="10737" width="8.85546875" style="414"/>
    <col min="10738" max="10738" width="5.7109375" style="414" customWidth="1"/>
    <col min="10739" max="10740" width="5.42578125" style="414" customWidth="1"/>
    <col min="10741" max="10742" width="6.7109375" style="414" customWidth="1"/>
    <col min="10743" max="10745" width="6.140625" style="414" customWidth="1"/>
    <col min="10746" max="10747" width="6.28515625" style="414" customWidth="1"/>
    <col min="10748" max="10748" width="6.140625" style="414" customWidth="1"/>
    <col min="10749" max="10750" width="6.28515625" style="414" customWidth="1"/>
    <col min="10751" max="10751" width="0.85546875" style="414" customWidth="1"/>
    <col min="10752" max="10752" width="15" style="414" customWidth="1"/>
    <col min="10753" max="10987" width="8.85546875" style="414"/>
    <col min="10988" max="10988" width="2.7109375" style="414" customWidth="1"/>
    <col min="10989" max="10989" width="5.7109375" style="414" customWidth="1"/>
    <col min="10990" max="10990" width="3.140625" style="414" customWidth="1"/>
    <col min="10991" max="10991" width="3.85546875" style="414" customWidth="1"/>
    <col min="10992" max="10992" width="2.85546875" style="414" customWidth="1"/>
    <col min="10993" max="10993" width="8.85546875" style="414"/>
    <col min="10994" max="10994" width="5.7109375" style="414" customWidth="1"/>
    <col min="10995" max="10996" width="5.42578125" style="414" customWidth="1"/>
    <col min="10997" max="10998" width="6.7109375" style="414" customWidth="1"/>
    <col min="10999" max="11001" width="6.140625" style="414" customWidth="1"/>
    <col min="11002" max="11003" width="6.28515625" style="414" customWidth="1"/>
    <col min="11004" max="11004" width="6.140625" style="414" customWidth="1"/>
    <col min="11005" max="11006" width="6.28515625" style="414" customWidth="1"/>
    <col min="11007" max="11007" width="0.85546875" style="414" customWidth="1"/>
    <col min="11008" max="11008" width="15" style="414" customWidth="1"/>
    <col min="11009" max="11243" width="8.85546875" style="414"/>
    <col min="11244" max="11244" width="2.7109375" style="414" customWidth="1"/>
    <col min="11245" max="11245" width="5.7109375" style="414" customWidth="1"/>
    <col min="11246" max="11246" width="3.140625" style="414" customWidth="1"/>
    <col min="11247" max="11247" width="3.85546875" style="414" customWidth="1"/>
    <col min="11248" max="11248" width="2.85546875" style="414" customWidth="1"/>
    <col min="11249" max="11249" width="8.85546875" style="414"/>
    <col min="11250" max="11250" width="5.7109375" style="414" customWidth="1"/>
    <col min="11251" max="11252" width="5.42578125" style="414" customWidth="1"/>
    <col min="11253" max="11254" width="6.7109375" style="414" customWidth="1"/>
    <col min="11255" max="11257" width="6.140625" style="414" customWidth="1"/>
    <col min="11258" max="11259" width="6.28515625" style="414" customWidth="1"/>
    <col min="11260" max="11260" width="6.140625" style="414" customWidth="1"/>
    <col min="11261" max="11262" width="6.28515625" style="414" customWidth="1"/>
    <col min="11263" max="11263" width="0.85546875" style="414" customWidth="1"/>
    <col min="11264" max="11264" width="15" style="414" customWidth="1"/>
    <col min="11265" max="11499" width="8.85546875" style="414"/>
    <col min="11500" max="11500" width="2.7109375" style="414" customWidth="1"/>
    <col min="11501" max="11501" width="5.7109375" style="414" customWidth="1"/>
    <col min="11502" max="11502" width="3.140625" style="414" customWidth="1"/>
    <col min="11503" max="11503" width="3.85546875" style="414" customWidth="1"/>
    <col min="11504" max="11504" width="2.85546875" style="414" customWidth="1"/>
    <col min="11505" max="11505" width="8.85546875" style="414"/>
    <col min="11506" max="11506" width="5.7109375" style="414" customWidth="1"/>
    <col min="11507" max="11508" width="5.42578125" style="414" customWidth="1"/>
    <col min="11509" max="11510" width="6.7109375" style="414" customWidth="1"/>
    <col min="11511" max="11513" width="6.140625" style="414" customWidth="1"/>
    <col min="11514" max="11515" width="6.28515625" style="414" customWidth="1"/>
    <col min="11516" max="11516" width="6.140625" style="414" customWidth="1"/>
    <col min="11517" max="11518" width="6.28515625" style="414" customWidth="1"/>
    <col min="11519" max="11519" width="0.85546875" style="414" customWidth="1"/>
    <col min="11520" max="11520" width="15" style="414" customWidth="1"/>
    <col min="11521" max="11755" width="8.85546875" style="414"/>
    <col min="11756" max="11756" width="2.7109375" style="414" customWidth="1"/>
    <col min="11757" max="11757" width="5.7109375" style="414" customWidth="1"/>
    <col min="11758" max="11758" width="3.140625" style="414" customWidth="1"/>
    <col min="11759" max="11759" width="3.85546875" style="414" customWidth="1"/>
    <col min="11760" max="11760" width="2.85546875" style="414" customWidth="1"/>
    <col min="11761" max="11761" width="8.85546875" style="414"/>
    <col min="11762" max="11762" width="5.7109375" style="414" customWidth="1"/>
    <col min="11763" max="11764" width="5.42578125" style="414" customWidth="1"/>
    <col min="11765" max="11766" width="6.7109375" style="414" customWidth="1"/>
    <col min="11767" max="11769" width="6.140625" style="414" customWidth="1"/>
    <col min="11770" max="11771" width="6.28515625" style="414" customWidth="1"/>
    <col min="11772" max="11772" width="6.140625" style="414" customWidth="1"/>
    <col min="11773" max="11774" width="6.28515625" style="414" customWidth="1"/>
    <col min="11775" max="11775" width="0.85546875" style="414" customWidth="1"/>
    <col min="11776" max="11776" width="15" style="414" customWidth="1"/>
    <col min="11777" max="12011" width="8.85546875" style="414"/>
    <col min="12012" max="12012" width="2.7109375" style="414" customWidth="1"/>
    <col min="12013" max="12013" width="5.7109375" style="414" customWidth="1"/>
    <col min="12014" max="12014" width="3.140625" style="414" customWidth="1"/>
    <col min="12015" max="12015" width="3.85546875" style="414" customWidth="1"/>
    <col min="12016" max="12016" width="2.85546875" style="414" customWidth="1"/>
    <col min="12017" max="12017" width="8.85546875" style="414"/>
    <col min="12018" max="12018" width="5.7109375" style="414" customWidth="1"/>
    <col min="12019" max="12020" width="5.42578125" style="414" customWidth="1"/>
    <col min="12021" max="12022" width="6.7109375" style="414" customWidth="1"/>
    <col min="12023" max="12025" width="6.140625" style="414" customWidth="1"/>
    <col min="12026" max="12027" width="6.28515625" style="414" customWidth="1"/>
    <col min="12028" max="12028" width="6.140625" style="414" customWidth="1"/>
    <col min="12029" max="12030" width="6.28515625" style="414" customWidth="1"/>
    <col min="12031" max="12031" width="0.85546875" style="414" customWidth="1"/>
    <col min="12032" max="12032" width="15" style="414" customWidth="1"/>
    <col min="12033" max="12267" width="8.85546875" style="414"/>
    <col min="12268" max="12268" width="2.7109375" style="414" customWidth="1"/>
    <col min="12269" max="12269" width="5.7109375" style="414" customWidth="1"/>
    <col min="12270" max="12270" width="3.140625" style="414" customWidth="1"/>
    <col min="12271" max="12271" width="3.85546875" style="414" customWidth="1"/>
    <col min="12272" max="12272" width="2.85546875" style="414" customWidth="1"/>
    <col min="12273" max="12273" width="8.85546875" style="414"/>
    <col min="12274" max="12274" width="5.7109375" style="414" customWidth="1"/>
    <col min="12275" max="12276" width="5.42578125" style="414" customWidth="1"/>
    <col min="12277" max="12278" width="6.7109375" style="414" customWidth="1"/>
    <col min="12279" max="12281" width="6.140625" style="414" customWidth="1"/>
    <col min="12282" max="12283" width="6.28515625" style="414" customWidth="1"/>
    <col min="12284" max="12284" width="6.140625" style="414" customWidth="1"/>
    <col min="12285" max="12286" width="6.28515625" style="414" customWidth="1"/>
    <col min="12287" max="12287" width="0.85546875" style="414" customWidth="1"/>
    <col min="12288" max="12288" width="15" style="414" customWidth="1"/>
    <col min="12289" max="12523" width="8.85546875" style="414"/>
    <col min="12524" max="12524" width="2.7109375" style="414" customWidth="1"/>
    <col min="12525" max="12525" width="5.7109375" style="414" customWidth="1"/>
    <col min="12526" max="12526" width="3.140625" style="414" customWidth="1"/>
    <col min="12527" max="12527" width="3.85546875" style="414" customWidth="1"/>
    <col min="12528" max="12528" width="2.85546875" style="414" customWidth="1"/>
    <col min="12529" max="12529" width="8.85546875" style="414"/>
    <col min="12530" max="12530" width="5.7109375" style="414" customWidth="1"/>
    <col min="12531" max="12532" width="5.42578125" style="414" customWidth="1"/>
    <col min="12533" max="12534" width="6.7109375" style="414" customWidth="1"/>
    <col min="12535" max="12537" width="6.140625" style="414" customWidth="1"/>
    <col min="12538" max="12539" width="6.28515625" style="414" customWidth="1"/>
    <col min="12540" max="12540" width="6.140625" style="414" customWidth="1"/>
    <col min="12541" max="12542" width="6.28515625" style="414" customWidth="1"/>
    <col min="12543" max="12543" width="0.85546875" style="414" customWidth="1"/>
    <col min="12544" max="12544" width="15" style="414" customWidth="1"/>
    <col min="12545" max="12779" width="8.85546875" style="414"/>
    <col min="12780" max="12780" width="2.7109375" style="414" customWidth="1"/>
    <col min="12781" max="12781" width="5.7109375" style="414" customWidth="1"/>
    <col min="12782" max="12782" width="3.140625" style="414" customWidth="1"/>
    <col min="12783" max="12783" width="3.85546875" style="414" customWidth="1"/>
    <col min="12784" max="12784" width="2.85546875" style="414" customWidth="1"/>
    <col min="12785" max="12785" width="8.85546875" style="414"/>
    <col min="12786" max="12786" width="5.7109375" style="414" customWidth="1"/>
    <col min="12787" max="12788" width="5.42578125" style="414" customWidth="1"/>
    <col min="12789" max="12790" width="6.7109375" style="414" customWidth="1"/>
    <col min="12791" max="12793" width="6.140625" style="414" customWidth="1"/>
    <col min="12794" max="12795" width="6.28515625" style="414" customWidth="1"/>
    <col min="12796" max="12796" width="6.140625" style="414" customWidth="1"/>
    <col min="12797" max="12798" width="6.28515625" style="414" customWidth="1"/>
    <col min="12799" max="12799" width="0.85546875" style="414" customWidth="1"/>
    <col min="12800" max="12800" width="15" style="414" customWidth="1"/>
    <col min="12801" max="13035" width="8.85546875" style="414"/>
    <col min="13036" max="13036" width="2.7109375" style="414" customWidth="1"/>
    <col min="13037" max="13037" width="5.7109375" style="414" customWidth="1"/>
    <col min="13038" max="13038" width="3.140625" style="414" customWidth="1"/>
    <col min="13039" max="13039" width="3.85546875" style="414" customWidth="1"/>
    <col min="13040" max="13040" width="2.85546875" style="414" customWidth="1"/>
    <col min="13041" max="13041" width="8.85546875" style="414"/>
    <col min="13042" max="13042" width="5.7109375" style="414" customWidth="1"/>
    <col min="13043" max="13044" width="5.42578125" style="414" customWidth="1"/>
    <col min="13045" max="13046" width="6.7109375" style="414" customWidth="1"/>
    <col min="13047" max="13049" width="6.140625" style="414" customWidth="1"/>
    <col min="13050" max="13051" width="6.28515625" style="414" customWidth="1"/>
    <col min="13052" max="13052" width="6.140625" style="414" customWidth="1"/>
    <col min="13053" max="13054" width="6.28515625" style="414" customWidth="1"/>
    <col min="13055" max="13055" width="0.85546875" style="414" customWidth="1"/>
    <col min="13056" max="13056" width="15" style="414" customWidth="1"/>
    <col min="13057" max="13291" width="8.85546875" style="414"/>
    <col min="13292" max="13292" width="2.7109375" style="414" customWidth="1"/>
    <col min="13293" max="13293" width="5.7109375" style="414" customWidth="1"/>
    <col min="13294" max="13294" width="3.140625" style="414" customWidth="1"/>
    <col min="13295" max="13295" width="3.85546875" style="414" customWidth="1"/>
    <col min="13296" max="13296" width="2.85546875" style="414" customWidth="1"/>
    <col min="13297" max="13297" width="8.85546875" style="414"/>
    <col min="13298" max="13298" width="5.7109375" style="414" customWidth="1"/>
    <col min="13299" max="13300" width="5.42578125" style="414" customWidth="1"/>
    <col min="13301" max="13302" width="6.7109375" style="414" customWidth="1"/>
    <col min="13303" max="13305" width="6.140625" style="414" customWidth="1"/>
    <col min="13306" max="13307" width="6.28515625" style="414" customWidth="1"/>
    <col min="13308" max="13308" width="6.140625" style="414" customWidth="1"/>
    <col min="13309" max="13310" width="6.28515625" style="414" customWidth="1"/>
    <col min="13311" max="13311" width="0.85546875" style="414" customWidth="1"/>
    <col min="13312" max="13312" width="15" style="414" customWidth="1"/>
    <col min="13313" max="13547" width="8.85546875" style="414"/>
    <col min="13548" max="13548" width="2.7109375" style="414" customWidth="1"/>
    <col min="13549" max="13549" width="5.7109375" style="414" customWidth="1"/>
    <col min="13550" max="13550" width="3.140625" style="414" customWidth="1"/>
    <col min="13551" max="13551" width="3.85546875" style="414" customWidth="1"/>
    <col min="13552" max="13552" width="2.85546875" style="414" customWidth="1"/>
    <col min="13553" max="13553" width="8.85546875" style="414"/>
    <col min="13554" max="13554" width="5.7109375" style="414" customWidth="1"/>
    <col min="13555" max="13556" width="5.42578125" style="414" customWidth="1"/>
    <col min="13557" max="13558" width="6.7109375" style="414" customWidth="1"/>
    <col min="13559" max="13561" width="6.140625" style="414" customWidth="1"/>
    <col min="13562" max="13563" width="6.28515625" style="414" customWidth="1"/>
    <col min="13564" max="13564" width="6.140625" style="414" customWidth="1"/>
    <col min="13565" max="13566" width="6.28515625" style="414" customWidth="1"/>
    <col min="13567" max="13567" width="0.85546875" style="414" customWidth="1"/>
    <col min="13568" max="13568" width="15" style="414" customWidth="1"/>
    <col min="13569" max="13803" width="8.85546875" style="414"/>
    <col min="13804" max="13804" width="2.7109375" style="414" customWidth="1"/>
    <col min="13805" max="13805" width="5.7109375" style="414" customWidth="1"/>
    <col min="13806" max="13806" width="3.140625" style="414" customWidth="1"/>
    <col min="13807" max="13807" width="3.85546875" style="414" customWidth="1"/>
    <col min="13808" max="13808" width="2.85546875" style="414" customWidth="1"/>
    <col min="13809" max="13809" width="8.85546875" style="414"/>
    <col min="13810" max="13810" width="5.7109375" style="414" customWidth="1"/>
    <col min="13811" max="13812" width="5.42578125" style="414" customWidth="1"/>
    <col min="13813" max="13814" width="6.7109375" style="414" customWidth="1"/>
    <col min="13815" max="13817" width="6.140625" style="414" customWidth="1"/>
    <col min="13818" max="13819" width="6.28515625" style="414" customWidth="1"/>
    <col min="13820" max="13820" width="6.140625" style="414" customWidth="1"/>
    <col min="13821" max="13822" width="6.28515625" style="414" customWidth="1"/>
    <col min="13823" max="13823" width="0.85546875" style="414" customWidth="1"/>
    <col min="13824" max="13824" width="15" style="414" customWidth="1"/>
    <col min="13825" max="14059" width="8.85546875" style="414"/>
    <col min="14060" max="14060" width="2.7109375" style="414" customWidth="1"/>
    <col min="14061" max="14061" width="5.7109375" style="414" customWidth="1"/>
    <col min="14062" max="14062" width="3.140625" style="414" customWidth="1"/>
    <col min="14063" max="14063" width="3.85546875" style="414" customWidth="1"/>
    <col min="14064" max="14064" width="2.85546875" style="414" customWidth="1"/>
    <col min="14065" max="14065" width="8.85546875" style="414"/>
    <col min="14066" max="14066" width="5.7109375" style="414" customWidth="1"/>
    <col min="14067" max="14068" width="5.42578125" style="414" customWidth="1"/>
    <col min="14069" max="14070" width="6.7109375" style="414" customWidth="1"/>
    <col min="14071" max="14073" width="6.140625" style="414" customWidth="1"/>
    <col min="14074" max="14075" width="6.28515625" style="414" customWidth="1"/>
    <col min="14076" max="14076" width="6.140625" style="414" customWidth="1"/>
    <col min="14077" max="14078" width="6.28515625" style="414" customWidth="1"/>
    <col min="14079" max="14079" width="0.85546875" style="414" customWidth="1"/>
    <col min="14080" max="14080" width="15" style="414" customWidth="1"/>
    <col min="14081" max="14315" width="8.85546875" style="414"/>
    <col min="14316" max="14316" width="2.7109375" style="414" customWidth="1"/>
    <col min="14317" max="14317" width="5.7109375" style="414" customWidth="1"/>
    <col min="14318" max="14318" width="3.140625" style="414" customWidth="1"/>
    <col min="14319" max="14319" width="3.85546875" style="414" customWidth="1"/>
    <col min="14320" max="14320" width="2.85546875" style="414" customWidth="1"/>
    <col min="14321" max="14321" width="8.85546875" style="414"/>
    <col min="14322" max="14322" width="5.7109375" style="414" customWidth="1"/>
    <col min="14323" max="14324" width="5.42578125" style="414" customWidth="1"/>
    <col min="14325" max="14326" width="6.7109375" style="414" customWidth="1"/>
    <col min="14327" max="14329" width="6.140625" style="414" customWidth="1"/>
    <col min="14330" max="14331" width="6.28515625" style="414" customWidth="1"/>
    <col min="14332" max="14332" width="6.140625" style="414" customWidth="1"/>
    <col min="14333" max="14334" width="6.28515625" style="414" customWidth="1"/>
    <col min="14335" max="14335" width="0.85546875" style="414" customWidth="1"/>
    <col min="14336" max="14336" width="15" style="414" customWidth="1"/>
    <col min="14337" max="14571" width="8.85546875" style="414"/>
    <col min="14572" max="14572" width="2.7109375" style="414" customWidth="1"/>
    <col min="14573" max="14573" width="5.7109375" style="414" customWidth="1"/>
    <col min="14574" max="14574" width="3.140625" style="414" customWidth="1"/>
    <col min="14575" max="14575" width="3.85546875" style="414" customWidth="1"/>
    <col min="14576" max="14576" width="2.85546875" style="414" customWidth="1"/>
    <col min="14577" max="14577" width="8.85546875" style="414"/>
    <col min="14578" max="14578" width="5.7109375" style="414" customWidth="1"/>
    <col min="14579" max="14580" width="5.42578125" style="414" customWidth="1"/>
    <col min="14581" max="14582" width="6.7109375" style="414" customWidth="1"/>
    <col min="14583" max="14585" width="6.140625" style="414" customWidth="1"/>
    <col min="14586" max="14587" width="6.28515625" style="414" customWidth="1"/>
    <col min="14588" max="14588" width="6.140625" style="414" customWidth="1"/>
    <col min="14589" max="14590" width="6.28515625" style="414" customWidth="1"/>
    <col min="14591" max="14591" width="0.85546875" style="414" customWidth="1"/>
    <col min="14592" max="14592" width="15" style="414" customWidth="1"/>
    <col min="14593" max="14827" width="8.85546875" style="414"/>
    <col min="14828" max="14828" width="2.7109375" style="414" customWidth="1"/>
    <col min="14829" max="14829" width="5.7109375" style="414" customWidth="1"/>
    <col min="14830" max="14830" width="3.140625" style="414" customWidth="1"/>
    <col min="14831" max="14831" width="3.85546875" style="414" customWidth="1"/>
    <col min="14832" max="14832" width="2.85546875" style="414" customWidth="1"/>
    <col min="14833" max="14833" width="8.85546875" style="414"/>
    <col min="14834" max="14834" width="5.7109375" style="414" customWidth="1"/>
    <col min="14835" max="14836" width="5.42578125" style="414" customWidth="1"/>
    <col min="14837" max="14838" width="6.7109375" style="414" customWidth="1"/>
    <col min="14839" max="14841" width="6.140625" style="414" customWidth="1"/>
    <col min="14842" max="14843" width="6.28515625" style="414" customWidth="1"/>
    <col min="14844" max="14844" width="6.140625" style="414" customWidth="1"/>
    <col min="14845" max="14846" width="6.28515625" style="414" customWidth="1"/>
    <col min="14847" max="14847" width="0.85546875" style="414" customWidth="1"/>
    <col min="14848" max="14848" width="15" style="414" customWidth="1"/>
    <col min="14849" max="15083" width="8.85546875" style="414"/>
    <col min="15084" max="15084" width="2.7109375" style="414" customWidth="1"/>
    <col min="15085" max="15085" width="5.7109375" style="414" customWidth="1"/>
    <col min="15086" max="15086" width="3.140625" style="414" customWidth="1"/>
    <col min="15087" max="15087" width="3.85546875" style="414" customWidth="1"/>
    <col min="15088" max="15088" width="2.85546875" style="414" customWidth="1"/>
    <col min="15089" max="15089" width="8.85546875" style="414"/>
    <col min="15090" max="15090" width="5.7109375" style="414" customWidth="1"/>
    <col min="15091" max="15092" width="5.42578125" style="414" customWidth="1"/>
    <col min="15093" max="15094" width="6.7109375" style="414" customWidth="1"/>
    <col min="15095" max="15097" width="6.140625" style="414" customWidth="1"/>
    <col min="15098" max="15099" width="6.28515625" style="414" customWidth="1"/>
    <col min="15100" max="15100" width="6.140625" style="414" customWidth="1"/>
    <col min="15101" max="15102" width="6.28515625" style="414" customWidth="1"/>
    <col min="15103" max="15103" width="0.85546875" style="414" customWidth="1"/>
    <col min="15104" max="15104" width="15" style="414" customWidth="1"/>
    <col min="15105" max="15339" width="8.85546875" style="414"/>
    <col min="15340" max="15340" width="2.7109375" style="414" customWidth="1"/>
    <col min="15341" max="15341" width="5.7109375" style="414" customWidth="1"/>
    <col min="15342" max="15342" width="3.140625" style="414" customWidth="1"/>
    <col min="15343" max="15343" width="3.85546875" style="414" customWidth="1"/>
    <col min="15344" max="15344" width="2.85546875" style="414" customWidth="1"/>
    <col min="15345" max="15345" width="8.85546875" style="414"/>
    <col min="15346" max="15346" width="5.7109375" style="414" customWidth="1"/>
    <col min="15347" max="15348" width="5.42578125" style="414" customWidth="1"/>
    <col min="15349" max="15350" width="6.7109375" style="414" customWidth="1"/>
    <col min="15351" max="15353" width="6.140625" style="414" customWidth="1"/>
    <col min="15354" max="15355" width="6.28515625" style="414" customWidth="1"/>
    <col min="15356" max="15356" width="6.140625" style="414" customWidth="1"/>
    <col min="15357" max="15358" width="6.28515625" style="414" customWidth="1"/>
    <col min="15359" max="15359" width="0.85546875" style="414" customWidth="1"/>
    <col min="15360" max="15360" width="15" style="414" customWidth="1"/>
    <col min="15361" max="15595" width="8.85546875" style="414"/>
    <col min="15596" max="15596" width="2.7109375" style="414" customWidth="1"/>
    <col min="15597" max="15597" width="5.7109375" style="414" customWidth="1"/>
    <col min="15598" max="15598" width="3.140625" style="414" customWidth="1"/>
    <col min="15599" max="15599" width="3.85546875" style="414" customWidth="1"/>
    <col min="15600" max="15600" width="2.85546875" style="414" customWidth="1"/>
    <col min="15601" max="15601" width="8.85546875" style="414"/>
    <col min="15602" max="15602" width="5.7109375" style="414" customWidth="1"/>
    <col min="15603" max="15604" width="5.42578125" style="414" customWidth="1"/>
    <col min="15605" max="15606" width="6.7109375" style="414" customWidth="1"/>
    <col min="15607" max="15609" width="6.140625" style="414" customWidth="1"/>
    <col min="15610" max="15611" width="6.28515625" style="414" customWidth="1"/>
    <col min="15612" max="15612" width="6.140625" style="414" customWidth="1"/>
    <col min="15613" max="15614" width="6.28515625" style="414" customWidth="1"/>
    <col min="15615" max="15615" width="0.85546875" style="414" customWidth="1"/>
    <col min="15616" max="15616" width="15" style="414" customWidth="1"/>
    <col min="15617" max="15851" width="8.85546875" style="414"/>
    <col min="15852" max="15852" width="2.7109375" style="414" customWidth="1"/>
    <col min="15853" max="15853" width="5.7109375" style="414" customWidth="1"/>
    <col min="15854" max="15854" width="3.140625" style="414" customWidth="1"/>
    <col min="15855" max="15855" width="3.85546875" style="414" customWidth="1"/>
    <col min="15856" max="15856" width="2.85546875" style="414" customWidth="1"/>
    <col min="15857" max="15857" width="8.85546875" style="414"/>
    <col min="15858" max="15858" width="5.7109375" style="414" customWidth="1"/>
    <col min="15859" max="15860" width="5.42578125" style="414" customWidth="1"/>
    <col min="15861" max="15862" width="6.7109375" style="414" customWidth="1"/>
    <col min="15863" max="15865" width="6.140625" style="414" customWidth="1"/>
    <col min="15866" max="15867" width="6.28515625" style="414" customWidth="1"/>
    <col min="15868" max="15868" width="6.140625" style="414" customWidth="1"/>
    <col min="15869" max="15870" width="6.28515625" style="414" customWidth="1"/>
    <col min="15871" max="15871" width="0.85546875" style="414" customWidth="1"/>
    <col min="15872" max="15872" width="15" style="414" customWidth="1"/>
    <col min="15873" max="16107" width="8.85546875" style="414"/>
    <col min="16108" max="16108" width="2.7109375" style="414" customWidth="1"/>
    <col min="16109" max="16109" width="5.7109375" style="414" customWidth="1"/>
    <col min="16110" max="16110" width="3.140625" style="414" customWidth="1"/>
    <col min="16111" max="16111" width="3.85546875" style="414" customWidth="1"/>
    <col min="16112" max="16112" width="2.85546875" style="414" customWidth="1"/>
    <col min="16113" max="16113" width="8.85546875" style="414"/>
    <col min="16114" max="16114" width="5.7109375" style="414" customWidth="1"/>
    <col min="16115" max="16116" width="5.42578125" style="414" customWidth="1"/>
    <col min="16117" max="16118" width="6.7109375" style="414" customWidth="1"/>
    <col min="16119" max="16121" width="6.140625" style="414" customWidth="1"/>
    <col min="16122" max="16123" width="6.28515625" style="414" customWidth="1"/>
    <col min="16124" max="16124" width="6.140625" style="414" customWidth="1"/>
    <col min="16125" max="16126" width="6.28515625" style="414" customWidth="1"/>
    <col min="16127" max="16127" width="0.85546875" style="414" customWidth="1"/>
    <col min="16128" max="16128" width="15" style="414" customWidth="1"/>
    <col min="16129" max="16363" width="8.85546875" style="414"/>
    <col min="16364" max="16384" width="10.28515625" style="414" customWidth="1"/>
  </cols>
  <sheetData>
    <row r="1" spans="1:35" x14ac:dyDescent="0.25"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</row>
    <row r="2" spans="1:35" ht="18" x14ac:dyDescent="0.25"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</row>
    <row r="3" spans="1:35" x14ac:dyDescent="0.25">
      <c r="B3" s="498"/>
      <c r="C3" s="498"/>
      <c r="D3" s="498"/>
      <c r="E3" s="498"/>
      <c r="F3" s="498"/>
      <c r="G3" s="498"/>
      <c r="H3" s="498"/>
      <c r="I3" s="498"/>
      <c r="J3" s="498"/>
      <c r="K3" s="498"/>
      <c r="L3" s="498"/>
      <c r="M3" s="498"/>
      <c r="N3" s="498"/>
      <c r="O3" s="498"/>
      <c r="P3" s="498"/>
      <c r="Q3" s="498"/>
      <c r="R3" s="498"/>
      <c r="S3" s="498"/>
    </row>
    <row r="5" spans="1:35" ht="16.5" x14ac:dyDescent="0.3"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6"/>
    </row>
    <row r="6" spans="1:35" ht="18" customHeight="1" x14ac:dyDescent="0.2">
      <c r="B6" s="417" t="s">
        <v>297</v>
      </c>
      <c r="C6" s="417"/>
      <c r="D6" s="417"/>
      <c r="E6" s="417"/>
      <c r="F6" s="500" t="str">
        <f>'INPUT DATA'!C4</f>
        <v>PROPOSED ONE STOREY TWO BED ROOM RESIDENTIAL BUILDING</v>
      </c>
      <c r="G6" s="500"/>
      <c r="H6" s="500"/>
      <c r="I6" s="500"/>
      <c r="J6" s="500"/>
      <c r="K6" s="500"/>
      <c r="L6" s="500"/>
      <c r="M6" s="500"/>
      <c r="N6" s="500"/>
      <c r="O6" s="500"/>
      <c r="P6" s="500"/>
      <c r="Q6" s="500"/>
      <c r="R6" s="500"/>
      <c r="S6" s="500"/>
      <c r="T6" s="418"/>
    </row>
    <row r="7" spans="1:35" ht="18" customHeight="1" x14ac:dyDescent="0.3">
      <c r="B7" s="415" t="s">
        <v>320</v>
      </c>
      <c r="C7" s="415"/>
      <c r="D7" s="415"/>
      <c r="E7" s="415"/>
      <c r="F7" s="500" t="str">
        <f>'INPUT DATA'!C5</f>
        <v>ANGELES, PAMPANGA</v>
      </c>
      <c r="G7" s="500"/>
      <c r="H7" s="500"/>
      <c r="I7" s="500"/>
      <c r="J7" s="500"/>
      <c r="K7" s="500"/>
      <c r="L7" s="500"/>
      <c r="M7" s="500"/>
      <c r="N7" s="500"/>
      <c r="O7" s="500"/>
      <c r="P7" s="500"/>
      <c r="Q7" s="500"/>
      <c r="R7" s="500"/>
      <c r="S7" s="500"/>
      <c r="T7" s="415"/>
    </row>
    <row r="8" spans="1:35" s="419" customFormat="1" x14ac:dyDescent="0.25">
      <c r="B8" s="420"/>
      <c r="C8" s="420"/>
      <c r="D8" s="420"/>
      <c r="E8" s="420"/>
      <c r="F8" s="420"/>
      <c r="G8" s="420"/>
      <c r="H8" s="420"/>
      <c r="I8" s="420"/>
      <c r="J8" s="420"/>
      <c r="K8" s="420"/>
      <c r="L8" s="420"/>
      <c r="M8" s="420"/>
      <c r="N8" s="420"/>
      <c r="O8" s="420"/>
      <c r="P8" s="420"/>
      <c r="Q8" s="420"/>
      <c r="R8" s="420"/>
      <c r="S8" s="420"/>
      <c r="AC8" s="421"/>
    </row>
    <row r="9" spans="1:35" s="419" customFormat="1" ht="15.75" x14ac:dyDescent="0.25">
      <c r="A9" s="422"/>
      <c r="B9" s="501" t="s">
        <v>316</v>
      </c>
      <c r="C9" s="502"/>
      <c r="D9" s="502"/>
      <c r="E9" s="502"/>
      <c r="F9" s="502"/>
      <c r="G9" s="502"/>
      <c r="H9" s="502"/>
      <c r="I9" s="502"/>
      <c r="J9" s="502"/>
      <c r="K9" s="502"/>
      <c r="L9" s="502"/>
      <c r="M9" s="503"/>
      <c r="N9" s="501" t="s">
        <v>298</v>
      </c>
      <c r="O9" s="502"/>
      <c r="P9" s="503"/>
      <c r="Q9" s="501" t="s">
        <v>317</v>
      </c>
      <c r="R9" s="502"/>
      <c r="S9" s="503"/>
      <c r="U9" s="423" t="s">
        <v>406</v>
      </c>
      <c r="AC9" s="421"/>
    </row>
    <row r="10" spans="1:35" s="419" customFormat="1" ht="14.25" customHeight="1" x14ac:dyDescent="0.25">
      <c r="A10" s="422"/>
      <c r="B10" s="424"/>
      <c r="C10" s="425" t="s">
        <v>325</v>
      </c>
      <c r="D10" s="426"/>
      <c r="E10" s="427"/>
      <c r="F10" s="426"/>
      <c r="G10" s="426"/>
      <c r="H10" s="426"/>
      <c r="I10" s="426"/>
      <c r="J10" s="426"/>
      <c r="K10" s="426"/>
      <c r="L10" s="426"/>
      <c r="M10" s="426"/>
      <c r="N10" s="515"/>
      <c r="O10" s="516"/>
      <c r="P10" s="517"/>
      <c r="Q10" s="515"/>
      <c r="R10" s="516"/>
      <c r="S10" s="517"/>
      <c r="U10" s="423"/>
      <c r="AC10" s="421"/>
    </row>
    <row r="11" spans="1:35" s="434" customFormat="1" ht="18.95" customHeight="1" x14ac:dyDescent="0.3">
      <c r="A11" s="431"/>
      <c r="B11" s="424"/>
      <c r="C11" s="426"/>
      <c r="D11" s="426" t="s">
        <v>49</v>
      </c>
      <c r="E11" s="427"/>
      <c r="F11" s="426"/>
      <c r="G11" s="426"/>
      <c r="H11" s="426"/>
      <c r="I11" s="426"/>
      <c r="J11" s="426"/>
      <c r="K11" s="426"/>
      <c r="L11" s="426"/>
      <c r="M11" s="426"/>
      <c r="N11" s="509">
        <f>Q11/$Q$20</f>
        <v>0.616081410398445</v>
      </c>
      <c r="O11" s="510"/>
      <c r="P11" s="511"/>
      <c r="Q11" s="512">
        <f>'INPUT DATA'!H59</f>
        <v>1013330.8599999999</v>
      </c>
      <c r="R11" s="513"/>
      <c r="S11" s="514"/>
      <c r="U11" s="435">
        <f>Q11/$Q$14</f>
        <v>0.70849362195821186</v>
      </c>
      <c r="V11" s="434" t="s">
        <v>407</v>
      </c>
      <c r="AC11" s="436"/>
    </row>
    <row r="12" spans="1:35" s="434" customFormat="1" ht="18.95" customHeight="1" x14ac:dyDescent="0.3">
      <c r="A12" s="431"/>
      <c r="B12" s="424"/>
      <c r="C12" s="426"/>
      <c r="D12" s="426" t="s">
        <v>328</v>
      </c>
      <c r="E12" s="427"/>
      <c r="F12" s="426"/>
      <c r="G12" s="426"/>
      <c r="H12" s="426"/>
      <c r="I12" s="426"/>
      <c r="J12" s="426"/>
      <c r="K12" s="426"/>
      <c r="L12" s="426"/>
      <c r="M12" s="426"/>
      <c r="N12" s="509">
        <f t="shared" ref="N12:N13" si="0">Q12/$Q$20</f>
        <v>0.19864837648506603</v>
      </c>
      <c r="O12" s="510"/>
      <c r="P12" s="511"/>
      <c r="Q12" s="512">
        <f>'INPUT DATA'!F59</f>
        <v>326736.90000000002</v>
      </c>
      <c r="R12" s="513"/>
      <c r="S12" s="514"/>
      <c r="U12" s="435">
        <f>Q12/$Q$14</f>
        <v>0.22844563295782594</v>
      </c>
      <c r="V12" s="437" t="s">
        <v>26</v>
      </c>
      <c r="W12" s="438"/>
      <c r="X12" s="438"/>
      <c r="AC12" s="436"/>
    </row>
    <row r="13" spans="1:35" s="434" customFormat="1" ht="18.95" customHeight="1" x14ac:dyDescent="0.3">
      <c r="A13" s="431"/>
      <c r="B13" s="424"/>
      <c r="C13" s="426"/>
      <c r="D13" s="426" t="s">
        <v>329</v>
      </c>
      <c r="E13" s="426"/>
      <c r="F13" s="426"/>
      <c r="G13" s="426"/>
      <c r="H13" s="426"/>
      <c r="I13" s="426"/>
      <c r="J13" s="426"/>
      <c r="K13" s="426"/>
      <c r="L13" s="426"/>
      <c r="M13" s="426"/>
      <c r="N13" s="509">
        <f t="shared" si="0"/>
        <v>5.483543050779327E-2</v>
      </c>
      <c r="O13" s="510"/>
      <c r="P13" s="511"/>
      <c r="Q13" s="512">
        <f>'INPUT DATA'!G59</f>
        <v>90193.33</v>
      </c>
      <c r="R13" s="513"/>
      <c r="S13" s="514"/>
      <c r="U13" s="435">
        <f>Q13/$Q$14</f>
        <v>6.3060745083962269E-2</v>
      </c>
      <c r="V13" s="437" t="s">
        <v>408</v>
      </c>
      <c r="AC13" s="436"/>
    </row>
    <row r="14" spans="1:35" s="434" customFormat="1" ht="18.95" customHeight="1" x14ac:dyDescent="0.2">
      <c r="A14" s="431"/>
      <c r="B14" s="518" t="s">
        <v>318</v>
      </c>
      <c r="C14" s="519"/>
      <c r="D14" s="519"/>
      <c r="E14" s="519"/>
      <c r="F14" s="519"/>
      <c r="G14" s="519"/>
      <c r="H14" s="519"/>
      <c r="I14" s="519"/>
      <c r="J14" s="519"/>
      <c r="K14" s="519"/>
      <c r="L14" s="519"/>
      <c r="M14" s="520"/>
      <c r="N14" s="527">
        <f>SUM(N11:P13)</f>
        <v>0.86956521739130432</v>
      </c>
      <c r="O14" s="519"/>
      <c r="P14" s="520"/>
      <c r="Q14" s="524">
        <f>SUM(Q11:S13)</f>
        <v>1430261.0899999999</v>
      </c>
      <c r="R14" s="525"/>
      <c r="S14" s="526"/>
      <c r="U14" s="439"/>
      <c r="V14" s="440"/>
      <c r="W14" s="439"/>
      <c r="X14" s="439"/>
      <c r="Y14" s="439"/>
      <c r="Z14" s="439"/>
      <c r="AA14" s="439"/>
      <c r="AC14" s="421"/>
      <c r="AG14" s="441">
        <f>AI14</f>
        <v>34376992.18</v>
      </c>
      <c r="AH14" s="434" t="s">
        <v>319</v>
      </c>
      <c r="AI14" s="442">
        <v>34376992.18</v>
      </c>
    </row>
    <row r="15" spans="1:35" s="434" customFormat="1" ht="18.95" customHeight="1" x14ac:dyDescent="0.2">
      <c r="A15" s="431"/>
      <c r="B15" s="428"/>
      <c r="C15" s="425" t="s">
        <v>326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43"/>
      <c r="O15" s="429"/>
      <c r="P15" s="430"/>
      <c r="Q15" s="444"/>
      <c r="R15" s="444"/>
      <c r="S15" s="445"/>
      <c r="U15" s="439"/>
      <c r="V15" s="440"/>
      <c r="W15" s="439"/>
      <c r="X15" s="439"/>
      <c r="Y15" s="439"/>
      <c r="Z15" s="439"/>
      <c r="AA15" s="439"/>
      <c r="AC15" s="421"/>
      <c r="AG15" s="441"/>
      <c r="AI15" s="442"/>
    </row>
    <row r="16" spans="1:35" s="434" customFormat="1" ht="18.95" customHeight="1" x14ac:dyDescent="0.3">
      <c r="A16" s="431"/>
      <c r="B16" s="446"/>
      <c r="C16" s="426"/>
      <c r="D16" s="447" t="s">
        <v>327</v>
      </c>
      <c r="E16" s="429"/>
      <c r="F16" s="429"/>
      <c r="G16" s="429"/>
      <c r="H16" s="429"/>
      <c r="I16" s="429"/>
      <c r="J16" s="429"/>
      <c r="K16" s="429"/>
      <c r="L16" s="429"/>
      <c r="M16" s="429"/>
      <c r="N16" s="509">
        <f>Q16/$Q$20</f>
        <v>4.3478260869565209E-2</v>
      </c>
      <c r="O16" s="510"/>
      <c r="P16" s="511"/>
      <c r="Q16" s="513">
        <f>'INPUT DATA'!I59</f>
        <v>71513.054499999984</v>
      </c>
      <c r="R16" s="513"/>
      <c r="S16" s="514"/>
      <c r="Y16" s="448"/>
      <c r="AC16" s="436"/>
    </row>
    <row r="17" spans="1:50" s="456" customFormat="1" ht="18.95" customHeight="1" x14ac:dyDescent="0.3">
      <c r="A17" s="449"/>
      <c r="B17" s="450"/>
      <c r="C17" s="451"/>
      <c r="D17" s="452" t="s">
        <v>323</v>
      </c>
      <c r="E17" s="451"/>
      <c r="F17" s="451"/>
      <c r="G17" s="451"/>
      <c r="H17" s="451"/>
      <c r="I17" s="451"/>
      <c r="J17" s="451"/>
      <c r="K17" s="451"/>
      <c r="L17" s="453"/>
      <c r="M17" s="454"/>
      <c r="N17" s="509">
        <f t="shared" ref="N17:N18" si="1">Q17/$Q$20</f>
        <v>8.6956521739130418E-2</v>
      </c>
      <c r="O17" s="528"/>
      <c r="P17" s="511"/>
      <c r="Q17" s="513">
        <f>'INPUT DATA'!J59</f>
        <v>143026.10899999997</v>
      </c>
      <c r="R17" s="513"/>
      <c r="S17" s="514"/>
      <c r="T17" s="455"/>
      <c r="U17" s="455"/>
      <c r="V17" s="455"/>
      <c r="W17" s="455"/>
      <c r="X17" s="455"/>
      <c r="Y17" s="455"/>
      <c r="Z17" s="455"/>
      <c r="AA17" s="455"/>
      <c r="AB17" s="455"/>
      <c r="AC17" s="436"/>
      <c r="AD17" s="455"/>
      <c r="AE17" s="455"/>
      <c r="AF17" s="455"/>
      <c r="AG17" s="455"/>
      <c r="AH17" s="455"/>
      <c r="AI17" s="455"/>
      <c r="AJ17" s="455"/>
      <c r="AK17" s="455"/>
      <c r="AL17" s="455"/>
      <c r="AM17" s="455"/>
      <c r="AN17" s="455"/>
      <c r="AO17" s="455"/>
      <c r="AP17" s="455"/>
      <c r="AQ17" s="455"/>
      <c r="AR17" s="455"/>
      <c r="AS17" s="455"/>
      <c r="AT17" s="455"/>
      <c r="AU17" s="455"/>
      <c r="AV17" s="455"/>
      <c r="AW17" s="455"/>
      <c r="AX17" s="455"/>
    </row>
    <row r="18" spans="1:50" s="456" customFormat="1" ht="18.95" customHeight="1" x14ac:dyDescent="0.3">
      <c r="A18" s="449"/>
      <c r="B18" s="450"/>
      <c r="C18" s="451"/>
      <c r="D18" s="457" t="s">
        <v>324</v>
      </c>
      <c r="E18" s="451"/>
      <c r="F18" s="451"/>
      <c r="G18" s="451"/>
      <c r="H18" s="451"/>
      <c r="I18" s="451"/>
      <c r="J18" s="451"/>
      <c r="K18" s="451"/>
      <c r="L18" s="453"/>
      <c r="M18" s="454"/>
      <c r="N18" s="506">
        <f t="shared" si="1"/>
        <v>0</v>
      </c>
      <c r="O18" s="507"/>
      <c r="P18" s="508"/>
      <c r="Q18" s="504">
        <f>'INPUT DATA'!K59</f>
        <v>0</v>
      </c>
      <c r="R18" s="504"/>
      <c r="S18" s="505"/>
      <c r="T18" s="455"/>
      <c r="U18" s="455"/>
      <c r="V18" s="455"/>
      <c r="W18" s="455"/>
      <c r="X18" s="455"/>
      <c r="Y18" s="455"/>
      <c r="Z18" s="455"/>
      <c r="AA18" s="455"/>
      <c r="AB18" s="455"/>
      <c r="AC18" s="436"/>
      <c r="AD18" s="455"/>
      <c r="AE18" s="455"/>
      <c r="AF18" s="455"/>
      <c r="AG18" s="455"/>
      <c r="AH18" s="455"/>
      <c r="AI18" s="455"/>
      <c r="AJ18" s="455"/>
      <c r="AK18" s="455"/>
      <c r="AL18" s="455"/>
      <c r="AM18" s="455"/>
      <c r="AN18" s="455"/>
      <c r="AO18" s="455"/>
      <c r="AP18" s="455"/>
      <c r="AQ18" s="455"/>
      <c r="AR18" s="455"/>
      <c r="AS18" s="455"/>
      <c r="AT18" s="455"/>
      <c r="AU18" s="455"/>
      <c r="AV18" s="455"/>
      <c r="AW18" s="455"/>
      <c r="AX18" s="455"/>
    </row>
    <row r="19" spans="1:50" s="419" customFormat="1" ht="15" customHeight="1" x14ac:dyDescent="0.3">
      <c r="A19" s="422"/>
      <c r="B19" s="518" t="s">
        <v>321</v>
      </c>
      <c r="C19" s="519"/>
      <c r="D19" s="519"/>
      <c r="E19" s="519"/>
      <c r="F19" s="519"/>
      <c r="G19" s="519"/>
      <c r="H19" s="519"/>
      <c r="I19" s="519"/>
      <c r="J19" s="519"/>
      <c r="K19" s="519"/>
      <c r="L19" s="519"/>
      <c r="M19" s="520"/>
      <c r="N19" s="458"/>
      <c r="O19" s="459"/>
      <c r="P19" s="460"/>
      <c r="Q19" s="432"/>
      <c r="R19" s="432"/>
      <c r="S19" s="433"/>
      <c r="V19" s="461"/>
      <c r="AG19" s="462"/>
    </row>
    <row r="20" spans="1:50" s="419" customFormat="1" ht="21.95" customHeight="1" x14ac:dyDescent="0.4">
      <c r="A20" s="422"/>
      <c r="B20" s="518" t="s">
        <v>322</v>
      </c>
      <c r="C20" s="519"/>
      <c r="D20" s="519"/>
      <c r="E20" s="519"/>
      <c r="F20" s="519"/>
      <c r="G20" s="519"/>
      <c r="H20" s="519"/>
      <c r="I20" s="519"/>
      <c r="J20" s="519"/>
      <c r="K20" s="519"/>
      <c r="L20" s="519"/>
      <c r="M20" s="520"/>
      <c r="N20" s="521">
        <f>SUM(N16:P18)+N14</f>
        <v>1</v>
      </c>
      <c r="O20" s="522"/>
      <c r="P20" s="523"/>
      <c r="Q20" s="524">
        <f>SUM(Q16:S18)+Q14</f>
        <v>1644800.2534999999</v>
      </c>
      <c r="R20" s="525"/>
      <c r="S20" s="526"/>
      <c r="Z20" s="463"/>
      <c r="AG20" s="462">
        <v>27089626</v>
      </c>
    </row>
    <row r="23" spans="1:50" x14ac:dyDescent="0.25">
      <c r="C23" s="414" t="s">
        <v>330</v>
      </c>
    </row>
    <row r="25" spans="1:50" x14ac:dyDescent="0.25">
      <c r="E25" s="464"/>
      <c r="F25" s="464"/>
      <c r="G25" s="464"/>
      <c r="H25" s="464"/>
      <c r="I25" s="464"/>
      <c r="J25" s="464"/>
      <c r="K25" s="464"/>
      <c r="L25" s="464"/>
    </row>
    <row r="26" spans="1:50" x14ac:dyDescent="0.25">
      <c r="E26" s="414" t="s">
        <v>331</v>
      </c>
    </row>
    <row r="38" spans="3:6" ht="17.25" x14ac:dyDescent="0.3">
      <c r="C38" s="412" t="s">
        <v>261</v>
      </c>
      <c r="D38" s="465"/>
      <c r="E38" s="465"/>
      <c r="F38" s="465"/>
    </row>
    <row r="39" spans="3:6" ht="17.25" x14ac:dyDescent="0.3">
      <c r="C39" s="413"/>
      <c r="D39" s="465"/>
      <c r="E39" s="465"/>
      <c r="F39" s="465"/>
    </row>
    <row r="40" spans="3:6" ht="17.25" x14ac:dyDescent="0.3">
      <c r="C40" s="412" t="s">
        <v>414</v>
      </c>
      <c r="D40" s="465"/>
      <c r="E40" s="465"/>
      <c r="F40" s="465"/>
    </row>
    <row r="41" spans="3:6" ht="17.25" x14ac:dyDescent="0.3">
      <c r="C41" s="412" t="s">
        <v>412</v>
      </c>
      <c r="D41" s="465"/>
      <c r="E41" s="465"/>
      <c r="F41" s="465"/>
    </row>
    <row r="42" spans="3:6" ht="17.25" x14ac:dyDescent="0.3">
      <c r="C42" s="412" t="s">
        <v>411</v>
      </c>
      <c r="D42" s="465"/>
      <c r="E42" s="465"/>
      <c r="F42" s="465"/>
    </row>
    <row r="43" spans="3:6" ht="17.25" x14ac:dyDescent="0.3">
      <c r="C43" s="412" t="s">
        <v>415</v>
      </c>
      <c r="D43" s="465"/>
      <c r="E43" s="465"/>
      <c r="F43" s="465"/>
    </row>
    <row r="44" spans="3:6" ht="17.25" x14ac:dyDescent="0.3">
      <c r="C44" s="412" t="s">
        <v>413</v>
      </c>
      <c r="D44" s="465"/>
      <c r="E44" s="465"/>
      <c r="F44" s="465"/>
    </row>
    <row r="45" spans="3:6" ht="17.25" x14ac:dyDescent="0.3">
      <c r="C45" s="412" t="s">
        <v>416</v>
      </c>
      <c r="D45" s="465"/>
      <c r="E45" s="465"/>
      <c r="F45" s="465"/>
    </row>
  </sheetData>
  <sheetProtection algorithmName="SHA-512" hashValue="1Rtc6Sf5PHdEhFQ31LH1NK8uTJ0Qj5qBNAdbWZT4ZrTkAAwARWSoDBVwXXUOSI13lr7/OpOc6B4liEadOxlPAQ==" saltValue="JTKno4Nrwy8a3Egq5LZqvA==" spinCount="100000" sheet="1" objects="1" scenarios="1"/>
  <mergeCells count="29">
    <mergeCell ref="B20:M20"/>
    <mergeCell ref="N20:P20"/>
    <mergeCell ref="Q20:S20"/>
    <mergeCell ref="B19:M19"/>
    <mergeCell ref="B14:M14"/>
    <mergeCell ref="N14:P14"/>
    <mergeCell ref="Q14:S14"/>
    <mergeCell ref="N16:P16"/>
    <mergeCell ref="Q16:S16"/>
    <mergeCell ref="N17:P17"/>
    <mergeCell ref="Q17:S17"/>
    <mergeCell ref="B9:M9"/>
    <mergeCell ref="N9:P9"/>
    <mergeCell ref="Q9:S9"/>
    <mergeCell ref="Q18:S18"/>
    <mergeCell ref="N18:P18"/>
    <mergeCell ref="N12:P12"/>
    <mergeCell ref="Q12:S12"/>
    <mergeCell ref="N13:P13"/>
    <mergeCell ref="Q13:S13"/>
    <mergeCell ref="N10:P10"/>
    <mergeCell ref="Q10:S10"/>
    <mergeCell ref="N11:P11"/>
    <mergeCell ref="Q11:S11"/>
    <mergeCell ref="B1:S1"/>
    <mergeCell ref="B2:S2"/>
    <mergeCell ref="B3:S3"/>
    <mergeCell ref="F6:S6"/>
    <mergeCell ref="F7:S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A377-1B44-8845-B9E7-24A9AFBBC09F}">
  <sheetPr codeName="Sheet3">
    <tabColor rgb="FFFF0000"/>
    <pageSetUpPr fitToPage="1"/>
  </sheetPr>
  <dimension ref="A1:W71"/>
  <sheetViews>
    <sheetView view="pageBreakPreview" topLeftCell="A52" zoomScale="85" zoomScaleSheetLayoutView="85" workbookViewId="0">
      <selection activeCell="O30" sqref="O30"/>
    </sheetView>
  </sheetViews>
  <sheetFormatPr defaultColWidth="9.140625" defaultRowHeight="12.75" x14ac:dyDescent="0.2"/>
  <cols>
    <col min="1" max="1" width="12.28515625" style="406" customWidth="1"/>
    <col min="2" max="2" width="8.28515625" style="356" customWidth="1"/>
    <col min="3" max="3" width="35.140625" style="356" customWidth="1"/>
    <col min="4" max="4" width="10.85546875" style="356" customWidth="1"/>
    <col min="5" max="5" width="12" style="356" customWidth="1"/>
    <col min="6" max="6" width="16.140625" style="356" customWidth="1"/>
    <col min="7" max="7" width="8.140625" style="356" customWidth="1"/>
    <col min="8" max="8" width="8.28515625" style="356" customWidth="1"/>
    <col min="9" max="9" width="7.7109375" style="356" customWidth="1"/>
    <col min="10" max="10" width="12.28515625" style="356" customWidth="1"/>
    <col min="11" max="11" width="11.42578125" style="356" customWidth="1"/>
    <col min="12" max="12" width="14.85546875" style="356" customWidth="1"/>
    <col min="13" max="13" width="6.42578125" style="356" customWidth="1"/>
    <col min="14" max="14" width="9.85546875" style="356" customWidth="1"/>
    <col min="15" max="15" width="15.140625" style="356" customWidth="1"/>
    <col min="16" max="16" width="27.28515625" style="356" customWidth="1"/>
    <col min="17" max="17" width="16.42578125" style="356" customWidth="1"/>
    <col min="18" max="20" width="21.42578125" style="356" customWidth="1"/>
    <col min="21" max="21" width="25" style="356" customWidth="1"/>
    <col min="22" max="22" width="15.42578125" style="356" customWidth="1"/>
    <col min="23" max="24" width="11.85546875" style="356" customWidth="1"/>
    <col min="25" max="16384" width="9.140625" style="356"/>
  </cols>
  <sheetData>
    <row r="1" spans="1:23" ht="17.100000000000001" customHeight="1" x14ac:dyDescent="0.2">
      <c r="A1" s="530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</row>
    <row r="2" spans="1:23" ht="23.1" customHeight="1" x14ac:dyDescent="0.25">
      <c r="A2" s="531">
        <f>BOE!B2</f>
        <v>0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</row>
    <row r="3" spans="1:23" ht="15" customHeight="1" x14ac:dyDescent="0.2">
      <c r="A3" s="530"/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0"/>
    </row>
    <row r="4" spans="1:23" ht="14.25" x14ac:dyDescent="0.2">
      <c r="A4" s="401"/>
      <c r="B4" s="377"/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</row>
    <row r="5" spans="1:23" ht="14.25" x14ac:dyDescent="0.2">
      <c r="A5" s="401"/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</row>
    <row r="6" spans="1:23" ht="24" customHeight="1" x14ac:dyDescent="0.25">
      <c r="A6" s="401"/>
      <c r="B6" s="400" t="str">
        <f>BOE!B6</f>
        <v>PROJECT TITLE:</v>
      </c>
      <c r="C6" s="377"/>
      <c r="D6" s="529" t="str">
        <f>'INPUT DATA'!C4</f>
        <v>PROPOSED ONE STOREY TWO BED ROOM RESIDENTIAL BUILDING</v>
      </c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</row>
    <row r="7" spans="1:23" ht="24" customHeight="1" x14ac:dyDescent="0.25">
      <c r="A7" s="401"/>
      <c r="B7" s="400" t="str">
        <f>BOE!B7</f>
        <v>Project Location:</v>
      </c>
      <c r="C7" s="377"/>
      <c r="D7" s="529" t="str">
        <f>'INPUT DATA'!C5</f>
        <v>ANGELES, PAMPANGA</v>
      </c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</row>
    <row r="8" spans="1:23" ht="14.25" x14ac:dyDescent="0.2">
      <c r="A8" s="401"/>
      <c r="B8" s="377"/>
      <c r="C8" s="377"/>
      <c r="D8" s="377"/>
      <c r="E8" s="377"/>
      <c r="F8" s="377"/>
      <c r="G8" s="377"/>
      <c r="H8" s="377"/>
      <c r="I8" s="377"/>
      <c r="J8" s="377"/>
      <c r="K8" s="377"/>
      <c r="L8" s="377"/>
      <c r="M8" s="377"/>
      <c r="N8" s="377"/>
      <c r="O8" s="377"/>
    </row>
    <row r="9" spans="1:23" ht="14.25" x14ac:dyDescent="0.2">
      <c r="A9" s="401"/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8"/>
      <c r="M9" s="379"/>
      <c r="N9" s="377"/>
      <c r="O9" s="380"/>
    </row>
    <row r="10" spans="1:23" ht="14.25" x14ac:dyDescent="0.2">
      <c r="A10" s="402"/>
      <c r="B10" s="540" t="s">
        <v>113</v>
      </c>
      <c r="C10" s="541"/>
      <c r="D10" s="537" t="s">
        <v>300</v>
      </c>
      <c r="E10" s="537" t="s">
        <v>6</v>
      </c>
      <c r="F10" s="382"/>
      <c r="G10" s="559" t="s">
        <v>301</v>
      </c>
      <c r="H10" s="560"/>
      <c r="I10" s="540" t="s">
        <v>302</v>
      </c>
      <c r="J10" s="541"/>
      <c r="K10" s="537" t="s">
        <v>217</v>
      </c>
      <c r="L10" s="383"/>
      <c r="M10" s="540" t="s">
        <v>303</v>
      </c>
      <c r="N10" s="541"/>
      <c r="O10" s="381"/>
    </row>
    <row r="11" spans="1:23" ht="14.25" x14ac:dyDescent="0.2">
      <c r="A11" s="403" t="s">
        <v>304</v>
      </c>
      <c r="B11" s="542"/>
      <c r="C11" s="543"/>
      <c r="D11" s="538"/>
      <c r="E11" s="538"/>
      <c r="F11" s="385" t="s">
        <v>305</v>
      </c>
      <c r="G11" s="546" t="s">
        <v>306</v>
      </c>
      <c r="H11" s="547"/>
      <c r="I11" s="544"/>
      <c r="J11" s="545"/>
      <c r="K11" s="538"/>
      <c r="L11" s="387" t="s">
        <v>299</v>
      </c>
      <c r="M11" s="542"/>
      <c r="N11" s="543"/>
      <c r="O11" s="384" t="s">
        <v>6</v>
      </c>
    </row>
    <row r="12" spans="1:23" ht="14.25" x14ac:dyDescent="0.2">
      <c r="A12" s="403" t="s">
        <v>307</v>
      </c>
      <c r="B12" s="542"/>
      <c r="C12" s="543"/>
      <c r="D12" s="538"/>
      <c r="E12" s="538"/>
      <c r="F12" s="385" t="s">
        <v>214</v>
      </c>
      <c r="G12" s="537" t="s">
        <v>215</v>
      </c>
      <c r="H12" s="537" t="s">
        <v>308</v>
      </c>
      <c r="I12" s="537" t="s">
        <v>309</v>
      </c>
      <c r="J12" s="537" t="s">
        <v>310</v>
      </c>
      <c r="K12" s="538"/>
      <c r="L12" s="387" t="s">
        <v>218</v>
      </c>
      <c r="M12" s="542"/>
      <c r="N12" s="543"/>
      <c r="O12" s="384" t="s">
        <v>311</v>
      </c>
    </row>
    <row r="13" spans="1:23" ht="14.25" x14ac:dyDescent="0.2">
      <c r="A13" s="404"/>
      <c r="B13" s="544"/>
      <c r="C13" s="545"/>
      <c r="D13" s="539"/>
      <c r="E13" s="539"/>
      <c r="F13" s="388"/>
      <c r="G13" s="539"/>
      <c r="H13" s="539"/>
      <c r="I13" s="539"/>
      <c r="J13" s="539"/>
      <c r="K13" s="539"/>
      <c r="L13" s="389"/>
      <c r="M13" s="544"/>
      <c r="N13" s="545"/>
      <c r="O13" s="386"/>
    </row>
    <row r="14" spans="1:23" ht="14.25" x14ac:dyDescent="0.2">
      <c r="A14" s="551">
        <v>-1</v>
      </c>
      <c r="B14" s="553">
        <v>-2</v>
      </c>
      <c r="C14" s="554"/>
      <c r="D14" s="557">
        <v>-3</v>
      </c>
      <c r="E14" s="557">
        <v>-4</v>
      </c>
      <c r="F14" s="557">
        <v>-5</v>
      </c>
      <c r="G14" s="557">
        <v>-6</v>
      </c>
      <c r="H14" s="557">
        <v>-7</v>
      </c>
      <c r="I14" s="557">
        <v>-8</v>
      </c>
      <c r="J14" s="390">
        <v>-9</v>
      </c>
      <c r="K14" s="390">
        <v>-10</v>
      </c>
      <c r="L14" s="390">
        <v>-11</v>
      </c>
      <c r="M14" s="553">
        <v>-12</v>
      </c>
      <c r="N14" s="554"/>
      <c r="O14" s="391">
        <v>-13</v>
      </c>
    </row>
    <row r="15" spans="1:23" ht="14.25" x14ac:dyDescent="0.2">
      <c r="A15" s="552"/>
      <c r="B15" s="555"/>
      <c r="C15" s="556"/>
      <c r="D15" s="558"/>
      <c r="E15" s="558"/>
      <c r="F15" s="558"/>
      <c r="G15" s="558"/>
      <c r="H15" s="558"/>
      <c r="I15" s="558"/>
      <c r="J15" s="392" t="s">
        <v>312</v>
      </c>
      <c r="K15" s="392" t="s">
        <v>410</v>
      </c>
      <c r="L15" s="392" t="s">
        <v>313</v>
      </c>
      <c r="M15" s="555" t="s">
        <v>314</v>
      </c>
      <c r="N15" s="556"/>
      <c r="O15" s="393" t="s">
        <v>315</v>
      </c>
      <c r="R15" s="358"/>
      <c r="S15" s="358"/>
      <c r="T15" s="358"/>
      <c r="U15" s="358"/>
    </row>
    <row r="16" spans="1:23" ht="20.100000000000001" customHeight="1" x14ac:dyDescent="0.25">
      <c r="A16" s="548" t="str">
        <f>'INPUT DATA'!A9</f>
        <v>ARCHITECTURAL / CIVIL WORKS</v>
      </c>
      <c r="B16" s="549"/>
      <c r="C16" s="549"/>
      <c r="D16" s="549"/>
      <c r="E16" s="549"/>
      <c r="F16" s="549"/>
      <c r="G16" s="549"/>
      <c r="H16" s="549"/>
      <c r="I16" s="549"/>
      <c r="J16" s="549"/>
      <c r="K16" s="549"/>
      <c r="L16" s="549"/>
      <c r="M16" s="549"/>
      <c r="N16" s="549"/>
      <c r="O16" s="550"/>
      <c r="R16" s="359"/>
      <c r="S16" s="358"/>
      <c r="T16" s="358"/>
      <c r="U16" s="360"/>
      <c r="W16" s="361"/>
    </row>
    <row r="17" spans="1:23" ht="15" customHeight="1" x14ac:dyDescent="0.25">
      <c r="A17" s="405" t="str">
        <f>'INPUT DATA'!A10</f>
        <v>800(1)</v>
      </c>
      <c r="B17" s="532" t="str">
        <f>'INPUT DATA'!B10</f>
        <v>CLEARING AND GRUBBING</v>
      </c>
      <c r="C17" s="533"/>
      <c r="D17" s="394">
        <f>'INPUT DATA'!C10</f>
        <v>200</v>
      </c>
      <c r="E17" s="395" t="str">
        <f>'INPUT DATA'!D10</f>
        <v>SQ.M.</v>
      </c>
      <c r="F17" s="394">
        <f>'INPUT DATA'!F10+'INPUT DATA'!G10+'INPUT DATA'!H10</f>
        <v>22155.200000000001</v>
      </c>
      <c r="G17" s="396">
        <f>'INPUT DATA'!$C$62</f>
        <v>0.05</v>
      </c>
      <c r="H17" s="396">
        <f>'INPUT DATA'!$C$63</f>
        <v>0.1</v>
      </c>
      <c r="I17" s="396">
        <f>H17+G17</f>
        <v>0.15000000000000002</v>
      </c>
      <c r="J17" s="394">
        <f>I17*F17</f>
        <v>3323.2800000000007</v>
      </c>
      <c r="K17" s="394">
        <f>'INPUT DATA'!$C$64*(ABC!J17+ABC!F17)</f>
        <v>0</v>
      </c>
      <c r="L17" s="394">
        <f>J17+K17</f>
        <v>3323.2800000000007</v>
      </c>
      <c r="M17" s="534">
        <f>L17+F17</f>
        <v>25478.480000000003</v>
      </c>
      <c r="N17" s="535"/>
      <c r="O17" s="394">
        <f>M17/D17</f>
        <v>127.39240000000001</v>
      </c>
      <c r="P17" s="407">
        <f>M17-'INPUT DATA'!L10</f>
        <v>0</v>
      </c>
      <c r="R17" s="359"/>
      <c r="S17" s="358"/>
      <c r="T17" s="358"/>
      <c r="U17" s="360"/>
      <c r="W17" s="361"/>
    </row>
    <row r="18" spans="1:23" ht="15" customHeight="1" x14ac:dyDescent="0.25">
      <c r="A18" s="405" t="str">
        <f>'INPUT DATA'!A11</f>
        <v>800(3)a</v>
      </c>
      <c r="B18" s="532" t="str">
        <f>'INPUT DATA'!B11</f>
        <v>INDIVIDUAL REMOVAL OF TREES (UPTO 300MM DIAMETER)</v>
      </c>
      <c r="C18" s="533"/>
      <c r="D18" s="394">
        <f>'INPUT DATA'!C11</f>
        <v>2</v>
      </c>
      <c r="E18" s="395" t="str">
        <f>'INPUT DATA'!D11</f>
        <v>EACH</v>
      </c>
      <c r="F18" s="394">
        <f>'INPUT DATA'!F11+'INPUT DATA'!G11+'INPUT DATA'!H11</f>
        <v>4458.9400000000005</v>
      </c>
      <c r="G18" s="396">
        <f>'INPUT DATA'!$C$62</f>
        <v>0.05</v>
      </c>
      <c r="H18" s="396">
        <f>'INPUT DATA'!$C$63</f>
        <v>0.1</v>
      </c>
      <c r="I18" s="396">
        <f t="shared" ref="I18:I65" si="0">H18+G18</f>
        <v>0.15000000000000002</v>
      </c>
      <c r="J18" s="394">
        <f t="shared" ref="J18:J65" si="1">I18*F18</f>
        <v>668.84100000000012</v>
      </c>
      <c r="K18" s="394">
        <f>'INPUT DATA'!$C$64*(ABC!J18+ABC!F18)</f>
        <v>0</v>
      </c>
      <c r="L18" s="394">
        <f t="shared" ref="L18:L65" si="2">J18+K18</f>
        <v>668.84100000000012</v>
      </c>
      <c r="M18" s="534">
        <f t="shared" ref="M18:M46" si="3">L18+F18</f>
        <v>5127.7810000000009</v>
      </c>
      <c r="N18" s="535"/>
      <c r="O18" s="394">
        <f t="shared" ref="O18:O65" si="4">M18/D18</f>
        <v>2563.8905000000004</v>
      </c>
      <c r="P18" s="407">
        <f>M18-'INPUT DATA'!L11</f>
        <v>0</v>
      </c>
      <c r="R18" s="359"/>
      <c r="S18" s="358"/>
      <c r="T18" s="358"/>
      <c r="U18" s="360"/>
      <c r="W18" s="361"/>
    </row>
    <row r="19" spans="1:23" s="362" customFormat="1" ht="15" customHeight="1" x14ac:dyDescent="0.25">
      <c r="A19" s="405" t="str">
        <f>'INPUT DATA'!A12</f>
        <v>803(1)a</v>
      </c>
      <c r="B19" s="532" t="str">
        <f>'INPUT DATA'!B12</f>
        <v>STRUCTURE EXCAVATION (COMMON SOIL)</v>
      </c>
      <c r="C19" s="533"/>
      <c r="D19" s="394">
        <f>'INPUT DATA'!C12</f>
        <v>23</v>
      </c>
      <c r="E19" s="395" t="str">
        <f>'INPUT DATA'!D12</f>
        <v>CU.M.</v>
      </c>
      <c r="F19" s="394">
        <f>'INPUT DATA'!F12+'INPUT DATA'!G12+'INPUT DATA'!H12</f>
        <v>5193.3999999999996</v>
      </c>
      <c r="G19" s="396">
        <f>'INPUT DATA'!$C$62</f>
        <v>0.05</v>
      </c>
      <c r="H19" s="396">
        <f>'INPUT DATA'!$C$63</f>
        <v>0.1</v>
      </c>
      <c r="I19" s="396">
        <f t="shared" si="0"/>
        <v>0.15000000000000002</v>
      </c>
      <c r="J19" s="394">
        <f t="shared" si="1"/>
        <v>779.0100000000001</v>
      </c>
      <c r="K19" s="394">
        <f>'INPUT DATA'!$C$64*(ABC!J19+ABC!F19)</f>
        <v>0</v>
      </c>
      <c r="L19" s="394">
        <f t="shared" si="2"/>
        <v>779.0100000000001</v>
      </c>
      <c r="M19" s="534">
        <f t="shared" si="3"/>
        <v>5972.41</v>
      </c>
      <c r="N19" s="535"/>
      <c r="O19" s="394">
        <f t="shared" si="4"/>
        <v>259.67</v>
      </c>
      <c r="P19" s="407">
        <f>M19-'INPUT DATA'!L12</f>
        <v>0</v>
      </c>
      <c r="R19" s="363"/>
      <c r="S19" s="364"/>
      <c r="T19" s="364"/>
      <c r="U19" s="365"/>
      <c r="W19" s="366"/>
    </row>
    <row r="20" spans="1:23" ht="15" customHeight="1" x14ac:dyDescent="0.25">
      <c r="A20" s="405" t="str">
        <f>'INPUT DATA'!A13</f>
        <v>803(1)a</v>
      </c>
      <c r="B20" s="532" t="str">
        <f>'INPUT DATA'!B13</f>
        <v>STRUCTURE EXCAVATION (SOFT ROCK)</v>
      </c>
      <c r="C20" s="533"/>
      <c r="D20" s="394">
        <f>'INPUT DATA'!C13</f>
        <v>0</v>
      </c>
      <c r="E20" s="395" t="str">
        <f>'INPUT DATA'!D13</f>
        <v>CU.M.</v>
      </c>
      <c r="F20" s="394">
        <f>'INPUT DATA'!F13+'INPUT DATA'!G13+'INPUT DATA'!H13</f>
        <v>0</v>
      </c>
      <c r="G20" s="396">
        <f>'INPUT DATA'!$C$62</f>
        <v>0.05</v>
      </c>
      <c r="H20" s="396">
        <f>'INPUT DATA'!$C$63</f>
        <v>0.1</v>
      </c>
      <c r="I20" s="396">
        <f t="shared" si="0"/>
        <v>0.15000000000000002</v>
      </c>
      <c r="J20" s="394">
        <f t="shared" si="1"/>
        <v>0</v>
      </c>
      <c r="K20" s="394">
        <f>'INPUT DATA'!$C$64*(ABC!J20+ABC!F20)</f>
        <v>0</v>
      </c>
      <c r="L20" s="394">
        <f t="shared" si="2"/>
        <v>0</v>
      </c>
      <c r="M20" s="534">
        <f t="shared" si="3"/>
        <v>0</v>
      </c>
      <c r="N20" s="535"/>
      <c r="O20" s="394" t="e">
        <f t="shared" si="4"/>
        <v>#DIV/0!</v>
      </c>
      <c r="P20" s="407">
        <f>M20-'INPUT DATA'!L13</f>
        <v>0</v>
      </c>
      <c r="Q20" s="357"/>
      <c r="R20" s="367"/>
      <c r="S20" s="358"/>
      <c r="T20" s="358"/>
      <c r="U20" s="360"/>
      <c r="W20" s="361"/>
    </row>
    <row r="21" spans="1:23" s="362" customFormat="1" ht="30.75" customHeight="1" x14ac:dyDescent="0.25">
      <c r="A21" s="405" t="str">
        <f>'INPUT DATA'!A14</f>
        <v>804(4)</v>
      </c>
      <c r="B21" s="532" t="str">
        <f>'INPUT DATA'!B14</f>
        <v>GRAVEL BEDDING</v>
      </c>
      <c r="C21" s="533"/>
      <c r="D21" s="394">
        <f>'INPUT DATA'!C14</f>
        <v>3</v>
      </c>
      <c r="E21" s="395" t="str">
        <f>'INPUT DATA'!D14</f>
        <v>CU.M.</v>
      </c>
      <c r="F21" s="394">
        <f>'INPUT DATA'!F14+'INPUT DATA'!G14+'INPUT DATA'!H14</f>
        <v>5502.5</v>
      </c>
      <c r="G21" s="396">
        <f>'INPUT DATA'!$C$62</f>
        <v>0.05</v>
      </c>
      <c r="H21" s="396">
        <f>'INPUT DATA'!$C$63</f>
        <v>0.1</v>
      </c>
      <c r="I21" s="396">
        <f t="shared" si="0"/>
        <v>0.15000000000000002</v>
      </c>
      <c r="J21" s="394">
        <f t="shared" si="1"/>
        <v>825.37500000000011</v>
      </c>
      <c r="K21" s="394">
        <f>'INPUT DATA'!$C$64*(ABC!J21+ABC!F21)</f>
        <v>0</v>
      </c>
      <c r="L21" s="394">
        <f t="shared" si="2"/>
        <v>825.37500000000011</v>
      </c>
      <c r="M21" s="534">
        <f t="shared" si="3"/>
        <v>6327.875</v>
      </c>
      <c r="N21" s="535"/>
      <c r="O21" s="394">
        <f t="shared" si="4"/>
        <v>2109.2916666666665</v>
      </c>
      <c r="P21" s="407">
        <f>M21-'INPUT DATA'!L14</f>
        <v>0</v>
      </c>
      <c r="R21" s="368"/>
      <c r="S21" s="364"/>
      <c r="T21" s="364"/>
      <c r="U21" s="365"/>
      <c r="W21" s="366"/>
    </row>
    <row r="22" spans="1:23" s="362" customFormat="1" ht="51" customHeight="1" x14ac:dyDescent="0.25">
      <c r="A22" s="405" t="str">
        <f>'INPUT DATA'!A15</f>
        <v>902(1)</v>
      </c>
      <c r="B22" s="532" t="str">
        <f>'INPUT DATA'!B15</f>
        <v>REINFORCING STEEL OF REINFORCED CONCRETE STRUCTURES FOR ONE-STOREY, GRADE 40/60</v>
      </c>
      <c r="C22" s="533"/>
      <c r="D22" s="394">
        <f>'INPUT DATA'!C15</f>
        <v>1200</v>
      </c>
      <c r="E22" s="395" t="str">
        <f>'INPUT DATA'!D15</f>
        <v>KGS.</v>
      </c>
      <c r="F22" s="394">
        <f>'INPUT DATA'!F15+'INPUT DATA'!G15+'INPUT DATA'!H15</f>
        <v>107711.97</v>
      </c>
      <c r="G22" s="396">
        <f>'INPUT DATA'!$C$62</f>
        <v>0.05</v>
      </c>
      <c r="H22" s="396">
        <f>'INPUT DATA'!$C$63</f>
        <v>0.1</v>
      </c>
      <c r="I22" s="396">
        <f t="shared" si="0"/>
        <v>0.15000000000000002</v>
      </c>
      <c r="J22" s="394">
        <f t="shared" si="1"/>
        <v>16156.795500000002</v>
      </c>
      <c r="K22" s="394">
        <f>'INPUT DATA'!$C$64*(ABC!J22+ABC!F22)</f>
        <v>0</v>
      </c>
      <c r="L22" s="394">
        <f t="shared" si="2"/>
        <v>16156.795500000002</v>
      </c>
      <c r="M22" s="534">
        <f t="shared" si="3"/>
        <v>123868.76550000001</v>
      </c>
      <c r="N22" s="535"/>
      <c r="O22" s="394">
        <f t="shared" si="4"/>
        <v>103.22397125000001</v>
      </c>
      <c r="P22" s="407">
        <f>M22-'INPUT DATA'!L15</f>
        <v>0</v>
      </c>
      <c r="R22" s="363"/>
      <c r="S22" s="364"/>
      <c r="T22" s="364"/>
      <c r="U22" s="365"/>
      <c r="W22" s="366"/>
    </row>
    <row r="23" spans="1:23" s="362" customFormat="1" ht="45.95" customHeight="1" x14ac:dyDescent="0.25">
      <c r="A23" s="405" t="str">
        <f>'INPUT DATA'!A16</f>
        <v>902(1)</v>
      </c>
      <c r="B23" s="532" t="str">
        <f>'INPUT DATA'!B16</f>
        <v>REINFORCING STEEL OF REINFORCED CONCRETE STRUCTURES FOR TWO UPTO FIVE STOREY</v>
      </c>
      <c r="C23" s="533"/>
      <c r="D23" s="394">
        <f>'INPUT DATA'!C16</f>
        <v>50</v>
      </c>
      <c r="E23" s="395" t="str">
        <f>'INPUT DATA'!D16</f>
        <v>KGS.</v>
      </c>
      <c r="F23" s="394">
        <f>'INPUT DATA'!F16+'INPUT DATA'!G16+'INPUT DATA'!H16</f>
        <v>4513.1000000000004</v>
      </c>
      <c r="G23" s="396">
        <f>'INPUT DATA'!$C$62</f>
        <v>0.05</v>
      </c>
      <c r="H23" s="396">
        <f>'INPUT DATA'!$C$63</f>
        <v>0.1</v>
      </c>
      <c r="I23" s="396">
        <f t="shared" si="0"/>
        <v>0.15000000000000002</v>
      </c>
      <c r="J23" s="394">
        <f t="shared" si="1"/>
        <v>676.96500000000015</v>
      </c>
      <c r="K23" s="394">
        <f>'INPUT DATA'!$C$64*(ABC!J23+ABC!F23)</f>
        <v>0</v>
      </c>
      <c r="L23" s="394">
        <f t="shared" si="2"/>
        <v>676.96500000000015</v>
      </c>
      <c r="M23" s="534">
        <f t="shared" si="3"/>
        <v>5190.0650000000005</v>
      </c>
      <c r="N23" s="535"/>
      <c r="O23" s="394">
        <f t="shared" si="4"/>
        <v>103.80130000000001</v>
      </c>
      <c r="P23" s="407">
        <f>M23-'INPUT DATA'!L16</f>
        <v>0</v>
      </c>
      <c r="R23" s="363"/>
      <c r="S23" s="364"/>
      <c r="T23" s="364"/>
      <c r="U23" s="365"/>
      <c r="W23" s="366"/>
    </row>
    <row r="24" spans="1:23" s="362" customFormat="1" ht="33" customHeight="1" x14ac:dyDescent="0.25">
      <c r="A24" s="405" t="str">
        <f>'INPUT DATA'!A17</f>
        <v>900(1)c2</v>
      </c>
      <c r="B24" s="532" t="str">
        <f>'INPUT DATA'!B17</f>
        <v>STRUCTURAL CONCRETE FOR FOOTING AND SLAB ON FILL (CLASS A, 28 DAYS)</v>
      </c>
      <c r="C24" s="533"/>
      <c r="D24" s="394">
        <f>'INPUT DATA'!C17</f>
        <v>12.4</v>
      </c>
      <c r="E24" s="395" t="str">
        <f>'INPUT DATA'!D17</f>
        <v>CU.M.</v>
      </c>
      <c r="F24" s="394">
        <f>'INPUT DATA'!F17+'INPUT DATA'!G17+'INPUT DATA'!H17</f>
        <v>76244.56</v>
      </c>
      <c r="G24" s="396">
        <f>'INPUT DATA'!$C$62</f>
        <v>0.05</v>
      </c>
      <c r="H24" s="396">
        <f>'INPUT DATA'!$C$63</f>
        <v>0.1</v>
      </c>
      <c r="I24" s="396">
        <f t="shared" si="0"/>
        <v>0.15000000000000002</v>
      </c>
      <c r="J24" s="394">
        <f t="shared" si="1"/>
        <v>11436.684000000001</v>
      </c>
      <c r="K24" s="394">
        <f>'INPUT DATA'!$C$64*(ABC!J24+ABC!F24)</f>
        <v>0</v>
      </c>
      <c r="L24" s="394">
        <f t="shared" si="2"/>
        <v>11436.684000000001</v>
      </c>
      <c r="M24" s="534">
        <f t="shared" si="3"/>
        <v>87681.244000000006</v>
      </c>
      <c r="N24" s="535"/>
      <c r="O24" s="394">
        <f t="shared" si="4"/>
        <v>7071.0680645161292</v>
      </c>
      <c r="P24" s="407">
        <f>M24-'INPUT DATA'!L17</f>
        <v>0</v>
      </c>
      <c r="R24" s="363"/>
      <c r="S24" s="364"/>
      <c r="T24" s="364"/>
      <c r="U24" s="365"/>
      <c r="W24" s="366"/>
    </row>
    <row r="25" spans="1:23" s="362" customFormat="1" ht="15" customHeight="1" x14ac:dyDescent="0.25">
      <c r="A25" s="405" t="str">
        <f>'INPUT DATA'!A18</f>
        <v>900(1)</v>
      </c>
      <c r="B25" s="532" t="str">
        <f>'INPUT DATA'!B18</f>
        <v>STRUCTURAL CONCRETE FOR FOOTING TIE BEAM, COLUMN, SUSPENDED SLAB, GIRDER/BEAM (CLASS A, 28 DAYS)</v>
      </c>
      <c r="C25" s="533"/>
      <c r="D25" s="394">
        <f>'INPUT DATA'!C18</f>
        <v>23.6</v>
      </c>
      <c r="E25" s="395" t="str">
        <f>'INPUT DATA'!D18</f>
        <v>CU.M.</v>
      </c>
      <c r="F25" s="394">
        <f>'INPUT DATA'!F18+'INPUT DATA'!G18+'INPUT DATA'!H18</f>
        <v>150481.03</v>
      </c>
      <c r="G25" s="396">
        <f>'INPUT DATA'!$C$62</f>
        <v>0.05</v>
      </c>
      <c r="H25" s="396">
        <f>'INPUT DATA'!$C$63</f>
        <v>0.1</v>
      </c>
      <c r="I25" s="396">
        <f t="shared" si="0"/>
        <v>0.15000000000000002</v>
      </c>
      <c r="J25" s="394">
        <f t="shared" si="1"/>
        <v>22572.154500000004</v>
      </c>
      <c r="K25" s="394">
        <f>'INPUT DATA'!$C$64*(ABC!J25+ABC!F25)</f>
        <v>0</v>
      </c>
      <c r="L25" s="394">
        <f t="shared" si="2"/>
        <v>22572.154500000004</v>
      </c>
      <c r="M25" s="534">
        <f t="shared" si="3"/>
        <v>173053.1845</v>
      </c>
      <c r="N25" s="535"/>
      <c r="O25" s="394">
        <f t="shared" si="4"/>
        <v>7332.762055084745</v>
      </c>
      <c r="P25" s="407">
        <f>M25-'INPUT DATA'!L18</f>
        <v>0</v>
      </c>
      <c r="R25" s="363"/>
      <c r="S25" s="364"/>
      <c r="T25" s="364"/>
      <c r="U25" s="365"/>
      <c r="W25" s="366"/>
    </row>
    <row r="26" spans="1:23" ht="15" customHeight="1" x14ac:dyDescent="0.25">
      <c r="A26" s="405" t="str">
        <f>'INPUT DATA'!A19</f>
        <v xml:space="preserve">903(2) </v>
      </c>
      <c r="B26" s="532" t="str">
        <f>'INPUT DATA'!B19</f>
        <v>FORMWORKS AND FALSEWORKS (FOR ONE-STOREY BUILDING)</v>
      </c>
      <c r="C26" s="533"/>
      <c r="D26" s="394">
        <f>'INPUT DATA'!C19</f>
        <v>49</v>
      </c>
      <c r="E26" s="395" t="str">
        <f>'INPUT DATA'!D19</f>
        <v>SQ.M.</v>
      </c>
      <c r="F26" s="394">
        <f>'INPUT DATA'!F19+'INPUT DATA'!G19+'INPUT DATA'!H19</f>
        <v>39861.409999999996</v>
      </c>
      <c r="G26" s="396">
        <f>'INPUT DATA'!$C$62</f>
        <v>0.05</v>
      </c>
      <c r="H26" s="396">
        <f>'INPUT DATA'!$C$63</f>
        <v>0.1</v>
      </c>
      <c r="I26" s="396">
        <f t="shared" si="0"/>
        <v>0.15000000000000002</v>
      </c>
      <c r="J26" s="394">
        <f t="shared" si="1"/>
        <v>5979.2115000000003</v>
      </c>
      <c r="K26" s="394">
        <f>'INPUT DATA'!$C$64*(ABC!J26+ABC!F26)</f>
        <v>0</v>
      </c>
      <c r="L26" s="394">
        <f t="shared" si="2"/>
        <v>5979.2115000000003</v>
      </c>
      <c r="M26" s="534">
        <f t="shared" si="3"/>
        <v>45840.621499999994</v>
      </c>
      <c r="N26" s="535"/>
      <c r="O26" s="394">
        <f t="shared" si="4"/>
        <v>935.52288775510192</v>
      </c>
      <c r="P26" s="407">
        <f>M26-'INPUT DATA'!L19</f>
        <v>0</v>
      </c>
      <c r="R26" s="359"/>
      <c r="S26" s="358"/>
      <c r="T26" s="358"/>
      <c r="U26" s="360"/>
      <c r="W26" s="361"/>
    </row>
    <row r="27" spans="1:23" ht="43.5" customHeight="1" x14ac:dyDescent="0.25">
      <c r="A27" s="405">
        <f>'INPUT DATA'!A20</f>
        <v>1046</v>
      </c>
      <c r="B27" s="532" t="str">
        <f>'INPUT DATA'!B20</f>
        <v>100MM CHB NON LOAD BEARING/LOAD BEARING (INCLUDING REINFORCING STEEL)</v>
      </c>
      <c r="C27" s="533"/>
      <c r="D27" s="394">
        <f>'INPUT DATA'!C20</f>
        <v>189</v>
      </c>
      <c r="E27" s="395" t="str">
        <f>'INPUT DATA'!D20</f>
        <v>SQ.M.</v>
      </c>
      <c r="F27" s="394">
        <f>'INPUT DATA'!F20+'INPUT DATA'!G20+'INPUT DATA'!H20</f>
        <v>150751.13</v>
      </c>
      <c r="G27" s="396">
        <f>'INPUT DATA'!$C$62</f>
        <v>0.05</v>
      </c>
      <c r="H27" s="396">
        <f>'INPUT DATA'!$C$63</f>
        <v>0.1</v>
      </c>
      <c r="I27" s="396">
        <f t="shared" si="0"/>
        <v>0.15000000000000002</v>
      </c>
      <c r="J27" s="394">
        <f t="shared" si="1"/>
        <v>22612.669500000004</v>
      </c>
      <c r="K27" s="394">
        <f>'INPUT DATA'!$C$64*(ABC!J27+ABC!F27)</f>
        <v>0</v>
      </c>
      <c r="L27" s="394">
        <f t="shared" si="2"/>
        <v>22612.669500000004</v>
      </c>
      <c r="M27" s="534">
        <f t="shared" si="3"/>
        <v>173363.79950000002</v>
      </c>
      <c r="N27" s="535"/>
      <c r="O27" s="394">
        <f t="shared" si="4"/>
        <v>917.26878042328053</v>
      </c>
      <c r="P27" s="407">
        <f>M27-'INPUT DATA'!L20</f>
        <v>0</v>
      </c>
      <c r="R27" s="359"/>
      <c r="S27" s="358"/>
      <c r="T27" s="358"/>
      <c r="U27" s="360"/>
      <c r="W27" s="361"/>
    </row>
    <row r="28" spans="1:23" ht="31.5" customHeight="1" x14ac:dyDescent="0.25">
      <c r="A28" s="405">
        <f>'INPUT DATA'!A21</f>
        <v>1046</v>
      </c>
      <c r="B28" s="532" t="str">
        <f>'INPUT DATA'!B21</f>
        <v>150mm. CHB NON LOAD BEARING (including Reinforcing Steel)</v>
      </c>
      <c r="C28" s="533"/>
      <c r="D28" s="394">
        <f>'INPUT DATA'!C21</f>
        <v>36</v>
      </c>
      <c r="E28" s="395" t="str">
        <f>'INPUT DATA'!D21</f>
        <v>SQ.M.</v>
      </c>
      <c r="F28" s="394">
        <f>'INPUT DATA'!F21+'INPUT DATA'!G21+'INPUT DATA'!H21</f>
        <v>40588.300000000003</v>
      </c>
      <c r="G28" s="396">
        <f>'INPUT DATA'!$C$62</f>
        <v>0.05</v>
      </c>
      <c r="H28" s="396">
        <f>'INPUT DATA'!$C$63</f>
        <v>0.1</v>
      </c>
      <c r="I28" s="396">
        <f t="shared" si="0"/>
        <v>0.15000000000000002</v>
      </c>
      <c r="J28" s="394">
        <f t="shared" si="1"/>
        <v>6088.2450000000017</v>
      </c>
      <c r="K28" s="394">
        <f>'INPUT DATA'!$C$64*(ABC!J28+ABC!F28)</f>
        <v>0</v>
      </c>
      <c r="L28" s="394">
        <f t="shared" si="2"/>
        <v>6088.2450000000017</v>
      </c>
      <c r="M28" s="534">
        <f t="shared" si="3"/>
        <v>46676.545000000006</v>
      </c>
      <c r="N28" s="535"/>
      <c r="O28" s="394">
        <f t="shared" si="4"/>
        <v>1296.5706944444446</v>
      </c>
      <c r="P28" s="407">
        <f>M28-'INPUT DATA'!L21</f>
        <v>0</v>
      </c>
      <c r="R28" s="359"/>
      <c r="S28" s="358"/>
      <c r="T28" s="358"/>
      <c r="U28" s="360"/>
      <c r="W28" s="361"/>
    </row>
    <row r="29" spans="1:23" s="362" customFormat="1" ht="31.5" customHeight="1" x14ac:dyDescent="0.25">
      <c r="A29" s="405" t="str">
        <f>'INPUT DATA'!A22</f>
        <v>1027(1)</v>
      </c>
      <c r="B29" s="532" t="str">
        <f>'INPUT DATA'!B22</f>
        <v>CEMENT PLASTER FINISH WITH 19MM THICK &amp; 1:3 MORTAR MIXTURE</v>
      </c>
      <c r="C29" s="533"/>
      <c r="D29" s="394">
        <f>'INPUT DATA'!C22</f>
        <v>420</v>
      </c>
      <c r="E29" s="395" t="str">
        <f>'INPUT DATA'!D22</f>
        <v>SQ.M.</v>
      </c>
      <c r="F29" s="394">
        <f>'INPUT DATA'!F22+'INPUT DATA'!G22+'INPUT DATA'!H22</f>
        <v>86319.95</v>
      </c>
      <c r="G29" s="396">
        <f>'INPUT DATA'!$C$62</f>
        <v>0.05</v>
      </c>
      <c r="H29" s="396">
        <f>'INPUT DATA'!$C$63</f>
        <v>0.1</v>
      </c>
      <c r="I29" s="396">
        <f t="shared" si="0"/>
        <v>0.15000000000000002</v>
      </c>
      <c r="J29" s="394">
        <f t="shared" si="1"/>
        <v>12947.992500000002</v>
      </c>
      <c r="K29" s="394">
        <f>'INPUT DATA'!$C$64*(ABC!J29+ABC!F29)</f>
        <v>0</v>
      </c>
      <c r="L29" s="394">
        <f t="shared" si="2"/>
        <v>12947.992500000002</v>
      </c>
      <c r="M29" s="534">
        <f t="shared" si="3"/>
        <v>99267.942500000005</v>
      </c>
      <c r="N29" s="535"/>
      <c r="O29" s="394">
        <f t="shared" si="4"/>
        <v>236.35224404761905</v>
      </c>
      <c r="P29" s="407">
        <f>M29-'INPUT DATA'!L22</f>
        <v>0</v>
      </c>
      <c r="R29" s="363"/>
      <c r="S29" s="364"/>
      <c r="T29" s="364"/>
      <c r="U29" s="365"/>
      <c r="W29" s="366"/>
    </row>
    <row r="30" spans="1:23" s="362" customFormat="1" ht="15" customHeight="1" x14ac:dyDescent="0.25">
      <c r="A30" s="405" t="str">
        <f>'INPUT DATA'!A23</f>
        <v>1047(2)b</v>
      </c>
      <c r="B30" s="532" t="str">
        <f>'INPUT DATA'!B23</f>
        <v>STRUCTURAL STEEL ROOF TRUSS</v>
      </c>
      <c r="C30" s="533"/>
      <c r="D30" s="394">
        <f>'INPUT DATA'!C23</f>
        <v>0</v>
      </c>
      <c r="E30" s="395" t="str">
        <f>'INPUT DATA'!D23</f>
        <v>KGS.</v>
      </c>
      <c r="F30" s="394">
        <f>'INPUT DATA'!F23+'INPUT DATA'!G23+'INPUT DATA'!H23</f>
        <v>0</v>
      </c>
      <c r="G30" s="396">
        <f>'INPUT DATA'!$C$62</f>
        <v>0.05</v>
      </c>
      <c r="H30" s="396">
        <f>'INPUT DATA'!$C$63</f>
        <v>0.1</v>
      </c>
      <c r="I30" s="396">
        <f t="shared" si="0"/>
        <v>0.15000000000000002</v>
      </c>
      <c r="J30" s="394">
        <f t="shared" si="1"/>
        <v>0</v>
      </c>
      <c r="K30" s="394">
        <f>'INPUT DATA'!$C$64*(ABC!J30+ABC!F30)</f>
        <v>0</v>
      </c>
      <c r="L30" s="394">
        <f t="shared" si="2"/>
        <v>0</v>
      </c>
      <c r="M30" s="534">
        <f t="shared" si="3"/>
        <v>0</v>
      </c>
      <c r="N30" s="535"/>
      <c r="O30" s="394" t="e">
        <f t="shared" si="4"/>
        <v>#DIV/0!</v>
      </c>
      <c r="P30" s="407">
        <f>M30-'INPUT DATA'!L23</f>
        <v>0</v>
      </c>
      <c r="R30" s="363"/>
      <c r="S30" s="364"/>
      <c r="T30" s="364"/>
      <c r="U30" s="365"/>
      <c r="W30" s="366"/>
    </row>
    <row r="31" spans="1:23" s="362" customFormat="1" ht="15" customHeight="1" x14ac:dyDescent="0.25">
      <c r="A31" s="405" t="str">
        <f>'INPUT DATA'!A24</f>
        <v>1047(2)c</v>
      </c>
      <c r="B31" s="532" t="str">
        <f>'INPUT DATA'!B24</f>
        <v>STRUCTURAL STEEL PURLINS</v>
      </c>
      <c r="C31" s="533"/>
      <c r="D31" s="394">
        <f>'INPUT DATA'!C24</f>
        <v>200</v>
      </c>
      <c r="E31" s="395" t="str">
        <f>'INPUT DATA'!D24</f>
        <v>KGS.</v>
      </c>
      <c r="F31" s="394">
        <f>'INPUT DATA'!F24+'INPUT DATA'!G24+'INPUT DATA'!H24</f>
        <v>17997.54</v>
      </c>
      <c r="G31" s="396">
        <f>'INPUT DATA'!$C$62</f>
        <v>0.05</v>
      </c>
      <c r="H31" s="396">
        <f>'INPUT DATA'!$C$63</f>
        <v>0.1</v>
      </c>
      <c r="I31" s="396">
        <f t="shared" si="0"/>
        <v>0.15000000000000002</v>
      </c>
      <c r="J31" s="394">
        <f t="shared" si="1"/>
        <v>2699.6310000000003</v>
      </c>
      <c r="K31" s="394">
        <f>'INPUT DATA'!$C$64*(ABC!J31+ABC!F31)</f>
        <v>0</v>
      </c>
      <c r="L31" s="394">
        <f t="shared" si="2"/>
        <v>2699.6310000000003</v>
      </c>
      <c r="M31" s="534">
        <f t="shared" si="3"/>
        <v>20697.171000000002</v>
      </c>
      <c r="N31" s="535"/>
      <c r="O31" s="394">
        <f t="shared" si="4"/>
        <v>103.48585500000002</v>
      </c>
      <c r="P31" s="407">
        <f>M31-'INPUT DATA'!L24</f>
        <v>0</v>
      </c>
      <c r="R31" s="363"/>
      <c r="S31" s="364"/>
      <c r="T31" s="364"/>
      <c r="U31" s="365"/>
      <c r="W31" s="366"/>
    </row>
    <row r="32" spans="1:23" s="362" customFormat="1" ht="21" customHeight="1" x14ac:dyDescent="0.25">
      <c r="A32" s="405" t="str">
        <f>'INPUT DATA'!A25</f>
        <v xml:space="preserve">1013(1) </v>
      </c>
      <c r="B32" s="532" t="str">
        <f>'INPUT DATA'!B25</f>
        <v>CORRUGATED METAL ROOFING</v>
      </c>
      <c r="C32" s="533"/>
      <c r="D32" s="394">
        <f>'INPUT DATA'!C25</f>
        <v>0</v>
      </c>
      <c r="E32" s="395" t="str">
        <f>'INPUT DATA'!D25</f>
        <v>SQ.M.</v>
      </c>
      <c r="F32" s="394">
        <f>'INPUT DATA'!F25+'INPUT DATA'!G25+'INPUT DATA'!H25</f>
        <v>0</v>
      </c>
      <c r="G32" s="396">
        <f>'INPUT DATA'!$C$62</f>
        <v>0.05</v>
      </c>
      <c r="H32" s="396">
        <f>'INPUT DATA'!$C$63</f>
        <v>0.1</v>
      </c>
      <c r="I32" s="396">
        <f t="shared" si="0"/>
        <v>0.15000000000000002</v>
      </c>
      <c r="J32" s="394">
        <f t="shared" si="1"/>
        <v>0</v>
      </c>
      <c r="K32" s="394">
        <f>'INPUT DATA'!$C$64*(ABC!J32+ABC!F32)</f>
        <v>0</v>
      </c>
      <c r="L32" s="394">
        <f t="shared" si="2"/>
        <v>0</v>
      </c>
      <c r="M32" s="534">
        <f t="shared" si="3"/>
        <v>0</v>
      </c>
      <c r="N32" s="535"/>
      <c r="O32" s="394" t="e">
        <f t="shared" si="4"/>
        <v>#DIV/0!</v>
      </c>
      <c r="P32" s="407">
        <f>M32-'INPUT DATA'!L25</f>
        <v>0</v>
      </c>
      <c r="R32" s="363"/>
      <c r="S32" s="364"/>
      <c r="T32" s="364"/>
      <c r="U32" s="365"/>
      <c r="W32" s="366"/>
    </row>
    <row r="33" spans="1:23" s="362" customFormat="1" ht="48.95" customHeight="1" x14ac:dyDescent="0.25">
      <c r="A33" s="405" t="str">
        <f>'INPUT DATA'!A26</f>
        <v xml:space="preserve">1013(2) </v>
      </c>
      <c r="B33" s="532" t="str">
        <f>'INPUT DATA'!B26</f>
        <v>FABRICATED METAL ROOFING ACCESSORY (RIDGE/HIP ROLLS/FLASHING/COUNTER FLASHING/ VALLEY ROLL)</v>
      </c>
      <c r="C33" s="533"/>
      <c r="D33" s="394">
        <f>'INPUT DATA'!C26</f>
        <v>38</v>
      </c>
      <c r="E33" s="395" t="str">
        <f>'INPUT DATA'!D26</f>
        <v>M.</v>
      </c>
      <c r="F33" s="394">
        <f>'INPUT DATA'!F26+'INPUT DATA'!G26+'INPUT DATA'!H26</f>
        <v>9107.7099999999991</v>
      </c>
      <c r="G33" s="396">
        <f>'INPUT DATA'!$C$62</f>
        <v>0.05</v>
      </c>
      <c r="H33" s="396">
        <f>'INPUT DATA'!$C$63</f>
        <v>0.1</v>
      </c>
      <c r="I33" s="396">
        <f t="shared" si="0"/>
        <v>0.15000000000000002</v>
      </c>
      <c r="J33" s="394">
        <f t="shared" si="1"/>
        <v>1366.1565000000001</v>
      </c>
      <c r="K33" s="394">
        <f>'INPUT DATA'!$C$64*(ABC!J33+ABC!F33)</f>
        <v>0</v>
      </c>
      <c r="L33" s="394">
        <f t="shared" si="2"/>
        <v>1366.1565000000001</v>
      </c>
      <c r="M33" s="534">
        <f t="shared" si="3"/>
        <v>10473.8665</v>
      </c>
      <c r="N33" s="535"/>
      <c r="O33" s="394">
        <f t="shared" si="4"/>
        <v>275.62806578947368</v>
      </c>
      <c r="P33" s="407">
        <f>M33-'INPUT DATA'!L26</f>
        <v>0</v>
      </c>
      <c r="R33" s="363"/>
      <c r="S33" s="364"/>
      <c r="T33" s="364"/>
      <c r="U33" s="365"/>
      <c r="W33" s="366"/>
    </row>
    <row r="34" spans="1:23" ht="29.1" customHeight="1" x14ac:dyDescent="0.25">
      <c r="A34" s="405" t="str">
        <f>'INPUT DATA'!A27</f>
        <v xml:space="preserve">1013(2) </v>
      </c>
      <c r="B34" s="532" t="str">
        <f>'INPUT DATA'!B27</f>
        <v>FABRICATED METAL ROOFING ACCESSORY (GUTTER)</v>
      </c>
      <c r="C34" s="533"/>
      <c r="D34" s="394">
        <f>'INPUT DATA'!C27</f>
        <v>13</v>
      </c>
      <c r="E34" s="395" t="str">
        <f>'INPUT DATA'!D27</f>
        <v>M.</v>
      </c>
      <c r="F34" s="394">
        <f>'INPUT DATA'!F27+'INPUT DATA'!G27+'INPUT DATA'!H27</f>
        <v>3214.01</v>
      </c>
      <c r="G34" s="396">
        <f>'INPUT DATA'!$C$62</f>
        <v>0.05</v>
      </c>
      <c r="H34" s="396">
        <f>'INPUT DATA'!$C$63</f>
        <v>0.1</v>
      </c>
      <c r="I34" s="396">
        <f t="shared" si="0"/>
        <v>0.15000000000000002</v>
      </c>
      <c r="J34" s="394">
        <f t="shared" si="1"/>
        <v>482.1015000000001</v>
      </c>
      <c r="K34" s="394">
        <f>'INPUT DATA'!$C$64*(ABC!J34+ABC!F34)</f>
        <v>0</v>
      </c>
      <c r="L34" s="394">
        <f t="shared" si="2"/>
        <v>482.1015000000001</v>
      </c>
      <c r="M34" s="534">
        <f t="shared" si="3"/>
        <v>3696.1115000000004</v>
      </c>
      <c r="N34" s="535"/>
      <c r="O34" s="394">
        <f t="shared" si="4"/>
        <v>284.31626923076925</v>
      </c>
      <c r="P34" s="407">
        <f>M34-'INPUT DATA'!L27</f>
        <v>0</v>
      </c>
      <c r="R34" s="359"/>
      <c r="S34" s="358"/>
      <c r="T34" s="358"/>
      <c r="U34" s="360"/>
      <c r="W34" s="361"/>
    </row>
    <row r="35" spans="1:23" s="362" customFormat="1" ht="30.95" customHeight="1" x14ac:dyDescent="0.25">
      <c r="A35" s="405">
        <f>'INPUT DATA'!A28</f>
        <v>1014</v>
      </c>
      <c r="B35" s="532" t="str">
        <f>'INPUT DATA'!B28</f>
        <v>PREPAINTED METAL SHEETS (CORRUGATE, SHORT SPAN/LONG SPAN)</v>
      </c>
      <c r="C35" s="533"/>
      <c r="D35" s="394">
        <f>'INPUT DATA'!C28</f>
        <v>0</v>
      </c>
      <c r="E35" s="395" t="str">
        <f>'INPUT DATA'!D28</f>
        <v>SQ.M.</v>
      </c>
      <c r="F35" s="394">
        <f>'INPUT DATA'!F28+'INPUT DATA'!G28+'INPUT DATA'!H28</f>
        <v>0</v>
      </c>
      <c r="G35" s="396">
        <f>'INPUT DATA'!$C$62</f>
        <v>0.05</v>
      </c>
      <c r="H35" s="396">
        <f>'INPUT DATA'!$C$63</f>
        <v>0.1</v>
      </c>
      <c r="I35" s="396">
        <f t="shared" si="0"/>
        <v>0.15000000000000002</v>
      </c>
      <c r="J35" s="394">
        <f t="shared" si="1"/>
        <v>0</v>
      </c>
      <c r="K35" s="394">
        <f>'INPUT DATA'!$C$64*(ABC!J35+ABC!F35)</f>
        <v>0</v>
      </c>
      <c r="L35" s="394">
        <f t="shared" si="2"/>
        <v>0</v>
      </c>
      <c r="M35" s="534">
        <f t="shared" si="3"/>
        <v>0</v>
      </c>
      <c r="N35" s="535"/>
      <c r="O35" s="394" t="e">
        <f t="shared" si="4"/>
        <v>#DIV/0!</v>
      </c>
      <c r="P35" s="407">
        <f>M35-'INPUT DATA'!L28</f>
        <v>0</v>
      </c>
      <c r="R35" s="363"/>
      <c r="S35" s="364"/>
      <c r="T35" s="364"/>
      <c r="U35" s="365"/>
      <c r="W35" s="366"/>
    </row>
    <row r="36" spans="1:23" s="362" customFormat="1" ht="27.75" customHeight="1" x14ac:dyDescent="0.25">
      <c r="A36" s="405">
        <f>'INPUT DATA'!A29</f>
        <v>1014</v>
      </c>
      <c r="B36" s="532" t="str">
        <f>'INPUT DATA'!B29</f>
        <v>PREPAINTED METAL SHEETS (RIB TYPE 0.4-0.5MM THICK)</v>
      </c>
      <c r="C36" s="533"/>
      <c r="D36" s="394">
        <f>'INPUT DATA'!C29</f>
        <v>140</v>
      </c>
      <c r="E36" s="395" t="str">
        <f>'INPUT DATA'!D29</f>
        <v>SQ.M.</v>
      </c>
      <c r="F36" s="394">
        <f>'INPUT DATA'!F29+'INPUT DATA'!G29+'INPUT DATA'!H29</f>
        <v>68648.33</v>
      </c>
      <c r="G36" s="396">
        <f>'INPUT DATA'!$C$62</f>
        <v>0.05</v>
      </c>
      <c r="H36" s="396">
        <f>'INPUT DATA'!$C$63</f>
        <v>0.1</v>
      </c>
      <c r="I36" s="396">
        <f t="shared" si="0"/>
        <v>0.15000000000000002</v>
      </c>
      <c r="J36" s="394">
        <f t="shared" si="1"/>
        <v>10297.249500000002</v>
      </c>
      <c r="K36" s="394">
        <f>'INPUT DATA'!$C$64*(ABC!J36+ABC!F36)</f>
        <v>0</v>
      </c>
      <c r="L36" s="394">
        <f t="shared" si="2"/>
        <v>10297.249500000002</v>
      </c>
      <c r="M36" s="534">
        <f t="shared" si="3"/>
        <v>78945.579500000007</v>
      </c>
      <c r="N36" s="535"/>
      <c r="O36" s="394">
        <f t="shared" si="4"/>
        <v>563.89699642857147</v>
      </c>
      <c r="P36" s="407">
        <f>M36-'INPUT DATA'!L29</f>
        <v>0</v>
      </c>
      <c r="R36" s="363"/>
      <c r="S36" s="364"/>
      <c r="T36" s="364"/>
      <c r="U36" s="365"/>
      <c r="W36" s="366"/>
    </row>
    <row r="37" spans="1:23" s="362" customFormat="1" ht="27.75" customHeight="1" x14ac:dyDescent="0.25">
      <c r="A37" s="405" t="str">
        <f>'INPUT DATA'!A30</f>
        <v>1016(1)a</v>
      </c>
      <c r="B37" s="532" t="str">
        <f>'INPUT DATA'!B30</f>
        <v>WATERPROOFING CEMENT BASE</v>
      </c>
      <c r="C37" s="533"/>
      <c r="D37" s="394">
        <f>'INPUT DATA'!C30</f>
        <v>66</v>
      </c>
      <c r="E37" s="395" t="str">
        <f>'INPUT DATA'!D30</f>
        <v>SQ.M.</v>
      </c>
      <c r="F37" s="394">
        <f>'INPUT DATA'!F30+'INPUT DATA'!G30+'INPUT DATA'!H30</f>
        <v>12211.47</v>
      </c>
      <c r="G37" s="396">
        <f>'INPUT DATA'!$C$62</f>
        <v>0.05</v>
      </c>
      <c r="H37" s="396">
        <f>'INPUT DATA'!$C$63</f>
        <v>0.1</v>
      </c>
      <c r="I37" s="396">
        <f t="shared" si="0"/>
        <v>0.15000000000000002</v>
      </c>
      <c r="J37" s="394">
        <f t="shared" si="1"/>
        <v>1831.7205000000001</v>
      </c>
      <c r="K37" s="394">
        <f>'INPUT DATA'!$C$64*(ABC!J37+ABC!F37)</f>
        <v>0</v>
      </c>
      <c r="L37" s="394">
        <f t="shared" si="2"/>
        <v>1831.7205000000001</v>
      </c>
      <c r="M37" s="534">
        <f t="shared" si="3"/>
        <v>14043.190499999999</v>
      </c>
      <c r="N37" s="535"/>
      <c r="O37" s="394">
        <f t="shared" si="4"/>
        <v>212.77561363636363</v>
      </c>
      <c r="P37" s="407">
        <f>M37-'INPUT DATA'!L30</f>
        <v>0</v>
      </c>
      <c r="R37" s="363"/>
      <c r="S37" s="364"/>
      <c r="T37" s="364"/>
      <c r="U37" s="365"/>
      <c r="W37" s="366"/>
    </row>
    <row r="38" spans="1:23" ht="30.75" customHeight="1" x14ac:dyDescent="0.25">
      <c r="A38" s="405">
        <f>'INPUT DATA'!A31</f>
        <v>1018</v>
      </c>
      <c r="B38" s="532" t="str">
        <f>'INPUT DATA'!B31</f>
        <v>UNGLAZED TILES/ GRANITE TILES/ SYNTHETIC GRANITE TILES</v>
      </c>
      <c r="C38" s="533"/>
      <c r="D38" s="394">
        <f>'INPUT DATA'!C31</f>
        <v>80</v>
      </c>
      <c r="E38" s="395" t="str">
        <f>'INPUT DATA'!D31</f>
        <v>SQ.M.</v>
      </c>
      <c r="F38" s="394">
        <f>'INPUT DATA'!F31+'INPUT DATA'!G31+'INPUT DATA'!H31</f>
        <v>103219.94899999999</v>
      </c>
      <c r="G38" s="396">
        <f>'INPUT DATA'!$C$62</f>
        <v>0.05</v>
      </c>
      <c r="H38" s="396">
        <f>'INPUT DATA'!$C$63</f>
        <v>0.1</v>
      </c>
      <c r="I38" s="396">
        <f t="shared" si="0"/>
        <v>0.15000000000000002</v>
      </c>
      <c r="J38" s="394">
        <f t="shared" si="1"/>
        <v>15482.99235</v>
      </c>
      <c r="K38" s="394">
        <f>'INPUT DATA'!$C$64*(ABC!J38+ABC!F38)</f>
        <v>0</v>
      </c>
      <c r="L38" s="394">
        <f t="shared" si="2"/>
        <v>15482.99235</v>
      </c>
      <c r="M38" s="534">
        <f t="shared" si="3"/>
        <v>118702.94134999999</v>
      </c>
      <c r="N38" s="535"/>
      <c r="O38" s="394">
        <f t="shared" si="4"/>
        <v>1483.786766875</v>
      </c>
      <c r="P38" s="407">
        <f>M38-'INPUT DATA'!L31</f>
        <v>0</v>
      </c>
      <c r="R38" s="359"/>
      <c r="S38" s="358"/>
      <c r="T38" s="358"/>
      <c r="U38" s="360"/>
      <c r="W38" s="361"/>
    </row>
    <row r="39" spans="1:23" ht="45.95" customHeight="1" x14ac:dyDescent="0.25">
      <c r="A39" s="405" t="str">
        <f>'INPUT DATA'!A32</f>
        <v>1003(1)</v>
      </c>
      <c r="B39" s="532" t="str">
        <f>'INPUT DATA'!B32</f>
        <v>FIBER CEMENT BOARD/MARINE PLYWOOD/ORDINARY PLYWOOD ON METAL FRAME CEILING</v>
      </c>
      <c r="C39" s="533"/>
      <c r="D39" s="394">
        <f>'INPUT DATA'!C32</f>
        <v>130</v>
      </c>
      <c r="E39" s="395" t="str">
        <f>'INPUT DATA'!D32</f>
        <v>SQ.M.</v>
      </c>
      <c r="F39" s="394">
        <f>'INPUT DATA'!F32+'INPUT DATA'!G32+'INPUT DATA'!H32</f>
        <v>157424.736</v>
      </c>
      <c r="G39" s="396">
        <f>'INPUT DATA'!$C$62</f>
        <v>0.05</v>
      </c>
      <c r="H39" s="396">
        <f>'INPUT DATA'!$C$63</f>
        <v>0.1</v>
      </c>
      <c r="I39" s="396">
        <f t="shared" si="0"/>
        <v>0.15000000000000002</v>
      </c>
      <c r="J39" s="394">
        <f t="shared" si="1"/>
        <v>23613.710400000004</v>
      </c>
      <c r="K39" s="394">
        <f>'INPUT DATA'!$C$64*(ABC!J39+ABC!F39)</f>
        <v>0</v>
      </c>
      <c r="L39" s="394">
        <f t="shared" si="2"/>
        <v>23613.710400000004</v>
      </c>
      <c r="M39" s="534">
        <f t="shared" si="3"/>
        <v>181038.44640000002</v>
      </c>
      <c r="N39" s="535"/>
      <c r="O39" s="394">
        <f t="shared" si="4"/>
        <v>1392.6034338461541</v>
      </c>
      <c r="P39" s="407">
        <f>M39-'INPUT DATA'!L32</f>
        <v>0</v>
      </c>
      <c r="R39" s="359"/>
      <c r="S39" s="358"/>
      <c r="T39" s="358"/>
      <c r="U39" s="360"/>
      <c r="W39" s="361"/>
    </row>
    <row r="40" spans="1:23" ht="27.95" customHeight="1" x14ac:dyDescent="0.25">
      <c r="A40" s="405" t="str">
        <f>'INPUT DATA'!A33</f>
        <v>1010(2)a</v>
      </c>
      <c r="B40" s="532" t="str">
        <f>'INPUT DATA'!B33</f>
        <v>HOLLOW CORE FLUSH DOOR</v>
      </c>
      <c r="C40" s="533"/>
      <c r="D40" s="394">
        <f>'INPUT DATA'!C33</f>
        <v>5.04</v>
      </c>
      <c r="E40" s="395" t="str">
        <f>'INPUT DATA'!D33</f>
        <v>SQ.M.</v>
      </c>
      <c r="F40" s="394">
        <f>'INPUT DATA'!F33+'INPUT DATA'!G33+'INPUT DATA'!H33</f>
        <v>15448.130000000001</v>
      </c>
      <c r="G40" s="396">
        <f>'INPUT DATA'!$C$62</f>
        <v>0.05</v>
      </c>
      <c r="H40" s="396">
        <f>'INPUT DATA'!$C$63</f>
        <v>0.1</v>
      </c>
      <c r="I40" s="396">
        <f t="shared" ref="I40" si="5">H40+G40</f>
        <v>0.15000000000000002</v>
      </c>
      <c r="J40" s="394">
        <f t="shared" ref="J40" si="6">I40*F40</f>
        <v>2317.2195000000006</v>
      </c>
      <c r="K40" s="394">
        <f>'INPUT DATA'!$C$64*(ABC!J40+ABC!F40)</f>
        <v>0</v>
      </c>
      <c r="L40" s="394">
        <f t="shared" ref="L40" si="7">J40+K40</f>
        <v>2317.2195000000006</v>
      </c>
      <c r="M40" s="534">
        <f t="shared" ref="M40" si="8">L40+F40</f>
        <v>17765.3495</v>
      </c>
      <c r="N40" s="535"/>
      <c r="O40" s="394">
        <f t="shared" ref="O40" si="9">M40/D40</f>
        <v>3524.8709325396826</v>
      </c>
      <c r="P40" s="407">
        <f>M40-'INPUT DATA'!L33</f>
        <v>0</v>
      </c>
      <c r="R40" s="359"/>
      <c r="S40" s="358"/>
      <c r="T40" s="358"/>
      <c r="U40" s="360"/>
      <c r="W40" s="361"/>
    </row>
    <row r="41" spans="1:23" ht="33.950000000000003" customHeight="1" x14ac:dyDescent="0.25">
      <c r="A41" s="405" t="str">
        <f>'INPUT DATA'!A34</f>
        <v>1010(2)</v>
      </c>
      <c r="B41" s="532" t="str">
        <f>'INPUT DATA'!B34</f>
        <v>WOODEN PANEL DOOR WITH HEAVY DUTY DOOR KNOB</v>
      </c>
      <c r="C41" s="533"/>
      <c r="D41" s="394">
        <f>'INPUT DATA'!C34</f>
        <v>2.1</v>
      </c>
      <c r="E41" s="395" t="str">
        <f>'INPUT DATA'!D34</f>
        <v>SQ.M.</v>
      </c>
      <c r="F41" s="394">
        <f>'INPUT DATA'!F34+'INPUT DATA'!G34+'INPUT DATA'!H34</f>
        <v>8364.59</v>
      </c>
      <c r="G41" s="396">
        <f>'INPUT DATA'!$C$62</f>
        <v>0.05</v>
      </c>
      <c r="H41" s="396">
        <f>'INPUT DATA'!$C$63</f>
        <v>0.1</v>
      </c>
      <c r="I41" s="396">
        <f t="shared" si="0"/>
        <v>0.15000000000000002</v>
      </c>
      <c r="J41" s="394">
        <f t="shared" si="1"/>
        <v>1254.6885000000002</v>
      </c>
      <c r="K41" s="394">
        <f>'INPUT DATA'!$C$64*(ABC!J41+ABC!F41)</f>
        <v>0</v>
      </c>
      <c r="L41" s="394">
        <f t="shared" si="2"/>
        <v>1254.6885000000002</v>
      </c>
      <c r="M41" s="534">
        <f t="shared" si="3"/>
        <v>9619.2785000000003</v>
      </c>
      <c r="N41" s="535"/>
      <c r="O41" s="394">
        <f t="shared" si="4"/>
        <v>4580.6088095238092</v>
      </c>
      <c r="P41" s="407">
        <f>M41-'INPUT DATA'!L34</f>
        <v>0</v>
      </c>
      <c r="R41" s="359"/>
      <c r="S41" s="358"/>
      <c r="T41" s="358"/>
      <c r="U41" s="360"/>
      <c r="W41" s="361"/>
    </row>
    <row r="42" spans="1:23" ht="33" customHeight="1" x14ac:dyDescent="0.25">
      <c r="A42" s="405" t="str">
        <f>'INPUT DATA'!A35</f>
        <v>1043(1)</v>
      </c>
      <c r="B42" s="532" t="str">
        <f>'INPUT DATA'!B35</f>
        <v>PVC DOORS AND FRAMES W/ HEAVY DUTY DOOR KNOB</v>
      </c>
      <c r="C42" s="533"/>
      <c r="D42" s="394">
        <f>'INPUT DATA'!C35</f>
        <v>1.26</v>
      </c>
      <c r="E42" s="395" t="str">
        <f>'INPUT DATA'!D35</f>
        <v>SQ.M.</v>
      </c>
      <c r="F42" s="394">
        <f>'INPUT DATA'!F35+'INPUT DATA'!G35+'INPUT DATA'!H35</f>
        <v>3615</v>
      </c>
      <c r="G42" s="396">
        <f>'INPUT DATA'!$C$62</f>
        <v>0.05</v>
      </c>
      <c r="H42" s="396">
        <f>'INPUT DATA'!$C$63</f>
        <v>0.1</v>
      </c>
      <c r="I42" s="396">
        <f t="shared" si="0"/>
        <v>0.15000000000000002</v>
      </c>
      <c r="J42" s="394">
        <f t="shared" si="1"/>
        <v>542.25000000000011</v>
      </c>
      <c r="K42" s="394">
        <f>'INPUT DATA'!$C$64*(ABC!J42+ABC!F42)</f>
        <v>0</v>
      </c>
      <c r="L42" s="394">
        <f t="shared" si="2"/>
        <v>542.25000000000011</v>
      </c>
      <c r="M42" s="534">
        <f t="shared" si="3"/>
        <v>4157.25</v>
      </c>
      <c r="N42" s="535"/>
      <c r="O42" s="394">
        <f t="shared" si="4"/>
        <v>3299.4047619047619</v>
      </c>
      <c r="P42" s="407">
        <f>M42-'INPUT DATA'!L35</f>
        <v>0</v>
      </c>
      <c r="R42" s="359"/>
      <c r="S42" s="358"/>
      <c r="T42" s="358"/>
      <c r="U42" s="360"/>
      <c r="W42" s="361"/>
    </row>
    <row r="43" spans="1:23" ht="24" customHeight="1" x14ac:dyDescent="0.25">
      <c r="A43" s="405" t="str">
        <f>'INPUT DATA'!A36</f>
        <v>1032(1)a</v>
      </c>
      <c r="B43" s="532" t="str">
        <f>'INPUT DATA'!B36</f>
        <v>PAINTING WORKS (MASONRY PAINTING)</v>
      </c>
      <c r="C43" s="533"/>
      <c r="D43" s="394">
        <f>'INPUT DATA'!C36</f>
        <v>540</v>
      </c>
      <c r="E43" s="395" t="str">
        <f>'INPUT DATA'!D36</f>
        <v>SQ.M.</v>
      </c>
      <c r="F43" s="394">
        <f>'INPUT DATA'!F36+'INPUT DATA'!G36+'INPUT DATA'!H36</f>
        <v>155302.96000000002</v>
      </c>
      <c r="G43" s="396">
        <f>'INPUT DATA'!$C$62</f>
        <v>0.05</v>
      </c>
      <c r="H43" s="396">
        <f>'INPUT DATA'!$C$63</f>
        <v>0.1</v>
      </c>
      <c r="I43" s="396">
        <f t="shared" si="0"/>
        <v>0.15000000000000002</v>
      </c>
      <c r="J43" s="394">
        <f t="shared" si="1"/>
        <v>23295.444000000007</v>
      </c>
      <c r="K43" s="394">
        <f>'INPUT DATA'!$C$64*(ABC!J43+ABC!F43)</f>
        <v>0</v>
      </c>
      <c r="L43" s="394">
        <f t="shared" si="2"/>
        <v>23295.444000000007</v>
      </c>
      <c r="M43" s="534">
        <f t="shared" si="3"/>
        <v>178598.40400000004</v>
      </c>
      <c r="N43" s="535"/>
      <c r="O43" s="394">
        <f t="shared" si="4"/>
        <v>330.73778518518526</v>
      </c>
      <c r="P43" s="407">
        <f>M43-'INPUT DATA'!L36</f>
        <v>0</v>
      </c>
      <c r="R43" s="359"/>
      <c r="S43" s="358"/>
      <c r="T43" s="358"/>
      <c r="U43" s="360"/>
      <c r="W43" s="361"/>
    </row>
    <row r="44" spans="1:23" ht="23.1" customHeight="1" x14ac:dyDescent="0.25">
      <c r="A44" s="405" t="str">
        <f>'INPUT DATA'!A37</f>
        <v>1032(1)c</v>
      </c>
      <c r="B44" s="532" t="str">
        <f>'INPUT DATA'!B37</f>
        <v>PAINTING WORKS (METAL PAINTING)</v>
      </c>
      <c r="C44" s="533"/>
      <c r="D44" s="394">
        <f>'INPUT DATA'!C37</f>
        <v>45</v>
      </c>
      <c r="E44" s="395" t="str">
        <f>'INPUT DATA'!D37</f>
        <v>SQ.M.</v>
      </c>
      <c r="F44" s="394">
        <f>'INPUT DATA'!F37+'INPUT DATA'!G37+'INPUT DATA'!H37</f>
        <v>29161.13</v>
      </c>
      <c r="G44" s="396">
        <f>'INPUT DATA'!$C$62</f>
        <v>0.05</v>
      </c>
      <c r="H44" s="396">
        <f>'INPUT DATA'!$C$63</f>
        <v>0.1</v>
      </c>
      <c r="I44" s="396">
        <f t="shared" si="0"/>
        <v>0.15000000000000002</v>
      </c>
      <c r="J44" s="394">
        <f t="shared" si="1"/>
        <v>4374.1695000000009</v>
      </c>
      <c r="K44" s="394">
        <f>'INPUT DATA'!$C$64*(ABC!J44+ABC!F44)</f>
        <v>0</v>
      </c>
      <c r="L44" s="394">
        <f t="shared" si="2"/>
        <v>4374.1695000000009</v>
      </c>
      <c r="M44" s="534">
        <f t="shared" si="3"/>
        <v>33535.299500000001</v>
      </c>
      <c r="N44" s="535"/>
      <c r="O44" s="394">
        <f t="shared" si="4"/>
        <v>745.22887777777783</v>
      </c>
      <c r="P44" s="407">
        <f>M44-'INPUT DATA'!L37</f>
        <v>0</v>
      </c>
      <c r="R44" s="359"/>
      <c r="S44" s="358"/>
      <c r="T44" s="358"/>
      <c r="U44" s="360"/>
      <c r="W44" s="361"/>
    </row>
    <row r="45" spans="1:23" s="362" customFormat="1" ht="32.1" customHeight="1" x14ac:dyDescent="0.25">
      <c r="A45" s="405" t="str">
        <f>'INPUT DATA'!A38</f>
        <v>SPL - ?</v>
      </c>
      <c r="B45" s="532" t="str">
        <f>'INPUT DATA'!B38</f>
        <v>SUPPLY AND INSTALLATION OF ANALOK TYPE SLIDING WINDOW</v>
      </c>
      <c r="C45" s="533"/>
      <c r="D45" s="394">
        <f>'INPUT DATA'!C38</f>
        <v>11.34</v>
      </c>
      <c r="E45" s="395" t="str">
        <f>'INPUT DATA'!D38</f>
        <v>SQ.M.</v>
      </c>
      <c r="F45" s="394">
        <f>'INPUT DATA'!F38+'INPUT DATA'!G38+'INPUT DATA'!H38</f>
        <v>45360</v>
      </c>
      <c r="G45" s="396">
        <f>'INPUT DATA'!$C$62</f>
        <v>0.05</v>
      </c>
      <c r="H45" s="396">
        <f>'INPUT DATA'!$C$63</f>
        <v>0.1</v>
      </c>
      <c r="I45" s="396">
        <f t="shared" si="0"/>
        <v>0.15000000000000002</v>
      </c>
      <c r="J45" s="394">
        <f t="shared" si="1"/>
        <v>6804.0000000000009</v>
      </c>
      <c r="K45" s="394">
        <f>'INPUT DATA'!$C$64*(ABC!J45+ABC!F45)</f>
        <v>0</v>
      </c>
      <c r="L45" s="394">
        <f t="shared" si="2"/>
        <v>6804.0000000000009</v>
      </c>
      <c r="M45" s="534">
        <f t="shared" si="3"/>
        <v>52164</v>
      </c>
      <c r="N45" s="535"/>
      <c r="O45" s="394">
        <f t="shared" si="4"/>
        <v>4600</v>
      </c>
      <c r="P45" s="407">
        <f>M45-'INPUT DATA'!L38</f>
        <v>0</v>
      </c>
      <c r="R45" s="363"/>
      <c r="S45" s="364"/>
      <c r="T45" s="364"/>
      <c r="U45" s="365"/>
      <c r="W45" s="366"/>
    </row>
    <row r="46" spans="1:23" s="362" customFormat="1" ht="15" customHeight="1" x14ac:dyDescent="0.25">
      <c r="A46" s="405" t="str">
        <f>'INPUT DATA'!A39</f>
        <v>SPL - ?</v>
      </c>
      <c r="B46" s="532" t="str">
        <f>'INPUT DATA'!B39</f>
        <v>(INPUT ITEM DESCRIPTION)</v>
      </c>
      <c r="C46" s="533"/>
      <c r="D46" s="394">
        <f>'INPUT DATA'!C39</f>
        <v>1</v>
      </c>
      <c r="E46" s="395" t="str">
        <f>'INPUT DATA'!D39</f>
        <v>L.S.</v>
      </c>
      <c r="F46" s="394">
        <f>'INPUT DATA'!F39+'INPUT DATA'!G39+'INPUT DATA'!H39</f>
        <v>0</v>
      </c>
      <c r="G46" s="396">
        <f>'INPUT DATA'!$C$62</f>
        <v>0.05</v>
      </c>
      <c r="H46" s="396">
        <f>'INPUT DATA'!$C$63</f>
        <v>0.1</v>
      </c>
      <c r="I46" s="396">
        <f t="shared" si="0"/>
        <v>0.15000000000000002</v>
      </c>
      <c r="J46" s="394">
        <f t="shared" si="1"/>
        <v>0</v>
      </c>
      <c r="K46" s="394">
        <f>'INPUT DATA'!$C$64*(ABC!J46+ABC!F46)</f>
        <v>0</v>
      </c>
      <c r="L46" s="394">
        <f t="shared" si="2"/>
        <v>0</v>
      </c>
      <c r="M46" s="534">
        <f t="shared" si="3"/>
        <v>0</v>
      </c>
      <c r="N46" s="535"/>
      <c r="O46" s="394">
        <f t="shared" si="4"/>
        <v>0</v>
      </c>
      <c r="P46" s="407">
        <f>M46-'INPUT DATA'!L39</f>
        <v>0</v>
      </c>
      <c r="R46" s="363"/>
      <c r="S46" s="364"/>
      <c r="T46" s="364"/>
      <c r="U46" s="365"/>
      <c r="W46" s="366"/>
    </row>
    <row r="47" spans="1:23" ht="18.95" customHeight="1" x14ac:dyDescent="0.25">
      <c r="A47" s="548" t="str">
        <f>'INPUT DATA'!A40</f>
        <v>PLUMBING WORKS</v>
      </c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0"/>
      <c r="P47" s="407">
        <f>M47-'INPUT DATA'!L40</f>
        <v>0</v>
      </c>
      <c r="R47" s="359"/>
      <c r="S47" s="358"/>
      <c r="T47" s="358"/>
      <c r="U47" s="360"/>
      <c r="W47" s="361"/>
    </row>
    <row r="48" spans="1:23" s="362" customFormat="1" ht="36" customHeight="1" x14ac:dyDescent="0.25">
      <c r="A48" s="405" t="str">
        <f>'INPUT DATA'!A41</f>
        <v>1001(1)a</v>
      </c>
      <c r="B48" s="532" t="str">
        <f>'INPUT DATA'!B41</f>
        <v>50MM DIA - 100MM DIA SANITARY PVC PIPE, SERIES 600/1000</v>
      </c>
      <c r="C48" s="533"/>
      <c r="D48" s="394">
        <f>'INPUT DATA'!C41</f>
        <v>12</v>
      </c>
      <c r="E48" s="395" t="str">
        <f>'INPUT DATA'!D41</f>
        <v>M.</v>
      </c>
      <c r="F48" s="394">
        <f>'INPUT DATA'!F41+'INPUT DATA'!G41+'INPUT DATA'!H41</f>
        <v>3190</v>
      </c>
      <c r="G48" s="396">
        <f>'INPUT DATA'!$C$62</f>
        <v>0.05</v>
      </c>
      <c r="H48" s="396">
        <f>'INPUT DATA'!$C$63</f>
        <v>0.1</v>
      </c>
      <c r="I48" s="396">
        <f t="shared" si="0"/>
        <v>0.15000000000000002</v>
      </c>
      <c r="J48" s="394">
        <f t="shared" si="1"/>
        <v>478.50000000000006</v>
      </c>
      <c r="K48" s="394">
        <f>'INPUT DATA'!$C$64*(ABC!J48+ABC!F48)</f>
        <v>0</v>
      </c>
      <c r="L48" s="394">
        <f t="shared" si="2"/>
        <v>478.50000000000006</v>
      </c>
      <c r="M48" s="534">
        <f t="shared" ref="M48:M56" si="10">L48+F48</f>
        <v>3668.5</v>
      </c>
      <c r="N48" s="535"/>
      <c r="O48" s="394">
        <f t="shared" si="4"/>
        <v>305.70833333333331</v>
      </c>
      <c r="P48" s="407">
        <f>M48-'INPUT DATA'!L41</f>
        <v>0</v>
      </c>
      <c r="R48" s="363"/>
      <c r="S48" s="364"/>
      <c r="T48" s="364"/>
      <c r="U48" s="365"/>
      <c r="W48" s="366"/>
    </row>
    <row r="49" spans="1:23" s="362" customFormat="1" ht="20.100000000000001" customHeight="1" x14ac:dyDescent="0.25">
      <c r="A49" s="405" t="str">
        <f>'INPUT DATA'!A42</f>
        <v>1002(6)</v>
      </c>
      <c r="B49" s="532" t="str">
        <f>'INPUT DATA'!B42</f>
        <v>WATERLINE PIPES &amp; FITTINGS</v>
      </c>
      <c r="C49" s="533"/>
      <c r="D49" s="394">
        <f>'INPUT DATA'!C42</f>
        <v>1</v>
      </c>
      <c r="E49" s="395" t="str">
        <f>'INPUT DATA'!D42</f>
        <v>L.S.</v>
      </c>
      <c r="F49" s="394">
        <f>'INPUT DATA'!F42+'INPUT DATA'!G42+'INPUT DATA'!H42</f>
        <v>5200</v>
      </c>
      <c r="G49" s="396">
        <f>'INPUT DATA'!$C$62</f>
        <v>0.05</v>
      </c>
      <c r="H49" s="396">
        <f>'INPUT DATA'!$C$63</f>
        <v>0.1</v>
      </c>
      <c r="I49" s="396">
        <f t="shared" si="0"/>
        <v>0.15000000000000002</v>
      </c>
      <c r="J49" s="394">
        <f t="shared" si="1"/>
        <v>780.00000000000011</v>
      </c>
      <c r="K49" s="394">
        <f>'INPUT DATA'!$C$64*(ABC!J49+ABC!F49)</f>
        <v>0</v>
      </c>
      <c r="L49" s="394">
        <f t="shared" si="2"/>
        <v>780.00000000000011</v>
      </c>
      <c r="M49" s="534">
        <f t="shared" si="10"/>
        <v>5980</v>
      </c>
      <c r="N49" s="535"/>
      <c r="O49" s="394">
        <f t="shared" si="4"/>
        <v>5980</v>
      </c>
      <c r="P49" s="407">
        <f>M49-'INPUT DATA'!L42</f>
        <v>0</v>
      </c>
      <c r="R49" s="363"/>
      <c r="S49" s="364"/>
      <c r="T49" s="364"/>
      <c r="U49" s="365"/>
      <c r="W49" s="366"/>
    </row>
    <row r="50" spans="1:23" s="362" customFormat="1" ht="15" customHeight="1" x14ac:dyDescent="0.25">
      <c r="A50" s="405" t="str">
        <f>'INPUT DATA'!A43</f>
        <v>1002(5)</v>
      </c>
      <c r="B50" s="532" t="str">
        <f>'INPUT DATA'!B43</f>
        <v>WATER CLOSET/ URINAL W/ COMPLETE ACCESSORIES</v>
      </c>
      <c r="C50" s="533"/>
      <c r="D50" s="394">
        <f>'INPUT DATA'!C43</f>
        <v>1</v>
      </c>
      <c r="E50" s="395" t="str">
        <f>'INPUT DATA'!D43</f>
        <v>SET</v>
      </c>
      <c r="F50" s="394">
        <f>'INPUT DATA'!F43+'INPUT DATA'!G43+'INPUT DATA'!H43</f>
        <v>7095</v>
      </c>
      <c r="G50" s="396">
        <f>'INPUT DATA'!$C$62</f>
        <v>0.05</v>
      </c>
      <c r="H50" s="396">
        <f>'INPUT DATA'!$C$63</f>
        <v>0.1</v>
      </c>
      <c r="I50" s="396">
        <f t="shared" si="0"/>
        <v>0.15000000000000002</v>
      </c>
      <c r="J50" s="394">
        <f t="shared" si="1"/>
        <v>1064.2500000000002</v>
      </c>
      <c r="K50" s="394">
        <f>'INPUT DATA'!$C$64*(ABC!J50+ABC!F50)</f>
        <v>0</v>
      </c>
      <c r="L50" s="394">
        <f t="shared" si="2"/>
        <v>1064.2500000000002</v>
      </c>
      <c r="M50" s="534">
        <f t="shared" si="10"/>
        <v>8159.25</v>
      </c>
      <c r="N50" s="535"/>
      <c r="O50" s="394">
        <f t="shared" si="4"/>
        <v>8159.25</v>
      </c>
      <c r="P50" s="407">
        <f>M50-'INPUT DATA'!L43</f>
        <v>0</v>
      </c>
      <c r="R50" s="363"/>
      <c r="S50" s="364"/>
      <c r="T50" s="364"/>
      <c r="U50" s="365"/>
      <c r="W50" s="366"/>
    </row>
    <row r="51" spans="1:23" ht="35.1" customHeight="1" x14ac:dyDescent="0.25">
      <c r="A51" s="405" t="str">
        <f>'INPUT DATA'!A44</f>
        <v>1002(5)</v>
      </c>
      <c r="B51" s="532" t="str">
        <f>'INPUT DATA'!B44</f>
        <v>KITCHEN SINK/ SCRUB/ SLOP SINK W/ COMPLETE ACCESSORIES</v>
      </c>
      <c r="C51" s="533"/>
      <c r="D51" s="394">
        <f>'INPUT DATA'!C44</f>
        <v>1</v>
      </c>
      <c r="E51" s="395" t="str">
        <f>'INPUT DATA'!D44</f>
        <v>SET</v>
      </c>
      <c r="F51" s="394">
        <f>'INPUT DATA'!F44+'INPUT DATA'!G44+'INPUT DATA'!H44</f>
        <v>5445</v>
      </c>
      <c r="G51" s="396">
        <f>'INPUT DATA'!$C$62</f>
        <v>0.05</v>
      </c>
      <c r="H51" s="396">
        <f>'INPUT DATA'!$C$63</f>
        <v>0.1</v>
      </c>
      <c r="I51" s="396">
        <f t="shared" si="0"/>
        <v>0.15000000000000002</v>
      </c>
      <c r="J51" s="394">
        <f t="shared" si="1"/>
        <v>816.75000000000011</v>
      </c>
      <c r="K51" s="394">
        <f>'INPUT DATA'!$C$64*(ABC!J51+ABC!F51)</f>
        <v>0</v>
      </c>
      <c r="L51" s="394">
        <f t="shared" si="2"/>
        <v>816.75000000000011</v>
      </c>
      <c r="M51" s="534">
        <f t="shared" si="10"/>
        <v>6261.75</v>
      </c>
      <c r="N51" s="535"/>
      <c r="O51" s="394">
        <f t="shared" si="4"/>
        <v>6261.75</v>
      </c>
      <c r="P51" s="407">
        <f>M51-'INPUT DATA'!L44</f>
        <v>0</v>
      </c>
      <c r="R51" s="359"/>
      <c r="S51" s="358"/>
      <c r="T51" s="358"/>
      <c r="U51" s="360"/>
      <c r="W51" s="361"/>
    </row>
    <row r="52" spans="1:23" s="362" customFormat="1" ht="38.1" customHeight="1" x14ac:dyDescent="0.25">
      <c r="A52" s="405" t="str">
        <f>'INPUT DATA'!A45</f>
        <v>1002(5)</v>
      </c>
      <c r="B52" s="532" t="str">
        <f>'INPUT DATA'!B45</f>
        <v>WALL HANG/COUNTERTOP/ UNDER COUNTER LAVATORY W/ COMPLETE ACCESSORIES</v>
      </c>
      <c r="C52" s="533"/>
      <c r="D52" s="394">
        <f>'INPUT DATA'!C45</f>
        <v>1</v>
      </c>
      <c r="E52" s="395" t="str">
        <f>'INPUT DATA'!D45</f>
        <v>SET</v>
      </c>
      <c r="F52" s="394">
        <f>'INPUT DATA'!F45+'INPUT DATA'!G45+'INPUT DATA'!H45</f>
        <v>4345</v>
      </c>
      <c r="G52" s="396">
        <f>'INPUT DATA'!$C$62</f>
        <v>0.05</v>
      </c>
      <c r="H52" s="396">
        <f>'INPUT DATA'!$C$63</f>
        <v>0.1</v>
      </c>
      <c r="I52" s="396">
        <f t="shared" si="0"/>
        <v>0.15000000000000002</v>
      </c>
      <c r="J52" s="394">
        <f t="shared" si="1"/>
        <v>651.75000000000011</v>
      </c>
      <c r="K52" s="394">
        <f>'INPUT DATA'!$C$64*(ABC!J52+ABC!F52)</f>
        <v>0</v>
      </c>
      <c r="L52" s="394">
        <f t="shared" si="2"/>
        <v>651.75000000000011</v>
      </c>
      <c r="M52" s="534">
        <f t="shared" si="10"/>
        <v>4996.75</v>
      </c>
      <c r="N52" s="535"/>
      <c r="O52" s="394">
        <f t="shared" si="4"/>
        <v>4996.75</v>
      </c>
      <c r="P52" s="407">
        <f>M52-'INPUT DATA'!L45</f>
        <v>0</v>
      </c>
      <c r="R52" s="363"/>
      <c r="S52" s="364"/>
      <c r="T52" s="364"/>
      <c r="U52" s="365"/>
      <c r="W52" s="366"/>
    </row>
    <row r="53" spans="1:23" s="362" customFormat="1" ht="30.75" customHeight="1" x14ac:dyDescent="0.25">
      <c r="A53" s="405" t="str">
        <f>'INPUT DATA'!A46</f>
        <v>1002(5)</v>
      </c>
      <c r="B53" s="532" t="str">
        <f>'INPUT DATA'!B46</f>
        <v>FLOOR DRAIN PLATES (ANY SIZE)</v>
      </c>
      <c r="C53" s="533"/>
      <c r="D53" s="394">
        <f>'INPUT DATA'!C46</f>
        <v>2</v>
      </c>
      <c r="E53" s="395" t="str">
        <f>'INPUT DATA'!D46</f>
        <v>SET</v>
      </c>
      <c r="F53" s="394">
        <f>'INPUT DATA'!F46+'INPUT DATA'!G46+'INPUT DATA'!H46</f>
        <v>968</v>
      </c>
      <c r="G53" s="396">
        <f>'INPUT DATA'!$C$62</f>
        <v>0.05</v>
      </c>
      <c r="H53" s="396">
        <f>'INPUT DATA'!$C$63</f>
        <v>0.1</v>
      </c>
      <c r="I53" s="396">
        <f t="shared" si="0"/>
        <v>0.15000000000000002</v>
      </c>
      <c r="J53" s="394">
        <f t="shared" si="1"/>
        <v>145.20000000000002</v>
      </c>
      <c r="K53" s="394">
        <f>'INPUT DATA'!$C$64*(ABC!J53+ABC!F53)</f>
        <v>0</v>
      </c>
      <c r="L53" s="394">
        <f t="shared" si="2"/>
        <v>145.20000000000002</v>
      </c>
      <c r="M53" s="534">
        <f t="shared" si="10"/>
        <v>1113.2</v>
      </c>
      <c r="N53" s="535"/>
      <c r="O53" s="394">
        <f t="shared" si="4"/>
        <v>556.6</v>
      </c>
      <c r="P53" s="407">
        <f>M53-'INPUT DATA'!L46</f>
        <v>0</v>
      </c>
      <c r="R53" s="363"/>
      <c r="S53" s="364"/>
      <c r="T53" s="364"/>
      <c r="U53" s="365"/>
      <c r="W53" s="366"/>
    </row>
    <row r="54" spans="1:23" ht="15" customHeight="1" x14ac:dyDescent="0.25">
      <c r="A54" s="405" t="str">
        <f>'INPUT DATA'!A47</f>
        <v>1002(5)</v>
      </c>
      <c r="B54" s="532" t="str">
        <f>'INPUT DATA'!B47</f>
        <v>SOAP HOLDER /TOILET SOAP/LIQUID SOAP/TISSUE HOLDER</v>
      </c>
      <c r="C54" s="533"/>
      <c r="D54" s="394">
        <f>'INPUT DATA'!C47</f>
        <v>1</v>
      </c>
      <c r="E54" s="395" t="str">
        <f>'INPUT DATA'!D47</f>
        <v>SET</v>
      </c>
      <c r="F54" s="394">
        <f>'INPUT DATA'!F47+'INPUT DATA'!G47+'INPUT DATA'!H47</f>
        <v>570.625</v>
      </c>
      <c r="G54" s="396">
        <f>'INPUT DATA'!$C$62</f>
        <v>0.05</v>
      </c>
      <c r="H54" s="396">
        <f>'INPUT DATA'!$C$63</f>
        <v>0.1</v>
      </c>
      <c r="I54" s="396">
        <f t="shared" si="0"/>
        <v>0.15000000000000002</v>
      </c>
      <c r="J54" s="394">
        <f t="shared" si="1"/>
        <v>85.593750000000014</v>
      </c>
      <c r="K54" s="394">
        <f>'INPUT DATA'!$C$64*(ABC!J54+ABC!F54)</f>
        <v>0</v>
      </c>
      <c r="L54" s="394">
        <f t="shared" si="2"/>
        <v>85.593750000000014</v>
      </c>
      <c r="M54" s="534">
        <f t="shared" si="10"/>
        <v>656.21875</v>
      </c>
      <c r="N54" s="535"/>
      <c r="O54" s="394">
        <f t="shared" si="4"/>
        <v>656.21875</v>
      </c>
      <c r="P54" s="407">
        <f>M54-'INPUT DATA'!L47</f>
        <v>0</v>
      </c>
      <c r="R54" s="359"/>
      <c r="S54" s="358"/>
      <c r="T54" s="358"/>
      <c r="U54" s="360"/>
      <c r="W54" s="361"/>
    </row>
    <row r="55" spans="1:23" s="362" customFormat="1" ht="28.5" customHeight="1" x14ac:dyDescent="0.25">
      <c r="A55" s="405" t="str">
        <f>'INPUT DATA'!A48</f>
        <v>1002(5)p</v>
      </c>
      <c r="B55" s="532" t="str">
        <f>'INPUT DATA'!B48</f>
        <v>FACIAL MIRROR</v>
      </c>
      <c r="C55" s="533"/>
      <c r="D55" s="394">
        <f>'INPUT DATA'!C48</f>
        <v>0.5</v>
      </c>
      <c r="E55" s="395" t="str">
        <f>'INPUT DATA'!D48</f>
        <v>SQ.M.</v>
      </c>
      <c r="F55" s="394">
        <f>'INPUT DATA'!F48+'INPUT DATA'!G48+'INPUT DATA'!H48</f>
        <v>804.375</v>
      </c>
      <c r="G55" s="396">
        <f>'INPUT DATA'!$C$62</f>
        <v>0.05</v>
      </c>
      <c r="H55" s="396">
        <f>'INPUT DATA'!$C$63</f>
        <v>0.1</v>
      </c>
      <c r="I55" s="396">
        <f t="shared" si="0"/>
        <v>0.15000000000000002</v>
      </c>
      <c r="J55" s="394">
        <f t="shared" si="1"/>
        <v>120.65625000000001</v>
      </c>
      <c r="K55" s="394">
        <f>'INPUT DATA'!$C$64*(ABC!J55+ABC!F55)</f>
        <v>0</v>
      </c>
      <c r="L55" s="394">
        <f t="shared" si="2"/>
        <v>120.65625000000001</v>
      </c>
      <c r="M55" s="534">
        <f t="shared" si="10"/>
        <v>925.03125</v>
      </c>
      <c r="N55" s="535"/>
      <c r="O55" s="394">
        <f t="shared" si="4"/>
        <v>1850.0625</v>
      </c>
      <c r="P55" s="407">
        <f>M55-'INPUT DATA'!L48</f>
        <v>0</v>
      </c>
      <c r="R55" s="363"/>
      <c r="S55" s="364"/>
      <c r="T55" s="364"/>
      <c r="U55" s="365"/>
      <c r="W55" s="366"/>
    </row>
    <row r="56" spans="1:23" ht="35.1" customHeight="1" x14ac:dyDescent="0.25">
      <c r="A56" s="405" t="str">
        <f>'INPUT DATA'!A49</f>
        <v>SPL- ?</v>
      </c>
      <c r="B56" s="532" t="str">
        <f>'INPUT DATA'!B49</f>
        <v>(INPUT OTHER PLUMBING WORK ITEM THAT IS NOT FOUND IN THIS SPREADSHEET)</v>
      </c>
      <c r="C56" s="533"/>
      <c r="D56" s="394">
        <f>'INPUT DATA'!C49</f>
        <v>1</v>
      </c>
      <c r="E56" s="395" t="str">
        <f>'INPUT DATA'!D49</f>
        <v>L.S.</v>
      </c>
      <c r="F56" s="394">
        <f>'INPUT DATA'!F49+'INPUT DATA'!G49+'INPUT DATA'!H49</f>
        <v>0</v>
      </c>
      <c r="G56" s="396">
        <f>'INPUT DATA'!$C$62</f>
        <v>0.05</v>
      </c>
      <c r="H56" s="396">
        <f>'INPUT DATA'!$C$63</f>
        <v>0.1</v>
      </c>
      <c r="I56" s="396">
        <f t="shared" si="0"/>
        <v>0.15000000000000002</v>
      </c>
      <c r="J56" s="394">
        <f t="shared" si="1"/>
        <v>0</v>
      </c>
      <c r="K56" s="394">
        <f>'INPUT DATA'!$C$64*(ABC!J56+ABC!F56)</f>
        <v>0</v>
      </c>
      <c r="L56" s="394">
        <f t="shared" si="2"/>
        <v>0</v>
      </c>
      <c r="M56" s="534">
        <f t="shared" si="10"/>
        <v>0</v>
      </c>
      <c r="N56" s="535"/>
      <c r="O56" s="394">
        <f t="shared" si="4"/>
        <v>0</v>
      </c>
      <c r="P56" s="407">
        <f>M56-'INPUT DATA'!L49</f>
        <v>0</v>
      </c>
      <c r="R56" s="359"/>
      <c r="S56" s="358"/>
      <c r="T56" s="358"/>
      <c r="U56" s="360"/>
      <c r="W56" s="361"/>
    </row>
    <row r="57" spans="1:23" ht="16.5" x14ac:dyDescent="0.25">
      <c r="A57" s="548" t="str">
        <f>'INPUT DATA'!A50</f>
        <v>ELECTRICAL WORKS</v>
      </c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0"/>
      <c r="P57" s="407">
        <f>M57-'INPUT DATA'!L50</f>
        <v>0</v>
      </c>
      <c r="R57" s="359"/>
      <c r="S57" s="358"/>
      <c r="T57" s="358"/>
      <c r="U57" s="360"/>
      <c r="W57" s="361"/>
    </row>
    <row r="58" spans="1:23" ht="21" customHeight="1" x14ac:dyDescent="0.25">
      <c r="A58" s="405" t="str">
        <f>'INPUT DATA'!A51</f>
        <v>1002(5)</v>
      </c>
      <c r="B58" s="532" t="str">
        <f>'INPUT DATA'!B51</f>
        <v>15MM-25MM DIA. FLEXIBLE CONDUIT</v>
      </c>
      <c r="C58" s="533"/>
      <c r="D58" s="394">
        <f>'INPUT DATA'!C51</f>
        <v>200</v>
      </c>
      <c r="E58" s="395" t="str">
        <f>'INPUT DATA'!D51</f>
        <v>M.</v>
      </c>
      <c r="F58" s="394">
        <f>'INPUT DATA'!F51+'INPUT DATA'!G51+'INPUT DATA'!H51</f>
        <v>17306.795000000002</v>
      </c>
      <c r="G58" s="396">
        <f>'INPUT DATA'!$C$62</f>
        <v>0.05</v>
      </c>
      <c r="H58" s="396">
        <f>'INPUT DATA'!$C$63</f>
        <v>0.1</v>
      </c>
      <c r="I58" s="396">
        <f t="shared" si="0"/>
        <v>0.15000000000000002</v>
      </c>
      <c r="J58" s="394">
        <f t="shared" si="1"/>
        <v>2596.0192500000007</v>
      </c>
      <c r="K58" s="394">
        <f>'INPUT DATA'!$C$64*(ABC!J58+ABC!F58)</f>
        <v>0</v>
      </c>
      <c r="L58" s="394">
        <f t="shared" si="2"/>
        <v>2596.0192500000007</v>
      </c>
      <c r="M58" s="534">
        <f t="shared" ref="M58:M65" si="11">L58+F58</f>
        <v>19902.814250000003</v>
      </c>
      <c r="N58" s="535"/>
      <c r="O58" s="394">
        <f t="shared" si="4"/>
        <v>99.514071250000015</v>
      </c>
      <c r="P58" s="407">
        <f>M58-'INPUT DATA'!L51</f>
        <v>0</v>
      </c>
      <c r="R58" s="359"/>
      <c r="S58" s="358"/>
      <c r="T58" s="358"/>
      <c r="U58" s="360"/>
      <c r="W58" s="361"/>
    </row>
    <row r="59" spans="1:23" ht="21" customHeight="1" x14ac:dyDescent="0.25">
      <c r="A59" s="405">
        <f>'INPUT DATA'!A52</f>
        <v>1100</v>
      </c>
      <c r="B59" s="532" t="str">
        <f>'INPUT DATA'!B52</f>
        <v>JUNCTION UTILITY/PULL / SQUARE BOX</v>
      </c>
      <c r="C59" s="533"/>
      <c r="D59" s="394">
        <f>'INPUT DATA'!C52</f>
        <v>33</v>
      </c>
      <c r="E59" s="395" t="str">
        <f>'INPUT DATA'!D52</f>
        <v>PC.</v>
      </c>
      <c r="F59" s="394">
        <f>'INPUT DATA'!F52+'INPUT DATA'!G52+'INPUT DATA'!H52</f>
        <v>4900.5</v>
      </c>
      <c r="G59" s="396">
        <f>'INPUT DATA'!$C$62</f>
        <v>0.05</v>
      </c>
      <c r="H59" s="396">
        <f>'INPUT DATA'!$C$63</f>
        <v>0.1</v>
      </c>
      <c r="I59" s="396">
        <f t="shared" si="0"/>
        <v>0.15000000000000002</v>
      </c>
      <c r="J59" s="394">
        <f t="shared" si="1"/>
        <v>735.07500000000016</v>
      </c>
      <c r="K59" s="394">
        <f>'INPUT DATA'!$C$64*(ABC!J59+ABC!F59)</f>
        <v>0</v>
      </c>
      <c r="L59" s="394">
        <f t="shared" si="2"/>
        <v>735.07500000000016</v>
      </c>
      <c r="M59" s="534">
        <f t="shared" si="11"/>
        <v>5635.5749999999998</v>
      </c>
      <c r="N59" s="535"/>
      <c r="O59" s="394">
        <f t="shared" si="4"/>
        <v>170.77500000000001</v>
      </c>
      <c r="P59" s="407">
        <f>M59-'INPUT DATA'!L52</f>
        <v>0</v>
      </c>
      <c r="R59" s="359"/>
      <c r="S59" s="358"/>
      <c r="T59" s="358"/>
      <c r="U59" s="360"/>
      <c r="W59" s="361"/>
    </row>
    <row r="60" spans="1:23" ht="32.1" customHeight="1" x14ac:dyDescent="0.25">
      <c r="A60" s="405" t="str">
        <f>'INPUT DATA'!A53</f>
        <v>1101(2)</v>
      </c>
      <c r="B60" s="532" t="str">
        <f>'INPUT DATA'!B53</f>
        <v>1.6MM2 - 5.5MM2 ELECTRIC WIRE (TW/THHN/TWHN2)</v>
      </c>
      <c r="C60" s="533"/>
      <c r="D60" s="394">
        <f>'INPUT DATA'!C53</f>
        <v>600</v>
      </c>
      <c r="E60" s="395" t="str">
        <f>'INPUT DATA'!D53</f>
        <v>M.</v>
      </c>
      <c r="F60" s="394">
        <f>'INPUT DATA'!F53+'INPUT DATA'!G53+'INPUT DATA'!H53</f>
        <v>25080</v>
      </c>
      <c r="G60" s="396">
        <f>'INPUT DATA'!$C$62</f>
        <v>0.05</v>
      </c>
      <c r="H60" s="396">
        <f>'INPUT DATA'!$C$63</f>
        <v>0.1</v>
      </c>
      <c r="I60" s="396">
        <f t="shared" si="0"/>
        <v>0.15000000000000002</v>
      </c>
      <c r="J60" s="394">
        <f t="shared" si="1"/>
        <v>3762.0000000000005</v>
      </c>
      <c r="K60" s="394">
        <f>'INPUT DATA'!$C$64*(ABC!J60+ABC!F60)</f>
        <v>0</v>
      </c>
      <c r="L60" s="394">
        <f t="shared" si="2"/>
        <v>3762.0000000000005</v>
      </c>
      <c r="M60" s="534">
        <f t="shared" si="11"/>
        <v>28842</v>
      </c>
      <c r="N60" s="535"/>
      <c r="O60" s="394">
        <f t="shared" si="4"/>
        <v>48.07</v>
      </c>
      <c r="P60" s="407">
        <f>M60-'INPUT DATA'!L53</f>
        <v>0</v>
      </c>
      <c r="R60" s="359"/>
      <c r="S60" s="358"/>
      <c r="T60" s="358"/>
      <c r="U60" s="360"/>
      <c r="W60" s="361"/>
    </row>
    <row r="61" spans="1:23" s="362" customFormat="1" ht="51" customHeight="1" x14ac:dyDescent="0.25">
      <c r="A61" s="405">
        <f>'INPUT DATA'!A54</f>
        <v>1101</v>
      </c>
      <c r="B61" s="532" t="str">
        <f>'INPUT DATA'!B54</f>
        <v>SINGLE CONVINENCE OUTLET/ RECEPTACLE, GROUNDING TYPE/HEAVY DUTY CONVENIENCE OUTLET</v>
      </c>
      <c r="C61" s="533"/>
      <c r="D61" s="394">
        <f>'INPUT DATA'!C54</f>
        <v>13</v>
      </c>
      <c r="E61" s="395" t="str">
        <f>'INPUT DATA'!D54</f>
        <v>SET</v>
      </c>
      <c r="F61" s="394">
        <f>'INPUT DATA'!F54+'INPUT DATA'!G54+'INPUT DATA'!H54</f>
        <v>3305.25</v>
      </c>
      <c r="G61" s="396">
        <f>'INPUT DATA'!$C$62</f>
        <v>0.05</v>
      </c>
      <c r="H61" s="396">
        <f>'INPUT DATA'!$C$63</f>
        <v>0.1</v>
      </c>
      <c r="I61" s="396">
        <f t="shared" si="0"/>
        <v>0.15000000000000002</v>
      </c>
      <c r="J61" s="394">
        <f t="shared" si="1"/>
        <v>495.78750000000008</v>
      </c>
      <c r="K61" s="394">
        <f>'INPUT DATA'!$C$64*(ABC!J61+ABC!F61)</f>
        <v>0</v>
      </c>
      <c r="L61" s="394">
        <f t="shared" si="2"/>
        <v>495.78750000000008</v>
      </c>
      <c r="M61" s="534">
        <f t="shared" si="11"/>
        <v>3801.0374999999999</v>
      </c>
      <c r="N61" s="535"/>
      <c r="O61" s="394">
        <f t="shared" si="4"/>
        <v>292.38749999999999</v>
      </c>
      <c r="P61" s="407">
        <f>M61-'INPUT DATA'!L54</f>
        <v>0</v>
      </c>
      <c r="R61" s="363"/>
      <c r="S61" s="364"/>
      <c r="T61" s="364"/>
      <c r="U61" s="365"/>
      <c r="W61" s="366"/>
    </row>
    <row r="62" spans="1:23" s="362" customFormat="1" ht="51" customHeight="1" x14ac:dyDescent="0.25">
      <c r="A62" s="405">
        <f>'INPUT DATA'!A55</f>
        <v>1101</v>
      </c>
      <c r="B62" s="532" t="str">
        <f>'INPUT DATA'!B55</f>
        <v>DUPLEX  CONVINENCE OUTLET/ RECEPTACLE, GROUNDING TYPE/HEAVY DUTY CONVENIENCE OUTLET</v>
      </c>
      <c r="C62" s="533"/>
      <c r="D62" s="394">
        <f>'INPUT DATA'!C55</f>
        <v>10</v>
      </c>
      <c r="E62" s="395" t="str">
        <f>'INPUT DATA'!D55</f>
        <v>SET</v>
      </c>
      <c r="F62" s="394">
        <f>'INPUT DATA'!F55+'INPUT DATA'!G55+'INPUT DATA'!H55</f>
        <v>3205</v>
      </c>
      <c r="G62" s="396">
        <f>'INPUT DATA'!$C$62</f>
        <v>0.05</v>
      </c>
      <c r="H62" s="396">
        <f>'INPUT DATA'!$C$63</f>
        <v>0.1</v>
      </c>
      <c r="I62" s="396">
        <f t="shared" si="0"/>
        <v>0.15000000000000002</v>
      </c>
      <c r="J62" s="394">
        <f t="shared" si="1"/>
        <v>480.75000000000006</v>
      </c>
      <c r="K62" s="394">
        <f>'INPUT DATA'!$C$64*(ABC!J62+ABC!F62)</f>
        <v>0</v>
      </c>
      <c r="L62" s="394">
        <f t="shared" si="2"/>
        <v>480.75000000000006</v>
      </c>
      <c r="M62" s="534">
        <f t="shared" si="11"/>
        <v>3685.75</v>
      </c>
      <c r="N62" s="535"/>
      <c r="O62" s="394">
        <f t="shared" si="4"/>
        <v>368.57499999999999</v>
      </c>
      <c r="P62" s="407">
        <f>M62-'INPUT DATA'!L55</f>
        <v>0</v>
      </c>
      <c r="R62" s="363"/>
      <c r="S62" s="364"/>
      <c r="T62" s="364"/>
      <c r="U62" s="365"/>
      <c r="W62" s="366"/>
    </row>
    <row r="63" spans="1:23" ht="30" customHeight="1" x14ac:dyDescent="0.25">
      <c r="A63" s="405">
        <f>'INPUT DATA'!A56</f>
        <v>1102</v>
      </c>
      <c r="B63" s="532" t="str">
        <f>'INPUT DATA'!B56</f>
        <v>PANEL BOARD WITH MAIN BREAKER/BRANCHES, 3 WIRES, 1 NEUTRAL, 50AMP-200AMP</v>
      </c>
      <c r="C63" s="533"/>
      <c r="D63" s="394">
        <f>'INPUT DATA'!C56</f>
        <v>1</v>
      </c>
      <c r="E63" s="395" t="str">
        <f>'INPUT DATA'!D56</f>
        <v>SET</v>
      </c>
      <c r="F63" s="394">
        <f>'INPUT DATA'!F56+'INPUT DATA'!G56+'INPUT DATA'!H56</f>
        <v>8168.5</v>
      </c>
      <c r="G63" s="396">
        <f>'INPUT DATA'!$C$62</f>
        <v>0.05</v>
      </c>
      <c r="H63" s="396">
        <f>'INPUT DATA'!$C$63</f>
        <v>0.1</v>
      </c>
      <c r="I63" s="396">
        <f t="shared" si="0"/>
        <v>0.15000000000000002</v>
      </c>
      <c r="J63" s="394">
        <f t="shared" si="1"/>
        <v>1225.2750000000001</v>
      </c>
      <c r="K63" s="394">
        <f>'INPUT DATA'!$C$64*(ABC!J63+ABC!F63)</f>
        <v>0</v>
      </c>
      <c r="L63" s="394">
        <f t="shared" si="2"/>
        <v>1225.2750000000001</v>
      </c>
      <c r="M63" s="534">
        <f t="shared" si="11"/>
        <v>9393.7749999999996</v>
      </c>
      <c r="N63" s="535"/>
      <c r="O63" s="394">
        <f t="shared" si="4"/>
        <v>9393.7749999999996</v>
      </c>
      <c r="P63" s="407">
        <f>M63-'INPUT DATA'!L56</f>
        <v>0</v>
      </c>
      <c r="R63" s="359"/>
      <c r="S63" s="358"/>
      <c r="T63" s="358"/>
      <c r="U63" s="360"/>
      <c r="W63" s="361"/>
    </row>
    <row r="64" spans="1:23" ht="48.95" customHeight="1" x14ac:dyDescent="0.2">
      <c r="A64" s="405" t="str">
        <f>'INPUT DATA'!A57</f>
        <v>1103(2)</v>
      </c>
      <c r="B64" s="532" t="str">
        <f>'INPUT DATA'!B57</f>
        <v xml:space="preserve">FLOURESCENT LIGHTING FIXTURE WITH BALLAST/ LIGHT EMITTING DIODE (LED) BULB, 1 BULB </v>
      </c>
      <c r="C64" s="533"/>
      <c r="D64" s="394">
        <f>'INPUT DATA'!C57</f>
        <v>40</v>
      </c>
      <c r="E64" s="395" t="str">
        <f>'INPUT DATA'!D57</f>
        <v>SET</v>
      </c>
      <c r="F64" s="394">
        <f>'INPUT DATA'!F57+'INPUT DATA'!G57+'INPUT DATA'!H57</f>
        <v>17820</v>
      </c>
      <c r="G64" s="396">
        <f>'INPUT DATA'!$C$62</f>
        <v>0.05</v>
      </c>
      <c r="H64" s="396">
        <f>'INPUT DATA'!$C$63</f>
        <v>0.1</v>
      </c>
      <c r="I64" s="396">
        <f t="shared" si="0"/>
        <v>0.15000000000000002</v>
      </c>
      <c r="J64" s="394">
        <f t="shared" si="1"/>
        <v>2673.0000000000005</v>
      </c>
      <c r="K64" s="394">
        <f>'INPUT DATA'!$C$64*(ABC!J64+ABC!F64)</f>
        <v>0</v>
      </c>
      <c r="L64" s="394">
        <f t="shared" si="2"/>
        <v>2673.0000000000005</v>
      </c>
      <c r="M64" s="534">
        <f t="shared" si="11"/>
        <v>20493</v>
      </c>
      <c r="N64" s="535"/>
      <c r="O64" s="394">
        <f t="shared" si="4"/>
        <v>512.32500000000005</v>
      </c>
      <c r="P64" s="407">
        <f>M64-'INPUT DATA'!L57</f>
        <v>0</v>
      </c>
    </row>
    <row r="65" spans="1:16" ht="36" customHeight="1" x14ac:dyDescent="0.2">
      <c r="A65" s="405" t="str">
        <f>'INPUT DATA'!A58</f>
        <v>SPL- ?</v>
      </c>
      <c r="B65" s="532" t="str">
        <f>'INPUT DATA'!B58</f>
        <v>(INPUT OTHER ELECTRICAL WORK ITEM THAT IS NOT FOUND IN THIS SPREADSHEET)</v>
      </c>
      <c r="C65" s="533"/>
      <c r="D65" s="394">
        <f>'INPUT DATA'!C58</f>
        <v>1</v>
      </c>
      <c r="E65" s="395" t="str">
        <f>'INPUT DATA'!D58</f>
        <v>L.S.</v>
      </c>
      <c r="F65" s="394">
        <f>'INPUT DATA'!F58+'INPUT DATA'!G58+'INPUT DATA'!H58</f>
        <v>0</v>
      </c>
      <c r="G65" s="396">
        <f>'INPUT DATA'!$C$62</f>
        <v>0.05</v>
      </c>
      <c r="H65" s="396">
        <f>'INPUT DATA'!$C$63</f>
        <v>0.1</v>
      </c>
      <c r="I65" s="396">
        <f t="shared" si="0"/>
        <v>0.15000000000000002</v>
      </c>
      <c r="J65" s="394">
        <f t="shared" si="1"/>
        <v>0</v>
      </c>
      <c r="K65" s="394">
        <f>'INPUT DATA'!$C$64*(ABC!J65+ABC!F65)</f>
        <v>0</v>
      </c>
      <c r="L65" s="394">
        <f t="shared" si="2"/>
        <v>0</v>
      </c>
      <c r="M65" s="534">
        <f t="shared" si="11"/>
        <v>0</v>
      </c>
      <c r="N65" s="535"/>
      <c r="O65" s="394">
        <f t="shared" si="4"/>
        <v>0</v>
      </c>
      <c r="P65" s="407">
        <f>M65-'INPUT DATA'!L58</f>
        <v>0</v>
      </c>
    </row>
    <row r="66" spans="1:16" ht="15.75" x14ac:dyDescent="0.25">
      <c r="A66" s="401"/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536">
        <f>SUM(M58:N65)+SUM(M48:N56)+SUM(M17:N46)</f>
        <v>1644800.2535000001</v>
      </c>
      <c r="M66" s="536"/>
      <c r="N66" s="536"/>
      <c r="O66" s="377"/>
    </row>
    <row r="67" spans="1:16" ht="14.25" x14ac:dyDescent="0.2">
      <c r="A67" s="401"/>
      <c r="B67" s="377"/>
      <c r="C67" s="377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</row>
    <row r="68" spans="1:16" ht="16.5" x14ac:dyDescent="0.2">
      <c r="A68" s="401"/>
      <c r="B68" s="295" t="s">
        <v>330</v>
      </c>
      <c r="C68" s="377"/>
      <c r="D68" s="295"/>
      <c r="E68" s="295"/>
      <c r="F68" s="295"/>
      <c r="G68" s="295"/>
      <c r="H68" s="295"/>
      <c r="I68" s="295"/>
      <c r="J68" s="295"/>
      <c r="K68" s="295"/>
      <c r="L68" s="295"/>
      <c r="M68" s="377"/>
      <c r="N68" s="377"/>
      <c r="O68" s="377"/>
    </row>
    <row r="69" spans="1:16" ht="16.5" x14ac:dyDescent="0.2">
      <c r="A69" s="401"/>
      <c r="B69" s="377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377"/>
      <c r="N69" s="377"/>
      <c r="O69" s="377"/>
    </row>
    <row r="70" spans="1:16" ht="16.5" x14ac:dyDescent="0.2">
      <c r="A70" s="401"/>
      <c r="B70" s="377"/>
      <c r="C70" s="397"/>
      <c r="D70" s="397"/>
      <c r="E70" s="398"/>
      <c r="F70" s="399"/>
      <c r="G70" s="399"/>
      <c r="H70" s="399"/>
      <c r="I70" s="399"/>
      <c r="J70" s="399"/>
      <c r="K70" s="399"/>
      <c r="L70" s="399"/>
      <c r="M70" s="377"/>
      <c r="N70" s="377"/>
      <c r="O70" s="377"/>
    </row>
    <row r="71" spans="1:16" ht="16.5" x14ac:dyDescent="0.2">
      <c r="A71" s="401"/>
      <c r="B71" s="377"/>
      <c r="C71" s="295" t="s">
        <v>331</v>
      </c>
      <c r="D71" s="295"/>
      <c r="E71" s="295"/>
      <c r="F71" s="295"/>
      <c r="G71" s="295"/>
      <c r="H71" s="377"/>
      <c r="I71" s="377"/>
      <c r="J71" s="295"/>
      <c r="K71" s="295"/>
      <c r="L71" s="295"/>
      <c r="M71" s="377"/>
      <c r="N71" s="377"/>
      <c r="O71" s="377"/>
    </row>
  </sheetData>
  <mergeCells count="125">
    <mergeCell ref="B61:C61"/>
    <mergeCell ref="M61:N61"/>
    <mergeCell ref="B62:C62"/>
    <mergeCell ref="M62:N62"/>
    <mergeCell ref="B63:C63"/>
    <mergeCell ref="M63:N63"/>
    <mergeCell ref="B58:C58"/>
    <mergeCell ref="M58:N58"/>
    <mergeCell ref="B59:C59"/>
    <mergeCell ref="M59:N59"/>
    <mergeCell ref="B60:C60"/>
    <mergeCell ref="M60:N60"/>
    <mergeCell ref="B55:C55"/>
    <mergeCell ref="M55:N55"/>
    <mergeCell ref="B56:C56"/>
    <mergeCell ref="M56:N56"/>
    <mergeCell ref="B52:C52"/>
    <mergeCell ref="M52:N52"/>
    <mergeCell ref="B53:C53"/>
    <mergeCell ref="M53:N53"/>
    <mergeCell ref="B54:C54"/>
    <mergeCell ref="M54:N54"/>
    <mergeCell ref="B49:C49"/>
    <mergeCell ref="M49:N49"/>
    <mergeCell ref="B50:C50"/>
    <mergeCell ref="M50:N50"/>
    <mergeCell ref="B51:C51"/>
    <mergeCell ref="M51:N51"/>
    <mergeCell ref="B46:C46"/>
    <mergeCell ref="M46:N46"/>
    <mergeCell ref="B48:C48"/>
    <mergeCell ref="M48:N48"/>
    <mergeCell ref="B43:C43"/>
    <mergeCell ref="M43:N43"/>
    <mergeCell ref="B44:C44"/>
    <mergeCell ref="M44:N44"/>
    <mergeCell ref="B45:C45"/>
    <mergeCell ref="M45:N45"/>
    <mergeCell ref="B39:C39"/>
    <mergeCell ref="M39:N39"/>
    <mergeCell ref="B41:C41"/>
    <mergeCell ref="M41:N41"/>
    <mergeCell ref="B42:C42"/>
    <mergeCell ref="M42:N42"/>
    <mergeCell ref="B36:C36"/>
    <mergeCell ref="M36:N36"/>
    <mergeCell ref="B37:C37"/>
    <mergeCell ref="M37:N37"/>
    <mergeCell ref="B38:C38"/>
    <mergeCell ref="M38:N38"/>
    <mergeCell ref="B33:C33"/>
    <mergeCell ref="M33:N33"/>
    <mergeCell ref="B34:C34"/>
    <mergeCell ref="M34:N34"/>
    <mergeCell ref="B35:C35"/>
    <mergeCell ref="M35:N35"/>
    <mergeCell ref="B30:C30"/>
    <mergeCell ref="M30:N30"/>
    <mergeCell ref="B31:C31"/>
    <mergeCell ref="M31:N31"/>
    <mergeCell ref="B32:C32"/>
    <mergeCell ref="M32:N32"/>
    <mergeCell ref="B27:C27"/>
    <mergeCell ref="M27:N27"/>
    <mergeCell ref="B28:C28"/>
    <mergeCell ref="M28:N28"/>
    <mergeCell ref="B29:C29"/>
    <mergeCell ref="M29:N29"/>
    <mergeCell ref="B24:C24"/>
    <mergeCell ref="M24:N24"/>
    <mergeCell ref="B25:C25"/>
    <mergeCell ref="M25:N25"/>
    <mergeCell ref="B26:C26"/>
    <mergeCell ref="M26:N26"/>
    <mergeCell ref="B21:C21"/>
    <mergeCell ref="M21:N21"/>
    <mergeCell ref="B22:C22"/>
    <mergeCell ref="M22:N22"/>
    <mergeCell ref="B23:C23"/>
    <mergeCell ref="M23:N23"/>
    <mergeCell ref="I10:J11"/>
    <mergeCell ref="B18:C18"/>
    <mergeCell ref="M18:N18"/>
    <mergeCell ref="B19:C19"/>
    <mergeCell ref="M19:N19"/>
    <mergeCell ref="B20:C20"/>
    <mergeCell ref="M20:N20"/>
    <mergeCell ref="I14:I15"/>
    <mergeCell ref="M14:N14"/>
    <mergeCell ref="M15:N15"/>
    <mergeCell ref="B17:C17"/>
    <mergeCell ref="M17:N17"/>
    <mergeCell ref="D14:D15"/>
    <mergeCell ref="E14:E15"/>
    <mergeCell ref="F14:F15"/>
    <mergeCell ref="G14:G15"/>
    <mergeCell ref="H14:H15"/>
    <mergeCell ref="B10:C13"/>
    <mergeCell ref="D10:D13"/>
    <mergeCell ref="E10:E13"/>
    <mergeCell ref="G10:H10"/>
    <mergeCell ref="D6:O6"/>
    <mergeCell ref="D7:O7"/>
    <mergeCell ref="A1:O1"/>
    <mergeCell ref="A2:O2"/>
    <mergeCell ref="A3:O3"/>
    <mergeCell ref="B40:C40"/>
    <mergeCell ref="M40:N40"/>
    <mergeCell ref="L66:N66"/>
    <mergeCell ref="K10:K13"/>
    <mergeCell ref="M10:N13"/>
    <mergeCell ref="G11:H11"/>
    <mergeCell ref="G12:G13"/>
    <mergeCell ref="A16:O16"/>
    <mergeCell ref="B64:C64"/>
    <mergeCell ref="B65:C65"/>
    <mergeCell ref="A47:O47"/>
    <mergeCell ref="A57:O57"/>
    <mergeCell ref="M64:N64"/>
    <mergeCell ref="M65:N65"/>
    <mergeCell ref="H12:H13"/>
    <mergeCell ref="I12:I13"/>
    <mergeCell ref="J12:J13"/>
    <mergeCell ref="A14:A15"/>
    <mergeCell ref="B14:C15"/>
  </mergeCells>
  <printOptions horizontalCentered="1"/>
  <pageMargins left="0.19685039370078741" right="0.19685039370078741" top="0.74803149606299213" bottom="1.2598425196850394" header="0.31496062992125984" footer="0.98425196850393704"/>
  <pageSetup paperSize="9" scale="76" fitToHeight="10" orientation="landscape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6FCA-820F-0040-BFC3-3D2717FC00B0}">
  <sheetPr codeName="Sheet4">
    <tabColor rgb="FF92D050"/>
    <pageSetUpPr fitToPage="1"/>
  </sheetPr>
  <dimension ref="A1:AN78"/>
  <sheetViews>
    <sheetView view="pageBreakPreview" topLeftCell="A10" zoomScale="85" zoomScaleNormal="85" zoomScaleSheetLayoutView="85" workbookViewId="0">
      <selection activeCell="Q26" sqref="Q26:S26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170</v>
      </c>
      <c r="F5" s="578"/>
      <c r="G5" s="605" t="s">
        <v>5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v>500</v>
      </c>
      <c r="F7" s="58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DATA'!C10</f>
        <v>200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0.4</v>
      </c>
      <c r="O13" s="581"/>
      <c r="P13" s="582"/>
      <c r="Q13" s="599">
        <v>700</v>
      </c>
      <c r="R13" s="600"/>
      <c r="S13" s="601"/>
      <c r="T13" s="583">
        <f t="shared" ref="T13:T14" si="0">K13*N13*Q13</f>
        <v>280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24</v>
      </c>
      <c r="E14" s="2"/>
      <c r="F14" s="2"/>
      <c r="G14" s="2"/>
      <c r="H14" s="2"/>
      <c r="I14" s="2"/>
      <c r="J14" s="17"/>
      <c r="K14" s="596">
        <v>2</v>
      </c>
      <c r="L14" s="597"/>
      <c r="M14" s="598"/>
      <c r="N14" s="580">
        <f t="shared" ref="N14" si="1">N13</f>
        <v>0.4</v>
      </c>
      <c r="O14" s="581"/>
      <c r="P14" s="582"/>
      <c r="Q14" s="599">
        <v>400</v>
      </c>
      <c r="R14" s="600"/>
      <c r="S14" s="601"/>
      <c r="T14" s="583">
        <f t="shared" si="0"/>
        <v>320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/>
      <c r="D15" s="20"/>
      <c r="E15" s="2"/>
      <c r="F15" s="2"/>
      <c r="G15" s="2"/>
      <c r="H15" s="2"/>
      <c r="I15" s="2"/>
      <c r="J15" s="17"/>
      <c r="K15" s="596"/>
      <c r="L15" s="597"/>
      <c r="M15" s="598"/>
      <c r="N15" s="580"/>
      <c r="O15" s="581"/>
      <c r="P15" s="582"/>
      <c r="Q15" s="593"/>
      <c r="R15" s="594"/>
      <c r="S15" s="595"/>
      <c r="T15" s="583"/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44" t="s">
        <v>25</v>
      </c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600</v>
      </c>
      <c r="U20" s="562"/>
      <c r="V20" s="563"/>
      <c r="X20" s="51"/>
      <c r="Y20" s="44">
        <v>1</v>
      </c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2" t="s">
        <v>33</v>
      </c>
      <c r="E24" s="2"/>
      <c r="F24" s="2"/>
      <c r="G24" s="2"/>
      <c r="H24" s="2"/>
      <c r="I24" s="2"/>
      <c r="J24" s="17"/>
      <c r="K24" s="577">
        <v>2</v>
      </c>
      <c r="L24" s="578"/>
      <c r="M24" s="579"/>
      <c r="N24" s="580">
        <f>N14</f>
        <v>0.4</v>
      </c>
      <c r="O24" s="581"/>
      <c r="P24" s="582"/>
      <c r="Q24" s="586">
        <v>10816</v>
      </c>
      <c r="R24" s="587"/>
      <c r="S24" s="588"/>
      <c r="T24" s="583">
        <f t="shared" ref="T24:T25" si="2">K24*N24*Q24</f>
        <v>8652.8000000000011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 t="s">
        <v>23</v>
      </c>
      <c r="D25" s="2" t="s">
        <v>171</v>
      </c>
      <c r="E25" s="2"/>
      <c r="F25" s="2"/>
      <c r="G25" s="2"/>
      <c r="H25" s="2"/>
      <c r="I25" s="2"/>
      <c r="J25" s="17"/>
      <c r="K25" s="577">
        <v>1</v>
      </c>
      <c r="L25" s="578"/>
      <c r="M25" s="579"/>
      <c r="N25" s="580">
        <f>N24</f>
        <v>0.4</v>
      </c>
      <c r="O25" s="581"/>
      <c r="P25" s="582"/>
      <c r="Q25" s="586">
        <v>13864</v>
      </c>
      <c r="R25" s="587"/>
      <c r="S25" s="588"/>
      <c r="T25" s="583">
        <f t="shared" si="2"/>
        <v>5545.6</v>
      </c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 t="s">
        <v>78</v>
      </c>
      <c r="D26" s="60" t="s">
        <v>172</v>
      </c>
      <c r="E26" s="2"/>
      <c r="F26" s="2"/>
      <c r="G26" s="2"/>
      <c r="H26" s="2"/>
      <c r="I26" s="2"/>
      <c r="J26" s="17"/>
      <c r="K26" s="577">
        <v>1</v>
      </c>
      <c r="L26" s="578"/>
      <c r="M26" s="579"/>
      <c r="N26" s="580">
        <f>N25</f>
        <v>0.4</v>
      </c>
      <c r="O26" s="581"/>
      <c r="P26" s="582"/>
      <c r="Q26" s="586">
        <v>18392</v>
      </c>
      <c r="R26" s="587"/>
      <c r="S26" s="588"/>
      <c r="T26" s="583">
        <f t="shared" ref="T26" si="3">K26*N26*Q26</f>
        <v>7356.8</v>
      </c>
      <c r="U26" s="584"/>
      <c r="V26" s="585"/>
      <c r="W26" s="18"/>
      <c r="X26" s="2"/>
      <c r="Y26" s="56"/>
      <c r="Z26" s="57"/>
      <c r="AA26" s="57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ROUND(SUM(T24:V28),2)</f>
        <v>21555.200000000001</v>
      </c>
      <c r="U29" s="562"/>
      <c r="V29" s="563"/>
      <c r="W29" s="9"/>
      <c r="X29" s="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22155.200000000001</v>
      </c>
      <c r="U30" s="562"/>
      <c r="V30" s="563"/>
      <c r="W30" s="2"/>
      <c r="X30" s="2"/>
      <c r="Y30" s="65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>
        <f>E7</f>
        <v>500</v>
      </c>
      <c r="I31" s="56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72"/>
      <c r="AA32" s="62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72"/>
      <c r="AA33" s="7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77" t="s">
        <v>50</v>
      </c>
      <c r="D35" s="78"/>
      <c r="E35" s="78"/>
      <c r="F35" s="78"/>
      <c r="G35" s="78"/>
      <c r="H35" s="78"/>
      <c r="I35" s="78"/>
      <c r="J35" s="79"/>
      <c r="K35" s="80"/>
      <c r="L35" s="81"/>
      <c r="M35" s="82"/>
      <c r="N35" s="83"/>
      <c r="O35" s="84"/>
      <c r="P35" s="85"/>
      <c r="Q35" s="86"/>
      <c r="R35" s="87"/>
      <c r="S35" s="88"/>
      <c r="T35" s="89"/>
      <c r="U35" s="90"/>
      <c r="V35" s="91"/>
      <c r="W35" s="18"/>
      <c r="X35" s="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92"/>
      <c r="D36" s="78"/>
      <c r="E36" s="78"/>
      <c r="F36" s="78"/>
      <c r="G36" s="78"/>
      <c r="H36" s="78"/>
      <c r="I36" s="78"/>
      <c r="J36" s="79"/>
      <c r="K36" s="80"/>
      <c r="L36" s="81"/>
      <c r="M36" s="82"/>
      <c r="N36" s="83"/>
      <c r="O36" s="84"/>
      <c r="P36" s="85"/>
      <c r="Q36" s="86"/>
      <c r="R36" s="87"/>
      <c r="S36" s="88"/>
      <c r="T36" s="89"/>
      <c r="U36" s="90"/>
      <c r="V36" s="9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93"/>
      <c r="E37" s="93"/>
      <c r="F37" s="93"/>
      <c r="G37" s="93"/>
      <c r="H37" s="93"/>
      <c r="I37" s="93"/>
      <c r="J37" s="94"/>
      <c r="K37" s="80"/>
      <c r="L37" s="81"/>
      <c r="M37" s="82"/>
      <c r="N37" s="83"/>
      <c r="O37" s="84"/>
      <c r="P37" s="85"/>
      <c r="Q37" s="86"/>
      <c r="R37" s="87"/>
      <c r="S37" s="88"/>
      <c r="T37" s="89"/>
      <c r="U37" s="90"/>
      <c r="V37" s="91"/>
      <c r="W37" s="18"/>
      <c r="X37" s="2"/>
      <c r="Y37" s="95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92"/>
      <c r="D38" s="93"/>
      <c r="E38" s="93"/>
      <c r="F38" s="93"/>
      <c r="G38" s="93"/>
      <c r="H38" s="93"/>
      <c r="I38" s="93"/>
      <c r="J38" s="94"/>
      <c r="K38" s="80"/>
      <c r="L38" s="81"/>
      <c r="M38" s="82"/>
      <c r="N38" s="83"/>
      <c r="O38" s="84"/>
      <c r="P38" s="85"/>
      <c r="Q38" s="86"/>
      <c r="R38" s="87"/>
      <c r="S38" s="88"/>
      <c r="T38" s="89"/>
      <c r="U38" s="90"/>
      <c r="V38" s="91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93"/>
      <c r="E39" s="93"/>
      <c r="F39" s="93"/>
      <c r="G39" s="93"/>
      <c r="H39" s="93"/>
      <c r="I39" s="93"/>
      <c r="J39" s="94"/>
      <c r="K39" s="99"/>
      <c r="L39" s="100"/>
      <c r="M39" s="101"/>
      <c r="N39" s="102"/>
      <c r="O39" s="103"/>
      <c r="P39" s="104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/>
      <c r="D40" s="93"/>
      <c r="E40" s="93"/>
      <c r="F40" s="93"/>
      <c r="G40" s="93"/>
      <c r="H40" s="93"/>
      <c r="I40" s="93"/>
      <c r="J40" s="94"/>
      <c r="K40" s="99"/>
      <c r="L40" s="100"/>
      <c r="M40" s="101"/>
      <c r="N40" s="102"/>
      <c r="O40" s="103"/>
      <c r="P40" s="104"/>
      <c r="Q40" s="105"/>
      <c r="R40" s="106"/>
      <c r="S40" s="107"/>
      <c r="T40" s="108"/>
      <c r="U40" s="109"/>
      <c r="V40" s="110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customHeight="1" x14ac:dyDescent="0.3">
      <c r="B42" s="41"/>
      <c r="C42" s="92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111"/>
      <c r="D43" s="93"/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108"/>
      <c r="U43" s="109"/>
      <c r="V43" s="110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93"/>
      <c r="E44" s="93"/>
      <c r="F44" s="93"/>
      <c r="G44" s="93"/>
      <c r="H44" s="93"/>
      <c r="I44" s="93"/>
      <c r="J44" s="94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 t="s">
        <v>51</v>
      </c>
      <c r="B46" s="46"/>
      <c r="C46" s="564" t="s">
        <v>52</v>
      </c>
      <c r="D46" s="565"/>
      <c r="E46" s="565"/>
      <c r="F46" s="565"/>
      <c r="G46" s="565"/>
      <c r="H46" s="565"/>
      <c r="I46" s="565"/>
      <c r="J46" s="56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/>
      <c r="U46" s="562"/>
      <c r="V46" s="563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T30+T46</f>
        <v>22155.200000000001</v>
      </c>
      <c r="U47" s="562"/>
      <c r="V47" s="563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1107.76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2215.52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25478.48</v>
      </c>
      <c r="U51" s="562"/>
      <c r="V51" s="563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127.39239999999999</v>
      </c>
      <c r="U52" s="562"/>
      <c r="V52" s="563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86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T51:V51"/>
    <mergeCell ref="T52:V52"/>
    <mergeCell ref="C46:J46"/>
    <mergeCell ref="T46:V46"/>
    <mergeCell ref="T47:V47"/>
    <mergeCell ref="T48:V48"/>
    <mergeCell ref="T49:V49"/>
    <mergeCell ref="T50:V50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1D8-DE80-084F-B8ED-4D38597724E5}">
  <sheetPr codeName="Sheet5">
    <tabColor rgb="FF92D050"/>
    <pageSetUpPr fitToPage="1"/>
  </sheetPr>
  <dimension ref="A1:AN79"/>
  <sheetViews>
    <sheetView view="pageBreakPreview" topLeftCell="A7" zoomScale="85" zoomScaleNormal="85" zoomScaleSheetLayoutView="85" workbookViewId="0">
      <selection activeCell="Q26" sqref="Q26:S26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173</v>
      </c>
      <c r="F5" s="578"/>
      <c r="G5" s="605" t="s">
        <v>174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175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v>8</v>
      </c>
      <c r="F7" s="581"/>
      <c r="G7" s="2" t="s">
        <v>176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DATA'!C11</f>
        <v>2</v>
      </c>
      <c r="F8" s="600"/>
      <c r="G8" s="602" t="str">
        <f>E6</f>
        <v>EACH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0.25</v>
      </c>
      <c r="O13" s="581"/>
      <c r="P13" s="582"/>
      <c r="Q13" s="599">
        <v>800</v>
      </c>
      <c r="R13" s="600"/>
      <c r="S13" s="601"/>
      <c r="T13" s="583">
        <f t="shared" ref="T13" si="0">K13*N13*Q13</f>
        <v>200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0.25</v>
      </c>
      <c r="O14" s="581"/>
      <c r="P14" s="582"/>
      <c r="Q14" s="599">
        <v>600</v>
      </c>
      <c r="R14" s="600"/>
      <c r="S14" s="601"/>
      <c r="T14" s="583">
        <f t="shared" ref="T14:T15" si="1">K14*N14*Q14</f>
        <v>150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2</v>
      </c>
      <c r="L15" s="597"/>
      <c r="M15" s="598"/>
      <c r="N15" s="580">
        <f>N14</f>
        <v>0.25</v>
      </c>
      <c r="O15" s="581"/>
      <c r="P15" s="582"/>
      <c r="Q15" s="593">
        <v>400</v>
      </c>
      <c r="R15" s="594"/>
      <c r="S15" s="595"/>
      <c r="T15" s="583">
        <f t="shared" si="1"/>
        <v>200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44" t="s">
        <v>25</v>
      </c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550</v>
      </c>
      <c r="U20" s="562"/>
      <c r="V20" s="563"/>
      <c r="X20" s="51"/>
      <c r="Y20" s="44">
        <v>1</v>
      </c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6" t="s">
        <v>21</v>
      </c>
      <c r="D24" s="2" t="s">
        <v>177</v>
      </c>
      <c r="E24" s="2"/>
      <c r="F24" s="2"/>
      <c r="G24" s="2"/>
      <c r="H24" s="2"/>
      <c r="I24" s="2"/>
      <c r="J24" s="17"/>
      <c r="K24" s="577">
        <v>1</v>
      </c>
      <c r="L24" s="578"/>
      <c r="M24" s="579"/>
      <c r="N24" s="580">
        <f>0.25*E8</f>
        <v>0.5</v>
      </c>
      <c r="O24" s="581"/>
      <c r="P24" s="582"/>
      <c r="Q24" s="586">
        <v>16599</v>
      </c>
      <c r="R24" s="587"/>
      <c r="S24" s="588"/>
      <c r="T24" s="583">
        <f>K24*N24*Q24</f>
        <v>8299.5</v>
      </c>
      <c r="U24" s="584"/>
      <c r="V24" s="585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15"/>
      <c r="C25" s="19" t="s">
        <v>23</v>
      </c>
      <c r="D25" s="2" t="s">
        <v>33</v>
      </c>
      <c r="E25" s="2"/>
      <c r="F25" s="2"/>
      <c r="G25" s="2"/>
      <c r="H25" s="2"/>
      <c r="I25" s="2"/>
      <c r="J25" s="17"/>
      <c r="K25" s="577">
        <v>1</v>
      </c>
      <c r="L25" s="578"/>
      <c r="M25" s="579"/>
      <c r="N25" s="580">
        <f>0.17*E8</f>
        <v>0.34</v>
      </c>
      <c r="O25" s="581"/>
      <c r="P25" s="582"/>
      <c r="Q25" s="586">
        <v>10816</v>
      </c>
      <c r="R25" s="587"/>
      <c r="S25" s="588"/>
      <c r="T25" s="583">
        <f t="shared" ref="T25:T26" si="2">K25*N25*Q25</f>
        <v>3677.44</v>
      </c>
      <c r="U25" s="584"/>
      <c r="V25" s="585"/>
      <c r="W25" s="18"/>
      <c r="X25" s="2"/>
      <c r="Y25" s="53"/>
      <c r="Z25" s="54"/>
      <c r="AA25" s="54"/>
      <c r="AB25" s="55"/>
      <c r="AC25" s="55"/>
      <c r="AD25" s="54"/>
      <c r="AE25" s="55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19" t="s">
        <v>78</v>
      </c>
      <c r="D26" s="2" t="s">
        <v>178</v>
      </c>
      <c r="E26" s="2"/>
      <c r="F26" s="2"/>
      <c r="G26" s="2"/>
      <c r="H26" s="2"/>
      <c r="I26" s="2"/>
      <c r="J26" s="17"/>
      <c r="K26" s="577">
        <v>1</v>
      </c>
      <c r="L26" s="578"/>
      <c r="M26" s="579"/>
      <c r="N26" s="580">
        <f>N25</f>
        <v>0.34</v>
      </c>
      <c r="O26" s="581"/>
      <c r="P26" s="582"/>
      <c r="Q26" s="586">
        <v>600</v>
      </c>
      <c r="R26" s="587"/>
      <c r="S26" s="588"/>
      <c r="T26" s="583">
        <f t="shared" si="2"/>
        <v>204.00000000000003</v>
      </c>
      <c r="U26" s="584"/>
      <c r="V26" s="585"/>
      <c r="W26" s="18"/>
      <c r="X26" s="2"/>
      <c r="Y26" s="56"/>
      <c r="Z26" s="57"/>
      <c r="AA26" s="57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60" t="s">
        <v>179</v>
      </c>
      <c r="D27" s="60"/>
      <c r="E27" s="2"/>
      <c r="F27" s="2"/>
      <c r="G27" s="2"/>
      <c r="H27" s="2"/>
      <c r="I27" s="2"/>
      <c r="J27" s="17"/>
      <c r="K27" s="577">
        <v>1</v>
      </c>
      <c r="L27" s="578"/>
      <c r="M27" s="579"/>
      <c r="N27" s="580"/>
      <c r="O27" s="581"/>
      <c r="P27" s="582"/>
      <c r="Q27" s="586"/>
      <c r="R27" s="587"/>
      <c r="S27" s="588"/>
      <c r="T27" s="583">
        <f>0.05*T20</f>
        <v>27.5</v>
      </c>
      <c r="U27" s="584"/>
      <c r="V27" s="585"/>
      <c r="W27" s="18"/>
      <c r="X27" s="2"/>
      <c r="Y27" s="56"/>
      <c r="Z27" s="57"/>
      <c r="AA27" s="57"/>
      <c r="AB27" s="57"/>
      <c r="AC27" s="57"/>
      <c r="AD27" s="58"/>
      <c r="AE27" s="59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81"/>
      <c r="P28" s="582"/>
      <c r="Q28" s="580"/>
      <c r="R28" s="581"/>
      <c r="S28" s="582"/>
      <c r="T28" s="583"/>
      <c r="U28" s="584"/>
      <c r="V28" s="585"/>
      <c r="W28" s="18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78"/>
      <c r="P29" s="579"/>
      <c r="Q29" s="580"/>
      <c r="R29" s="581"/>
      <c r="S29" s="582"/>
      <c r="T29" s="583"/>
      <c r="U29" s="584"/>
      <c r="V29" s="585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6.5" x14ac:dyDescent="0.3">
      <c r="A30" s="61" t="s">
        <v>34</v>
      </c>
      <c r="B30" s="46"/>
      <c r="C30" s="564" t="s">
        <v>35</v>
      </c>
      <c r="D30" s="565"/>
      <c r="E30" s="565"/>
      <c r="F30" s="565"/>
      <c r="G30" s="565"/>
      <c r="H30" s="565"/>
      <c r="I30" s="565"/>
      <c r="J30" s="56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61">
        <f>ROUND(SUM(T25:V29),2)</f>
        <v>3908.94</v>
      </c>
      <c r="U30" s="562"/>
      <c r="V30" s="563"/>
      <c r="W30" s="9"/>
      <c r="X30" s="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4" t="s">
        <v>36</v>
      </c>
      <c r="C31" s="564" t="s">
        <v>37</v>
      </c>
      <c r="D31" s="565"/>
      <c r="E31" s="565"/>
      <c r="F31" s="565"/>
      <c r="G31" s="565"/>
      <c r="H31" s="565"/>
      <c r="I31" s="565"/>
      <c r="J31" s="565"/>
      <c r="K31" s="48"/>
      <c r="L31" s="48"/>
      <c r="M31" s="48"/>
      <c r="N31" s="48"/>
      <c r="O31" s="48"/>
      <c r="P31" s="48"/>
      <c r="Q31" s="48"/>
      <c r="R31" s="48"/>
      <c r="S31" s="48"/>
      <c r="T31" s="562">
        <f>T20+T30</f>
        <v>4458.9400000000005</v>
      </c>
      <c r="U31" s="562"/>
      <c r="V31" s="563"/>
      <c r="W31" s="2"/>
      <c r="X31" s="2"/>
      <c r="Y31" s="65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3"/>
      <c r="AN31" s="2"/>
    </row>
    <row r="32" spans="1:40" ht="16.5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70">
        <f>E7</f>
        <v>8</v>
      </c>
      <c r="I32" s="565"/>
      <c r="J32" s="48" t="str">
        <f>G7</f>
        <v>EACH/DAY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"/>
      <c r="Y32" s="62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70" t="s">
        <v>41</v>
      </c>
      <c r="AL32" s="71" t="s">
        <v>42</v>
      </c>
      <c r="AM32" s="71" t="s">
        <v>43</v>
      </c>
      <c r="AN32" s="2"/>
    </row>
    <row r="33" spans="1:40" ht="16.5" x14ac:dyDescent="0.3">
      <c r="B33" s="571" t="s">
        <v>44</v>
      </c>
      <c r="C33" s="572"/>
      <c r="D33" s="572"/>
      <c r="E33" s="572"/>
      <c r="F33" s="572"/>
      <c r="G33" s="572"/>
      <c r="H33" s="572"/>
      <c r="I33" s="572"/>
      <c r="J33" s="573"/>
      <c r="K33" s="571" t="s">
        <v>45</v>
      </c>
      <c r="L33" s="572"/>
      <c r="M33" s="573"/>
      <c r="N33" s="571" t="s">
        <v>46</v>
      </c>
      <c r="O33" s="572"/>
      <c r="P33" s="573"/>
      <c r="Q33" s="571" t="s">
        <v>47</v>
      </c>
      <c r="R33" s="572"/>
      <c r="S33" s="573"/>
      <c r="T33" s="571" t="s">
        <v>17</v>
      </c>
      <c r="U33" s="572"/>
      <c r="V33" s="573"/>
      <c r="W33" s="2"/>
      <c r="X33" s="2"/>
      <c r="Y33" s="72"/>
      <c r="Z33" s="72"/>
      <c r="AA33" s="62"/>
      <c r="AB33" s="72"/>
      <c r="AC33" s="62"/>
      <c r="AD33" s="62"/>
      <c r="AE33" s="72"/>
      <c r="AF33" s="72"/>
      <c r="AG33" s="72"/>
      <c r="AH33" s="72"/>
      <c r="AI33" s="62"/>
      <c r="AJ33" s="62"/>
      <c r="AK33" s="73"/>
      <c r="AL33" s="74"/>
      <c r="AM33" s="74"/>
      <c r="AN33" s="2"/>
    </row>
    <row r="34" spans="1:40" ht="16.5" x14ac:dyDescent="0.3">
      <c r="B34" s="574"/>
      <c r="C34" s="575"/>
      <c r="D34" s="575"/>
      <c r="E34" s="575"/>
      <c r="F34" s="575"/>
      <c r="G34" s="575"/>
      <c r="H34" s="575"/>
      <c r="I34" s="575"/>
      <c r="J34" s="576"/>
      <c r="K34" s="574"/>
      <c r="L34" s="575"/>
      <c r="M34" s="576"/>
      <c r="N34" s="574"/>
      <c r="O34" s="575"/>
      <c r="P34" s="576"/>
      <c r="Q34" s="574"/>
      <c r="R34" s="575"/>
      <c r="S34" s="576"/>
      <c r="T34" s="574"/>
      <c r="U34" s="575"/>
      <c r="V34" s="576"/>
      <c r="W34" s="2"/>
      <c r="X34" s="2"/>
      <c r="Y34" s="72"/>
      <c r="Z34" s="72"/>
      <c r="AA34" s="72"/>
      <c r="AB34" s="72"/>
      <c r="AC34" s="72"/>
      <c r="AD34" s="72"/>
      <c r="AE34" s="72"/>
      <c r="AF34" s="62"/>
      <c r="AG34" s="62"/>
      <c r="AH34" s="62"/>
      <c r="AI34" s="62"/>
      <c r="AJ34" s="62"/>
      <c r="AK34" s="73"/>
      <c r="AL34" s="74"/>
      <c r="AM34" s="74"/>
      <c r="AN34" s="2"/>
    </row>
    <row r="35" spans="1:40" ht="16.5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>
        <v>2</v>
      </c>
      <c r="AM35" s="76"/>
      <c r="AN35" s="2"/>
    </row>
    <row r="36" spans="1:40" ht="16.5" customHeight="1" x14ac:dyDescent="0.3">
      <c r="B36" s="41"/>
      <c r="C36" s="77" t="s">
        <v>50</v>
      </c>
      <c r="D36" s="78"/>
      <c r="E36" s="78"/>
      <c r="F36" s="78"/>
      <c r="G36" s="78"/>
      <c r="H36" s="78"/>
      <c r="I36" s="78"/>
      <c r="J36" s="79"/>
      <c r="K36" s="80"/>
      <c r="L36" s="81"/>
      <c r="M36" s="82"/>
      <c r="N36" s="83"/>
      <c r="O36" s="84"/>
      <c r="P36" s="85"/>
      <c r="Q36" s="86"/>
      <c r="R36" s="87"/>
      <c r="S36" s="88"/>
      <c r="T36" s="89"/>
      <c r="U36" s="90"/>
      <c r="V36" s="91"/>
      <c r="W36" s="18"/>
      <c r="X36" s="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5"/>
      <c r="AL36" s="76"/>
      <c r="AM36" s="76">
        <v>4</v>
      </c>
      <c r="AN36" s="2"/>
    </row>
    <row r="37" spans="1:40" ht="16.5" customHeight="1" x14ac:dyDescent="0.3">
      <c r="B37" s="41"/>
      <c r="C37" s="92"/>
      <c r="D37" s="78"/>
      <c r="E37" s="78"/>
      <c r="F37" s="78"/>
      <c r="G37" s="78"/>
      <c r="H37" s="78"/>
      <c r="I37" s="78"/>
      <c r="J37" s="79"/>
      <c r="K37" s="80"/>
      <c r="L37" s="81"/>
      <c r="M37" s="82"/>
      <c r="N37" s="83"/>
      <c r="O37" s="84"/>
      <c r="P37" s="85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93"/>
      <c r="E38" s="93"/>
      <c r="F38" s="93"/>
      <c r="G38" s="93"/>
      <c r="H38" s="93"/>
      <c r="I38" s="93"/>
      <c r="J38" s="94"/>
      <c r="K38" s="80"/>
      <c r="L38" s="81"/>
      <c r="M38" s="82"/>
      <c r="N38" s="83"/>
      <c r="O38" s="84"/>
      <c r="P38" s="85"/>
      <c r="Q38" s="86"/>
      <c r="R38" s="87"/>
      <c r="S38" s="88"/>
      <c r="T38" s="89"/>
      <c r="U38" s="90"/>
      <c r="V38" s="91"/>
      <c r="W38" s="18"/>
      <c r="X38" s="2"/>
      <c r="Y38" s="95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7">
        <f>SUM(AK33:AK36)</f>
        <v>0</v>
      </c>
      <c r="AL38" s="98">
        <f>SUM(AL33:AL36)</f>
        <v>2</v>
      </c>
      <c r="AM38" s="98">
        <f>SUM(AM33:AM36)</f>
        <v>4</v>
      </c>
      <c r="AN38" s="2"/>
    </row>
    <row r="39" spans="1:40" ht="16.5" customHeight="1" x14ac:dyDescent="0.3">
      <c r="B39" s="41"/>
      <c r="C39" s="92"/>
      <c r="D39" s="93"/>
      <c r="E39" s="93"/>
      <c r="F39" s="93"/>
      <c r="G39" s="93"/>
      <c r="H39" s="93"/>
      <c r="I39" s="93"/>
      <c r="J39" s="94"/>
      <c r="K39" s="80"/>
      <c r="L39" s="81"/>
      <c r="M39" s="82"/>
      <c r="N39" s="83"/>
      <c r="O39" s="84"/>
      <c r="P39" s="85"/>
      <c r="Q39" s="86"/>
      <c r="R39" s="87"/>
      <c r="S39" s="88"/>
      <c r="T39" s="89"/>
      <c r="U39" s="90"/>
      <c r="V39" s="91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/>
      <c r="D40" s="93"/>
      <c r="E40" s="93"/>
      <c r="F40" s="93"/>
      <c r="G40" s="93"/>
      <c r="H40" s="93"/>
      <c r="I40" s="93"/>
      <c r="J40" s="94"/>
      <c r="K40" s="99"/>
      <c r="L40" s="100"/>
      <c r="M40" s="101"/>
      <c r="N40" s="102"/>
      <c r="O40" s="103"/>
      <c r="P40" s="104"/>
      <c r="Q40" s="105"/>
      <c r="R40" s="106"/>
      <c r="S40" s="107"/>
      <c r="T40" s="108"/>
      <c r="U40" s="109"/>
      <c r="V40" s="110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99"/>
      <c r="L41" s="100"/>
      <c r="M41" s="101"/>
      <c r="N41" s="102"/>
      <c r="O41" s="103"/>
      <c r="P41" s="104"/>
      <c r="Q41" s="105"/>
      <c r="R41" s="106"/>
      <c r="S41" s="107"/>
      <c r="T41" s="108"/>
      <c r="U41" s="109"/>
      <c r="V41" s="110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x14ac:dyDescent="0.3">
      <c r="B42" s="41"/>
      <c r="C42" s="92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customHeight="1" x14ac:dyDescent="0.3">
      <c r="B43" s="41"/>
      <c r="C43" s="92"/>
      <c r="D43" s="93"/>
      <c r="E43" s="93"/>
      <c r="F43" s="93"/>
      <c r="G43" s="93"/>
      <c r="H43" s="93"/>
      <c r="I43" s="93"/>
      <c r="J43" s="94"/>
      <c r="K43" s="80"/>
      <c r="L43" s="81"/>
      <c r="M43" s="82"/>
      <c r="N43" s="83"/>
      <c r="O43" s="84"/>
      <c r="P43" s="85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6.5" x14ac:dyDescent="0.3">
      <c r="B44" s="41"/>
      <c r="C44" s="111"/>
      <c r="D44" s="93"/>
      <c r="E44" s="93"/>
      <c r="F44" s="93"/>
      <c r="G44" s="93"/>
      <c r="H44" s="93"/>
      <c r="I44" s="93"/>
      <c r="J44" s="94"/>
      <c r="K44" s="99"/>
      <c r="L44" s="100"/>
      <c r="M44" s="101"/>
      <c r="N44" s="112"/>
      <c r="O44" s="113"/>
      <c r="P44" s="114"/>
      <c r="Q44" s="86"/>
      <c r="R44" s="87"/>
      <c r="S44" s="88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3"/>
      <c r="AJ44" s="63"/>
      <c r="AK44" s="63"/>
      <c r="AL44" s="63"/>
      <c r="AM44" s="63"/>
      <c r="AN44" s="2"/>
    </row>
    <row r="45" spans="1:40" ht="15" customHeight="1" x14ac:dyDescent="0.3">
      <c r="B45" s="41"/>
      <c r="C45" s="19"/>
      <c r="D45" s="93"/>
      <c r="E45" s="93"/>
      <c r="F45" s="93"/>
      <c r="G45" s="93"/>
      <c r="H45" s="93"/>
      <c r="I45" s="93"/>
      <c r="J45" s="94"/>
      <c r="K45" s="115"/>
      <c r="L45" s="116"/>
      <c r="M45" s="117"/>
      <c r="N45" s="118"/>
      <c r="O45" s="20"/>
      <c r="P45" s="119"/>
      <c r="Q45" s="86"/>
      <c r="R45" s="87"/>
      <c r="S45" s="88"/>
      <c r="T45" s="89"/>
      <c r="U45" s="90"/>
      <c r="V45" s="91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B46" s="41"/>
      <c r="C46"/>
      <c r="D46" s="120"/>
      <c r="F46" s="121"/>
      <c r="G46" s="122"/>
      <c r="H46" s="122"/>
      <c r="I46" s="122"/>
      <c r="J46" s="17"/>
      <c r="K46" s="123"/>
      <c r="L46" s="124"/>
      <c r="M46" s="125"/>
      <c r="N46" s="126"/>
      <c r="O46" s="127"/>
      <c r="P46" s="128"/>
      <c r="Q46" s="105"/>
      <c r="R46" s="106"/>
      <c r="S46" s="107"/>
      <c r="T46" s="108"/>
      <c r="U46" s="109"/>
      <c r="V46" s="110"/>
      <c r="W46" s="18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63"/>
      <c r="AN46" s="2"/>
    </row>
    <row r="47" spans="1:40" ht="15" customHeight="1" x14ac:dyDescent="0.3">
      <c r="A47" s="45" t="s">
        <v>51</v>
      </c>
      <c r="B47" s="46"/>
      <c r="C47" s="564" t="s">
        <v>52</v>
      </c>
      <c r="D47" s="565"/>
      <c r="E47" s="565"/>
      <c r="F47" s="565"/>
      <c r="G47" s="565"/>
      <c r="H47" s="565"/>
      <c r="I47" s="565"/>
      <c r="J47" s="56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61"/>
      <c r="U47" s="562"/>
      <c r="V47" s="563"/>
      <c r="W47" s="2"/>
      <c r="X47" s="2"/>
      <c r="Y47" s="65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61">
        <f>T31+T47</f>
        <v>4458.9400000000005</v>
      </c>
      <c r="U48" s="562"/>
      <c r="V48" s="563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129"/>
      <c r="AN48" s="2"/>
    </row>
    <row r="49" spans="1:40" ht="15" customHeight="1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67">
        <f>T48*N49</f>
        <v>222.94700000000003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3"/>
      <c r="AN49" s="2"/>
    </row>
    <row r="50" spans="1:40" ht="15" customHeight="1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67">
        <f>T48*N50</f>
        <v>445.89400000000006</v>
      </c>
      <c r="U50" s="568"/>
      <c r="V50" s="56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67">
        <f>(T48+T49+T50)*N51</f>
        <v>0</v>
      </c>
      <c r="U51" s="568"/>
      <c r="V51" s="569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61">
        <f>SUM(T48:V51)</f>
        <v>5127.7810000000009</v>
      </c>
      <c r="U52" s="562"/>
      <c r="V52" s="563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3"/>
      <c r="AL52" s="63"/>
      <c r="AM52" s="63"/>
      <c r="AN52" s="2"/>
    </row>
    <row r="53" spans="1:40" ht="15" customHeight="1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61">
        <f>T52/E8</f>
        <v>2563.8905000000004</v>
      </c>
      <c r="U53" s="562"/>
      <c r="V53" s="563"/>
      <c r="W53" s="13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L55" s="2"/>
      <c r="M55" s="2"/>
      <c r="N55" s="2"/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135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136"/>
      <c r="Z64" s="136"/>
      <c r="AA64" s="136"/>
      <c r="AB64" s="136"/>
      <c r="AC64" s="137"/>
      <c r="AD64" s="138"/>
      <c r="AE64" s="138"/>
      <c r="AF64" s="138"/>
      <c r="AG64" s="138"/>
      <c r="AH64" s="138"/>
      <c r="AI64" s="138"/>
      <c r="AJ64" s="138"/>
      <c r="AK64" s="62"/>
      <c r="AL64" s="62"/>
      <c r="AM64" s="63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5" customHeight="1" x14ac:dyDescent="0.3">
      <c r="X71" s="2"/>
      <c r="Y71" s="139"/>
      <c r="Z71" s="33"/>
      <c r="AA71" s="140"/>
      <c r="AB71" s="141"/>
      <c r="AC71" s="34"/>
      <c r="AD71" s="34"/>
      <c r="AE71" s="34"/>
      <c r="AF71" s="2"/>
      <c r="AG71" s="2"/>
      <c r="AH71" s="2"/>
      <c r="AI71" s="2"/>
      <c r="AJ71" s="2"/>
      <c r="AK71" s="2"/>
      <c r="AL71" s="2"/>
      <c r="AM71" s="2"/>
      <c r="AN71" s="2"/>
    </row>
    <row r="72" spans="24:40" ht="16.5" x14ac:dyDescent="0.25">
      <c r="Y72" s="142"/>
      <c r="Z72" s="143"/>
      <c r="AA72" s="144"/>
      <c r="AB72" s="144"/>
      <c r="AC72" s="34"/>
      <c r="AD72" s="34"/>
      <c r="AE72" s="34"/>
    </row>
    <row r="73" spans="24:40" ht="16.5" x14ac:dyDescent="0.25">
      <c r="Y73" s="33"/>
      <c r="Z73" s="34"/>
      <c r="AA73" s="140"/>
      <c r="AB73" s="140"/>
      <c r="AC73" s="34"/>
      <c r="AD73" s="34"/>
      <c r="AE73" s="34"/>
    </row>
    <row r="74" spans="24:40" ht="16.5" x14ac:dyDescent="0.25">
      <c r="Y74" s="142"/>
      <c r="Z74" s="142"/>
      <c r="AA74" s="143"/>
      <c r="AB74" s="144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  <row r="79" spans="24:40" ht="16.5" x14ac:dyDescent="0.25">
      <c r="Y79" s="33"/>
      <c r="Z79" s="33"/>
      <c r="AA79" s="34"/>
      <c r="AB79" s="33"/>
      <c r="AC79" s="34"/>
      <c r="AD79" s="34"/>
      <c r="AE79" s="34"/>
    </row>
  </sheetData>
  <mergeCells count="90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5:M25"/>
    <mergeCell ref="N25:P25"/>
    <mergeCell ref="Q25:S25"/>
    <mergeCell ref="T25:V25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N26:P26"/>
    <mergeCell ref="Q26:S26"/>
    <mergeCell ref="T26:V26"/>
    <mergeCell ref="K27:M27"/>
    <mergeCell ref="N27:P27"/>
    <mergeCell ref="Q27:S27"/>
    <mergeCell ref="T27:V27"/>
    <mergeCell ref="B33:J34"/>
    <mergeCell ref="K33:M34"/>
    <mergeCell ref="N33:P34"/>
    <mergeCell ref="Q33:S34"/>
    <mergeCell ref="T33:V34"/>
    <mergeCell ref="C30:J30"/>
    <mergeCell ref="T30:V30"/>
    <mergeCell ref="C31:J31"/>
    <mergeCell ref="T31:V31"/>
    <mergeCell ref="H32:I32"/>
    <mergeCell ref="C47:J47"/>
    <mergeCell ref="T47:V47"/>
    <mergeCell ref="T48:V48"/>
    <mergeCell ref="T49:V49"/>
    <mergeCell ref="T50:V50"/>
    <mergeCell ref="T52:V52"/>
    <mergeCell ref="T53:V53"/>
    <mergeCell ref="K24:M24"/>
    <mergeCell ref="N24:P24"/>
    <mergeCell ref="Q24:S24"/>
    <mergeCell ref="T24:V24"/>
    <mergeCell ref="T51:V5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D913-AD3E-E445-9C19-A9663D9A08CF}">
  <sheetPr codeName="Sheet6">
    <tabColor rgb="FF92D050"/>
    <pageSetUpPr fitToPage="1"/>
  </sheetPr>
  <dimension ref="A1:AR56"/>
  <sheetViews>
    <sheetView view="pageBreakPreview" topLeftCell="B10" zoomScale="85" zoomScaleNormal="85" zoomScaleSheetLayoutView="85" workbookViewId="0">
      <selection activeCell="Q24" sqref="Q24:S24"/>
    </sheetView>
  </sheetViews>
  <sheetFormatPr defaultColWidth="9.140625" defaultRowHeight="15" x14ac:dyDescent="0.25"/>
  <cols>
    <col min="1" max="1" width="21.42578125" style="145" customWidth="1"/>
    <col min="2" max="2" width="8.7109375" style="1" customWidth="1"/>
    <col min="3" max="3" width="4.42578125" style="1" customWidth="1"/>
    <col min="4" max="4" width="15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9" width="4.7109375" style="1" customWidth="1"/>
    <col min="20" max="21" width="4.42578125" style="1" customWidth="1"/>
    <col min="22" max="22" width="6.28515625" style="1" customWidth="1"/>
    <col min="23" max="23" width="5.42578125" style="1" customWidth="1"/>
    <col min="24" max="24" width="14.140625" style="1" customWidth="1"/>
    <col min="25" max="25" width="26.28515625" style="1" customWidth="1"/>
    <col min="26" max="26" width="14.42578125" style="1" customWidth="1"/>
    <col min="27" max="27" width="12.28515625" style="1" bestFit="1" customWidth="1"/>
    <col min="28" max="28" width="12.85546875" style="1" customWidth="1"/>
    <col min="29" max="30" width="20" style="1" customWidth="1"/>
    <col min="31" max="31" width="13.28515625" style="1" customWidth="1"/>
    <col min="32" max="16384" width="9.140625" style="1"/>
  </cols>
  <sheetData>
    <row r="1" spans="1:44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44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4" s="4" customFormat="1" ht="16.5" x14ac:dyDescent="0.25">
      <c r="A3" s="187"/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44" s="178" customFormat="1" ht="16.5" x14ac:dyDescent="0.25">
      <c r="A4" s="186"/>
      <c r="B4" s="175"/>
      <c r="C4" s="175"/>
      <c r="D4" s="17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75"/>
      <c r="X4" s="175"/>
      <c r="Y4" s="175"/>
      <c r="Z4" s="175"/>
      <c r="AA4" s="175"/>
      <c r="AB4" s="175"/>
    </row>
    <row r="5" spans="1:44" ht="16.5" x14ac:dyDescent="0.3">
      <c r="A5" s="181" t="s">
        <v>2</v>
      </c>
      <c r="B5" s="2" t="s">
        <v>3</v>
      </c>
      <c r="C5" s="2"/>
      <c r="D5" s="2"/>
      <c r="E5" s="606" t="s">
        <v>180</v>
      </c>
      <c r="F5" s="607"/>
      <c r="G5" s="184" t="s">
        <v>181</v>
      </c>
      <c r="H5" s="183"/>
      <c r="K5" s="183"/>
      <c r="L5" s="183"/>
      <c r="M5" s="183"/>
      <c r="N5" s="182"/>
      <c r="O5" s="182"/>
      <c r="P5" s="182"/>
      <c r="Q5" s="182"/>
      <c r="R5" s="2"/>
      <c r="S5" s="2"/>
      <c r="T5" s="2"/>
      <c r="U5" s="2"/>
      <c r="V5" s="2"/>
      <c r="W5" s="2"/>
      <c r="X5" s="2" t="s">
        <v>72</v>
      </c>
      <c r="Y5" s="2">
        <v>1</v>
      </c>
      <c r="Z5" s="2"/>
      <c r="AA5" s="2"/>
      <c r="AB5" s="2"/>
    </row>
    <row r="6" spans="1:44" ht="16.5" x14ac:dyDescent="0.3">
      <c r="A6" s="181" t="s">
        <v>6</v>
      </c>
      <c r="B6" s="2" t="s">
        <v>7</v>
      </c>
      <c r="C6" s="2"/>
      <c r="D6" s="2"/>
      <c r="E6" s="578" t="s">
        <v>71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44" ht="16.5" x14ac:dyDescent="0.3">
      <c r="B7" s="2" t="s">
        <v>9</v>
      </c>
      <c r="C7" s="2"/>
      <c r="D7" s="2"/>
      <c r="E7" s="581">
        <f>20*8*Y5</f>
        <v>160</v>
      </c>
      <c r="F7" s="581"/>
      <c r="G7" s="2" t="s">
        <v>70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44" ht="16.5" x14ac:dyDescent="0.3">
      <c r="A8" s="181" t="s">
        <v>11</v>
      </c>
      <c r="B8" s="2" t="s">
        <v>12</v>
      </c>
      <c r="C8" s="2"/>
      <c r="D8" s="2"/>
      <c r="E8" s="581">
        <f>'INPUT DATA'!C12</f>
        <v>23</v>
      </c>
      <c r="F8" s="581"/>
      <c r="G8" s="602" t="str">
        <f>E6</f>
        <v>CU.M.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44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44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608" t="s">
        <v>16</v>
      </c>
      <c r="R10" s="609"/>
      <c r="S10" s="610"/>
      <c r="T10" s="571" t="s">
        <v>17</v>
      </c>
      <c r="U10" s="572"/>
      <c r="V10" s="573"/>
      <c r="W10" s="2"/>
      <c r="X10" s="2"/>
      <c r="Y10" s="175"/>
      <c r="Z10" s="175"/>
      <c r="AA10" s="175"/>
      <c r="AB10" s="180"/>
      <c r="AC10" s="178"/>
      <c r="AD10" s="178"/>
      <c r="AE10" s="178"/>
      <c r="AF10" s="178"/>
      <c r="AG10" s="178"/>
    </row>
    <row r="11" spans="1:44" ht="16.5" customHeight="1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611"/>
      <c r="R11" s="612"/>
      <c r="S11" s="613"/>
      <c r="T11" s="574"/>
      <c r="U11" s="575"/>
      <c r="V11" s="576"/>
      <c r="W11" s="2"/>
      <c r="X11" s="2"/>
      <c r="Y11" s="175"/>
      <c r="Z11" s="14"/>
      <c r="AA11" s="14"/>
      <c r="AB11" s="14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</row>
    <row r="12" spans="1:44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2"/>
      <c r="Y12" s="175"/>
      <c r="Z12" s="14"/>
      <c r="AA12" s="14"/>
      <c r="AB12" s="14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</row>
    <row r="13" spans="1:44" ht="16.5" x14ac:dyDescent="0.3">
      <c r="A13" s="45" t="s">
        <v>20</v>
      </c>
      <c r="B13" s="15"/>
      <c r="C13" s="16" t="s">
        <v>21</v>
      </c>
      <c r="D13" s="2" t="s">
        <v>22</v>
      </c>
      <c r="E13" s="2"/>
      <c r="F13" s="2"/>
      <c r="G13" s="2"/>
      <c r="H13" s="2"/>
      <c r="I13" s="179"/>
      <c r="J13" s="17"/>
      <c r="K13" s="577">
        <v>1</v>
      </c>
      <c r="L13" s="578"/>
      <c r="M13" s="579"/>
      <c r="N13" s="580">
        <f>E8/E7</f>
        <v>0.14374999999999999</v>
      </c>
      <c r="O13" s="581"/>
      <c r="P13" s="582"/>
      <c r="Q13" s="599">
        <v>800</v>
      </c>
      <c r="R13" s="600"/>
      <c r="S13" s="601"/>
      <c r="T13" s="615">
        <f>K13*N13*Q13</f>
        <v>114.99999999999999</v>
      </c>
      <c r="U13" s="616"/>
      <c r="V13" s="617"/>
      <c r="W13" s="2"/>
      <c r="X13" s="618"/>
      <c r="Y13" s="618"/>
      <c r="Z13" s="618"/>
      <c r="AA13" s="618"/>
      <c r="AB13" s="618"/>
      <c r="AC13" s="614"/>
      <c r="AD13" s="614"/>
      <c r="AE13" s="614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</row>
    <row r="14" spans="1:44" ht="16.5" x14ac:dyDescent="0.3">
      <c r="B14" s="41"/>
      <c r="C14" s="16" t="s">
        <v>23</v>
      </c>
      <c r="D14" s="2" t="s">
        <v>24</v>
      </c>
      <c r="E14" s="2"/>
      <c r="F14" s="2"/>
      <c r="G14" s="2"/>
      <c r="H14" s="2"/>
      <c r="I14" s="2"/>
      <c r="J14" s="17"/>
      <c r="K14" s="577">
        <f>3*Y5</f>
        <v>3</v>
      </c>
      <c r="L14" s="578"/>
      <c r="M14" s="579"/>
      <c r="N14" s="580">
        <f>E8/E7</f>
        <v>0.14374999999999999</v>
      </c>
      <c r="O14" s="581"/>
      <c r="P14" s="582"/>
      <c r="Q14" s="599">
        <v>400</v>
      </c>
      <c r="R14" s="600"/>
      <c r="S14" s="601"/>
      <c r="T14" s="615">
        <f>K14*N14*Q14</f>
        <v>172.5</v>
      </c>
      <c r="U14" s="616"/>
      <c r="V14" s="617"/>
      <c r="W14" s="2"/>
      <c r="X14" s="618"/>
      <c r="Y14" s="618"/>
      <c r="Z14" s="618"/>
      <c r="AA14" s="618"/>
      <c r="AB14" s="618"/>
      <c r="AC14" s="614"/>
      <c r="AD14" s="614"/>
      <c r="AE14" s="614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</row>
    <row r="15" spans="1:44" ht="16.5" x14ac:dyDescent="0.3">
      <c r="B15" s="41"/>
      <c r="C15" s="16"/>
      <c r="D15" s="2"/>
      <c r="E15" s="2"/>
      <c r="F15" s="2"/>
      <c r="G15" s="2"/>
      <c r="H15" s="2"/>
      <c r="I15" s="2"/>
      <c r="J15" s="17"/>
      <c r="K15" s="577"/>
      <c r="L15" s="578"/>
      <c r="M15" s="579"/>
      <c r="N15" s="580"/>
      <c r="O15" s="578"/>
      <c r="P15" s="579"/>
      <c r="Q15" s="589"/>
      <c r="R15" s="578"/>
      <c r="S15" s="579"/>
      <c r="T15" s="615"/>
      <c r="U15" s="616"/>
      <c r="V15" s="617"/>
      <c r="W15" s="9"/>
      <c r="X15" s="2"/>
      <c r="Y15" s="14"/>
      <c r="Z15" s="14"/>
      <c r="AA15" s="14"/>
      <c r="AB15" s="14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</row>
    <row r="16" spans="1:44" ht="16.5" x14ac:dyDescent="0.3">
      <c r="B16" s="41"/>
      <c r="C16" s="16"/>
      <c r="D16" s="2"/>
      <c r="E16" s="2"/>
      <c r="F16" s="2"/>
      <c r="G16" s="2"/>
      <c r="H16" s="2"/>
      <c r="I16" s="2"/>
      <c r="J16" s="17"/>
      <c r="K16" s="577"/>
      <c r="L16" s="578"/>
      <c r="M16" s="579"/>
      <c r="N16" s="580"/>
      <c r="O16" s="578"/>
      <c r="P16" s="579"/>
      <c r="Q16" s="589"/>
      <c r="R16" s="578"/>
      <c r="S16" s="579"/>
      <c r="T16" s="615"/>
      <c r="U16" s="616"/>
      <c r="V16" s="617"/>
      <c r="W16" s="2"/>
      <c r="X16" s="2"/>
      <c r="Y16" s="14"/>
      <c r="Z16" s="14"/>
      <c r="AA16" s="14"/>
      <c r="AB16" s="14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</row>
    <row r="17" spans="1:44" ht="16.5" x14ac:dyDescent="0.3">
      <c r="B17" s="41"/>
      <c r="C17" s="16"/>
      <c r="D17" s="179"/>
      <c r="E17" s="2"/>
      <c r="F17" s="2"/>
      <c r="G17" s="2"/>
      <c r="H17" s="2"/>
      <c r="I17" s="179"/>
      <c r="J17" s="17"/>
      <c r="K17" s="577"/>
      <c r="L17" s="578"/>
      <c r="M17" s="579"/>
      <c r="N17" s="580"/>
      <c r="O17" s="578"/>
      <c r="P17" s="579"/>
      <c r="Q17" s="589"/>
      <c r="R17" s="578"/>
      <c r="S17" s="579"/>
      <c r="T17" s="615"/>
      <c r="U17" s="616"/>
      <c r="V17" s="617"/>
      <c r="W17" s="2"/>
      <c r="X17" s="2"/>
      <c r="Y17" s="175"/>
      <c r="Z17" s="14"/>
      <c r="AA17" s="172"/>
      <c r="AB17" s="14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</row>
    <row r="18" spans="1:44" ht="16.5" x14ac:dyDescent="0.3">
      <c r="B18" s="41"/>
      <c r="C18" s="16"/>
      <c r="D18" s="179"/>
      <c r="E18" s="2"/>
      <c r="F18" s="2"/>
      <c r="G18" s="2"/>
      <c r="H18" s="2"/>
      <c r="I18" s="179"/>
      <c r="J18" s="17"/>
      <c r="K18" s="577"/>
      <c r="L18" s="578"/>
      <c r="M18" s="579"/>
      <c r="N18" s="580"/>
      <c r="O18" s="578"/>
      <c r="P18" s="579"/>
      <c r="Q18" s="589"/>
      <c r="R18" s="578"/>
      <c r="S18" s="579"/>
      <c r="T18" s="615"/>
      <c r="U18" s="616"/>
      <c r="V18" s="617"/>
      <c r="W18" s="2"/>
      <c r="X18" s="2"/>
      <c r="Y18" s="175"/>
      <c r="Z18" s="14"/>
      <c r="AA18" s="14"/>
      <c r="AB18" s="14"/>
      <c r="AC18" s="176"/>
      <c r="AD18" s="176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</row>
    <row r="19" spans="1:44" ht="16.5" x14ac:dyDescent="0.3">
      <c r="A19" s="148" t="s">
        <v>26</v>
      </c>
      <c r="B19" s="46"/>
      <c r="C19" s="564" t="s">
        <v>27</v>
      </c>
      <c r="D19" s="565"/>
      <c r="E19" s="565"/>
      <c r="F19" s="565"/>
      <c r="G19" s="565"/>
      <c r="H19" s="565"/>
      <c r="I19" s="565"/>
      <c r="J19" s="566"/>
      <c r="K19" s="47"/>
      <c r="L19" s="48"/>
      <c r="M19" s="49"/>
      <c r="N19" s="47"/>
      <c r="O19" s="48"/>
      <c r="P19" s="49"/>
      <c r="Q19" s="47"/>
      <c r="R19" s="48"/>
      <c r="S19" s="50" t="s">
        <v>28</v>
      </c>
      <c r="T19" s="619">
        <f>ROUND(SUM(T13:V14),2)</f>
        <v>287.5</v>
      </c>
      <c r="U19" s="620"/>
      <c r="V19" s="621"/>
      <c r="Y19" s="178"/>
      <c r="Z19" s="172"/>
      <c r="AA19" s="172"/>
      <c r="AB19" s="172"/>
      <c r="AC19" s="172"/>
      <c r="AD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</row>
    <row r="20" spans="1:44" x14ac:dyDescent="0.25">
      <c r="B20" s="571" t="s">
        <v>29</v>
      </c>
      <c r="C20" s="572"/>
      <c r="D20" s="572"/>
      <c r="E20" s="572"/>
      <c r="F20" s="572"/>
      <c r="G20" s="572"/>
      <c r="H20" s="572"/>
      <c r="I20" s="572"/>
      <c r="J20" s="573"/>
      <c r="K20" s="571" t="s">
        <v>30</v>
      </c>
      <c r="L20" s="572"/>
      <c r="M20" s="573"/>
      <c r="N20" s="571" t="s">
        <v>15</v>
      </c>
      <c r="O20" s="572"/>
      <c r="P20" s="573"/>
      <c r="Q20" s="571" t="s">
        <v>16</v>
      </c>
      <c r="R20" s="572"/>
      <c r="S20" s="573"/>
      <c r="T20" s="622" t="s">
        <v>17</v>
      </c>
      <c r="U20" s="623"/>
      <c r="V20" s="624"/>
      <c r="Y20" s="178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</row>
    <row r="21" spans="1:44" x14ac:dyDescent="0.25">
      <c r="B21" s="574"/>
      <c r="C21" s="575"/>
      <c r="D21" s="575"/>
      <c r="E21" s="575"/>
      <c r="F21" s="575"/>
      <c r="G21" s="575"/>
      <c r="H21" s="575"/>
      <c r="I21" s="575"/>
      <c r="J21" s="576"/>
      <c r="K21" s="574"/>
      <c r="L21" s="575"/>
      <c r="M21" s="576"/>
      <c r="N21" s="574"/>
      <c r="O21" s="575"/>
      <c r="P21" s="576"/>
      <c r="Q21" s="574"/>
      <c r="R21" s="575"/>
      <c r="S21" s="576"/>
      <c r="T21" s="625"/>
      <c r="U21" s="626"/>
      <c r="V21" s="627"/>
      <c r="Y21" s="178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</row>
    <row r="22" spans="1:44" ht="16.5" x14ac:dyDescent="0.3">
      <c r="B22" s="15" t="s">
        <v>31</v>
      </c>
      <c r="C22" s="16" t="s">
        <v>32</v>
      </c>
      <c r="D22" s="2"/>
      <c r="E22" s="2"/>
      <c r="F22" s="2"/>
      <c r="G22" s="2"/>
      <c r="H22" s="2"/>
      <c r="I22" s="2"/>
      <c r="J22" s="17"/>
      <c r="K22" s="16"/>
      <c r="L22" s="2"/>
      <c r="M22" s="17"/>
      <c r="N22" s="16"/>
      <c r="O22" s="2"/>
      <c r="P22" s="17"/>
      <c r="Q22" s="16"/>
      <c r="R22" s="2"/>
      <c r="S22" s="17"/>
      <c r="T22" s="21"/>
      <c r="U22" s="10"/>
      <c r="V22" s="22"/>
      <c r="W22" s="2"/>
      <c r="X22" s="2"/>
      <c r="Y22" s="175"/>
      <c r="Z22" s="14"/>
      <c r="AA22" s="14"/>
      <c r="AB22" s="14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</row>
    <row r="23" spans="1:44" ht="16.5" x14ac:dyDescent="0.3">
      <c r="B23" s="15"/>
      <c r="C23" s="16" t="s">
        <v>21</v>
      </c>
      <c r="D23" s="2" t="s">
        <v>33</v>
      </c>
      <c r="E23" s="2"/>
      <c r="F23" s="2"/>
      <c r="G23" s="2"/>
      <c r="H23" s="2"/>
      <c r="I23" s="2"/>
      <c r="J23" s="17"/>
      <c r="K23" s="577">
        <f>2*Y5</f>
        <v>2</v>
      </c>
      <c r="L23" s="578"/>
      <c r="M23" s="579"/>
      <c r="N23" s="580">
        <f>N14</f>
        <v>0.14374999999999999</v>
      </c>
      <c r="O23" s="581"/>
      <c r="P23" s="582"/>
      <c r="Q23" s="586">
        <v>10816</v>
      </c>
      <c r="R23" s="587"/>
      <c r="S23" s="588"/>
      <c r="T23" s="615">
        <f>K23*N23*Q23</f>
        <v>3109.6</v>
      </c>
      <c r="U23" s="616"/>
      <c r="V23" s="617"/>
      <c r="W23" s="2"/>
      <c r="X23" s="2"/>
      <c r="Y23" s="175"/>
      <c r="Z23" s="14"/>
      <c r="AA23" s="14"/>
      <c r="AB23" s="14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</row>
    <row r="24" spans="1:44" ht="16.5" x14ac:dyDescent="0.3">
      <c r="B24" s="41"/>
      <c r="C24" s="16" t="s">
        <v>23</v>
      </c>
      <c r="D24" s="2" t="s">
        <v>69</v>
      </c>
      <c r="E24" s="2"/>
      <c r="F24" s="2"/>
      <c r="G24" s="2"/>
      <c r="H24" s="2"/>
      <c r="I24" s="2"/>
      <c r="J24" s="17"/>
      <c r="K24" s="577">
        <f>1*Y5</f>
        <v>1</v>
      </c>
      <c r="L24" s="578"/>
      <c r="M24" s="579"/>
      <c r="N24" s="580">
        <f>N23</f>
        <v>0.14374999999999999</v>
      </c>
      <c r="O24" s="581"/>
      <c r="P24" s="582"/>
      <c r="Q24" s="586">
        <v>12296</v>
      </c>
      <c r="R24" s="587"/>
      <c r="S24" s="588"/>
      <c r="T24" s="615">
        <f>K24*N24*Q24</f>
        <v>1767.55</v>
      </c>
      <c r="U24" s="616"/>
      <c r="V24" s="617"/>
      <c r="W24" s="2"/>
      <c r="X24" s="2"/>
      <c r="Y24" s="175"/>
      <c r="Z24" s="14"/>
      <c r="AA24" s="14"/>
      <c r="AB24" s="14"/>
      <c r="AC24" s="172"/>
      <c r="AD24" s="172"/>
      <c r="AE24" s="177"/>
      <c r="AF24" s="176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</row>
    <row r="25" spans="1:44" ht="16.5" x14ac:dyDescent="0.3">
      <c r="B25" s="41"/>
      <c r="C25" s="16"/>
      <c r="D25" s="2" t="s">
        <v>68</v>
      </c>
      <c r="E25" s="2"/>
      <c r="F25" s="2"/>
      <c r="G25" s="2"/>
      <c r="H25" s="2"/>
      <c r="I25" s="2"/>
      <c r="J25" s="17"/>
      <c r="K25" s="36"/>
      <c r="L25" s="7"/>
      <c r="M25" s="37"/>
      <c r="N25" s="21"/>
      <c r="O25" s="7"/>
      <c r="P25" s="37"/>
      <c r="Q25" s="580"/>
      <c r="R25" s="581"/>
      <c r="S25" s="582"/>
      <c r="T25" s="615">
        <f>T19*0.1</f>
        <v>28.75</v>
      </c>
      <c r="U25" s="616"/>
      <c r="V25" s="617"/>
      <c r="W25" s="2"/>
      <c r="X25" s="2"/>
      <c r="Y25" s="175"/>
      <c r="Z25" s="14"/>
      <c r="AA25" s="14"/>
      <c r="AB25" s="14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</row>
    <row r="26" spans="1:44" ht="16.5" x14ac:dyDescent="0.3">
      <c r="B26" s="41"/>
      <c r="C26" s="2"/>
      <c r="D26" s="2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78"/>
      <c r="P26" s="579"/>
      <c r="Q26" s="580"/>
      <c r="R26" s="581"/>
      <c r="S26" s="582"/>
      <c r="T26" s="615"/>
      <c r="U26" s="616"/>
      <c r="V26" s="617"/>
      <c r="W26" s="2"/>
      <c r="X26" s="2"/>
      <c r="Y26" s="175"/>
      <c r="Z26" s="14"/>
      <c r="AA26" s="14"/>
      <c r="AB26" s="14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</row>
    <row r="27" spans="1:44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78"/>
      <c r="P27" s="579"/>
      <c r="Q27" s="580"/>
      <c r="R27" s="581"/>
      <c r="S27" s="582"/>
      <c r="T27" s="615"/>
      <c r="U27" s="616"/>
      <c r="V27" s="617"/>
      <c r="W27" s="2"/>
      <c r="X27" s="2"/>
      <c r="Y27" s="2"/>
      <c r="Z27" s="14"/>
      <c r="AA27" s="14"/>
      <c r="AB27" s="14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</row>
    <row r="28" spans="1:44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615"/>
      <c r="U28" s="616"/>
      <c r="V28" s="617"/>
      <c r="W28" s="2"/>
      <c r="X28" s="2"/>
      <c r="Y28" s="2"/>
      <c r="Z28" s="14"/>
      <c r="AA28" s="14"/>
      <c r="AB28" s="14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</row>
    <row r="29" spans="1:44" ht="16.5" x14ac:dyDescent="0.3">
      <c r="A29" s="174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619">
        <f>ROUND(SUM(T23:V25),2)</f>
        <v>4905.8999999999996</v>
      </c>
      <c r="U29" s="620"/>
      <c r="V29" s="621"/>
      <c r="W29" s="9"/>
      <c r="X29" s="2"/>
      <c r="Y29" s="2"/>
      <c r="Z29" s="14"/>
      <c r="AA29" s="14"/>
      <c r="AB29" s="14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</row>
    <row r="30" spans="1:44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620">
        <f>T19+T29</f>
        <v>5193.3999999999996</v>
      </c>
      <c r="U30" s="620"/>
      <c r="V30" s="621"/>
      <c r="W30" s="2"/>
      <c r="X30" s="2"/>
      <c r="Y30" s="2"/>
      <c r="Z30" s="14"/>
      <c r="AA30" s="14"/>
      <c r="AB30" s="14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</row>
    <row r="31" spans="1:44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>
        <f>E7</f>
        <v>160</v>
      </c>
      <c r="I31" s="565"/>
      <c r="J31" s="48" t="str">
        <f>G7</f>
        <v>CU.M./DAY</v>
      </c>
      <c r="K31" s="48"/>
      <c r="L31" s="48"/>
      <c r="M31" s="48"/>
      <c r="N31" s="48"/>
      <c r="O31" s="48"/>
      <c r="P31" s="48"/>
      <c r="Q31" s="48"/>
      <c r="R31" s="48"/>
      <c r="S31" s="48"/>
      <c r="T31" s="68"/>
      <c r="U31" s="68"/>
      <c r="V31" s="173"/>
      <c r="W31" s="2"/>
      <c r="X31" s="2"/>
      <c r="Y31" s="2"/>
      <c r="Z31" s="14"/>
      <c r="AA31" s="14"/>
      <c r="AB31" s="14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</row>
    <row r="32" spans="1:44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622" t="s">
        <v>17</v>
      </c>
      <c r="U32" s="623"/>
      <c r="V32" s="624"/>
      <c r="W32" s="2"/>
      <c r="X32" s="2"/>
      <c r="Y32" s="2"/>
      <c r="Z32" s="14"/>
      <c r="AA32" s="14"/>
      <c r="AB32" s="14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</row>
    <row r="33" spans="1:28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625"/>
      <c r="U33" s="626"/>
      <c r="V33" s="627"/>
      <c r="W33" s="2"/>
      <c r="X33" s="2"/>
      <c r="Y33" s="2"/>
      <c r="Z33" s="2"/>
      <c r="AA33" s="2"/>
      <c r="AB33" s="2"/>
    </row>
    <row r="34" spans="1:28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21"/>
      <c r="U34" s="10"/>
      <c r="V34" s="22"/>
      <c r="W34" s="2"/>
      <c r="X34" s="2"/>
      <c r="Y34" s="2"/>
      <c r="Z34" s="2"/>
      <c r="AA34" s="2"/>
      <c r="AB34" s="2"/>
    </row>
    <row r="35" spans="1:28" ht="18" customHeight="1" x14ac:dyDescent="0.3">
      <c r="B35" s="41"/>
      <c r="C35" s="171" t="s">
        <v>67</v>
      </c>
      <c r="D35" s="170"/>
      <c r="E35" s="170"/>
      <c r="F35" s="170"/>
      <c r="G35" s="170"/>
      <c r="H35" s="170"/>
      <c r="I35" s="170"/>
      <c r="J35" s="170"/>
      <c r="K35" s="169"/>
      <c r="L35" s="168"/>
      <c r="M35" s="167"/>
      <c r="N35" s="155"/>
      <c r="O35" s="154"/>
      <c r="P35" s="153"/>
      <c r="Q35" s="166"/>
      <c r="R35" s="165"/>
      <c r="S35" s="164"/>
      <c r="T35" s="152"/>
      <c r="U35" s="151"/>
      <c r="V35" s="150"/>
      <c r="W35" s="2"/>
      <c r="X35" s="628"/>
      <c r="Y35" s="628"/>
      <c r="Z35" s="628"/>
      <c r="AA35" s="628"/>
      <c r="AB35" s="2"/>
    </row>
    <row r="36" spans="1:28" ht="16.5" x14ac:dyDescent="0.3">
      <c r="B36" s="41"/>
      <c r="C36" s="16"/>
      <c r="D36" s="2"/>
      <c r="E36" s="2"/>
      <c r="F36" s="2"/>
      <c r="G36" s="2"/>
      <c r="H36" s="2"/>
      <c r="I36" s="2"/>
      <c r="J36" s="17"/>
      <c r="K36" s="157"/>
      <c r="L36" s="18"/>
      <c r="M36" s="156"/>
      <c r="N36" s="155"/>
      <c r="O36" s="154"/>
      <c r="P36" s="153"/>
      <c r="Q36" s="163"/>
      <c r="R36" s="2"/>
      <c r="S36" s="17"/>
      <c r="T36" s="152"/>
      <c r="U36" s="151"/>
      <c r="V36" s="150"/>
      <c r="W36" s="2"/>
      <c r="X36" s="628"/>
      <c r="Y36" s="628"/>
      <c r="Z36" s="628"/>
      <c r="AA36" s="628"/>
      <c r="AB36" s="2"/>
    </row>
    <row r="37" spans="1:28" ht="16.5" x14ac:dyDescent="0.3">
      <c r="B37" s="41"/>
      <c r="C37" s="2"/>
      <c r="D37" s="2"/>
      <c r="E37" s="2"/>
      <c r="F37" s="2"/>
      <c r="G37" s="2"/>
      <c r="H37" s="2"/>
      <c r="I37" s="2"/>
      <c r="J37" s="17"/>
      <c r="K37" s="21"/>
      <c r="L37" s="10"/>
      <c r="M37" s="22"/>
      <c r="N37" s="43"/>
      <c r="O37" s="149"/>
      <c r="P37" s="162"/>
      <c r="Q37" s="161"/>
      <c r="R37" s="7"/>
      <c r="S37" s="37"/>
      <c r="T37" s="160"/>
      <c r="U37" s="159"/>
      <c r="V37" s="158"/>
      <c r="W37" s="2"/>
      <c r="X37" s="149"/>
      <c r="Y37" s="149"/>
      <c r="Z37" s="149"/>
      <c r="AA37" s="149"/>
      <c r="AB37" s="2"/>
    </row>
    <row r="38" spans="1:28" ht="16.5" x14ac:dyDescent="0.3">
      <c r="B38" s="41"/>
      <c r="C38" s="2"/>
      <c r="D38" s="2"/>
      <c r="E38" s="2"/>
      <c r="F38" s="2"/>
      <c r="G38" s="2"/>
      <c r="H38" s="2"/>
      <c r="I38" s="2"/>
      <c r="J38" s="17"/>
      <c r="K38" s="21"/>
      <c r="L38" s="10"/>
      <c r="M38" s="22"/>
      <c r="N38" s="43"/>
      <c r="O38" s="149"/>
      <c r="P38" s="162"/>
      <c r="Q38" s="161"/>
      <c r="R38" s="7"/>
      <c r="S38" s="37"/>
      <c r="T38" s="160"/>
      <c r="U38" s="159"/>
      <c r="V38" s="158"/>
      <c r="W38" s="2"/>
      <c r="X38" s="149"/>
      <c r="Y38" s="149"/>
      <c r="Z38" s="149"/>
      <c r="AA38" s="149"/>
      <c r="AB38" s="2"/>
    </row>
    <row r="39" spans="1:28" ht="16.5" x14ac:dyDescent="0.3">
      <c r="B39" s="41"/>
      <c r="C39" s="2"/>
      <c r="D39" s="2"/>
      <c r="E39" s="2"/>
      <c r="F39" s="2"/>
      <c r="G39" s="2"/>
      <c r="H39" s="2"/>
      <c r="I39" s="2"/>
      <c r="J39" s="17"/>
      <c r="K39" s="21"/>
      <c r="L39" s="10"/>
      <c r="M39" s="22"/>
      <c r="N39" s="43"/>
      <c r="O39" s="149"/>
      <c r="P39" s="162"/>
      <c r="Q39" s="161"/>
      <c r="R39" s="7"/>
      <c r="S39" s="37"/>
      <c r="T39" s="160"/>
      <c r="U39" s="159"/>
      <c r="V39" s="158"/>
      <c r="W39" s="2"/>
      <c r="X39" s="149"/>
      <c r="Y39" s="149"/>
      <c r="Z39" s="149"/>
      <c r="AA39" s="149"/>
      <c r="AB39" s="2"/>
    </row>
    <row r="40" spans="1:28" ht="16.5" x14ac:dyDescent="0.3">
      <c r="B40" s="41"/>
      <c r="C40" s="2"/>
      <c r="D40" s="2"/>
      <c r="E40" s="2"/>
      <c r="F40" s="2"/>
      <c r="G40" s="2"/>
      <c r="H40" s="2"/>
      <c r="I40" s="2"/>
      <c r="J40" s="17"/>
      <c r="K40" s="157"/>
      <c r="L40" s="18"/>
      <c r="M40" s="156"/>
      <c r="N40" s="155"/>
      <c r="O40" s="154"/>
      <c r="P40" s="153"/>
      <c r="Q40" s="16"/>
      <c r="R40" s="2"/>
      <c r="S40" s="17"/>
      <c r="T40" s="152"/>
      <c r="U40" s="151"/>
      <c r="V40" s="150"/>
      <c r="W40" s="2"/>
      <c r="X40" s="628"/>
      <c r="Y40" s="628"/>
      <c r="Z40" s="628"/>
      <c r="AA40" s="628"/>
      <c r="AB40" s="2"/>
    </row>
    <row r="41" spans="1:28" ht="16.5" x14ac:dyDescent="0.3">
      <c r="B41" s="41"/>
      <c r="C41" s="16"/>
      <c r="D41" s="2"/>
      <c r="E41" s="2"/>
      <c r="F41" s="2"/>
      <c r="G41" s="2"/>
      <c r="H41" s="2"/>
      <c r="I41" s="2"/>
      <c r="J41" s="17"/>
      <c r="K41" s="157"/>
      <c r="L41" s="18"/>
      <c r="M41" s="156"/>
      <c r="N41" s="155"/>
      <c r="O41" s="154"/>
      <c r="P41" s="153"/>
      <c r="Q41" s="16"/>
      <c r="R41" s="2"/>
      <c r="S41" s="17"/>
      <c r="T41" s="152"/>
      <c r="U41" s="151"/>
      <c r="V41" s="150"/>
      <c r="W41" s="2"/>
      <c r="X41" s="628"/>
      <c r="Y41" s="628"/>
      <c r="Z41" s="628"/>
      <c r="AA41" s="628"/>
      <c r="AB41" s="2"/>
    </row>
    <row r="42" spans="1:28" ht="16.5" x14ac:dyDescent="0.3">
      <c r="A42" s="148" t="s">
        <v>51</v>
      </c>
      <c r="B42" s="46"/>
      <c r="C42" s="564" t="s">
        <v>52</v>
      </c>
      <c r="D42" s="565"/>
      <c r="E42" s="565"/>
      <c r="F42" s="565"/>
      <c r="G42" s="565"/>
      <c r="H42" s="565"/>
      <c r="I42" s="565"/>
      <c r="J42" s="566"/>
      <c r="K42" s="47"/>
      <c r="L42" s="48"/>
      <c r="M42" s="49"/>
      <c r="N42" s="47"/>
      <c r="O42" s="48"/>
      <c r="P42" s="49"/>
      <c r="Q42" s="47"/>
      <c r="R42" s="48"/>
      <c r="S42" s="50" t="s">
        <v>28</v>
      </c>
      <c r="T42" s="619"/>
      <c r="U42" s="620"/>
      <c r="V42" s="621"/>
      <c r="W42" s="2"/>
      <c r="X42" s="2"/>
      <c r="Y42" s="2"/>
      <c r="Z42" s="2"/>
      <c r="AA42" s="2"/>
      <c r="AB42" s="2"/>
    </row>
    <row r="43" spans="1:28" ht="16.5" x14ac:dyDescent="0.3">
      <c r="B43" s="47" t="s">
        <v>53</v>
      </c>
      <c r="C43" s="48" t="s">
        <v>54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9"/>
      <c r="T43" s="619">
        <f>T30+T42</f>
        <v>5193.3999999999996</v>
      </c>
      <c r="U43" s="620"/>
      <c r="V43" s="621"/>
      <c r="W43" s="2"/>
      <c r="X43" s="2"/>
      <c r="Y43" s="2"/>
      <c r="Z43" s="2"/>
      <c r="AA43" s="2"/>
      <c r="AB43" s="2"/>
    </row>
    <row r="44" spans="1:28" ht="16.5" x14ac:dyDescent="0.3">
      <c r="B44" s="47" t="s">
        <v>55</v>
      </c>
      <c r="C44" s="48" t="s">
        <v>56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130">
        <f>'INPUT DATA'!C62</f>
        <v>0.05</v>
      </c>
      <c r="O44" s="131"/>
      <c r="P44" s="48"/>
      <c r="Q44" s="48"/>
      <c r="R44" s="48"/>
      <c r="S44" s="49"/>
      <c r="T44" s="567">
        <f>T43*N44</f>
        <v>259.67</v>
      </c>
      <c r="U44" s="568"/>
      <c r="V44" s="569"/>
      <c r="W44" s="2"/>
      <c r="X44" s="2"/>
      <c r="Y44" s="2"/>
      <c r="Z44" s="2"/>
      <c r="AA44" s="2"/>
      <c r="AB44" s="2"/>
    </row>
    <row r="45" spans="1:28" ht="16.5" x14ac:dyDescent="0.3">
      <c r="B45" s="47" t="s">
        <v>57</v>
      </c>
      <c r="C45" s="48" t="s">
        <v>58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130">
        <f>'INPUT DATA'!C63</f>
        <v>0.1</v>
      </c>
      <c r="O45" s="131"/>
      <c r="P45" s="48"/>
      <c r="Q45" s="48"/>
      <c r="R45" s="48"/>
      <c r="S45" s="49"/>
      <c r="T45" s="567">
        <f>T43*N45</f>
        <v>519.34</v>
      </c>
      <c r="U45" s="568"/>
      <c r="V45" s="569"/>
      <c r="W45" s="2"/>
      <c r="X45" s="2"/>
      <c r="Y45" s="2"/>
      <c r="Z45" s="2"/>
      <c r="AA45" s="2"/>
      <c r="AB45" s="2"/>
    </row>
    <row r="46" spans="1:28" ht="16.5" x14ac:dyDescent="0.3">
      <c r="B46" s="47" t="s">
        <v>59</v>
      </c>
      <c r="C46" s="48" t="s">
        <v>60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130">
        <f>'INPUT DATA'!C64</f>
        <v>0</v>
      </c>
      <c r="O46" s="131"/>
      <c r="P46" s="48"/>
      <c r="Q46" s="48"/>
      <c r="R46" s="48"/>
      <c r="S46" s="49"/>
      <c r="T46" s="567">
        <f>(T43+T44+T45)*N46</f>
        <v>0</v>
      </c>
      <c r="U46" s="568"/>
      <c r="V46" s="569"/>
      <c r="W46" s="2"/>
      <c r="X46" s="2"/>
      <c r="Y46" s="2"/>
      <c r="Z46" s="2"/>
      <c r="AA46" s="2"/>
      <c r="AB46" s="2"/>
    </row>
    <row r="47" spans="1:28" ht="16.5" x14ac:dyDescent="0.3">
      <c r="A47" s="148" t="s">
        <v>61</v>
      </c>
      <c r="B47" s="47" t="s">
        <v>62</v>
      </c>
      <c r="C47" s="48" t="s">
        <v>63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/>
      <c r="O47" s="48"/>
      <c r="P47" s="48"/>
      <c r="Q47" s="48"/>
      <c r="R47" s="48"/>
      <c r="S47" s="49"/>
      <c r="T47" s="619">
        <f>SUM(T43:V46)</f>
        <v>5972.41</v>
      </c>
      <c r="U47" s="620"/>
      <c r="V47" s="621"/>
      <c r="W47" s="2"/>
      <c r="X47" s="2"/>
      <c r="Y47" s="2"/>
      <c r="Z47" s="2"/>
      <c r="AA47" s="2"/>
      <c r="AB47" s="2"/>
    </row>
    <row r="48" spans="1:28" ht="16.5" x14ac:dyDescent="0.3">
      <c r="A48" s="148" t="s">
        <v>64</v>
      </c>
      <c r="B48" s="47" t="s">
        <v>65</v>
      </c>
      <c r="C48" s="48" t="s">
        <v>66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619">
        <f>T47/E8</f>
        <v>259.67</v>
      </c>
      <c r="U48" s="620"/>
      <c r="V48" s="621"/>
      <c r="W48" s="2"/>
      <c r="X48" s="2"/>
      <c r="Y48" s="2"/>
      <c r="Z48" s="2"/>
      <c r="AA48" s="2"/>
      <c r="AB48" s="2"/>
    </row>
    <row r="49" spans="2:28" ht="16.5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147"/>
      <c r="U49" s="147"/>
      <c r="V49" s="147"/>
      <c r="W49" s="2"/>
      <c r="X49" s="2"/>
      <c r="Y49" s="2"/>
      <c r="Z49" s="2"/>
      <c r="AA49" s="2"/>
      <c r="AB49" s="2"/>
    </row>
    <row r="50" spans="2:28" x14ac:dyDescent="0.25">
      <c r="T50" s="146"/>
      <c r="U50" s="146"/>
      <c r="V50" s="146"/>
    </row>
    <row r="51" spans="2:28" x14ac:dyDescent="0.25">
      <c r="T51" s="146"/>
      <c r="U51" s="146"/>
      <c r="V51" s="146"/>
    </row>
    <row r="52" spans="2:28" x14ac:dyDescent="0.25">
      <c r="T52" s="146"/>
      <c r="U52" s="146"/>
      <c r="V52" s="146"/>
    </row>
    <row r="53" spans="2:28" x14ac:dyDescent="0.25">
      <c r="T53" s="146"/>
      <c r="U53" s="146"/>
      <c r="V53" s="146"/>
    </row>
    <row r="54" spans="2:28" x14ac:dyDescent="0.25">
      <c r="T54" s="146"/>
      <c r="U54" s="146"/>
      <c r="V54" s="146"/>
    </row>
    <row r="55" spans="2:28" x14ac:dyDescent="0.25">
      <c r="T55" s="146"/>
      <c r="U55" s="146"/>
      <c r="V55" s="146"/>
    </row>
    <row r="56" spans="2:28" x14ac:dyDescent="0.25">
      <c r="T56" s="146"/>
      <c r="U56" s="146"/>
      <c r="V56" s="146"/>
    </row>
  </sheetData>
  <mergeCells count="95">
    <mergeCell ref="T48:V48"/>
    <mergeCell ref="X41:AA41"/>
    <mergeCell ref="C42:J42"/>
    <mergeCell ref="T42:V42"/>
    <mergeCell ref="X36:AA36"/>
    <mergeCell ref="X40:AA40"/>
    <mergeCell ref="T43:V43"/>
    <mergeCell ref="T44:V44"/>
    <mergeCell ref="T45:V45"/>
    <mergeCell ref="T46:V46"/>
    <mergeCell ref="T47:V47"/>
    <mergeCell ref="X35:AA35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Q25:S25"/>
    <mergeCell ref="T25:V25"/>
    <mergeCell ref="K26:M26"/>
    <mergeCell ref="N26:P26"/>
    <mergeCell ref="Q26:S26"/>
    <mergeCell ref="T26:V26"/>
    <mergeCell ref="K23:M23"/>
    <mergeCell ref="N23:P23"/>
    <mergeCell ref="Q23:S23"/>
    <mergeCell ref="T23:V23"/>
    <mergeCell ref="K24:M24"/>
    <mergeCell ref="N24:P24"/>
    <mergeCell ref="Q24:S24"/>
    <mergeCell ref="T24:V24"/>
    <mergeCell ref="C19:J19"/>
    <mergeCell ref="T19:V19"/>
    <mergeCell ref="B20:J21"/>
    <mergeCell ref="K20:M21"/>
    <mergeCell ref="N20:P21"/>
    <mergeCell ref="Q20:S21"/>
    <mergeCell ref="T20:V21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AD13:AD14"/>
    <mergeCell ref="AE13:AE14"/>
    <mergeCell ref="K14:M14"/>
    <mergeCell ref="N14:P14"/>
    <mergeCell ref="Q14:S14"/>
    <mergeCell ref="T14:V14"/>
    <mergeCell ref="X13:X14"/>
    <mergeCell ref="Y13:Y14"/>
    <mergeCell ref="Z13:Z14"/>
    <mergeCell ref="AA13:AA14"/>
    <mergeCell ref="AB13:AB14"/>
    <mergeCell ref="AC13:AC14"/>
    <mergeCell ref="K13:M13"/>
    <mergeCell ref="N13:P13"/>
    <mergeCell ref="Q13:S13"/>
    <mergeCell ref="T13:V13"/>
    <mergeCell ref="K10:M11"/>
    <mergeCell ref="N10:P11"/>
    <mergeCell ref="B1:V1"/>
    <mergeCell ref="E3:V3"/>
    <mergeCell ref="E5:F5"/>
    <mergeCell ref="E6:F6"/>
    <mergeCell ref="Q10:S11"/>
    <mergeCell ref="T10:V11"/>
    <mergeCell ref="E7:F7"/>
    <mergeCell ref="E8:F8"/>
    <mergeCell ref="G8:H8"/>
    <mergeCell ref="B10:J11"/>
  </mergeCells>
  <printOptions horizontalCentered="1"/>
  <pageMargins left="0.3" right="0.3" top="0.5" bottom="0.5" header="0.3" footer="0.3"/>
  <pageSetup paperSize="9" scale="75" orientation="portrait" r:id="rId1"/>
  <colBreaks count="1" manualBreakCount="1">
    <brk id="2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34F9-FE70-7D44-A3A3-607672342C7F}">
  <sheetPr codeName="Sheet7">
    <tabColor rgb="FF92D050"/>
    <pageSetUpPr fitToPage="1"/>
  </sheetPr>
  <dimension ref="A1:AR57"/>
  <sheetViews>
    <sheetView view="pageBreakPreview" topLeftCell="B10" zoomScale="85" zoomScaleNormal="85" zoomScaleSheetLayoutView="85" workbookViewId="0">
      <selection activeCell="Q26" sqref="Q26:S26"/>
    </sheetView>
  </sheetViews>
  <sheetFormatPr defaultColWidth="9.140625" defaultRowHeight="15" x14ac:dyDescent="0.25"/>
  <cols>
    <col min="1" max="1" width="21.42578125" style="145" customWidth="1"/>
    <col min="2" max="2" width="8.7109375" style="1" customWidth="1"/>
    <col min="3" max="3" width="4.42578125" style="1" customWidth="1"/>
    <col min="4" max="4" width="15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9" width="4.7109375" style="1" customWidth="1"/>
    <col min="20" max="21" width="4.42578125" style="1" customWidth="1"/>
    <col min="22" max="22" width="6.28515625" style="1" customWidth="1"/>
    <col min="23" max="23" width="5.42578125" style="1" customWidth="1"/>
    <col min="24" max="24" width="14.140625" style="1" customWidth="1"/>
    <col min="25" max="25" width="26.28515625" style="1" customWidth="1"/>
    <col min="26" max="26" width="14.42578125" style="1" customWidth="1"/>
    <col min="27" max="27" width="12.28515625" style="1" bestFit="1" customWidth="1"/>
    <col min="28" max="28" width="12.85546875" style="1" customWidth="1"/>
    <col min="29" max="30" width="20" style="1" customWidth="1"/>
    <col min="31" max="31" width="13.28515625" style="1" customWidth="1"/>
    <col min="32" max="16384" width="9.140625" style="1"/>
  </cols>
  <sheetData>
    <row r="1" spans="1:44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44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4" s="4" customFormat="1" ht="16.5" x14ac:dyDescent="0.25">
      <c r="A3" s="187"/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44" s="178" customFormat="1" ht="16.5" x14ac:dyDescent="0.25">
      <c r="A4" s="186"/>
      <c r="B4" s="175"/>
      <c r="C4" s="175"/>
      <c r="D4" s="17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75"/>
      <c r="X4" s="175"/>
      <c r="Y4" s="175"/>
      <c r="Z4" s="175"/>
      <c r="AA4" s="175"/>
      <c r="AB4" s="175"/>
    </row>
    <row r="5" spans="1:44" ht="16.5" x14ac:dyDescent="0.3">
      <c r="A5" s="181" t="s">
        <v>2</v>
      </c>
      <c r="B5" s="2" t="s">
        <v>3</v>
      </c>
      <c r="C5" s="2"/>
      <c r="D5" s="2"/>
      <c r="E5" s="606" t="s">
        <v>180</v>
      </c>
      <c r="F5" s="607"/>
      <c r="G5" s="184" t="s">
        <v>337</v>
      </c>
      <c r="H5" s="183"/>
      <c r="K5" s="183"/>
      <c r="L5" s="183"/>
      <c r="M5" s="183"/>
      <c r="N5" s="182"/>
      <c r="O5" s="182"/>
      <c r="P5" s="182"/>
      <c r="Q5" s="182"/>
      <c r="R5" s="2"/>
      <c r="S5" s="2"/>
      <c r="T5" s="2"/>
      <c r="U5" s="2"/>
      <c r="V5" s="2"/>
      <c r="W5" s="2"/>
      <c r="X5" s="2" t="s">
        <v>72</v>
      </c>
      <c r="Y5" s="2">
        <v>1</v>
      </c>
      <c r="Z5" s="2"/>
      <c r="AA5" s="2"/>
      <c r="AB5" s="2"/>
    </row>
    <row r="6" spans="1:44" ht="16.5" x14ac:dyDescent="0.3">
      <c r="A6" s="181" t="s">
        <v>6</v>
      </c>
      <c r="B6" s="2" t="s">
        <v>7</v>
      </c>
      <c r="C6" s="2"/>
      <c r="D6" s="2"/>
      <c r="E6" s="578" t="s">
        <v>71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44" ht="16.5" x14ac:dyDescent="0.3">
      <c r="B7" s="2" t="s">
        <v>9</v>
      </c>
      <c r="C7" s="2"/>
      <c r="D7" s="2"/>
      <c r="E7" s="581">
        <f>14*8*Y5</f>
        <v>112</v>
      </c>
      <c r="F7" s="581"/>
      <c r="G7" s="2" t="s">
        <v>70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44" ht="16.5" x14ac:dyDescent="0.3">
      <c r="A8" s="181" t="s">
        <v>11</v>
      </c>
      <c r="B8" s="2" t="s">
        <v>12</v>
      </c>
      <c r="C8" s="2"/>
      <c r="D8" s="2"/>
      <c r="E8" s="581">
        <f>'INPUT DATA'!C13</f>
        <v>0</v>
      </c>
      <c r="F8" s="581"/>
      <c r="G8" s="602" t="str">
        <f>E6</f>
        <v>CU.M.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44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44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608" t="s">
        <v>16</v>
      </c>
      <c r="R10" s="609"/>
      <c r="S10" s="610"/>
      <c r="T10" s="571" t="s">
        <v>17</v>
      </c>
      <c r="U10" s="572"/>
      <c r="V10" s="573"/>
      <c r="W10" s="2"/>
      <c r="X10" s="2"/>
      <c r="Y10" s="175"/>
      <c r="Z10" s="175"/>
      <c r="AA10" s="175"/>
      <c r="AB10" s="180"/>
      <c r="AC10" s="178"/>
      <c r="AD10" s="178"/>
      <c r="AE10" s="178"/>
      <c r="AF10" s="178"/>
      <c r="AG10" s="178"/>
    </row>
    <row r="11" spans="1:44" ht="16.5" customHeight="1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611"/>
      <c r="R11" s="612"/>
      <c r="S11" s="613"/>
      <c r="T11" s="574"/>
      <c r="U11" s="575"/>
      <c r="V11" s="576"/>
      <c r="W11" s="2"/>
      <c r="X11" s="2"/>
      <c r="Y11" s="175"/>
      <c r="Z11" s="14"/>
      <c r="AA11" s="14"/>
      <c r="AB11" s="14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</row>
    <row r="12" spans="1:44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2"/>
      <c r="Y12" s="175"/>
      <c r="Z12" s="14"/>
      <c r="AA12" s="14"/>
      <c r="AB12" s="14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</row>
    <row r="13" spans="1:44" ht="16.5" x14ac:dyDescent="0.3">
      <c r="A13" s="45" t="s">
        <v>20</v>
      </c>
      <c r="B13" s="15"/>
      <c r="C13" s="16" t="s">
        <v>21</v>
      </c>
      <c r="D13" s="2" t="s">
        <v>22</v>
      </c>
      <c r="E13" s="2"/>
      <c r="F13" s="2"/>
      <c r="G13" s="2"/>
      <c r="H13" s="2"/>
      <c r="I13" s="179"/>
      <c r="J13" s="17"/>
      <c r="K13" s="577">
        <v>1</v>
      </c>
      <c r="L13" s="578"/>
      <c r="M13" s="579"/>
      <c r="N13" s="580">
        <f>E8/E7</f>
        <v>0</v>
      </c>
      <c r="O13" s="581"/>
      <c r="P13" s="582"/>
      <c r="Q13" s="599">
        <v>800</v>
      </c>
      <c r="R13" s="600"/>
      <c r="S13" s="601"/>
      <c r="T13" s="615">
        <f>K13*N13*Q13</f>
        <v>0</v>
      </c>
      <c r="U13" s="616"/>
      <c r="V13" s="617"/>
      <c r="W13" s="2"/>
      <c r="X13" s="618"/>
      <c r="Y13" s="618"/>
      <c r="Z13" s="618"/>
      <c r="AA13" s="618"/>
      <c r="AB13" s="618"/>
      <c r="AC13" s="614"/>
      <c r="AD13" s="614"/>
      <c r="AE13" s="614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</row>
    <row r="14" spans="1:44" ht="16.5" x14ac:dyDescent="0.3">
      <c r="B14" s="41"/>
      <c r="C14" s="16" t="s">
        <v>23</v>
      </c>
      <c r="D14" s="2" t="s">
        <v>24</v>
      </c>
      <c r="E14" s="2"/>
      <c r="F14" s="2"/>
      <c r="G14" s="2"/>
      <c r="H14" s="2"/>
      <c r="I14" s="2"/>
      <c r="J14" s="17"/>
      <c r="K14" s="577">
        <f>3*Y5</f>
        <v>3</v>
      </c>
      <c r="L14" s="578"/>
      <c r="M14" s="579"/>
      <c r="N14" s="580">
        <f>E8/E7</f>
        <v>0</v>
      </c>
      <c r="O14" s="581"/>
      <c r="P14" s="582"/>
      <c r="Q14" s="599">
        <v>400</v>
      </c>
      <c r="R14" s="600"/>
      <c r="S14" s="601"/>
      <c r="T14" s="615">
        <f>K14*N14*Q14</f>
        <v>0</v>
      </c>
      <c r="U14" s="616"/>
      <c r="V14" s="617"/>
      <c r="W14" s="2"/>
      <c r="X14" s="618"/>
      <c r="Y14" s="618"/>
      <c r="Z14" s="618"/>
      <c r="AA14" s="618"/>
      <c r="AB14" s="618"/>
      <c r="AC14" s="614"/>
      <c r="AD14" s="614"/>
      <c r="AE14" s="614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</row>
    <row r="15" spans="1:44" ht="16.5" x14ac:dyDescent="0.3">
      <c r="B15" s="41"/>
      <c r="C15" s="16"/>
      <c r="D15" s="2"/>
      <c r="E15" s="2"/>
      <c r="F15" s="2"/>
      <c r="G15" s="2"/>
      <c r="H15" s="2"/>
      <c r="I15" s="2"/>
      <c r="J15" s="17"/>
      <c r="K15" s="577"/>
      <c r="L15" s="578"/>
      <c r="M15" s="579"/>
      <c r="N15" s="580"/>
      <c r="O15" s="578"/>
      <c r="P15" s="579"/>
      <c r="Q15" s="589"/>
      <c r="R15" s="578"/>
      <c r="S15" s="579"/>
      <c r="T15" s="615"/>
      <c r="U15" s="616"/>
      <c r="V15" s="617"/>
      <c r="W15" s="9"/>
      <c r="X15" s="2"/>
      <c r="Y15" s="14"/>
      <c r="Z15" s="14"/>
      <c r="AA15" s="14"/>
      <c r="AB15" s="14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</row>
    <row r="16" spans="1:44" ht="16.5" x14ac:dyDescent="0.3">
      <c r="B16" s="41"/>
      <c r="C16" s="16"/>
      <c r="D16" s="2"/>
      <c r="E16" s="2"/>
      <c r="F16" s="2"/>
      <c r="G16" s="2"/>
      <c r="H16" s="2"/>
      <c r="I16" s="2"/>
      <c r="J16" s="17"/>
      <c r="K16" s="577"/>
      <c r="L16" s="578"/>
      <c r="M16" s="579"/>
      <c r="N16" s="580"/>
      <c r="O16" s="578"/>
      <c r="P16" s="579"/>
      <c r="Q16" s="589"/>
      <c r="R16" s="578"/>
      <c r="S16" s="579"/>
      <c r="T16" s="615"/>
      <c r="U16" s="616"/>
      <c r="V16" s="617"/>
      <c r="W16" s="2"/>
      <c r="X16" s="2"/>
      <c r="Y16" s="14"/>
      <c r="Z16" s="14"/>
      <c r="AA16" s="14"/>
      <c r="AB16" s="14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</row>
    <row r="17" spans="1:44" ht="16.5" x14ac:dyDescent="0.3">
      <c r="B17" s="41"/>
      <c r="C17" s="16"/>
      <c r="D17" s="179"/>
      <c r="E17" s="2"/>
      <c r="F17" s="2"/>
      <c r="G17" s="2"/>
      <c r="H17" s="2"/>
      <c r="I17" s="179"/>
      <c r="J17" s="17"/>
      <c r="K17" s="577"/>
      <c r="L17" s="578"/>
      <c r="M17" s="579"/>
      <c r="N17" s="580"/>
      <c r="O17" s="578"/>
      <c r="P17" s="579"/>
      <c r="Q17" s="589"/>
      <c r="R17" s="578"/>
      <c r="S17" s="579"/>
      <c r="T17" s="615"/>
      <c r="U17" s="616"/>
      <c r="V17" s="617"/>
      <c r="W17" s="2"/>
      <c r="X17" s="2"/>
      <c r="Y17" s="175"/>
      <c r="Z17" s="14"/>
      <c r="AA17" s="172"/>
      <c r="AB17" s="14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</row>
    <row r="18" spans="1:44" ht="16.5" x14ac:dyDescent="0.3">
      <c r="B18" s="41"/>
      <c r="C18" s="16"/>
      <c r="D18" s="179"/>
      <c r="E18" s="2"/>
      <c r="F18" s="2"/>
      <c r="G18" s="2"/>
      <c r="H18" s="2"/>
      <c r="I18" s="179"/>
      <c r="J18" s="17"/>
      <c r="K18" s="577"/>
      <c r="L18" s="578"/>
      <c r="M18" s="579"/>
      <c r="N18" s="580"/>
      <c r="O18" s="578"/>
      <c r="P18" s="579"/>
      <c r="Q18" s="589"/>
      <c r="R18" s="578"/>
      <c r="S18" s="579"/>
      <c r="T18" s="615"/>
      <c r="U18" s="616"/>
      <c r="V18" s="617"/>
      <c r="W18" s="2"/>
      <c r="X18" s="2"/>
      <c r="Y18" s="175"/>
      <c r="Z18" s="14"/>
      <c r="AA18" s="14"/>
      <c r="AB18" s="14"/>
      <c r="AC18" s="176"/>
      <c r="AD18" s="176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</row>
    <row r="19" spans="1:44" ht="16.5" x14ac:dyDescent="0.3">
      <c r="A19" s="148" t="s">
        <v>26</v>
      </c>
      <c r="B19" s="46"/>
      <c r="C19" s="564" t="s">
        <v>27</v>
      </c>
      <c r="D19" s="565"/>
      <c r="E19" s="565"/>
      <c r="F19" s="565"/>
      <c r="G19" s="565"/>
      <c r="H19" s="565"/>
      <c r="I19" s="565"/>
      <c r="J19" s="566"/>
      <c r="K19" s="47"/>
      <c r="L19" s="48"/>
      <c r="M19" s="49"/>
      <c r="N19" s="47"/>
      <c r="O19" s="48"/>
      <c r="P19" s="49"/>
      <c r="Q19" s="47"/>
      <c r="R19" s="48"/>
      <c r="S19" s="50" t="s">
        <v>28</v>
      </c>
      <c r="T19" s="619">
        <f>ROUND(SUM(T13:V14),2)</f>
        <v>0</v>
      </c>
      <c r="U19" s="620"/>
      <c r="V19" s="621"/>
      <c r="Y19" s="178"/>
      <c r="Z19" s="172"/>
      <c r="AA19" s="172"/>
      <c r="AB19" s="172"/>
      <c r="AC19" s="172"/>
      <c r="AD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</row>
    <row r="20" spans="1:44" x14ac:dyDescent="0.25">
      <c r="B20" s="571" t="s">
        <v>29</v>
      </c>
      <c r="C20" s="572"/>
      <c r="D20" s="572"/>
      <c r="E20" s="572"/>
      <c r="F20" s="572"/>
      <c r="G20" s="572"/>
      <c r="H20" s="572"/>
      <c r="I20" s="572"/>
      <c r="J20" s="573"/>
      <c r="K20" s="571" t="s">
        <v>30</v>
      </c>
      <c r="L20" s="572"/>
      <c r="M20" s="573"/>
      <c r="N20" s="571" t="s">
        <v>15</v>
      </c>
      <c r="O20" s="572"/>
      <c r="P20" s="573"/>
      <c r="Q20" s="571" t="s">
        <v>16</v>
      </c>
      <c r="R20" s="572"/>
      <c r="S20" s="573"/>
      <c r="T20" s="622" t="s">
        <v>17</v>
      </c>
      <c r="U20" s="623"/>
      <c r="V20" s="624"/>
      <c r="Y20" s="178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</row>
    <row r="21" spans="1:44" x14ac:dyDescent="0.25">
      <c r="B21" s="574"/>
      <c r="C21" s="575"/>
      <c r="D21" s="575"/>
      <c r="E21" s="575"/>
      <c r="F21" s="575"/>
      <c r="G21" s="575"/>
      <c r="H21" s="575"/>
      <c r="I21" s="575"/>
      <c r="J21" s="576"/>
      <c r="K21" s="574"/>
      <c r="L21" s="575"/>
      <c r="M21" s="576"/>
      <c r="N21" s="574"/>
      <c r="O21" s="575"/>
      <c r="P21" s="576"/>
      <c r="Q21" s="574"/>
      <c r="R21" s="575"/>
      <c r="S21" s="576"/>
      <c r="T21" s="625"/>
      <c r="U21" s="626"/>
      <c r="V21" s="627"/>
      <c r="Y21" s="178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</row>
    <row r="22" spans="1:44" ht="16.5" x14ac:dyDescent="0.3">
      <c r="B22" s="15" t="s">
        <v>31</v>
      </c>
      <c r="C22" s="16" t="s">
        <v>32</v>
      </c>
      <c r="D22" s="2"/>
      <c r="E22" s="2"/>
      <c r="F22" s="2"/>
      <c r="G22" s="2"/>
      <c r="H22" s="2"/>
      <c r="I22" s="2"/>
      <c r="J22" s="17"/>
      <c r="K22" s="16"/>
      <c r="L22" s="2"/>
      <c r="M22" s="17"/>
      <c r="N22" s="16"/>
      <c r="O22" s="2"/>
      <c r="P22" s="17"/>
      <c r="Q22" s="16"/>
      <c r="R22" s="2"/>
      <c r="S22" s="17"/>
      <c r="T22" s="21"/>
      <c r="U22" s="10"/>
      <c r="V22" s="22"/>
      <c r="W22" s="2"/>
      <c r="X22" s="2"/>
      <c r="Y22" s="175"/>
      <c r="Z22" s="14"/>
      <c r="AA22" s="14"/>
      <c r="AB22" s="14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</row>
    <row r="23" spans="1:44" ht="16.5" x14ac:dyDescent="0.3">
      <c r="B23" s="15"/>
      <c r="C23" s="16" t="s">
        <v>21</v>
      </c>
      <c r="D23" s="2" t="s">
        <v>33</v>
      </c>
      <c r="E23" s="2"/>
      <c r="F23" s="2"/>
      <c r="G23" s="2"/>
      <c r="H23" s="2"/>
      <c r="I23" s="2"/>
      <c r="J23" s="17"/>
      <c r="K23" s="577">
        <f>2*Y5</f>
        <v>2</v>
      </c>
      <c r="L23" s="578"/>
      <c r="M23" s="579"/>
      <c r="N23" s="580">
        <f>N14</f>
        <v>0</v>
      </c>
      <c r="O23" s="581"/>
      <c r="P23" s="582"/>
      <c r="Q23" s="586">
        <v>10816</v>
      </c>
      <c r="R23" s="587"/>
      <c r="S23" s="588"/>
      <c r="T23" s="615">
        <f>K23*N23*Q23</f>
        <v>0</v>
      </c>
      <c r="U23" s="616"/>
      <c r="V23" s="617"/>
      <c r="W23" s="2"/>
      <c r="X23" s="2"/>
      <c r="Y23" s="175"/>
      <c r="Z23" s="14"/>
      <c r="AA23" s="14"/>
      <c r="AB23" s="14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</row>
    <row r="24" spans="1:44" ht="16.5" x14ac:dyDescent="0.3">
      <c r="B24" s="41"/>
      <c r="C24" s="16" t="s">
        <v>23</v>
      </c>
      <c r="D24" s="2" t="s">
        <v>69</v>
      </c>
      <c r="E24" s="2"/>
      <c r="F24" s="2"/>
      <c r="G24" s="2"/>
      <c r="H24" s="2"/>
      <c r="I24" s="2"/>
      <c r="J24" s="17"/>
      <c r="K24" s="577">
        <f>1*Y5</f>
        <v>1</v>
      </c>
      <c r="L24" s="578"/>
      <c r="M24" s="579"/>
      <c r="N24" s="580">
        <f>0.5*N23</f>
        <v>0</v>
      </c>
      <c r="O24" s="581"/>
      <c r="P24" s="582"/>
      <c r="Q24" s="586">
        <v>12296</v>
      </c>
      <c r="R24" s="587"/>
      <c r="S24" s="588"/>
      <c r="T24" s="615">
        <f>K24*N24*Q24</f>
        <v>0</v>
      </c>
      <c r="U24" s="616"/>
      <c r="V24" s="617"/>
      <c r="W24" s="2"/>
      <c r="X24" s="2"/>
      <c r="Y24" s="175"/>
      <c r="Z24" s="14"/>
      <c r="AA24" s="14"/>
      <c r="AB24" s="14"/>
      <c r="AC24" s="172"/>
      <c r="AD24" s="172"/>
      <c r="AE24" s="177"/>
      <c r="AF24" s="176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</row>
    <row r="25" spans="1:44" ht="16.5" x14ac:dyDescent="0.3">
      <c r="B25" s="41"/>
      <c r="C25" s="16" t="s">
        <v>78</v>
      </c>
      <c r="D25" s="2" t="s">
        <v>182</v>
      </c>
      <c r="E25" s="2"/>
      <c r="F25" s="2"/>
      <c r="G25" s="2"/>
      <c r="H25" s="2"/>
      <c r="I25" s="2"/>
      <c r="J25" s="17"/>
      <c r="K25" s="577">
        <v>1</v>
      </c>
      <c r="L25" s="578"/>
      <c r="M25" s="579"/>
      <c r="N25" s="580">
        <f>N24</f>
        <v>0</v>
      </c>
      <c r="O25" s="581"/>
      <c r="P25" s="582"/>
      <c r="Q25" s="586">
        <v>16599.599999999999</v>
      </c>
      <c r="R25" s="587"/>
      <c r="S25" s="588"/>
      <c r="T25" s="615">
        <f>K25*N25*Q25</f>
        <v>0</v>
      </c>
      <c r="U25" s="616"/>
      <c r="V25" s="617"/>
      <c r="W25" s="2"/>
      <c r="X25" s="2"/>
      <c r="Y25" s="175"/>
      <c r="Z25" s="14"/>
      <c r="AA25" s="14"/>
      <c r="AB25" s="14"/>
      <c r="AC25" s="172"/>
      <c r="AD25" s="172"/>
      <c r="AE25" s="177"/>
      <c r="AF25" s="176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</row>
    <row r="26" spans="1:44" ht="16.5" x14ac:dyDescent="0.3">
      <c r="B26" s="41"/>
      <c r="C26" s="16"/>
      <c r="D26" s="2" t="s">
        <v>68</v>
      </c>
      <c r="E26" s="2"/>
      <c r="F26" s="2"/>
      <c r="G26" s="2"/>
      <c r="H26" s="2"/>
      <c r="I26" s="2"/>
      <c r="J26" s="17"/>
      <c r="K26" s="36"/>
      <c r="L26" s="7"/>
      <c r="M26" s="37"/>
      <c r="N26" s="21"/>
      <c r="O26" s="7"/>
      <c r="P26" s="37"/>
      <c r="Q26" s="580"/>
      <c r="R26" s="581"/>
      <c r="S26" s="582"/>
      <c r="T26" s="615">
        <f>T19*0.1</f>
        <v>0</v>
      </c>
      <c r="U26" s="616"/>
      <c r="V26" s="617"/>
      <c r="W26" s="2"/>
      <c r="X26" s="2"/>
      <c r="Y26" s="175"/>
      <c r="Z26" s="14"/>
      <c r="AA26" s="14"/>
      <c r="AB26" s="14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</row>
    <row r="27" spans="1:44" ht="16.5" x14ac:dyDescent="0.3">
      <c r="B27" s="41"/>
      <c r="C27" s="2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78"/>
      <c r="P27" s="579"/>
      <c r="Q27" s="580"/>
      <c r="R27" s="581"/>
      <c r="S27" s="582"/>
      <c r="T27" s="615"/>
      <c r="U27" s="616"/>
      <c r="V27" s="617"/>
      <c r="W27" s="2"/>
      <c r="X27" s="2"/>
      <c r="Y27" s="175"/>
      <c r="Z27" s="14"/>
      <c r="AA27" s="14"/>
      <c r="AB27" s="14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</row>
    <row r="28" spans="1:44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615"/>
      <c r="U28" s="616"/>
      <c r="V28" s="617"/>
      <c r="W28" s="2"/>
      <c r="X28" s="2"/>
      <c r="Y28" s="2"/>
      <c r="Z28" s="14"/>
      <c r="AA28" s="14"/>
      <c r="AB28" s="14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</row>
    <row r="29" spans="1:44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78"/>
      <c r="P29" s="579"/>
      <c r="Q29" s="580"/>
      <c r="R29" s="581"/>
      <c r="S29" s="582"/>
      <c r="T29" s="615"/>
      <c r="U29" s="616"/>
      <c r="V29" s="617"/>
      <c r="W29" s="2"/>
      <c r="X29" s="2"/>
      <c r="Y29" s="2"/>
      <c r="Z29" s="14"/>
      <c r="AA29" s="14"/>
      <c r="AB29" s="14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</row>
    <row r="30" spans="1:44" ht="16.5" x14ac:dyDescent="0.3">
      <c r="A30" s="174" t="s">
        <v>34</v>
      </c>
      <c r="B30" s="46"/>
      <c r="C30" s="564" t="s">
        <v>35</v>
      </c>
      <c r="D30" s="565"/>
      <c r="E30" s="565"/>
      <c r="F30" s="565"/>
      <c r="G30" s="565"/>
      <c r="H30" s="565"/>
      <c r="I30" s="565"/>
      <c r="J30" s="56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619">
        <f>ROUND(SUM(T23:V26),2)</f>
        <v>0</v>
      </c>
      <c r="U30" s="620"/>
      <c r="V30" s="621"/>
      <c r="W30" s="9"/>
      <c r="X30" s="2"/>
      <c r="Y30" s="2"/>
      <c r="Z30" s="14"/>
      <c r="AA30" s="14"/>
      <c r="AB30" s="14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</row>
    <row r="31" spans="1:44" ht="16.5" x14ac:dyDescent="0.3">
      <c r="B31" s="64" t="s">
        <v>36</v>
      </c>
      <c r="C31" s="564" t="s">
        <v>37</v>
      </c>
      <c r="D31" s="565"/>
      <c r="E31" s="565"/>
      <c r="F31" s="565"/>
      <c r="G31" s="565"/>
      <c r="H31" s="565"/>
      <c r="I31" s="565"/>
      <c r="J31" s="565"/>
      <c r="K31" s="48"/>
      <c r="L31" s="48"/>
      <c r="M31" s="48"/>
      <c r="N31" s="48"/>
      <c r="O31" s="48"/>
      <c r="P31" s="48"/>
      <c r="Q31" s="48"/>
      <c r="R31" s="48"/>
      <c r="S31" s="48"/>
      <c r="T31" s="620">
        <f>T19+T30</f>
        <v>0</v>
      </c>
      <c r="U31" s="620"/>
      <c r="V31" s="621"/>
      <c r="W31" s="2"/>
      <c r="X31" s="2"/>
      <c r="Y31" s="2"/>
      <c r="Z31" s="14"/>
      <c r="AA31" s="14"/>
      <c r="AB31" s="14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</row>
    <row r="32" spans="1:44" ht="16.5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70">
        <f>E7</f>
        <v>112</v>
      </c>
      <c r="I32" s="565"/>
      <c r="J32" s="48" t="str">
        <f>G7</f>
        <v>CU.M./DAY</v>
      </c>
      <c r="K32" s="48"/>
      <c r="L32" s="48"/>
      <c r="M32" s="48"/>
      <c r="N32" s="48"/>
      <c r="O32" s="48"/>
      <c r="P32" s="48"/>
      <c r="Q32" s="48"/>
      <c r="R32" s="48"/>
      <c r="S32" s="48"/>
      <c r="T32" s="68"/>
      <c r="U32" s="68"/>
      <c r="V32" s="173"/>
      <c r="W32" s="2"/>
      <c r="X32" s="2"/>
      <c r="Y32" s="2"/>
      <c r="Z32" s="14"/>
      <c r="AA32" s="14"/>
      <c r="AB32" s="14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</row>
    <row r="33" spans="1:44" ht="16.5" x14ac:dyDescent="0.3">
      <c r="B33" s="571" t="s">
        <v>44</v>
      </c>
      <c r="C33" s="572"/>
      <c r="D33" s="572"/>
      <c r="E33" s="572"/>
      <c r="F33" s="572"/>
      <c r="G33" s="572"/>
      <c r="H33" s="572"/>
      <c r="I33" s="572"/>
      <c r="J33" s="573"/>
      <c r="K33" s="571" t="s">
        <v>45</v>
      </c>
      <c r="L33" s="572"/>
      <c r="M33" s="573"/>
      <c r="N33" s="571" t="s">
        <v>46</v>
      </c>
      <c r="O33" s="572"/>
      <c r="P33" s="573"/>
      <c r="Q33" s="571" t="s">
        <v>47</v>
      </c>
      <c r="R33" s="572"/>
      <c r="S33" s="573"/>
      <c r="T33" s="622" t="s">
        <v>17</v>
      </c>
      <c r="U33" s="623"/>
      <c r="V33" s="624"/>
      <c r="W33" s="2"/>
      <c r="X33" s="2"/>
      <c r="Y33" s="2"/>
      <c r="Z33" s="14"/>
      <c r="AA33" s="14"/>
      <c r="AB33" s="14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</row>
    <row r="34" spans="1:44" ht="16.5" x14ac:dyDescent="0.3">
      <c r="B34" s="574"/>
      <c r="C34" s="575"/>
      <c r="D34" s="575"/>
      <c r="E34" s="575"/>
      <c r="F34" s="575"/>
      <c r="G34" s="575"/>
      <c r="H34" s="575"/>
      <c r="I34" s="575"/>
      <c r="J34" s="576"/>
      <c r="K34" s="574"/>
      <c r="L34" s="575"/>
      <c r="M34" s="576"/>
      <c r="N34" s="574"/>
      <c r="O34" s="575"/>
      <c r="P34" s="576"/>
      <c r="Q34" s="574"/>
      <c r="R34" s="575"/>
      <c r="S34" s="576"/>
      <c r="T34" s="625"/>
      <c r="U34" s="626"/>
      <c r="V34" s="627"/>
      <c r="W34" s="2"/>
      <c r="X34" s="2"/>
      <c r="Y34" s="2"/>
      <c r="Z34" s="2"/>
      <c r="AA34" s="2"/>
      <c r="AB34" s="2"/>
    </row>
    <row r="35" spans="1:44" ht="16.5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21"/>
      <c r="U35" s="10"/>
      <c r="V35" s="22"/>
      <c r="W35" s="2"/>
      <c r="X35" s="2"/>
      <c r="Y35" s="2"/>
      <c r="Z35" s="2"/>
      <c r="AA35" s="2"/>
      <c r="AB35" s="2"/>
    </row>
    <row r="36" spans="1:44" ht="18" customHeight="1" x14ac:dyDescent="0.3">
      <c r="B36" s="41"/>
      <c r="C36" s="171" t="s">
        <v>67</v>
      </c>
      <c r="D36" s="170"/>
      <c r="E36" s="170"/>
      <c r="F36" s="170"/>
      <c r="G36" s="170"/>
      <c r="H36" s="170"/>
      <c r="I36" s="170"/>
      <c r="J36" s="170"/>
      <c r="K36" s="169"/>
      <c r="L36" s="168"/>
      <c r="M36" s="167"/>
      <c r="N36" s="155"/>
      <c r="O36" s="154"/>
      <c r="P36" s="153"/>
      <c r="Q36" s="166"/>
      <c r="R36" s="165"/>
      <c r="S36" s="164"/>
      <c r="T36" s="152"/>
      <c r="U36" s="151"/>
      <c r="V36" s="150"/>
      <c r="W36" s="2"/>
      <c r="X36" s="628"/>
      <c r="Y36" s="628"/>
      <c r="Z36" s="628"/>
      <c r="AA36" s="628"/>
      <c r="AB36" s="2"/>
    </row>
    <row r="37" spans="1:44" ht="16.5" x14ac:dyDescent="0.3">
      <c r="B37" s="41"/>
      <c r="C37" s="16"/>
      <c r="D37" s="2"/>
      <c r="E37" s="2"/>
      <c r="F37" s="2"/>
      <c r="G37" s="2"/>
      <c r="H37" s="2"/>
      <c r="I37" s="2"/>
      <c r="J37" s="17"/>
      <c r="K37" s="157"/>
      <c r="L37" s="18"/>
      <c r="M37" s="156"/>
      <c r="N37" s="155"/>
      <c r="O37" s="154"/>
      <c r="P37" s="153"/>
      <c r="Q37" s="163"/>
      <c r="R37" s="2"/>
      <c r="S37" s="17"/>
      <c r="T37" s="152"/>
      <c r="U37" s="151"/>
      <c r="V37" s="150"/>
      <c r="W37" s="2"/>
      <c r="X37" s="628"/>
      <c r="Y37" s="628"/>
      <c r="Z37" s="628"/>
      <c r="AA37" s="628"/>
      <c r="AB37" s="2"/>
    </row>
    <row r="38" spans="1:44" ht="16.5" x14ac:dyDescent="0.3">
      <c r="B38" s="41"/>
      <c r="C38" s="2"/>
      <c r="D38" s="2"/>
      <c r="E38" s="2"/>
      <c r="F38" s="2"/>
      <c r="G38" s="2"/>
      <c r="H38" s="2"/>
      <c r="I38" s="2"/>
      <c r="J38" s="17"/>
      <c r="K38" s="21"/>
      <c r="L38" s="10"/>
      <c r="M38" s="22"/>
      <c r="N38" s="43"/>
      <c r="O38" s="149"/>
      <c r="P38" s="162"/>
      <c r="Q38" s="161"/>
      <c r="R38" s="7"/>
      <c r="S38" s="37"/>
      <c r="T38" s="160"/>
      <c r="U38" s="159"/>
      <c r="V38" s="158"/>
      <c r="W38" s="2"/>
      <c r="X38" s="149"/>
      <c r="Y38" s="149"/>
      <c r="Z38" s="149"/>
      <c r="AA38" s="149"/>
      <c r="AB38" s="2"/>
    </row>
    <row r="39" spans="1:44" ht="16.5" x14ac:dyDescent="0.3">
      <c r="B39" s="41"/>
      <c r="C39" s="2"/>
      <c r="D39" s="2"/>
      <c r="E39" s="2"/>
      <c r="F39" s="2"/>
      <c r="G39" s="2"/>
      <c r="H39" s="2"/>
      <c r="I39" s="2"/>
      <c r="J39" s="17"/>
      <c r="K39" s="21"/>
      <c r="L39" s="10"/>
      <c r="M39" s="22"/>
      <c r="N39" s="43"/>
      <c r="O39" s="149"/>
      <c r="P39" s="162"/>
      <c r="Q39" s="161"/>
      <c r="R39" s="7"/>
      <c r="S39" s="37"/>
      <c r="T39" s="160"/>
      <c r="U39" s="159"/>
      <c r="V39" s="158"/>
      <c r="W39" s="2"/>
      <c r="X39" s="149"/>
      <c r="Y39" s="149"/>
      <c r="Z39" s="149"/>
      <c r="AA39" s="149"/>
      <c r="AB39" s="2"/>
    </row>
    <row r="40" spans="1:44" ht="16.5" x14ac:dyDescent="0.3">
      <c r="B40" s="41"/>
      <c r="C40" s="2"/>
      <c r="D40" s="2"/>
      <c r="E40" s="2"/>
      <c r="F40" s="2"/>
      <c r="G40" s="2"/>
      <c r="H40" s="2"/>
      <c r="I40" s="2"/>
      <c r="J40" s="17"/>
      <c r="K40" s="21"/>
      <c r="L40" s="10"/>
      <c r="M40" s="22"/>
      <c r="N40" s="43"/>
      <c r="O40" s="149"/>
      <c r="P40" s="162"/>
      <c r="Q40" s="161"/>
      <c r="R40" s="7"/>
      <c r="S40" s="37"/>
      <c r="T40" s="160"/>
      <c r="U40" s="159"/>
      <c r="V40" s="158"/>
      <c r="W40" s="2"/>
      <c r="X40" s="149"/>
      <c r="Y40" s="149"/>
      <c r="Z40" s="149"/>
      <c r="AA40" s="149"/>
      <c r="AB40" s="2"/>
    </row>
    <row r="41" spans="1:44" ht="16.5" x14ac:dyDescent="0.3">
      <c r="B41" s="41"/>
      <c r="C41" s="2"/>
      <c r="D41" s="2"/>
      <c r="E41" s="2"/>
      <c r="F41" s="2"/>
      <c r="G41" s="2"/>
      <c r="H41" s="2"/>
      <c r="I41" s="2"/>
      <c r="J41" s="17"/>
      <c r="K41" s="157"/>
      <c r="L41" s="18"/>
      <c r="M41" s="156"/>
      <c r="N41" s="155"/>
      <c r="O41" s="154"/>
      <c r="P41" s="153"/>
      <c r="Q41" s="16"/>
      <c r="R41" s="2"/>
      <c r="S41" s="17"/>
      <c r="T41" s="152"/>
      <c r="U41" s="151"/>
      <c r="V41" s="150"/>
      <c r="W41" s="2"/>
      <c r="X41" s="628"/>
      <c r="Y41" s="628"/>
      <c r="Z41" s="628"/>
      <c r="AA41" s="628"/>
      <c r="AB41" s="2"/>
    </row>
    <row r="42" spans="1:44" ht="16.5" x14ac:dyDescent="0.3">
      <c r="B42" s="41"/>
      <c r="C42" s="16"/>
      <c r="D42" s="2"/>
      <c r="E42" s="2"/>
      <c r="F42" s="2"/>
      <c r="G42" s="2"/>
      <c r="H42" s="2"/>
      <c r="I42" s="2"/>
      <c r="J42" s="17"/>
      <c r="K42" s="157"/>
      <c r="L42" s="18"/>
      <c r="M42" s="156"/>
      <c r="N42" s="155"/>
      <c r="O42" s="154"/>
      <c r="P42" s="153"/>
      <c r="Q42" s="16"/>
      <c r="R42" s="2"/>
      <c r="S42" s="17"/>
      <c r="T42" s="152"/>
      <c r="U42" s="151"/>
      <c r="V42" s="150"/>
      <c r="W42" s="2"/>
      <c r="X42" s="628"/>
      <c r="Y42" s="628"/>
      <c r="Z42" s="628"/>
      <c r="AA42" s="628"/>
      <c r="AB42" s="2"/>
    </row>
    <row r="43" spans="1:44" ht="16.5" x14ac:dyDescent="0.3">
      <c r="A43" s="148" t="s">
        <v>51</v>
      </c>
      <c r="B43" s="46"/>
      <c r="C43" s="564" t="s">
        <v>52</v>
      </c>
      <c r="D43" s="565"/>
      <c r="E43" s="565"/>
      <c r="F43" s="565"/>
      <c r="G43" s="565"/>
      <c r="H43" s="565"/>
      <c r="I43" s="565"/>
      <c r="J43" s="566"/>
      <c r="K43" s="47"/>
      <c r="L43" s="48"/>
      <c r="M43" s="49"/>
      <c r="N43" s="47"/>
      <c r="O43" s="48"/>
      <c r="P43" s="49"/>
      <c r="Q43" s="47"/>
      <c r="R43" s="48"/>
      <c r="S43" s="50" t="s">
        <v>28</v>
      </c>
      <c r="T43" s="619"/>
      <c r="U43" s="620"/>
      <c r="V43" s="621"/>
      <c r="W43" s="2"/>
      <c r="X43" s="2"/>
      <c r="Y43" s="2"/>
      <c r="Z43" s="2"/>
      <c r="AA43" s="2"/>
      <c r="AB43" s="2"/>
    </row>
    <row r="44" spans="1:44" ht="16.5" x14ac:dyDescent="0.3">
      <c r="B44" s="47" t="s">
        <v>53</v>
      </c>
      <c r="C44" s="48" t="s">
        <v>54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9"/>
      <c r="T44" s="619">
        <f>T31+T43</f>
        <v>0</v>
      </c>
      <c r="U44" s="620"/>
      <c r="V44" s="621"/>
      <c r="W44" s="2"/>
      <c r="X44" s="2"/>
      <c r="Y44" s="2"/>
      <c r="Z44" s="2"/>
      <c r="AA44" s="2"/>
      <c r="AB44" s="2"/>
    </row>
    <row r="45" spans="1:44" ht="16.5" x14ac:dyDescent="0.3">
      <c r="B45" s="47" t="s">
        <v>55</v>
      </c>
      <c r="C45" s="48" t="s">
        <v>56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130">
        <f>'INPUT DATA'!C62</f>
        <v>0.05</v>
      </c>
      <c r="O45" s="131"/>
      <c r="P45" s="48"/>
      <c r="Q45" s="48"/>
      <c r="R45" s="48"/>
      <c r="S45" s="49"/>
      <c r="T45" s="567">
        <f>T44*N45</f>
        <v>0</v>
      </c>
      <c r="U45" s="568"/>
      <c r="V45" s="569"/>
      <c r="W45" s="2"/>
      <c r="X45" s="2"/>
      <c r="Y45" s="2"/>
      <c r="Z45" s="2"/>
      <c r="AA45" s="2"/>
      <c r="AB45" s="2"/>
    </row>
    <row r="46" spans="1:44" ht="16.5" x14ac:dyDescent="0.3">
      <c r="B46" s="47" t="s">
        <v>57</v>
      </c>
      <c r="C46" s="48" t="s">
        <v>58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130">
        <f>'INPUT DATA'!C63</f>
        <v>0.1</v>
      </c>
      <c r="O46" s="131"/>
      <c r="P46" s="48"/>
      <c r="Q46" s="48"/>
      <c r="R46" s="48"/>
      <c r="S46" s="49"/>
      <c r="T46" s="567">
        <f>T44*N46</f>
        <v>0</v>
      </c>
      <c r="U46" s="568"/>
      <c r="V46" s="569"/>
      <c r="W46" s="2"/>
      <c r="X46" s="2"/>
      <c r="Y46" s="2"/>
      <c r="Z46" s="2"/>
      <c r="AA46" s="2"/>
      <c r="AB46" s="2"/>
    </row>
    <row r="47" spans="1:44" ht="16.5" x14ac:dyDescent="0.3">
      <c r="B47" s="47" t="s">
        <v>59</v>
      </c>
      <c r="C47" s="48" t="s">
        <v>60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DATA'!C64</f>
        <v>0</v>
      </c>
      <c r="O47" s="131"/>
      <c r="P47" s="48"/>
      <c r="Q47" s="48"/>
      <c r="R47" s="48"/>
      <c r="S47" s="49"/>
      <c r="T47" s="567">
        <f>(T44+T45+T46)*N47</f>
        <v>0</v>
      </c>
      <c r="U47" s="568"/>
      <c r="V47" s="569"/>
      <c r="W47" s="2"/>
      <c r="X47" s="2"/>
      <c r="Y47" s="2"/>
      <c r="Z47" s="2"/>
      <c r="AA47" s="2"/>
      <c r="AB47" s="2"/>
    </row>
    <row r="48" spans="1:44" ht="16.5" x14ac:dyDescent="0.3">
      <c r="A48" s="148" t="s">
        <v>61</v>
      </c>
      <c r="B48" s="47" t="s">
        <v>62</v>
      </c>
      <c r="C48" s="48" t="s">
        <v>63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/>
      <c r="O48" s="48"/>
      <c r="P48" s="48"/>
      <c r="Q48" s="48"/>
      <c r="R48" s="48"/>
      <c r="S48" s="49"/>
      <c r="T48" s="619">
        <f>SUM(T44:V47)</f>
        <v>0</v>
      </c>
      <c r="U48" s="620"/>
      <c r="V48" s="621"/>
      <c r="W48" s="2"/>
      <c r="X48" s="2"/>
      <c r="Y48" s="2"/>
      <c r="Z48" s="2"/>
      <c r="AA48" s="2"/>
      <c r="AB48" s="2"/>
    </row>
    <row r="49" spans="1:28" ht="16.5" x14ac:dyDescent="0.3">
      <c r="A49" s="148" t="s">
        <v>64</v>
      </c>
      <c r="B49" s="47" t="s">
        <v>65</v>
      </c>
      <c r="C49" s="48" t="s">
        <v>66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9"/>
      <c r="T49" s="619" t="e">
        <f>T48/E8</f>
        <v>#DIV/0!</v>
      </c>
      <c r="U49" s="620"/>
      <c r="V49" s="621"/>
      <c r="W49" s="2"/>
      <c r="X49" s="2"/>
      <c r="Y49" s="2"/>
      <c r="Z49" s="2"/>
      <c r="AA49" s="2"/>
      <c r="AB49" s="2"/>
    </row>
    <row r="50" spans="1:28" ht="16.5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147"/>
      <c r="U50" s="147"/>
      <c r="V50" s="147"/>
      <c r="W50" s="2"/>
      <c r="X50" s="2"/>
      <c r="Y50" s="2"/>
      <c r="Z50" s="2"/>
      <c r="AA50" s="2"/>
      <c r="AB50" s="2"/>
    </row>
    <row r="51" spans="1:28" x14ac:dyDescent="0.25">
      <c r="T51" s="146"/>
      <c r="U51" s="146"/>
      <c r="V51" s="146"/>
    </row>
    <row r="52" spans="1:28" x14ac:dyDescent="0.25">
      <c r="T52" s="146"/>
      <c r="U52" s="146"/>
      <c r="V52" s="146"/>
    </row>
    <row r="53" spans="1:28" x14ac:dyDescent="0.25">
      <c r="T53" s="146"/>
      <c r="U53" s="146"/>
      <c r="V53" s="146"/>
    </row>
    <row r="54" spans="1:28" x14ac:dyDescent="0.25">
      <c r="T54" s="146"/>
      <c r="U54" s="146"/>
      <c r="V54" s="146"/>
    </row>
    <row r="55" spans="1:28" x14ac:dyDescent="0.25">
      <c r="T55" s="146"/>
      <c r="U55" s="146"/>
      <c r="V55" s="146"/>
    </row>
    <row r="56" spans="1:28" x14ac:dyDescent="0.25">
      <c r="T56" s="146"/>
      <c r="U56" s="146"/>
      <c r="V56" s="146"/>
    </row>
    <row r="57" spans="1:28" x14ac:dyDescent="0.25">
      <c r="T57" s="146"/>
      <c r="U57" s="146"/>
      <c r="V57" s="146"/>
    </row>
  </sheetData>
  <mergeCells count="99">
    <mergeCell ref="E8:F8"/>
    <mergeCell ref="G8:H8"/>
    <mergeCell ref="B1:V1"/>
    <mergeCell ref="E3:V3"/>
    <mergeCell ref="E5:F5"/>
    <mergeCell ref="E6:F6"/>
    <mergeCell ref="E7:F7"/>
    <mergeCell ref="B10:J11"/>
    <mergeCell ref="K10:M11"/>
    <mergeCell ref="N10:P11"/>
    <mergeCell ref="Q10:S11"/>
    <mergeCell ref="T10:V11"/>
    <mergeCell ref="AD13:AD14"/>
    <mergeCell ref="AE13:AE14"/>
    <mergeCell ref="K14:M14"/>
    <mergeCell ref="N14:P14"/>
    <mergeCell ref="Q14:S14"/>
    <mergeCell ref="T14:V14"/>
    <mergeCell ref="X13:X14"/>
    <mergeCell ref="Y13:Y14"/>
    <mergeCell ref="Z13:Z14"/>
    <mergeCell ref="AA13:AA14"/>
    <mergeCell ref="AB13:AB14"/>
    <mergeCell ref="AC13:AC14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K17:M17"/>
    <mergeCell ref="N17:P17"/>
    <mergeCell ref="Q17:S17"/>
    <mergeCell ref="T17:V17"/>
    <mergeCell ref="K18:M18"/>
    <mergeCell ref="N18:P18"/>
    <mergeCell ref="Q18:S18"/>
    <mergeCell ref="T18:V18"/>
    <mergeCell ref="C19:J19"/>
    <mergeCell ref="T19:V19"/>
    <mergeCell ref="B20:J21"/>
    <mergeCell ref="K20:M21"/>
    <mergeCell ref="N20:P21"/>
    <mergeCell ref="Q20:S21"/>
    <mergeCell ref="T20:V21"/>
    <mergeCell ref="K25:M25"/>
    <mergeCell ref="N25:P25"/>
    <mergeCell ref="Q25:S25"/>
    <mergeCell ref="T25:V25"/>
    <mergeCell ref="Q26:S26"/>
    <mergeCell ref="T26:V26"/>
    <mergeCell ref="K23:M23"/>
    <mergeCell ref="N23:P23"/>
    <mergeCell ref="Q23:S23"/>
    <mergeCell ref="T23:V23"/>
    <mergeCell ref="K24:M24"/>
    <mergeCell ref="N24:P24"/>
    <mergeCell ref="Q24:S24"/>
    <mergeCell ref="T24:V24"/>
    <mergeCell ref="B33:J34"/>
    <mergeCell ref="K33:M34"/>
    <mergeCell ref="N33:P34"/>
    <mergeCell ref="Q33:S34"/>
    <mergeCell ref="T33:V34"/>
    <mergeCell ref="C30:J30"/>
    <mergeCell ref="T30:V30"/>
    <mergeCell ref="C31:J31"/>
    <mergeCell ref="T31:V31"/>
    <mergeCell ref="H32:I32"/>
    <mergeCell ref="X36:AA36"/>
    <mergeCell ref="X37:AA37"/>
    <mergeCell ref="X41:AA41"/>
    <mergeCell ref="X42:AA42"/>
    <mergeCell ref="C43:J43"/>
    <mergeCell ref="T43:V43"/>
    <mergeCell ref="T45:V45"/>
    <mergeCell ref="T46:V46"/>
    <mergeCell ref="T47:V47"/>
    <mergeCell ref="T48:V48"/>
    <mergeCell ref="T49:V49"/>
    <mergeCell ref="K27:M27"/>
    <mergeCell ref="T44:V44"/>
    <mergeCell ref="K28:M28"/>
    <mergeCell ref="N28:P28"/>
    <mergeCell ref="Q28:S28"/>
    <mergeCell ref="T28:V28"/>
    <mergeCell ref="K29:M29"/>
    <mergeCell ref="N29:P29"/>
    <mergeCell ref="Q29:S29"/>
    <mergeCell ref="T29:V29"/>
    <mergeCell ref="N27:P27"/>
    <mergeCell ref="Q27:S27"/>
    <mergeCell ref="T27:V27"/>
  </mergeCells>
  <printOptions horizontalCentered="1"/>
  <pageMargins left="0.3" right="0.3" top="0.5" bottom="0.5" header="0.3" footer="0.3"/>
  <pageSetup paperSize="9" scale="75" orientation="portrait" r:id="rId1"/>
  <colBreaks count="1" manualBreakCount="1">
    <brk id="2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26BE-FE1E-134F-B8E9-F86852FF2627}">
  <sheetPr codeName="Sheet8">
    <tabColor rgb="FF92D050"/>
    <pageSetUpPr fitToPage="1"/>
  </sheetPr>
  <dimension ref="A1:AR55"/>
  <sheetViews>
    <sheetView view="pageBreakPreview" topLeftCell="B13" zoomScale="85" zoomScaleNormal="85" zoomScaleSheetLayoutView="85" workbookViewId="0">
      <selection activeCell="Q24" sqref="Q24:S24"/>
    </sheetView>
  </sheetViews>
  <sheetFormatPr defaultColWidth="9.140625" defaultRowHeight="15" x14ac:dyDescent="0.25"/>
  <cols>
    <col min="1" max="1" width="21.42578125" style="145" customWidth="1"/>
    <col min="2" max="2" width="8.7109375" style="1" customWidth="1"/>
    <col min="3" max="3" width="4.42578125" style="1" customWidth="1"/>
    <col min="4" max="4" width="15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9" width="4.7109375" style="1" customWidth="1"/>
    <col min="20" max="21" width="4.42578125" style="1" customWidth="1"/>
    <col min="22" max="22" width="6.28515625" style="1" customWidth="1"/>
    <col min="23" max="23" width="5.42578125" style="1" customWidth="1"/>
    <col min="24" max="24" width="14.140625" style="1" customWidth="1"/>
    <col min="25" max="25" width="26.28515625" style="1" customWidth="1"/>
    <col min="26" max="26" width="14.42578125" style="1" customWidth="1"/>
    <col min="27" max="27" width="12.28515625" style="1" bestFit="1" customWidth="1"/>
    <col min="28" max="28" width="12.85546875" style="1" customWidth="1"/>
    <col min="29" max="30" width="20" style="1" customWidth="1"/>
    <col min="31" max="31" width="13.28515625" style="1" customWidth="1"/>
    <col min="32" max="16384" width="9.140625" style="1"/>
  </cols>
  <sheetData>
    <row r="1" spans="1:44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44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4" s="4" customFormat="1" ht="16.5" x14ac:dyDescent="0.25">
      <c r="A3" s="187"/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44" s="178" customFormat="1" ht="16.5" x14ac:dyDescent="0.25">
      <c r="A4" s="186"/>
      <c r="B4" s="175"/>
      <c r="C4" s="175"/>
      <c r="D4" s="17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75"/>
      <c r="X4" s="175"/>
      <c r="Y4" s="175"/>
      <c r="Z4" s="175"/>
      <c r="AA4" s="175"/>
      <c r="AB4" s="175"/>
    </row>
    <row r="5" spans="1:44" ht="16.5" x14ac:dyDescent="0.3">
      <c r="A5" s="181" t="s">
        <v>2</v>
      </c>
      <c r="B5" s="2" t="s">
        <v>3</v>
      </c>
      <c r="C5" s="2"/>
      <c r="D5" s="2"/>
      <c r="E5" s="606" t="s">
        <v>338</v>
      </c>
      <c r="F5" s="607"/>
      <c r="G5" s="184" t="s">
        <v>339</v>
      </c>
      <c r="H5" s="183"/>
      <c r="K5" s="183"/>
      <c r="L5" s="183"/>
      <c r="M5" s="183"/>
      <c r="N5" s="182"/>
      <c r="O5" s="182"/>
      <c r="P5" s="182"/>
      <c r="Q5" s="182"/>
      <c r="R5" s="2"/>
      <c r="S5" s="2"/>
      <c r="T5" s="2"/>
      <c r="U5" s="2"/>
      <c r="V5" s="2"/>
      <c r="W5" s="2"/>
      <c r="X5" s="2" t="s">
        <v>72</v>
      </c>
      <c r="Y5" s="2">
        <v>1</v>
      </c>
      <c r="Z5" s="2"/>
      <c r="AA5" s="2"/>
      <c r="AB5" s="2"/>
    </row>
    <row r="6" spans="1:44" ht="16.5" x14ac:dyDescent="0.3">
      <c r="A6" s="181" t="s">
        <v>6</v>
      </c>
      <c r="B6" s="2" t="s">
        <v>7</v>
      </c>
      <c r="C6" s="2"/>
      <c r="D6" s="2"/>
      <c r="E6" s="578" t="s">
        <v>71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44" ht="16.5" x14ac:dyDescent="0.3">
      <c r="B7" s="2" t="s">
        <v>9</v>
      </c>
      <c r="C7" s="2"/>
      <c r="D7" s="2"/>
      <c r="E7" s="581">
        <f>1.2*8*Y5</f>
        <v>9.6</v>
      </c>
      <c r="F7" s="581"/>
      <c r="G7" s="2" t="s">
        <v>70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44" ht="16.5" x14ac:dyDescent="0.3">
      <c r="A8" s="181" t="s">
        <v>11</v>
      </c>
      <c r="B8" s="2" t="s">
        <v>12</v>
      </c>
      <c r="C8" s="2"/>
      <c r="D8" s="2"/>
      <c r="E8" s="581">
        <f>'INPUT DATA'!C14</f>
        <v>3</v>
      </c>
      <c r="F8" s="581"/>
      <c r="G8" s="602" t="str">
        <f>E6</f>
        <v>CU.M.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44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44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608" t="s">
        <v>16</v>
      </c>
      <c r="R10" s="609"/>
      <c r="S10" s="610"/>
      <c r="T10" s="571" t="s">
        <v>17</v>
      </c>
      <c r="U10" s="572"/>
      <c r="V10" s="573"/>
      <c r="W10" s="2"/>
      <c r="X10" s="2"/>
      <c r="Y10" s="175"/>
      <c r="Z10" s="175"/>
      <c r="AA10" s="175"/>
      <c r="AB10" s="180"/>
      <c r="AC10" s="178"/>
      <c r="AD10" s="178"/>
      <c r="AE10" s="178"/>
      <c r="AF10" s="178"/>
      <c r="AG10" s="178"/>
    </row>
    <row r="11" spans="1:44" ht="16.5" customHeight="1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611"/>
      <c r="R11" s="612"/>
      <c r="S11" s="613"/>
      <c r="T11" s="574"/>
      <c r="U11" s="575"/>
      <c r="V11" s="576"/>
      <c r="W11" s="2"/>
      <c r="X11" s="2"/>
      <c r="Y11" s="175"/>
      <c r="Z11" s="14"/>
      <c r="AA11" s="14"/>
      <c r="AB11" s="14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</row>
    <row r="12" spans="1:44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2"/>
      <c r="Y12" s="175"/>
      <c r="Z12" s="14"/>
      <c r="AA12" s="14"/>
      <c r="AB12" s="14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</row>
    <row r="13" spans="1:44" ht="16.5" x14ac:dyDescent="0.3">
      <c r="A13" s="45" t="s">
        <v>20</v>
      </c>
      <c r="B13" s="15"/>
      <c r="C13" s="16" t="s">
        <v>21</v>
      </c>
      <c r="D13" s="2" t="s">
        <v>22</v>
      </c>
      <c r="E13" s="2"/>
      <c r="F13" s="2"/>
      <c r="G13" s="2"/>
      <c r="H13" s="2"/>
      <c r="I13" s="179"/>
      <c r="J13" s="17"/>
      <c r="K13" s="577">
        <v>1</v>
      </c>
      <c r="L13" s="578"/>
      <c r="M13" s="579"/>
      <c r="N13" s="580">
        <f>E8/E7</f>
        <v>0.3125</v>
      </c>
      <c r="O13" s="581"/>
      <c r="P13" s="582"/>
      <c r="Q13" s="599">
        <v>800</v>
      </c>
      <c r="R13" s="600"/>
      <c r="S13" s="601"/>
      <c r="T13" s="615">
        <f>K13*N13*Q13</f>
        <v>250</v>
      </c>
      <c r="U13" s="616"/>
      <c r="V13" s="617"/>
      <c r="W13" s="2"/>
      <c r="X13" s="618"/>
      <c r="Y13" s="618"/>
      <c r="Z13" s="618"/>
      <c r="AA13" s="618"/>
      <c r="AB13" s="618"/>
      <c r="AC13" s="614"/>
      <c r="AD13" s="614"/>
      <c r="AE13" s="614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</row>
    <row r="14" spans="1:44" ht="16.5" x14ac:dyDescent="0.3">
      <c r="B14" s="41"/>
      <c r="C14" s="16" t="s">
        <v>23</v>
      </c>
      <c r="D14" s="2" t="s">
        <v>24</v>
      </c>
      <c r="E14" s="2"/>
      <c r="F14" s="2"/>
      <c r="G14" s="2"/>
      <c r="H14" s="2"/>
      <c r="I14" s="2"/>
      <c r="J14" s="17"/>
      <c r="K14" s="577">
        <f>3*Y5</f>
        <v>3</v>
      </c>
      <c r="L14" s="578"/>
      <c r="M14" s="579"/>
      <c r="N14" s="580">
        <f>E8/E7</f>
        <v>0.3125</v>
      </c>
      <c r="O14" s="581"/>
      <c r="P14" s="582"/>
      <c r="Q14" s="599">
        <v>400</v>
      </c>
      <c r="R14" s="600"/>
      <c r="S14" s="601"/>
      <c r="T14" s="615">
        <f>K14*N14*Q14</f>
        <v>375</v>
      </c>
      <c r="U14" s="616"/>
      <c r="V14" s="617"/>
      <c r="W14" s="2"/>
      <c r="X14" s="618"/>
      <c r="Y14" s="618"/>
      <c r="Z14" s="618"/>
      <c r="AA14" s="618"/>
      <c r="AB14" s="618"/>
      <c r="AC14" s="614"/>
      <c r="AD14" s="614"/>
      <c r="AE14" s="614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</row>
    <row r="15" spans="1:44" ht="16.5" x14ac:dyDescent="0.3">
      <c r="B15" s="41"/>
      <c r="C15" s="16"/>
      <c r="D15" s="2"/>
      <c r="E15" s="2"/>
      <c r="F15" s="2"/>
      <c r="G15" s="2"/>
      <c r="H15" s="2"/>
      <c r="I15" s="2"/>
      <c r="J15" s="17"/>
      <c r="K15" s="577"/>
      <c r="L15" s="578"/>
      <c r="M15" s="579"/>
      <c r="N15" s="580"/>
      <c r="O15" s="578"/>
      <c r="P15" s="579"/>
      <c r="Q15" s="589"/>
      <c r="R15" s="578"/>
      <c r="S15" s="579"/>
      <c r="T15" s="615"/>
      <c r="U15" s="616"/>
      <c r="V15" s="617"/>
      <c r="W15" s="9"/>
      <c r="X15" s="2"/>
      <c r="Y15" s="14"/>
      <c r="Z15" s="14"/>
      <c r="AA15" s="14"/>
      <c r="AB15" s="14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</row>
    <row r="16" spans="1:44" ht="16.5" x14ac:dyDescent="0.3">
      <c r="B16" s="41"/>
      <c r="C16" s="16"/>
      <c r="D16" s="2"/>
      <c r="E16" s="2"/>
      <c r="F16" s="2"/>
      <c r="G16" s="2"/>
      <c r="H16" s="2"/>
      <c r="I16" s="2"/>
      <c r="J16" s="17"/>
      <c r="K16" s="577"/>
      <c r="L16" s="578"/>
      <c r="M16" s="579"/>
      <c r="N16" s="580"/>
      <c r="O16" s="578"/>
      <c r="P16" s="579"/>
      <c r="Q16" s="589"/>
      <c r="R16" s="578"/>
      <c r="S16" s="579"/>
      <c r="T16" s="615"/>
      <c r="U16" s="616"/>
      <c r="V16" s="617"/>
      <c r="W16" s="2"/>
      <c r="X16" s="2"/>
      <c r="Y16" s="14"/>
      <c r="Z16" s="14"/>
      <c r="AA16" s="14"/>
      <c r="AB16" s="14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</row>
    <row r="17" spans="1:44" ht="16.5" x14ac:dyDescent="0.3">
      <c r="B17" s="41"/>
      <c r="C17" s="16"/>
      <c r="D17" s="179"/>
      <c r="E17" s="2"/>
      <c r="F17" s="2"/>
      <c r="G17" s="2"/>
      <c r="H17" s="2"/>
      <c r="I17" s="179"/>
      <c r="J17" s="17"/>
      <c r="K17" s="577"/>
      <c r="L17" s="578"/>
      <c r="M17" s="579"/>
      <c r="N17" s="580"/>
      <c r="O17" s="578"/>
      <c r="P17" s="579"/>
      <c r="Q17" s="589"/>
      <c r="R17" s="578"/>
      <c r="S17" s="579"/>
      <c r="T17" s="615"/>
      <c r="U17" s="616"/>
      <c r="V17" s="617"/>
      <c r="W17" s="2"/>
      <c r="X17" s="2"/>
      <c r="Y17" s="175"/>
      <c r="Z17" s="14"/>
      <c r="AA17" s="172"/>
      <c r="AB17" s="14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</row>
    <row r="18" spans="1:44" ht="16.5" x14ac:dyDescent="0.3">
      <c r="B18" s="41"/>
      <c r="C18" s="16"/>
      <c r="D18" s="179"/>
      <c r="E18" s="2"/>
      <c r="F18" s="2"/>
      <c r="G18" s="2"/>
      <c r="H18" s="2"/>
      <c r="I18" s="179"/>
      <c r="J18" s="17"/>
      <c r="K18" s="577"/>
      <c r="L18" s="578"/>
      <c r="M18" s="579"/>
      <c r="N18" s="580"/>
      <c r="O18" s="578"/>
      <c r="P18" s="579"/>
      <c r="Q18" s="589"/>
      <c r="R18" s="578"/>
      <c r="S18" s="579"/>
      <c r="T18" s="615"/>
      <c r="U18" s="616"/>
      <c r="V18" s="617"/>
      <c r="W18" s="2"/>
      <c r="X18" s="2"/>
      <c r="Y18" s="175"/>
      <c r="Z18" s="14"/>
      <c r="AA18" s="14"/>
      <c r="AB18" s="14"/>
      <c r="AC18" s="176"/>
      <c r="AD18" s="176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</row>
    <row r="19" spans="1:44" ht="16.5" x14ac:dyDescent="0.3">
      <c r="A19" s="148" t="s">
        <v>26</v>
      </c>
      <c r="B19" s="46"/>
      <c r="C19" s="564" t="s">
        <v>27</v>
      </c>
      <c r="D19" s="565"/>
      <c r="E19" s="565"/>
      <c r="F19" s="565"/>
      <c r="G19" s="565"/>
      <c r="H19" s="565"/>
      <c r="I19" s="565"/>
      <c r="J19" s="566"/>
      <c r="K19" s="47"/>
      <c r="L19" s="48"/>
      <c r="M19" s="49"/>
      <c r="N19" s="47"/>
      <c r="O19" s="48"/>
      <c r="P19" s="49"/>
      <c r="Q19" s="47"/>
      <c r="R19" s="48"/>
      <c r="S19" s="50" t="s">
        <v>28</v>
      </c>
      <c r="T19" s="619">
        <f>ROUND(SUM(T13:V14),2)</f>
        <v>625</v>
      </c>
      <c r="U19" s="620"/>
      <c r="V19" s="621"/>
      <c r="Y19" s="178"/>
      <c r="Z19" s="172"/>
      <c r="AA19" s="172"/>
      <c r="AB19" s="172"/>
      <c r="AC19" s="172"/>
      <c r="AD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</row>
    <row r="20" spans="1:44" x14ac:dyDescent="0.25">
      <c r="B20" s="571" t="s">
        <v>29</v>
      </c>
      <c r="C20" s="572"/>
      <c r="D20" s="572"/>
      <c r="E20" s="572"/>
      <c r="F20" s="572"/>
      <c r="G20" s="572"/>
      <c r="H20" s="572"/>
      <c r="I20" s="572"/>
      <c r="J20" s="573"/>
      <c r="K20" s="571" t="s">
        <v>30</v>
      </c>
      <c r="L20" s="572"/>
      <c r="M20" s="573"/>
      <c r="N20" s="571" t="s">
        <v>15</v>
      </c>
      <c r="O20" s="572"/>
      <c r="P20" s="573"/>
      <c r="Q20" s="571" t="s">
        <v>16</v>
      </c>
      <c r="R20" s="572"/>
      <c r="S20" s="573"/>
      <c r="T20" s="622" t="s">
        <v>17</v>
      </c>
      <c r="U20" s="623"/>
      <c r="V20" s="624"/>
      <c r="Y20" s="178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</row>
    <row r="21" spans="1:44" x14ac:dyDescent="0.25">
      <c r="B21" s="574"/>
      <c r="C21" s="575"/>
      <c r="D21" s="575"/>
      <c r="E21" s="575"/>
      <c r="F21" s="575"/>
      <c r="G21" s="575"/>
      <c r="H21" s="575"/>
      <c r="I21" s="575"/>
      <c r="J21" s="576"/>
      <c r="K21" s="574"/>
      <c r="L21" s="575"/>
      <c r="M21" s="576"/>
      <c r="N21" s="574"/>
      <c r="O21" s="575"/>
      <c r="P21" s="576"/>
      <c r="Q21" s="574"/>
      <c r="R21" s="575"/>
      <c r="S21" s="576"/>
      <c r="T21" s="625"/>
      <c r="U21" s="626"/>
      <c r="V21" s="627"/>
      <c r="Y21" s="178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</row>
    <row r="22" spans="1:44" ht="16.5" x14ac:dyDescent="0.3">
      <c r="B22" s="15" t="s">
        <v>31</v>
      </c>
      <c r="C22" s="16" t="s">
        <v>32</v>
      </c>
      <c r="D22" s="2"/>
      <c r="E22" s="2"/>
      <c r="F22" s="2"/>
      <c r="G22" s="2"/>
      <c r="H22" s="2"/>
      <c r="I22" s="2"/>
      <c r="J22" s="17"/>
      <c r="K22" s="16"/>
      <c r="L22" s="2"/>
      <c r="M22" s="17"/>
      <c r="N22" s="16"/>
      <c r="O22" s="2"/>
      <c r="P22" s="17"/>
      <c r="Q22" s="16"/>
      <c r="R22" s="2"/>
      <c r="S22" s="17"/>
      <c r="T22" s="21"/>
      <c r="U22" s="10"/>
      <c r="V22" s="22"/>
      <c r="W22" s="2"/>
      <c r="X22" s="2"/>
      <c r="Y22" s="175"/>
      <c r="Z22" s="14"/>
      <c r="AA22" s="14"/>
      <c r="AB22" s="14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</row>
    <row r="23" spans="1:44" ht="16.5" x14ac:dyDescent="0.3">
      <c r="B23" s="15"/>
      <c r="C23" s="16" t="s">
        <v>21</v>
      </c>
      <c r="D23" s="2" t="s">
        <v>183</v>
      </c>
      <c r="E23" s="2"/>
      <c r="F23" s="2"/>
      <c r="G23" s="2"/>
      <c r="H23" s="2"/>
      <c r="I23" s="2"/>
      <c r="J23" s="17"/>
      <c r="K23" s="577">
        <f>2*Y5</f>
        <v>2</v>
      </c>
      <c r="L23" s="578"/>
      <c r="M23" s="579"/>
      <c r="N23" s="580">
        <f>N14</f>
        <v>0.3125</v>
      </c>
      <c r="O23" s="581"/>
      <c r="P23" s="582"/>
      <c r="Q23" s="586">
        <v>984</v>
      </c>
      <c r="R23" s="587"/>
      <c r="S23" s="588"/>
      <c r="T23" s="615">
        <f>K23*N23*Q23</f>
        <v>615</v>
      </c>
      <c r="U23" s="616"/>
      <c r="V23" s="617"/>
      <c r="W23" s="2"/>
      <c r="X23" s="2"/>
      <c r="Y23" s="175"/>
      <c r="Z23" s="14"/>
      <c r="AA23" s="14"/>
      <c r="AB23" s="14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</row>
    <row r="24" spans="1:44" ht="16.5" x14ac:dyDescent="0.3">
      <c r="B24" s="41"/>
      <c r="C24" s="16"/>
      <c r="D24" s="2" t="s">
        <v>68</v>
      </c>
      <c r="E24" s="2"/>
      <c r="F24" s="2"/>
      <c r="G24" s="2"/>
      <c r="H24" s="2"/>
      <c r="I24" s="2"/>
      <c r="J24" s="17"/>
      <c r="K24" s="36"/>
      <c r="L24" s="7"/>
      <c r="M24" s="37"/>
      <c r="N24" s="21"/>
      <c r="O24" s="7"/>
      <c r="P24" s="37"/>
      <c r="Q24" s="580"/>
      <c r="R24" s="581"/>
      <c r="S24" s="582"/>
      <c r="T24" s="615">
        <f>T19*0.1</f>
        <v>62.5</v>
      </c>
      <c r="U24" s="616"/>
      <c r="V24" s="617"/>
      <c r="W24" s="2"/>
      <c r="X24" s="2"/>
      <c r="Y24" s="175"/>
      <c r="Z24" s="14"/>
      <c r="AA24" s="14"/>
      <c r="AB24" s="14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</row>
    <row r="25" spans="1:44" ht="16.5" x14ac:dyDescent="0.3">
      <c r="B25" s="41"/>
      <c r="C25" s="2"/>
      <c r="D25" s="2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78"/>
      <c r="P25" s="579"/>
      <c r="Q25" s="580"/>
      <c r="R25" s="581"/>
      <c r="S25" s="582"/>
      <c r="T25" s="615"/>
      <c r="U25" s="616"/>
      <c r="V25" s="617"/>
      <c r="W25" s="2"/>
      <c r="X25" s="2"/>
      <c r="Y25" s="175"/>
      <c r="Z25" s="14"/>
      <c r="AA25" s="14"/>
      <c r="AB25" s="14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</row>
    <row r="26" spans="1:44" ht="16.5" x14ac:dyDescent="0.3">
      <c r="B26" s="41"/>
      <c r="C26" s="16"/>
      <c r="D26" s="2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78"/>
      <c r="P26" s="579"/>
      <c r="Q26" s="580"/>
      <c r="R26" s="581"/>
      <c r="S26" s="582"/>
      <c r="T26" s="615"/>
      <c r="U26" s="616"/>
      <c r="V26" s="617"/>
      <c r="W26" s="2"/>
      <c r="X26" s="2"/>
      <c r="Y26" s="2"/>
      <c r="Z26" s="14"/>
      <c r="AA26" s="14"/>
      <c r="AB26" s="14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</row>
    <row r="27" spans="1:44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78"/>
      <c r="P27" s="579"/>
      <c r="Q27" s="580"/>
      <c r="R27" s="581"/>
      <c r="S27" s="582"/>
      <c r="T27" s="615"/>
      <c r="U27" s="616"/>
      <c r="V27" s="617"/>
      <c r="W27" s="2"/>
      <c r="X27" s="2"/>
      <c r="Y27" s="2"/>
      <c r="Z27" s="14"/>
      <c r="AA27" s="14"/>
      <c r="AB27" s="14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</row>
    <row r="28" spans="1:44" ht="16.5" x14ac:dyDescent="0.3">
      <c r="A28" s="174" t="s">
        <v>34</v>
      </c>
      <c r="B28" s="46"/>
      <c r="C28" s="564" t="s">
        <v>35</v>
      </c>
      <c r="D28" s="565"/>
      <c r="E28" s="565"/>
      <c r="F28" s="565"/>
      <c r="G28" s="565"/>
      <c r="H28" s="565"/>
      <c r="I28" s="565"/>
      <c r="J28" s="566"/>
      <c r="K28" s="47"/>
      <c r="L28" s="48"/>
      <c r="M28" s="49"/>
      <c r="N28" s="47"/>
      <c r="O28" s="48"/>
      <c r="P28" s="49"/>
      <c r="Q28" s="47"/>
      <c r="R28" s="48"/>
      <c r="S28" s="50" t="s">
        <v>28</v>
      </c>
      <c r="T28" s="619">
        <f>ROUND(SUM(T23:V24),2)</f>
        <v>677.5</v>
      </c>
      <c r="U28" s="620"/>
      <c r="V28" s="621"/>
      <c r="W28" s="9"/>
      <c r="X28" s="2"/>
      <c r="Y28" s="2"/>
      <c r="Z28" s="14"/>
      <c r="AA28" s="14"/>
      <c r="AB28" s="14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</row>
    <row r="29" spans="1:44" ht="16.5" x14ac:dyDescent="0.3">
      <c r="B29" s="64" t="s">
        <v>36</v>
      </c>
      <c r="C29" s="564" t="s">
        <v>37</v>
      </c>
      <c r="D29" s="565"/>
      <c r="E29" s="565"/>
      <c r="F29" s="565"/>
      <c r="G29" s="565"/>
      <c r="H29" s="565"/>
      <c r="I29" s="565"/>
      <c r="J29" s="565"/>
      <c r="K29" s="48"/>
      <c r="L29" s="48"/>
      <c r="M29" s="48"/>
      <c r="N29" s="48"/>
      <c r="O29" s="48"/>
      <c r="P29" s="48"/>
      <c r="Q29" s="48"/>
      <c r="R29" s="48"/>
      <c r="S29" s="48"/>
      <c r="T29" s="620">
        <f>T19+T28</f>
        <v>1302.5</v>
      </c>
      <c r="U29" s="620"/>
      <c r="V29" s="621"/>
      <c r="W29" s="2"/>
      <c r="X29" s="2"/>
      <c r="Y29" s="2"/>
      <c r="Z29" s="14"/>
      <c r="AA29" s="14"/>
      <c r="AB29" s="14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</row>
    <row r="30" spans="1:44" ht="16.5" x14ac:dyDescent="0.3">
      <c r="B30" s="66" t="s">
        <v>38</v>
      </c>
      <c r="C30" s="47" t="s">
        <v>39</v>
      </c>
      <c r="D30" s="48"/>
      <c r="E30" s="48"/>
      <c r="F30" s="48"/>
      <c r="G30" s="67" t="s">
        <v>40</v>
      </c>
      <c r="H30" s="570">
        <f>E7</f>
        <v>9.6</v>
      </c>
      <c r="I30" s="565"/>
      <c r="J30" s="48" t="str">
        <f>G7</f>
        <v>CU.M./DAY</v>
      </c>
      <c r="K30" s="48"/>
      <c r="L30" s="48"/>
      <c r="M30" s="48"/>
      <c r="N30" s="48"/>
      <c r="O30" s="48"/>
      <c r="P30" s="48"/>
      <c r="Q30" s="48"/>
      <c r="R30" s="48"/>
      <c r="S30" s="48"/>
      <c r="T30" s="68"/>
      <c r="U30" s="68"/>
      <c r="V30" s="173"/>
      <c r="W30" s="2"/>
      <c r="X30" s="2"/>
      <c r="Y30" s="2"/>
      <c r="Z30" s="14"/>
      <c r="AA30" s="14"/>
      <c r="AB30" s="14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</row>
    <row r="31" spans="1:44" ht="16.5" x14ac:dyDescent="0.3">
      <c r="B31" s="571" t="s">
        <v>44</v>
      </c>
      <c r="C31" s="572"/>
      <c r="D31" s="572"/>
      <c r="E31" s="572"/>
      <c r="F31" s="572"/>
      <c r="G31" s="572"/>
      <c r="H31" s="572"/>
      <c r="I31" s="572"/>
      <c r="J31" s="573"/>
      <c r="K31" s="571" t="s">
        <v>45</v>
      </c>
      <c r="L31" s="572"/>
      <c r="M31" s="573"/>
      <c r="N31" s="571" t="s">
        <v>46</v>
      </c>
      <c r="O31" s="572"/>
      <c r="P31" s="573"/>
      <c r="Q31" s="571" t="s">
        <v>47</v>
      </c>
      <c r="R31" s="572"/>
      <c r="S31" s="573"/>
      <c r="T31" s="622" t="s">
        <v>17</v>
      </c>
      <c r="U31" s="623"/>
      <c r="V31" s="624"/>
      <c r="W31" s="2"/>
      <c r="X31" s="2"/>
      <c r="Y31" s="2"/>
      <c r="Z31" s="14"/>
      <c r="AA31" s="14"/>
      <c r="AB31" s="14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</row>
    <row r="32" spans="1:44" ht="16.5" x14ac:dyDescent="0.3">
      <c r="B32" s="574"/>
      <c r="C32" s="575"/>
      <c r="D32" s="575"/>
      <c r="E32" s="575"/>
      <c r="F32" s="575"/>
      <c r="G32" s="575"/>
      <c r="H32" s="575"/>
      <c r="I32" s="575"/>
      <c r="J32" s="576"/>
      <c r="K32" s="574"/>
      <c r="L32" s="575"/>
      <c r="M32" s="576"/>
      <c r="N32" s="574"/>
      <c r="O32" s="575"/>
      <c r="P32" s="576"/>
      <c r="Q32" s="574"/>
      <c r="R32" s="575"/>
      <c r="S32" s="576"/>
      <c r="T32" s="625"/>
      <c r="U32" s="626"/>
      <c r="V32" s="627"/>
      <c r="W32" s="2"/>
      <c r="X32" s="2"/>
      <c r="Y32" s="2"/>
      <c r="Z32" s="2"/>
      <c r="AA32" s="2"/>
      <c r="AB32" s="2"/>
    </row>
    <row r="33" spans="1:28" ht="16.5" x14ac:dyDescent="0.3">
      <c r="B33" s="15" t="s">
        <v>48</v>
      </c>
      <c r="C33" s="16" t="s">
        <v>49</v>
      </c>
      <c r="D33" s="2"/>
      <c r="E33" s="2"/>
      <c r="F33" s="2"/>
      <c r="G33" s="2"/>
      <c r="H33" s="2"/>
      <c r="I33" s="2"/>
      <c r="J33" s="17"/>
      <c r="K33" s="16"/>
      <c r="L33" s="2"/>
      <c r="M33" s="17"/>
      <c r="N33" s="16"/>
      <c r="O33" s="2"/>
      <c r="P33" s="17"/>
      <c r="Q33" s="16"/>
      <c r="R33" s="2"/>
      <c r="S33" s="17"/>
      <c r="T33" s="21"/>
      <c r="U33" s="10"/>
      <c r="V33" s="22"/>
      <c r="W33" s="2"/>
      <c r="X33" s="2"/>
      <c r="Y33" s="2"/>
      <c r="Z33" s="2"/>
      <c r="AA33" s="2"/>
      <c r="AB33" s="2"/>
    </row>
    <row r="34" spans="1:28" ht="18" customHeight="1" x14ac:dyDescent="0.3">
      <c r="B34" s="41"/>
      <c r="C34" s="171" t="s">
        <v>21</v>
      </c>
      <c r="D34" s="170" t="s">
        <v>184</v>
      </c>
      <c r="E34" s="170"/>
      <c r="F34" s="170"/>
      <c r="G34" s="170"/>
      <c r="H34" s="170"/>
      <c r="I34" s="170"/>
      <c r="J34" s="170"/>
      <c r="K34" s="580">
        <f>E8</f>
        <v>3</v>
      </c>
      <c r="L34" s="578"/>
      <c r="M34" s="579"/>
      <c r="N34" s="580" t="s">
        <v>185</v>
      </c>
      <c r="O34" s="578"/>
      <c r="P34" s="579"/>
      <c r="Q34" s="589">
        <v>1400</v>
      </c>
      <c r="R34" s="578"/>
      <c r="S34" s="579"/>
      <c r="T34" s="615">
        <f>Q34*K34</f>
        <v>4200</v>
      </c>
      <c r="U34" s="616"/>
      <c r="V34" s="617"/>
      <c r="W34" s="2"/>
      <c r="X34" s="628"/>
      <c r="Y34" s="628"/>
      <c r="Z34" s="628"/>
      <c r="AA34" s="628"/>
      <c r="AB34" s="2"/>
    </row>
    <row r="35" spans="1:28" ht="16.5" x14ac:dyDescent="0.3">
      <c r="B35" s="41"/>
      <c r="C35" s="16"/>
      <c r="D35" s="2"/>
      <c r="E35" s="2"/>
      <c r="F35" s="2"/>
      <c r="G35" s="2"/>
      <c r="H35" s="2"/>
      <c r="I35" s="2"/>
      <c r="J35" s="17"/>
      <c r="K35" s="157"/>
      <c r="L35" s="18"/>
      <c r="M35" s="156"/>
      <c r="N35" s="155"/>
      <c r="O35" s="154"/>
      <c r="P35" s="153"/>
      <c r="Q35" s="163"/>
      <c r="R35" s="2"/>
      <c r="S35" s="17"/>
      <c r="T35" s="152"/>
      <c r="U35" s="151"/>
      <c r="V35" s="150"/>
      <c r="W35" s="2"/>
      <c r="X35" s="628"/>
      <c r="Y35" s="628"/>
      <c r="Z35" s="628"/>
      <c r="AA35" s="628"/>
      <c r="AB35" s="2"/>
    </row>
    <row r="36" spans="1:28" ht="16.5" x14ac:dyDescent="0.3">
      <c r="B36" s="41"/>
      <c r="C36" s="2"/>
      <c r="D36" s="2"/>
      <c r="E36" s="2"/>
      <c r="F36" s="2"/>
      <c r="G36" s="2"/>
      <c r="H36" s="2"/>
      <c r="I36" s="2"/>
      <c r="J36" s="17"/>
      <c r="K36" s="21"/>
      <c r="L36" s="10"/>
      <c r="M36" s="22"/>
      <c r="N36" s="43"/>
      <c r="O36" s="149"/>
      <c r="P36" s="162"/>
      <c r="Q36" s="161"/>
      <c r="R36" s="7"/>
      <c r="S36" s="37"/>
      <c r="T36" s="160"/>
      <c r="U36" s="159"/>
      <c r="V36" s="158"/>
      <c r="W36" s="2"/>
      <c r="X36" s="149"/>
      <c r="Y36" s="149"/>
      <c r="Z36" s="149"/>
      <c r="AA36" s="149"/>
      <c r="AB36" s="2"/>
    </row>
    <row r="37" spans="1:28" ht="16.5" x14ac:dyDescent="0.3">
      <c r="B37" s="41"/>
      <c r="C37" s="2"/>
      <c r="D37" s="2"/>
      <c r="E37" s="2"/>
      <c r="F37" s="2"/>
      <c r="G37" s="2"/>
      <c r="H37" s="2"/>
      <c r="I37" s="2"/>
      <c r="J37" s="17"/>
      <c r="K37" s="21"/>
      <c r="L37" s="10"/>
      <c r="M37" s="22"/>
      <c r="N37" s="43"/>
      <c r="O37" s="149"/>
      <c r="P37" s="162"/>
      <c r="Q37" s="161"/>
      <c r="R37" s="7"/>
      <c r="S37" s="37"/>
      <c r="T37" s="160"/>
      <c r="U37" s="159"/>
      <c r="V37" s="158"/>
      <c r="W37" s="2"/>
      <c r="X37" s="149"/>
      <c r="Y37" s="149"/>
      <c r="Z37" s="149"/>
      <c r="AA37" s="149"/>
      <c r="AB37" s="2"/>
    </row>
    <row r="38" spans="1:28" ht="16.5" x14ac:dyDescent="0.3">
      <c r="B38" s="41"/>
      <c r="C38" s="2"/>
      <c r="D38" s="2"/>
      <c r="E38" s="2"/>
      <c r="F38" s="2"/>
      <c r="G38" s="2"/>
      <c r="H38" s="2"/>
      <c r="I38" s="2"/>
      <c r="J38" s="17"/>
      <c r="K38" s="21"/>
      <c r="L38" s="10"/>
      <c r="M38" s="22"/>
      <c r="N38" s="43"/>
      <c r="O38" s="149"/>
      <c r="P38" s="162"/>
      <c r="Q38" s="161"/>
      <c r="R38" s="7"/>
      <c r="S38" s="37"/>
      <c r="T38" s="160"/>
      <c r="U38" s="159"/>
      <c r="V38" s="158"/>
      <c r="W38" s="2"/>
      <c r="X38" s="149"/>
      <c r="Y38" s="149"/>
      <c r="Z38" s="149"/>
      <c r="AA38" s="149"/>
      <c r="AB38" s="2"/>
    </row>
    <row r="39" spans="1:28" ht="16.5" x14ac:dyDescent="0.3">
      <c r="B39" s="41"/>
      <c r="C39" s="2"/>
      <c r="D39" s="2"/>
      <c r="E39" s="2"/>
      <c r="F39" s="2"/>
      <c r="G39" s="2"/>
      <c r="H39" s="2"/>
      <c r="I39" s="2"/>
      <c r="J39" s="17"/>
      <c r="K39" s="157"/>
      <c r="L39" s="18"/>
      <c r="M39" s="156"/>
      <c r="N39" s="155"/>
      <c r="O39" s="154"/>
      <c r="P39" s="153"/>
      <c r="Q39" s="16"/>
      <c r="R39" s="2"/>
      <c r="S39" s="17"/>
      <c r="T39" s="152"/>
      <c r="U39" s="151"/>
      <c r="V39" s="150"/>
      <c r="W39" s="2"/>
      <c r="X39" s="628"/>
      <c r="Y39" s="628"/>
      <c r="Z39" s="628"/>
      <c r="AA39" s="628"/>
      <c r="AB39" s="2"/>
    </row>
    <row r="40" spans="1:28" ht="16.5" x14ac:dyDescent="0.3">
      <c r="B40" s="41"/>
      <c r="C40" s="16"/>
      <c r="D40" s="2"/>
      <c r="E40" s="2"/>
      <c r="F40" s="2"/>
      <c r="G40" s="2"/>
      <c r="H40" s="2"/>
      <c r="I40" s="2"/>
      <c r="J40" s="17"/>
      <c r="K40" s="157"/>
      <c r="L40" s="18"/>
      <c r="M40" s="156"/>
      <c r="N40" s="155"/>
      <c r="O40" s="154"/>
      <c r="P40" s="153"/>
      <c r="Q40" s="16"/>
      <c r="R40" s="2"/>
      <c r="S40" s="17"/>
      <c r="T40" s="152"/>
      <c r="U40" s="151"/>
      <c r="V40" s="150"/>
      <c r="W40" s="2"/>
      <c r="X40" s="628"/>
      <c r="Y40" s="628"/>
      <c r="Z40" s="628"/>
      <c r="AA40" s="628"/>
      <c r="AB40" s="2"/>
    </row>
    <row r="41" spans="1:28" ht="16.5" x14ac:dyDescent="0.3">
      <c r="A41" s="148" t="s">
        <v>51</v>
      </c>
      <c r="B41" s="46"/>
      <c r="C41" s="564" t="s">
        <v>52</v>
      </c>
      <c r="D41" s="565"/>
      <c r="E41" s="565"/>
      <c r="F41" s="565"/>
      <c r="G41" s="565"/>
      <c r="H41" s="565"/>
      <c r="I41" s="565"/>
      <c r="J41" s="566"/>
      <c r="K41" s="47"/>
      <c r="L41" s="48"/>
      <c r="M41" s="49"/>
      <c r="N41" s="47"/>
      <c r="O41" s="48"/>
      <c r="P41" s="49"/>
      <c r="Q41" s="47"/>
      <c r="R41" s="48"/>
      <c r="S41" s="50" t="s">
        <v>28</v>
      </c>
      <c r="T41" s="619">
        <f>SUM(T34:V40)</f>
        <v>4200</v>
      </c>
      <c r="U41" s="620"/>
      <c r="V41" s="621"/>
      <c r="W41" s="2"/>
      <c r="X41" s="2"/>
      <c r="Y41" s="2"/>
      <c r="Z41" s="2"/>
      <c r="AA41" s="2"/>
      <c r="AB41" s="2"/>
    </row>
    <row r="42" spans="1:28" ht="16.5" x14ac:dyDescent="0.3">
      <c r="B42" s="47" t="s">
        <v>53</v>
      </c>
      <c r="C42" s="48" t="s">
        <v>54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9"/>
      <c r="T42" s="619">
        <f>T29+T41</f>
        <v>5502.5</v>
      </c>
      <c r="U42" s="620"/>
      <c r="V42" s="621"/>
      <c r="W42" s="2"/>
      <c r="X42" s="2"/>
      <c r="Y42" s="2"/>
      <c r="Z42" s="2"/>
      <c r="AA42" s="2"/>
      <c r="AB42" s="2"/>
    </row>
    <row r="43" spans="1:28" ht="16.5" x14ac:dyDescent="0.3">
      <c r="B43" s="47" t="s">
        <v>55</v>
      </c>
      <c r="C43" s="48" t="s">
        <v>56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130">
        <f>'INPUT DATA'!C62</f>
        <v>0.05</v>
      </c>
      <c r="O43" s="131"/>
      <c r="P43" s="48"/>
      <c r="Q43" s="48"/>
      <c r="R43" s="48"/>
      <c r="S43" s="49"/>
      <c r="T43" s="567">
        <f>T42*N43</f>
        <v>275.125</v>
      </c>
      <c r="U43" s="568"/>
      <c r="V43" s="569"/>
      <c r="W43" s="2"/>
      <c r="X43" s="2"/>
      <c r="Y43" s="2"/>
      <c r="Z43" s="2"/>
      <c r="AA43" s="2"/>
      <c r="AB43" s="2"/>
    </row>
    <row r="44" spans="1:28" ht="16.5" x14ac:dyDescent="0.3">
      <c r="B44" s="47" t="s">
        <v>57</v>
      </c>
      <c r="C44" s="48" t="s">
        <v>58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130">
        <f>'INPUT DATA'!C63</f>
        <v>0.1</v>
      </c>
      <c r="O44" s="131"/>
      <c r="P44" s="48"/>
      <c r="Q44" s="48"/>
      <c r="R44" s="48"/>
      <c r="S44" s="49"/>
      <c r="T44" s="567">
        <f>T42*N44</f>
        <v>550.25</v>
      </c>
      <c r="U44" s="568"/>
      <c r="V44" s="569"/>
      <c r="W44" s="2"/>
      <c r="X44" s="2"/>
      <c r="Y44" s="2"/>
      <c r="Z44" s="2"/>
      <c r="AA44" s="2"/>
      <c r="AB44" s="2"/>
    </row>
    <row r="45" spans="1:28" ht="16.5" x14ac:dyDescent="0.3">
      <c r="B45" s="47" t="s">
        <v>59</v>
      </c>
      <c r="C45" s="48" t="s">
        <v>60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130">
        <f>'INPUT DATA'!C64</f>
        <v>0</v>
      </c>
      <c r="O45" s="131"/>
      <c r="P45" s="48"/>
      <c r="Q45" s="48"/>
      <c r="R45" s="48"/>
      <c r="S45" s="49"/>
      <c r="T45" s="567">
        <f>(T42+T43+T44)*N45</f>
        <v>0</v>
      </c>
      <c r="U45" s="568"/>
      <c r="V45" s="569"/>
      <c r="W45" s="2"/>
      <c r="X45" s="2"/>
      <c r="Y45" s="2"/>
      <c r="Z45" s="2"/>
      <c r="AA45" s="2"/>
      <c r="AB45" s="2"/>
    </row>
    <row r="46" spans="1:28" ht="16.5" x14ac:dyDescent="0.3">
      <c r="A46" s="148" t="s">
        <v>61</v>
      </c>
      <c r="B46" s="47" t="s">
        <v>62</v>
      </c>
      <c r="C46" s="48" t="s">
        <v>63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130"/>
      <c r="O46" s="48"/>
      <c r="P46" s="48"/>
      <c r="Q46" s="48"/>
      <c r="R46" s="48"/>
      <c r="S46" s="49"/>
      <c r="T46" s="619">
        <f>SUM(T42:V45)</f>
        <v>6327.875</v>
      </c>
      <c r="U46" s="620"/>
      <c r="V46" s="621"/>
      <c r="W46" s="2"/>
      <c r="X46" s="2"/>
      <c r="Y46" s="2"/>
      <c r="Z46" s="2"/>
      <c r="AA46" s="2"/>
      <c r="AB46" s="2"/>
    </row>
    <row r="47" spans="1:28" ht="16.5" x14ac:dyDescent="0.3">
      <c r="A47" s="148" t="s">
        <v>64</v>
      </c>
      <c r="B47" s="47" t="s">
        <v>65</v>
      </c>
      <c r="C47" s="48" t="s">
        <v>66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619">
        <f>T46/E8</f>
        <v>2109.2916666666665</v>
      </c>
      <c r="U47" s="620"/>
      <c r="V47" s="621"/>
      <c r="W47" s="2"/>
      <c r="X47" s="2"/>
      <c r="Y47" s="2"/>
      <c r="Z47" s="2"/>
      <c r="AA47" s="2"/>
      <c r="AB47" s="2"/>
    </row>
    <row r="48" spans="1:28" ht="16.5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147"/>
      <c r="U48" s="147"/>
      <c r="V48" s="147"/>
      <c r="W48" s="2"/>
      <c r="X48" s="2"/>
      <c r="Y48" s="2"/>
      <c r="Z48" s="2"/>
      <c r="AA48" s="2"/>
      <c r="AB48" s="2"/>
    </row>
    <row r="49" spans="20:22" x14ac:dyDescent="0.25">
      <c r="T49" s="146"/>
      <c r="U49" s="146"/>
      <c r="V49" s="146"/>
    </row>
    <row r="50" spans="20:22" x14ac:dyDescent="0.25">
      <c r="T50" s="146"/>
      <c r="U50" s="146"/>
      <c r="V50" s="146"/>
    </row>
    <row r="51" spans="20:22" x14ac:dyDescent="0.25">
      <c r="T51" s="146"/>
      <c r="U51" s="146"/>
      <c r="V51" s="146"/>
    </row>
    <row r="52" spans="20:22" x14ac:dyDescent="0.25">
      <c r="T52" s="146"/>
      <c r="U52" s="146"/>
      <c r="V52" s="146"/>
    </row>
    <row r="53" spans="20:22" x14ac:dyDescent="0.25">
      <c r="T53" s="146"/>
      <c r="U53" s="146"/>
      <c r="V53" s="146"/>
    </row>
    <row r="54" spans="20:22" x14ac:dyDescent="0.25">
      <c r="T54" s="146"/>
      <c r="U54" s="146"/>
      <c r="V54" s="146"/>
    </row>
    <row r="55" spans="20:22" x14ac:dyDescent="0.25">
      <c r="T55" s="146"/>
      <c r="U55" s="146"/>
      <c r="V55" s="146"/>
    </row>
  </sheetData>
  <mergeCells count="95">
    <mergeCell ref="E8:F8"/>
    <mergeCell ref="G8:H8"/>
    <mergeCell ref="B1:V1"/>
    <mergeCell ref="E3:V3"/>
    <mergeCell ref="E5:F5"/>
    <mergeCell ref="E6:F6"/>
    <mergeCell ref="E7:F7"/>
    <mergeCell ref="B10:J11"/>
    <mergeCell ref="K10:M11"/>
    <mergeCell ref="N10:P11"/>
    <mergeCell ref="Q10:S11"/>
    <mergeCell ref="T10:V11"/>
    <mergeCell ref="AD13:AD14"/>
    <mergeCell ref="AE13:AE14"/>
    <mergeCell ref="K14:M14"/>
    <mergeCell ref="N14:P14"/>
    <mergeCell ref="Q14:S14"/>
    <mergeCell ref="T14:V14"/>
    <mergeCell ref="X13:X14"/>
    <mergeCell ref="Y13:Y14"/>
    <mergeCell ref="Z13:Z14"/>
    <mergeCell ref="AA13:AA14"/>
    <mergeCell ref="AB13:AB14"/>
    <mergeCell ref="AC13:AC14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K17:M17"/>
    <mergeCell ref="N17:P17"/>
    <mergeCell ref="Q17:S17"/>
    <mergeCell ref="T17:V17"/>
    <mergeCell ref="K18:M18"/>
    <mergeCell ref="N18:P18"/>
    <mergeCell ref="Q18:S18"/>
    <mergeCell ref="T18:V18"/>
    <mergeCell ref="C19:J19"/>
    <mergeCell ref="T19:V19"/>
    <mergeCell ref="B20:J21"/>
    <mergeCell ref="K20:M21"/>
    <mergeCell ref="N20:P21"/>
    <mergeCell ref="Q20:S21"/>
    <mergeCell ref="T20:V21"/>
    <mergeCell ref="Q24:S24"/>
    <mergeCell ref="T24:V24"/>
    <mergeCell ref="K23:M23"/>
    <mergeCell ref="N23:P23"/>
    <mergeCell ref="Q23:S23"/>
    <mergeCell ref="T23:V23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C28:J28"/>
    <mergeCell ref="T28:V28"/>
    <mergeCell ref="C29:J29"/>
    <mergeCell ref="T29:V29"/>
    <mergeCell ref="H30:I30"/>
    <mergeCell ref="B31:J32"/>
    <mergeCell ref="K31:M32"/>
    <mergeCell ref="N31:P32"/>
    <mergeCell ref="Q31:S32"/>
    <mergeCell ref="T31:V32"/>
    <mergeCell ref="C41:J41"/>
    <mergeCell ref="T41:V41"/>
    <mergeCell ref="K34:M34"/>
    <mergeCell ref="N34:P34"/>
    <mergeCell ref="Q34:S34"/>
    <mergeCell ref="T34:V34"/>
    <mergeCell ref="T47:V47"/>
    <mergeCell ref="X34:AA34"/>
    <mergeCell ref="X35:AA35"/>
    <mergeCell ref="X39:AA39"/>
    <mergeCell ref="X40:AA40"/>
    <mergeCell ref="T42:V42"/>
    <mergeCell ref="T43:V43"/>
    <mergeCell ref="T44:V44"/>
    <mergeCell ref="T45:V45"/>
    <mergeCell ref="T46:V46"/>
  </mergeCells>
  <printOptions horizontalCentered="1"/>
  <pageMargins left="0.3" right="0.3" top="0.5" bottom="0.5" header="0.3" footer="0.3"/>
  <pageSetup paperSize="9" scale="75" orientation="portrait" r:id="rId1"/>
  <colBreaks count="1" manualBreakCount="1">
    <brk id="2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4CEF-AAE1-5F41-A80B-62C21C02E9CA}">
  <sheetPr codeName="Sheet9">
    <tabColor rgb="FF92D050"/>
    <pageSetUpPr fitToPage="1"/>
  </sheetPr>
  <dimension ref="A1:AA125"/>
  <sheetViews>
    <sheetView view="pageBreakPreview" topLeftCell="A10" zoomScale="85" zoomScaleNormal="85" zoomScaleSheetLayoutView="85" workbookViewId="0">
      <selection activeCell="T21" sqref="T21:V21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2.42578125" style="1" customWidth="1"/>
    <col min="24" max="24" width="14.140625" style="1" customWidth="1"/>
    <col min="25" max="25" width="26.28515625" style="1" customWidth="1"/>
    <col min="26" max="26" width="17" style="1" customWidth="1"/>
    <col min="27" max="27" width="11" style="1" bestFit="1" customWidth="1"/>
    <col min="28" max="16384" width="9.140625" style="1"/>
  </cols>
  <sheetData>
    <row r="1" spans="1:25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</row>
    <row r="2" spans="1:25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</row>
    <row r="4" spans="1:25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</row>
    <row r="5" spans="1:25" s="4" customFormat="1" ht="16.5" customHeight="1" x14ac:dyDescent="0.3">
      <c r="A5" s="6" t="s">
        <v>2</v>
      </c>
      <c r="B5" s="5" t="s">
        <v>3</v>
      </c>
      <c r="C5" s="5"/>
      <c r="D5" s="5"/>
      <c r="E5" s="578" t="s">
        <v>190</v>
      </c>
      <c r="F5" s="578"/>
      <c r="G5" s="605" t="s">
        <v>191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</row>
    <row r="6" spans="1:25" ht="16.5" x14ac:dyDescent="0.3">
      <c r="A6" s="8" t="s">
        <v>6</v>
      </c>
      <c r="B6" s="2" t="s">
        <v>7</v>
      </c>
      <c r="C6" s="2"/>
      <c r="D6" s="2"/>
      <c r="E6" s="578" t="s">
        <v>73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</row>
    <row r="7" spans="1:25" ht="16.5" x14ac:dyDescent="0.3">
      <c r="B7" s="2" t="s">
        <v>9</v>
      </c>
      <c r="C7" s="2"/>
      <c r="D7" s="2"/>
      <c r="E7" s="581">
        <f>143.438*8*Y11</f>
        <v>1147.5039999999999</v>
      </c>
      <c r="F7" s="581"/>
      <c r="G7" s="2" t="s">
        <v>74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x14ac:dyDescent="0.3">
      <c r="A8" s="8" t="s">
        <v>11</v>
      </c>
      <c r="B8" s="2" t="s">
        <v>12</v>
      </c>
      <c r="C8" s="2"/>
      <c r="D8" s="2"/>
      <c r="E8" s="581">
        <f>'INPUT DATA'!C15</f>
        <v>1200</v>
      </c>
      <c r="F8" s="581"/>
      <c r="G8" s="602" t="str">
        <f>E6</f>
        <v>KGS.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 t="s">
        <v>75</v>
      </c>
    </row>
    <row r="11" spans="1:25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>
        <v>1</v>
      </c>
    </row>
    <row r="12" spans="1:25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</row>
    <row r="13" spans="1:25" ht="16.5" x14ac:dyDescent="0.3">
      <c r="A13" s="8" t="s">
        <v>20</v>
      </c>
      <c r="B13" s="15"/>
      <c r="C13" s="16" t="s">
        <v>21</v>
      </c>
      <c r="D13" s="2" t="s">
        <v>22</v>
      </c>
      <c r="E13" s="2"/>
      <c r="F13" s="2"/>
      <c r="G13" s="2"/>
      <c r="H13" s="2"/>
      <c r="I13" s="179"/>
      <c r="J13" s="17"/>
      <c r="K13" s="577">
        <v>1</v>
      </c>
      <c r="L13" s="578"/>
      <c r="M13" s="579"/>
      <c r="N13" s="590">
        <f>E8/E7</f>
        <v>1.0457479886780352</v>
      </c>
      <c r="O13" s="591"/>
      <c r="P13" s="592"/>
      <c r="Q13" s="599">
        <v>800</v>
      </c>
      <c r="R13" s="600"/>
      <c r="S13" s="601"/>
      <c r="T13" s="583">
        <f>K13*N13*Q13</f>
        <v>836.59839094242818</v>
      </c>
      <c r="U13" s="584"/>
      <c r="V13" s="585"/>
      <c r="W13" s="2"/>
      <c r="X13" s="26"/>
      <c r="Y13" s="188"/>
    </row>
    <row r="14" spans="1:25" ht="16.5" x14ac:dyDescent="0.3">
      <c r="B14" s="15"/>
      <c r="C14" s="16" t="s">
        <v>23</v>
      </c>
      <c r="D14" s="2" t="s">
        <v>156</v>
      </c>
      <c r="E14" s="2"/>
      <c r="F14" s="2"/>
      <c r="G14" s="2"/>
      <c r="H14" s="2"/>
      <c r="I14" s="2"/>
      <c r="J14" s="17"/>
      <c r="K14" s="577">
        <v>3</v>
      </c>
      <c r="L14" s="578"/>
      <c r="M14" s="579"/>
      <c r="N14" s="590">
        <f>N13</f>
        <v>1.0457479886780352</v>
      </c>
      <c r="O14" s="591"/>
      <c r="P14" s="592"/>
      <c r="Q14" s="599">
        <v>600</v>
      </c>
      <c r="R14" s="600"/>
      <c r="S14" s="601"/>
      <c r="T14" s="583">
        <f t="shared" ref="T14:T15" si="0">K14*N14*Q14</f>
        <v>1882.3463796204635</v>
      </c>
      <c r="U14" s="584"/>
      <c r="V14" s="585"/>
      <c r="W14" s="2"/>
      <c r="X14" s="26"/>
      <c r="Y14" s="27"/>
    </row>
    <row r="15" spans="1:25" ht="16.5" x14ac:dyDescent="0.3">
      <c r="B15" s="41"/>
      <c r="C15" s="16" t="s">
        <v>23</v>
      </c>
      <c r="D15" s="2" t="s">
        <v>24</v>
      </c>
      <c r="E15" s="2"/>
      <c r="F15" s="2"/>
      <c r="G15" s="2"/>
      <c r="H15" s="2"/>
      <c r="I15" s="2"/>
      <c r="J15" s="17"/>
      <c r="K15" s="577">
        <v>12</v>
      </c>
      <c r="L15" s="578"/>
      <c r="M15" s="579"/>
      <c r="N15" s="590">
        <f>N14</f>
        <v>1.0457479886780352</v>
      </c>
      <c r="O15" s="591"/>
      <c r="P15" s="592"/>
      <c r="Q15" s="599">
        <v>400</v>
      </c>
      <c r="R15" s="600"/>
      <c r="S15" s="601"/>
      <c r="T15" s="583">
        <f t="shared" si="0"/>
        <v>5019.5903456545693</v>
      </c>
      <c r="U15" s="584"/>
      <c r="V15" s="585"/>
      <c r="W15" s="9"/>
      <c r="X15" s="2"/>
      <c r="Y15" s="14"/>
    </row>
    <row r="16" spans="1:25" ht="16.5" x14ac:dyDescent="0.3">
      <c r="B16" s="41"/>
      <c r="C16" s="16"/>
      <c r="D16" s="2"/>
      <c r="E16" s="2"/>
      <c r="F16" s="2"/>
      <c r="G16" s="2"/>
      <c r="H16" s="2"/>
      <c r="I16" s="2"/>
      <c r="J16" s="17"/>
      <c r="K16" s="577"/>
      <c r="L16" s="578"/>
      <c r="M16" s="579"/>
      <c r="N16" s="580"/>
      <c r="O16" s="578"/>
      <c r="P16" s="579"/>
      <c r="Q16" s="589"/>
      <c r="R16" s="578"/>
      <c r="S16" s="579"/>
      <c r="T16" s="583"/>
      <c r="U16" s="584"/>
      <c r="V16" s="585"/>
      <c r="W16" s="2"/>
      <c r="X16" s="2"/>
      <c r="Y16" s="14"/>
    </row>
    <row r="17" spans="1:26" ht="16.5" x14ac:dyDescent="0.3">
      <c r="A17" s="45" t="s">
        <v>26</v>
      </c>
      <c r="B17" s="46"/>
      <c r="C17" s="564" t="s">
        <v>27</v>
      </c>
      <c r="D17" s="565"/>
      <c r="E17" s="565"/>
      <c r="F17" s="565"/>
      <c r="G17" s="565"/>
      <c r="H17" s="565"/>
      <c r="I17" s="565"/>
      <c r="J17" s="566"/>
      <c r="K17" s="47"/>
      <c r="L17" s="48"/>
      <c r="M17" s="49"/>
      <c r="N17" s="47"/>
      <c r="O17" s="48"/>
      <c r="P17" s="49"/>
      <c r="Q17" s="47"/>
      <c r="R17" s="48"/>
      <c r="S17" s="50" t="s">
        <v>28</v>
      </c>
      <c r="T17" s="561">
        <f>ROUND(SUM(T13:V15),2)</f>
        <v>7738.54</v>
      </c>
      <c r="U17" s="562"/>
      <c r="V17" s="563"/>
      <c r="X17" s="51"/>
      <c r="Y17" s="51"/>
    </row>
    <row r="18" spans="1:26" x14ac:dyDescent="0.25">
      <c r="B18" s="571" t="s">
        <v>29</v>
      </c>
      <c r="C18" s="572"/>
      <c r="D18" s="572"/>
      <c r="E18" s="572"/>
      <c r="F18" s="572"/>
      <c r="G18" s="572"/>
      <c r="H18" s="572"/>
      <c r="I18" s="572"/>
      <c r="J18" s="573"/>
      <c r="K18" s="571" t="s">
        <v>30</v>
      </c>
      <c r="L18" s="572"/>
      <c r="M18" s="573"/>
      <c r="N18" s="571" t="s">
        <v>15</v>
      </c>
      <c r="O18" s="572"/>
      <c r="P18" s="573"/>
      <c r="Q18" s="571" t="s">
        <v>16</v>
      </c>
      <c r="R18" s="572"/>
      <c r="S18" s="573"/>
      <c r="T18" s="571" t="s">
        <v>17</v>
      </c>
      <c r="U18" s="572"/>
      <c r="V18" s="573"/>
      <c r="X18" s="52"/>
      <c r="Y18" s="189"/>
    </row>
    <row r="19" spans="1:26" x14ac:dyDescent="0.25">
      <c r="B19" s="574"/>
      <c r="C19" s="575"/>
      <c r="D19" s="575"/>
      <c r="E19" s="575"/>
      <c r="F19" s="575"/>
      <c r="G19" s="575"/>
      <c r="H19" s="575"/>
      <c r="I19" s="575"/>
      <c r="J19" s="576"/>
      <c r="K19" s="574"/>
      <c r="L19" s="575"/>
      <c r="M19" s="576"/>
      <c r="N19" s="574"/>
      <c r="O19" s="575"/>
      <c r="P19" s="576"/>
      <c r="Q19" s="574"/>
      <c r="R19" s="575"/>
      <c r="S19" s="576"/>
      <c r="T19" s="574"/>
      <c r="U19" s="575"/>
      <c r="V19" s="576"/>
    </row>
    <row r="20" spans="1:26" ht="16.5" x14ac:dyDescent="0.3">
      <c r="B20" s="15" t="s">
        <v>31</v>
      </c>
      <c r="C20" s="16" t="s">
        <v>32</v>
      </c>
      <c r="D20" s="2"/>
      <c r="E20" s="2"/>
      <c r="F20" s="2"/>
      <c r="G20" s="2"/>
      <c r="H20" s="2"/>
      <c r="I20" s="2"/>
      <c r="J20" s="17"/>
      <c r="K20" s="16"/>
      <c r="L20" s="2"/>
      <c r="M20" s="17"/>
      <c r="N20" s="16"/>
      <c r="O20" s="2"/>
      <c r="P20" s="17"/>
      <c r="Q20" s="16"/>
      <c r="R20" s="2"/>
      <c r="S20" s="17"/>
      <c r="T20" s="16"/>
      <c r="U20" s="2"/>
      <c r="V20" s="17"/>
      <c r="W20" s="2"/>
      <c r="X20" s="2"/>
      <c r="Y20" s="2"/>
    </row>
    <row r="21" spans="1:26" ht="16.5" x14ac:dyDescent="0.3">
      <c r="B21" s="15"/>
      <c r="C21" s="16" t="s">
        <v>21</v>
      </c>
      <c r="D21" s="190" t="s">
        <v>76</v>
      </c>
      <c r="E21" s="2"/>
      <c r="F21" s="2"/>
      <c r="G21" s="2"/>
      <c r="H21" s="2"/>
      <c r="I21" s="2"/>
      <c r="J21" s="17"/>
      <c r="K21" s="577">
        <f>Y11</f>
        <v>1</v>
      </c>
      <c r="L21" s="578"/>
      <c r="M21" s="579"/>
      <c r="N21" s="656">
        <f>N13/2</f>
        <v>0.5228739943390176</v>
      </c>
      <c r="O21" s="657"/>
      <c r="P21" s="658"/>
      <c r="Q21" s="586">
        <v>1758</v>
      </c>
      <c r="R21" s="587"/>
      <c r="S21" s="588"/>
      <c r="T21" s="583">
        <f t="shared" ref="T21:T23" si="1">K21*N21*Q21</f>
        <v>919.21248204799292</v>
      </c>
      <c r="U21" s="584"/>
      <c r="V21" s="585"/>
      <c r="W21" s="18"/>
      <c r="X21" s="18"/>
      <c r="Y21" s="18"/>
    </row>
    <row r="22" spans="1:26" ht="16.5" x14ac:dyDescent="0.3">
      <c r="B22" s="41"/>
      <c r="C22" s="16" t="s">
        <v>23</v>
      </c>
      <c r="D22" s="190" t="s">
        <v>77</v>
      </c>
      <c r="E22" s="2"/>
      <c r="F22" s="2"/>
      <c r="G22" s="2"/>
      <c r="H22" s="2"/>
      <c r="I22" s="2"/>
      <c r="J22" s="17"/>
      <c r="K22" s="577">
        <f>K21</f>
        <v>1</v>
      </c>
      <c r="L22" s="578"/>
      <c r="M22" s="579"/>
      <c r="N22" s="656">
        <f>N21</f>
        <v>0.5228739943390176</v>
      </c>
      <c r="O22" s="657"/>
      <c r="P22" s="658"/>
      <c r="Q22" s="586">
        <v>2812</v>
      </c>
      <c r="R22" s="587"/>
      <c r="S22" s="588"/>
      <c r="T22" s="583">
        <f t="shared" si="1"/>
        <v>1470.3216720813175</v>
      </c>
      <c r="U22" s="584"/>
      <c r="V22" s="585"/>
      <c r="W22" s="18"/>
      <c r="X22" s="18"/>
      <c r="Y22" s="18"/>
    </row>
    <row r="23" spans="1:26" ht="16.5" x14ac:dyDescent="0.3">
      <c r="B23" s="41"/>
      <c r="C23" s="16" t="s">
        <v>78</v>
      </c>
      <c r="D23" s="190" t="s">
        <v>79</v>
      </c>
      <c r="E23" s="2"/>
      <c r="F23" s="2"/>
      <c r="G23" s="2"/>
      <c r="H23" s="2"/>
      <c r="I23" s="2"/>
      <c r="J23" s="17"/>
      <c r="K23" s="577">
        <f>K22</f>
        <v>1</v>
      </c>
      <c r="L23" s="578"/>
      <c r="M23" s="579"/>
      <c r="N23" s="656">
        <f>N15*0.15</f>
        <v>0.15686219830170528</v>
      </c>
      <c r="O23" s="657"/>
      <c r="P23" s="658"/>
      <c r="Q23" s="586">
        <v>8816</v>
      </c>
      <c r="R23" s="587"/>
      <c r="S23" s="588"/>
      <c r="T23" s="583">
        <f t="shared" si="1"/>
        <v>1382.8971402278337</v>
      </c>
      <c r="U23" s="584"/>
      <c r="V23" s="585"/>
      <c r="W23" s="18"/>
      <c r="X23" s="18"/>
      <c r="Y23" s="18"/>
    </row>
    <row r="24" spans="1:26" ht="16.5" x14ac:dyDescent="0.3">
      <c r="B24" s="41"/>
      <c r="C24" s="16"/>
      <c r="D24" s="2"/>
      <c r="E24" s="2"/>
      <c r="F24" s="2"/>
      <c r="G24" s="2"/>
      <c r="H24" s="2"/>
      <c r="I24" s="2"/>
      <c r="J24" s="17"/>
      <c r="K24" s="577"/>
      <c r="L24" s="578"/>
      <c r="M24" s="579"/>
      <c r="N24" s="580"/>
      <c r="O24" s="581"/>
      <c r="P24" s="582"/>
      <c r="Q24" s="580"/>
      <c r="R24" s="581"/>
      <c r="S24" s="582"/>
      <c r="T24" s="583"/>
      <c r="U24" s="584"/>
      <c r="V24" s="585"/>
      <c r="W24" s="18"/>
      <c r="X24" s="18"/>
      <c r="Y24" s="18"/>
    </row>
    <row r="25" spans="1:26" ht="16.5" x14ac:dyDescent="0.3">
      <c r="B25" s="41"/>
      <c r="C25" s="16"/>
      <c r="D25" s="2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78"/>
      <c r="P25" s="579"/>
      <c r="Q25" s="580"/>
      <c r="R25" s="581"/>
      <c r="S25" s="582"/>
      <c r="T25" s="583"/>
      <c r="U25" s="584"/>
      <c r="V25" s="585"/>
      <c r="W25" s="2"/>
      <c r="X25" s="2"/>
      <c r="Y25" s="2"/>
    </row>
    <row r="26" spans="1:26" ht="16.5" x14ac:dyDescent="0.3">
      <c r="A26" s="61" t="s">
        <v>34</v>
      </c>
      <c r="B26" s="46"/>
      <c r="C26" s="564" t="s">
        <v>35</v>
      </c>
      <c r="D26" s="565"/>
      <c r="E26" s="565"/>
      <c r="F26" s="565"/>
      <c r="G26" s="565"/>
      <c r="H26" s="565"/>
      <c r="I26" s="565"/>
      <c r="J26" s="566"/>
      <c r="K26" s="47"/>
      <c r="L26" s="48"/>
      <c r="M26" s="49"/>
      <c r="N26" s="47"/>
      <c r="O26" s="48"/>
      <c r="P26" s="49"/>
      <c r="Q26" s="47"/>
      <c r="R26" s="48"/>
      <c r="S26" s="50" t="s">
        <v>28</v>
      </c>
      <c r="T26" s="561">
        <f>ROUND(SUM(T21:V25),2)</f>
        <v>3772.43</v>
      </c>
      <c r="U26" s="562"/>
      <c r="V26" s="563"/>
      <c r="W26" s="9"/>
      <c r="X26" s="2"/>
      <c r="Y26" s="2"/>
      <c r="Z26" s="191"/>
    </row>
    <row r="27" spans="1:26" ht="16.5" x14ac:dyDescent="0.3">
      <c r="B27" s="64" t="s">
        <v>36</v>
      </c>
      <c r="C27" s="564" t="s">
        <v>37</v>
      </c>
      <c r="D27" s="565"/>
      <c r="E27" s="565"/>
      <c r="F27" s="565"/>
      <c r="G27" s="565"/>
      <c r="H27" s="565"/>
      <c r="I27" s="565"/>
      <c r="J27" s="565"/>
      <c r="K27" s="48"/>
      <c r="L27" s="48"/>
      <c r="M27" s="48"/>
      <c r="N27" s="48"/>
      <c r="O27" s="48"/>
      <c r="P27" s="48"/>
      <c r="Q27" s="48"/>
      <c r="R27" s="48"/>
      <c r="S27" s="48"/>
      <c r="T27" s="562">
        <f>T17+T26</f>
        <v>11510.97</v>
      </c>
      <c r="U27" s="562"/>
      <c r="V27" s="563"/>
      <c r="W27" s="2"/>
      <c r="X27" s="2"/>
      <c r="Y27" s="2"/>
      <c r="Z27" s="192"/>
    </row>
    <row r="28" spans="1:26" ht="16.5" x14ac:dyDescent="0.3">
      <c r="B28" s="66" t="s">
        <v>38</v>
      </c>
      <c r="C28" s="47" t="s">
        <v>39</v>
      </c>
      <c r="D28" s="48"/>
      <c r="E28" s="48"/>
      <c r="F28" s="48"/>
      <c r="G28" s="67" t="s">
        <v>40</v>
      </c>
      <c r="H28" s="570">
        <f>E7</f>
        <v>1147.5039999999999</v>
      </c>
      <c r="I28" s="565"/>
      <c r="J28" s="48" t="str">
        <f>G7</f>
        <v>KGS./DAY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9"/>
      <c r="W28" s="2"/>
      <c r="X28" s="2"/>
      <c r="Y28" s="2"/>
      <c r="Z28" s="192"/>
    </row>
    <row r="29" spans="1:26" ht="16.5" x14ac:dyDescent="0.3">
      <c r="B29" s="571" t="s">
        <v>44</v>
      </c>
      <c r="C29" s="572"/>
      <c r="D29" s="572"/>
      <c r="E29" s="572"/>
      <c r="F29" s="572"/>
      <c r="G29" s="572"/>
      <c r="H29" s="572"/>
      <c r="I29" s="572"/>
      <c r="J29" s="573"/>
      <c r="K29" s="571" t="s">
        <v>45</v>
      </c>
      <c r="L29" s="572"/>
      <c r="M29" s="573"/>
      <c r="N29" s="571" t="s">
        <v>46</v>
      </c>
      <c r="O29" s="572"/>
      <c r="P29" s="573"/>
      <c r="Q29" s="571" t="s">
        <v>47</v>
      </c>
      <c r="R29" s="572"/>
      <c r="S29" s="573"/>
      <c r="T29" s="571" t="s">
        <v>17</v>
      </c>
      <c r="U29" s="572"/>
      <c r="V29" s="573"/>
      <c r="W29" s="2"/>
      <c r="X29" s="2"/>
      <c r="Y29" s="2"/>
      <c r="Z29" s="192"/>
    </row>
    <row r="30" spans="1:26" ht="16.5" x14ac:dyDescent="0.3">
      <c r="B30" s="574"/>
      <c r="C30" s="575"/>
      <c r="D30" s="575"/>
      <c r="E30" s="575"/>
      <c r="F30" s="575"/>
      <c r="G30" s="575"/>
      <c r="H30" s="575"/>
      <c r="I30" s="575"/>
      <c r="J30" s="576"/>
      <c r="K30" s="574"/>
      <c r="L30" s="575"/>
      <c r="M30" s="576"/>
      <c r="N30" s="574"/>
      <c r="O30" s="575"/>
      <c r="P30" s="576"/>
      <c r="Q30" s="574"/>
      <c r="R30" s="575"/>
      <c r="S30" s="576"/>
      <c r="T30" s="574"/>
      <c r="U30" s="575"/>
      <c r="V30" s="576"/>
      <c r="W30" s="2"/>
      <c r="X30" s="2"/>
      <c r="Y30" s="2"/>
      <c r="Z30" s="192"/>
    </row>
    <row r="31" spans="1:26" ht="16.5" x14ac:dyDescent="0.3">
      <c r="B31" s="15" t="s">
        <v>48</v>
      </c>
      <c r="C31" s="16" t="s">
        <v>49</v>
      </c>
      <c r="D31" s="2"/>
      <c r="E31" s="2"/>
      <c r="F31" s="2"/>
      <c r="G31" s="2"/>
      <c r="H31" s="2"/>
      <c r="I31" s="2"/>
      <c r="J31" s="17"/>
      <c r="K31" s="16"/>
      <c r="L31" s="2"/>
      <c r="M31" s="17"/>
      <c r="N31" s="16"/>
      <c r="O31" s="2"/>
      <c r="P31" s="17"/>
      <c r="Q31" s="16"/>
      <c r="R31" s="2"/>
      <c r="S31" s="17"/>
      <c r="T31" s="16"/>
      <c r="U31" s="2"/>
      <c r="V31" s="17"/>
      <c r="W31" s="2"/>
      <c r="X31" s="2"/>
      <c r="Y31" s="2"/>
      <c r="Z31" s="193"/>
    </row>
    <row r="32" spans="1:26" ht="16.5" customHeight="1" x14ac:dyDescent="0.3">
      <c r="B32" s="41"/>
      <c r="C32" s="194" t="s">
        <v>21</v>
      </c>
      <c r="D32" s="5" t="s">
        <v>80</v>
      </c>
      <c r="E32" s="121"/>
      <c r="F32" s="121"/>
      <c r="G32" s="122"/>
      <c r="H32" s="122"/>
      <c r="I32" s="122"/>
      <c r="J32" s="17"/>
      <c r="K32" s="650">
        <f>E8</f>
        <v>1200</v>
      </c>
      <c r="L32" s="651"/>
      <c r="M32" s="652"/>
      <c r="N32" s="653" t="str">
        <f t="shared" ref="N32" si="2">IF(K32&gt;1,"kgs.","kg.")</f>
        <v>kgs.</v>
      </c>
      <c r="O32" s="654"/>
      <c r="P32" s="655"/>
      <c r="Q32" s="647">
        <v>75</v>
      </c>
      <c r="R32" s="648"/>
      <c r="S32" s="649"/>
      <c r="T32" s="635">
        <f>K32*Q32</f>
        <v>90000</v>
      </c>
      <c r="U32" s="636"/>
      <c r="V32" s="637"/>
      <c r="W32" s="18"/>
      <c r="X32" s="149"/>
      <c r="Y32" s="149"/>
    </row>
    <row r="33" spans="1:27" ht="16.5" x14ac:dyDescent="0.3">
      <c r="B33" s="41"/>
      <c r="C33" s="198" t="s">
        <v>23</v>
      </c>
      <c r="D33" s="199" t="s">
        <v>81</v>
      </c>
      <c r="E33" s="121"/>
      <c r="F33" s="121"/>
      <c r="G33" s="200"/>
      <c r="H33" s="201"/>
      <c r="I33" s="202"/>
      <c r="J33" s="17"/>
      <c r="K33" s="641">
        <f>E8*0.015</f>
        <v>18</v>
      </c>
      <c r="L33" s="642"/>
      <c r="M33" s="643"/>
      <c r="N33" s="653" t="str">
        <f>IF(K33&gt;1,"kgs.","kg.")</f>
        <v>kgs.</v>
      </c>
      <c r="O33" s="654"/>
      <c r="P33" s="655"/>
      <c r="Q33" s="647">
        <v>90</v>
      </c>
      <c r="R33" s="648"/>
      <c r="S33" s="649"/>
      <c r="T33" s="635">
        <f t="shared" ref="T33" si="3">K33*Q33</f>
        <v>1620</v>
      </c>
      <c r="U33" s="636"/>
      <c r="V33" s="637"/>
      <c r="W33" s="2"/>
      <c r="X33" s="149"/>
      <c r="Y33" s="149"/>
    </row>
    <row r="34" spans="1:27" ht="16.5" x14ac:dyDescent="0.3">
      <c r="B34" s="41"/>
      <c r="C34" s="198"/>
      <c r="D34" s="199" t="s">
        <v>193</v>
      </c>
      <c r="E34" s="121"/>
      <c r="F34" s="121"/>
      <c r="G34" s="200"/>
      <c r="H34" s="201"/>
      <c r="I34" s="202"/>
      <c r="J34" s="17"/>
      <c r="K34" s="203"/>
      <c r="L34" s="204"/>
      <c r="M34" s="205"/>
      <c r="N34" s="195"/>
      <c r="O34" s="196"/>
      <c r="P34" s="197"/>
      <c r="Q34" s="105"/>
      <c r="R34" s="106"/>
      <c r="S34" s="107"/>
      <c r="T34" s="635">
        <f>0.05*SUM(T32:V33)</f>
        <v>4581</v>
      </c>
      <c r="U34" s="636"/>
      <c r="V34" s="637"/>
      <c r="W34" s="2"/>
      <c r="X34" s="149"/>
      <c r="Y34" s="149"/>
    </row>
    <row r="35" spans="1:27" ht="16.5" x14ac:dyDescent="0.3">
      <c r="B35" s="41"/>
      <c r="C35" s="198"/>
      <c r="D35" s="199"/>
      <c r="E35" s="121"/>
      <c r="F35" s="121"/>
      <c r="G35" s="200"/>
      <c r="H35" s="201"/>
      <c r="I35" s="202"/>
      <c r="J35" s="17"/>
      <c r="K35" s="203"/>
      <c r="L35" s="204"/>
      <c r="M35" s="205"/>
      <c r="N35" s="195"/>
      <c r="O35" s="196"/>
      <c r="P35" s="197"/>
      <c r="Q35" s="105"/>
      <c r="R35" s="106"/>
      <c r="S35" s="107"/>
      <c r="T35" s="108"/>
      <c r="U35" s="109"/>
      <c r="V35" s="110"/>
      <c r="W35" s="2"/>
      <c r="X35" s="149"/>
      <c r="Y35" s="149"/>
    </row>
    <row r="36" spans="1:27" ht="16.5" x14ac:dyDescent="0.3">
      <c r="B36" s="41"/>
      <c r="C36" s="194"/>
      <c r="D36" s="199"/>
      <c r="E36" s="121"/>
      <c r="F36" s="121"/>
      <c r="G36" s="206"/>
      <c r="H36" s="202"/>
      <c r="I36" s="202"/>
      <c r="J36" s="17"/>
      <c r="K36" s="641"/>
      <c r="L36" s="642"/>
      <c r="M36" s="643"/>
      <c r="N36" s="644"/>
      <c r="O36" s="645"/>
      <c r="P36" s="646"/>
      <c r="Q36" s="647"/>
      <c r="R36" s="648"/>
      <c r="S36" s="649"/>
      <c r="T36" s="635"/>
      <c r="U36" s="636"/>
      <c r="V36" s="637"/>
      <c r="W36" s="2"/>
      <c r="X36" s="149"/>
      <c r="Y36" s="149"/>
    </row>
    <row r="37" spans="1:27" ht="16.5" x14ac:dyDescent="0.3">
      <c r="B37" s="41"/>
      <c r="C37" s="199"/>
      <c r="D37" s="199"/>
      <c r="E37" s="121"/>
      <c r="F37" s="121"/>
      <c r="G37" s="206"/>
      <c r="H37" s="202"/>
      <c r="I37" s="202"/>
      <c r="J37" s="17"/>
      <c r="K37" s="207"/>
      <c r="L37" s="208"/>
      <c r="M37" s="209"/>
      <c r="N37" s="210"/>
      <c r="O37" s="211"/>
      <c r="P37" s="212"/>
      <c r="Q37" s="89"/>
      <c r="R37" s="90"/>
      <c r="S37" s="91"/>
      <c r="T37" s="213"/>
      <c r="U37" s="214"/>
      <c r="V37" s="215"/>
      <c r="W37" s="2"/>
      <c r="X37" s="149"/>
      <c r="Y37" s="149"/>
    </row>
    <row r="38" spans="1:27" ht="16.5" x14ac:dyDescent="0.3">
      <c r="A38" s="45" t="s">
        <v>51</v>
      </c>
      <c r="B38" s="46"/>
      <c r="C38" s="564" t="s">
        <v>52</v>
      </c>
      <c r="D38" s="565"/>
      <c r="E38" s="565"/>
      <c r="F38" s="565"/>
      <c r="G38" s="565"/>
      <c r="H38" s="565"/>
      <c r="I38" s="565"/>
      <c r="J38" s="566"/>
      <c r="K38" s="47"/>
      <c r="L38" s="48"/>
      <c r="M38" s="49"/>
      <c r="N38" s="47"/>
      <c r="O38" s="48"/>
      <c r="P38" s="49"/>
      <c r="Q38" s="47"/>
      <c r="R38" s="48"/>
      <c r="S38" s="50" t="s">
        <v>28</v>
      </c>
      <c r="T38" s="561">
        <f>ROUND(SUM(T32:V37),2)</f>
        <v>96201</v>
      </c>
      <c r="U38" s="562"/>
      <c r="V38" s="563"/>
      <c r="W38" s="2"/>
      <c r="X38" s="9"/>
      <c r="Y38" s="2"/>
    </row>
    <row r="39" spans="1:27" ht="16.5" x14ac:dyDescent="0.3">
      <c r="B39" s="47" t="s">
        <v>53</v>
      </c>
      <c r="C39" s="48" t="s">
        <v>54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9"/>
      <c r="T39" s="561">
        <f>T27+T38</f>
        <v>107711.97</v>
      </c>
      <c r="U39" s="562"/>
      <c r="V39" s="563"/>
      <c r="W39" s="2"/>
      <c r="X39" s="2"/>
      <c r="Y39" s="2"/>
    </row>
    <row r="40" spans="1:27" ht="16.5" x14ac:dyDescent="0.3">
      <c r="B40" s="47" t="s">
        <v>55</v>
      </c>
      <c r="C40" s="48" t="s">
        <v>56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130">
        <f>'INPUT DATA'!C62</f>
        <v>0.05</v>
      </c>
      <c r="O40" s="131"/>
      <c r="P40" s="48"/>
      <c r="Q40" s="48"/>
      <c r="R40" s="48"/>
      <c r="S40" s="49"/>
      <c r="T40" s="567">
        <f>T39*N40</f>
        <v>5385.5985000000001</v>
      </c>
      <c r="U40" s="568"/>
      <c r="V40" s="569"/>
      <c r="W40" s="2"/>
      <c r="X40" s="2"/>
      <c r="Y40" s="2"/>
    </row>
    <row r="41" spans="1:27" ht="16.5" x14ac:dyDescent="0.3">
      <c r="B41" s="47" t="s">
        <v>57</v>
      </c>
      <c r="C41" s="48" t="s">
        <v>58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130">
        <f>'INPUT DATA'!C63</f>
        <v>0.1</v>
      </c>
      <c r="O41" s="131"/>
      <c r="P41" s="48"/>
      <c r="Q41" s="48"/>
      <c r="R41" s="48"/>
      <c r="S41" s="49"/>
      <c r="T41" s="567">
        <f>T39*N41</f>
        <v>10771.197</v>
      </c>
      <c r="U41" s="568"/>
      <c r="V41" s="569"/>
      <c r="W41" s="2"/>
      <c r="X41" s="2"/>
      <c r="Y41" s="2"/>
    </row>
    <row r="42" spans="1:27" ht="16.5" x14ac:dyDescent="0.3">
      <c r="B42" s="47" t="s">
        <v>59</v>
      </c>
      <c r="C42" s="48" t="s">
        <v>60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130">
        <f>'INPUT DATA'!C64</f>
        <v>0</v>
      </c>
      <c r="O42" s="131"/>
      <c r="P42" s="48"/>
      <c r="Q42" s="48"/>
      <c r="R42" s="48"/>
      <c r="S42" s="49"/>
      <c r="T42" s="567">
        <f>(T39+T40+T41)*N42</f>
        <v>0</v>
      </c>
      <c r="U42" s="568"/>
      <c r="V42" s="569"/>
      <c r="W42" s="2"/>
      <c r="X42" s="2"/>
      <c r="Y42" s="2"/>
    </row>
    <row r="43" spans="1:27" ht="16.5" x14ac:dyDescent="0.3">
      <c r="A43" s="45" t="s">
        <v>61</v>
      </c>
      <c r="B43" s="47" t="s">
        <v>62</v>
      </c>
      <c r="C43" s="48" t="s">
        <v>63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130"/>
      <c r="O43" s="48"/>
      <c r="P43" s="48"/>
      <c r="Q43" s="48"/>
      <c r="R43" s="48"/>
      <c r="S43" s="49"/>
      <c r="T43" s="561">
        <f>SUM(T39:V42)</f>
        <v>123868.76549999999</v>
      </c>
      <c r="U43" s="562"/>
      <c r="V43" s="563"/>
      <c r="W43" s="2"/>
      <c r="X43" s="9"/>
      <c r="Y43" s="2"/>
    </row>
    <row r="44" spans="1:27" ht="16.5" x14ac:dyDescent="0.3">
      <c r="A44" s="45" t="s">
        <v>64</v>
      </c>
      <c r="B44" s="47" t="s">
        <v>65</v>
      </c>
      <c r="C44" s="48" t="s">
        <v>66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9"/>
      <c r="T44" s="561">
        <f>T43/E8</f>
        <v>103.22397124999999</v>
      </c>
      <c r="U44" s="562"/>
      <c r="V44" s="563"/>
      <c r="W44" s="216"/>
      <c r="X44" s="2"/>
      <c r="Y44" s="2"/>
    </row>
    <row r="45" spans="1:27" ht="16.5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133"/>
      <c r="M45" s="133"/>
      <c r="N45" s="133"/>
      <c r="O45" s="2"/>
      <c r="P45" s="2"/>
      <c r="Q45" s="2"/>
      <c r="R45" s="2"/>
      <c r="S45" s="2"/>
      <c r="T45" s="134"/>
      <c r="U45" s="134"/>
      <c r="V45" s="134"/>
      <c r="W45" s="2"/>
      <c r="X45" s="2"/>
      <c r="Y45" s="2"/>
    </row>
    <row r="46" spans="1:27" ht="15" customHeight="1" x14ac:dyDescent="0.3">
      <c r="L46" s="2"/>
      <c r="M46" s="2"/>
      <c r="N46" s="2"/>
      <c r="Y46" s="2"/>
      <c r="AA46" s="217"/>
    </row>
    <row r="47" spans="1:27" ht="16.5" x14ac:dyDescent="0.3">
      <c r="Y47" s="2"/>
    </row>
    <row r="48" spans="1:27" ht="16.5" x14ac:dyDescent="0.3">
      <c r="Y48" s="2"/>
    </row>
    <row r="49" spans="3:25" ht="19.5" thickBot="1" x14ac:dyDescent="0.35">
      <c r="F49" s="218" t="s">
        <v>82</v>
      </c>
      <c r="Y49" s="2"/>
    </row>
    <row r="50" spans="3:25" ht="16.5" x14ac:dyDescent="0.3">
      <c r="C50" s="219"/>
      <c r="D50" s="220"/>
      <c r="E50" s="221"/>
      <c r="F50" s="221"/>
      <c r="G50" s="221"/>
      <c r="H50" s="221"/>
      <c r="I50" s="222"/>
      <c r="J50" s="223"/>
      <c r="K50" s="639" t="s">
        <v>83</v>
      </c>
      <c r="L50" s="639"/>
      <c r="M50" s="639" t="s">
        <v>84</v>
      </c>
      <c r="N50" s="640"/>
      <c r="Y50" s="2"/>
    </row>
    <row r="51" spans="3:25" ht="16.5" x14ac:dyDescent="0.3">
      <c r="C51" s="224" t="s">
        <v>85</v>
      </c>
      <c r="D51" s="225"/>
      <c r="E51" s="225"/>
      <c r="F51" s="226"/>
      <c r="G51" s="226"/>
      <c r="H51" s="226"/>
      <c r="I51" s="227"/>
      <c r="J51" s="228">
        <v>1</v>
      </c>
      <c r="K51" s="638">
        <v>3.855</v>
      </c>
      <c r="L51" s="638"/>
      <c r="M51" s="630">
        <f>J51*K51*6</f>
        <v>23.13</v>
      </c>
      <c r="N51" s="631"/>
      <c r="Y51" s="2"/>
    </row>
    <row r="52" spans="3:25" ht="16.5" x14ac:dyDescent="0.3">
      <c r="C52" s="224" t="s">
        <v>86</v>
      </c>
      <c r="D52" s="225"/>
      <c r="E52" s="225"/>
      <c r="F52" s="226"/>
      <c r="G52" s="226"/>
      <c r="H52" s="226"/>
      <c r="I52" s="227"/>
      <c r="J52" s="228">
        <v>1</v>
      </c>
      <c r="K52" s="638">
        <v>2.4670000000000001</v>
      </c>
      <c r="L52" s="638"/>
      <c r="M52" s="630">
        <f t="shared" ref="M52:M55" si="4">J52*K52*6</f>
        <v>14.802</v>
      </c>
      <c r="N52" s="631"/>
      <c r="Y52" s="2"/>
    </row>
    <row r="53" spans="3:25" ht="16.5" x14ac:dyDescent="0.3">
      <c r="C53" s="224" t="s">
        <v>87</v>
      </c>
      <c r="D53" s="225"/>
      <c r="E53" s="225"/>
      <c r="F53" s="226"/>
      <c r="G53" s="226"/>
      <c r="H53" s="226"/>
      <c r="I53" s="227"/>
      <c r="J53" s="228">
        <v>1</v>
      </c>
      <c r="K53" s="638">
        <v>1.579</v>
      </c>
      <c r="L53" s="638"/>
      <c r="M53" s="630">
        <f t="shared" si="4"/>
        <v>9.4740000000000002</v>
      </c>
      <c r="N53" s="631"/>
      <c r="Y53" s="2"/>
    </row>
    <row r="54" spans="3:25" ht="16.5" x14ac:dyDescent="0.3">
      <c r="C54" s="224" t="s">
        <v>88</v>
      </c>
      <c r="D54" s="225"/>
      <c r="E54" s="225"/>
      <c r="F54" s="226"/>
      <c r="G54" s="226"/>
      <c r="H54" s="226"/>
      <c r="I54" s="227"/>
      <c r="J54" s="228">
        <v>1</v>
      </c>
      <c r="K54" s="638">
        <v>0.88800000000000001</v>
      </c>
      <c r="L54" s="638"/>
      <c r="M54" s="630">
        <f t="shared" si="4"/>
        <v>5.3280000000000003</v>
      </c>
      <c r="N54" s="631"/>
      <c r="Y54" s="2"/>
    </row>
    <row r="55" spans="3:25" ht="16.5" x14ac:dyDescent="0.3">
      <c r="C55" s="224" t="s">
        <v>89</v>
      </c>
      <c r="D55" s="225"/>
      <c r="E55" s="225"/>
      <c r="F55" s="226"/>
      <c r="G55" s="226"/>
      <c r="H55" s="226"/>
      <c r="I55" s="227"/>
      <c r="J55" s="228">
        <v>1</v>
      </c>
      <c r="K55" s="638">
        <v>0.61599999999999999</v>
      </c>
      <c r="L55" s="638"/>
      <c r="M55" s="630">
        <f t="shared" si="4"/>
        <v>3.6959999999999997</v>
      </c>
      <c r="N55" s="631"/>
      <c r="Y55" s="2"/>
    </row>
    <row r="56" spans="3:25" ht="16.5" x14ac:dyDescent="0.3">
      <c r="C56" s="229"/>
      <c r="D56" s="225"/>
      <c r="E56" s="226"/>
      <c r="F56" s="226"/>
      <c r="G56" s="226"/>
      <c r="H56" s="226"/>
      <c r="I56" s="227"/>
      <c r="J56" s="230"/>
      <c r="K56" s="629"/>
      <c r="L56" s="629"/>
      <c r="M56" s="630"/>
      <c r="N56" s="631"/>
      <c r="Y56" s="2"/>
    </row>
    <row r="57" spans="3:25" ht="17.25" thickBot="1" x14ac:dyDescent="0.35">
      <c r="C57" s="231"/>
      <c r="D57" s="232"/>
      <c r="E57" s="233"/>
      <c r="F57" s="233"/>
      <c r="G57" s="233"/>
      <c r="H57" s="233"/>
      <c r="I57" s="234"/>
      <c r="J57" s="235"/>
      <c r="K57" s="632"/>
      <c r="L57" s="632"/>
      <c r="M57" s="633">
        <f>SUM(M51:N55)</f>
        <v>56.430000000000007</v>
      </c>
      <c r="N57" s="634"/>
      <c r="Y57" s="2"/>
    </row>
    <row r="58" spans="3:25" ht="16.5" x14ac:dyDescent="0.3">
      <c r="Y58" s="2"/>
    </row>
    <row r="59" spans="3:25" ht="16.5" x14ac:dyDescent="0.3">
      <c r="Y59" s="2"/>
    </row>
    <row r="60" spans="3:25" ht="16.5" x14ac:dyDescent="0.3">
      <c r="Y60" s="2"/>
    </row>
    <row r="61" spans="3:25" ht="16.5" x14ac:dyDescent="0.3">
      <c r="E61"/>
      <c r="Y61" s="2"/>
    </row>
    <row r="62" spans="3:25" ht="16.5" x14ac:dyDescent="0.3">
      <c r="Y62" s="2"/>
    </row>
    <row r="63" spans="3:25" ht="16.5" x14ac:dyDescent="0.3">
      <c r="Y63" s="2"/>
    </row>
    <row r="64" spans="3:25" ht="16.5" x14ac:dyDescent="0.3">
      <c r="Y64" s="2"/>
    </row>
    <row r="65" spans="25:25" ht="16.5" x14ac:dyDescent="0.3">
      <c r="Y65" s="2"/>
    </row>
    <row r="66" spans="25:25" ht="16.5" x14ac:dyDescent="0.3">
      <c r="Y66" s="2"/>
    </row>
    <row r="67" spans="25:25" ht="16.5" x14ac:dyDescent="0.3">
      <c r="Y67" s="2"/>
    </row>
    <row r="68" spans="25:25" ht="16.5" x14ac:dyDescent="0.3">
      <c r="Y68" s="2"/>
    </row>
    <row r="69" spans="25:25" ht="16.5" x14ac:dyDescent="0.3">
      <c r="Y69" s="2"/>
    </row>
    <row r="70" spans="25:25" ht="16.5" x14ac:dyDescent="0.3">
      <c r="Y70" s="2"/>
    </row>
    <row r="71" spans="25:25" ht="16.5" x14ac:dyDescent="0.3">
      <c r="Y71" s="2"/>
    </row>
    <row r="72" spans="25:25" ht="16.5" x14ac:dyDescent="0.3">
      <c r="Y72" s="2"/>
    </row>
    <row r="73" spans="25:25" ht="16.5" x14ac:dyDescent="0.3">
      <c r="Y73" s="2"/>
    </row>
    <row r="74" spans="25:25" ht="16.5" x14ac:dyDescent="0.3">
      <c r="Y74" s="2"/>
    </row>
    <row r="75" spans="25:25" ht="16.5" x14ac:dyDescent="0.3">
      <c r="Y75" s="2"/>
    </row>
    <row r="76" spans="25:25" ht="16.5" x14ac:dyDescent="0.3">
      <c r="Y76" s="2"/>
    </row>
    <row r="77" spans="25:25" ht="16.5" x14ac:dyDescent="0.3">
      <c r="Y77" s="2"/>
    </row>
    <row r="78" spans="25:25" ht="16.5" x14ac:dyDescent="0.3">
      <c r="Y78" s="2"/>
    </row>
    <row r="79" spans="25:25" ht="16.5" x14ac:dyDescent="0.3">
      <c r="Y79" s="2"/>
    </row>
    <row r="80" spans="25:25" ht="16.5" x14ac:dyDescent="0.3">
      <c r="Y80" s="2"/>
    </row>
    <row r="81" spans="25:27" ht="16.5" x14ac:dyDescent="0.3">
      <c r="Y81" s="2"/>
    </row>
    <row r="82" spans="25:27" ht="16.5" x14ac:dyDescent="0.3">
      <c r="Y82" s="2"/>
    </row>
    <row r="83" spans="25:27" ht="16.5" x14ac:dyDescent="0.3">
      <c r="Y83" s="2"/>
    </row>
    <row r="84" spans="25:27" ht="16.5" x14ac:dyDescent="0.3">
      <c r="Y84" s="2"/>
    </row>
    <row r="85" spans="25:27" ht="16.5" x14ac:dyDescent="0.3">
      <c r="Y85" s="2"/>
      <c r="AA85" s="236"/>
    </row>
    <row r="86" spans="25:27" ht="16.5" x14ac:dyDescent="0.3">
      <c r="Y86" s="2"/>
      <c r="AA86" s="236"/>
    </row>
    <row r="87" spans="25:27" ht="16.5" x14ac:dyDescent="0.3">
      <c r="Y87" s="2"/>
      <c r="AA87" s="236"/>
    </row>
    <row r="88" spans="25:27" ht="16.5" x14ac:dyDescent="0.3">
      <c r="Y88" s="2"/>
      <c r="AA88" s="236"/>
    </row>
    <row r="89" spans="25:27" ht="16.5" x14ac:dyDescent="0.3">
      <c r="Y89" s="2"/>
      <c r="AA89" s="236"/>
    </row>
    <row r="90" spans="25:27" ht="16.5" x14ac:dyDescent="0.3">
      <c r="Y90" s="2"/>
      <c r="AA90" s="236"/>
    </row>
    <row r="91" spans="25:27" ht="16.5" x14ac:dyDescent="0.3">
      <c r="Y91" s="2"/>
      <c r="Z91" s="236"/>
      <c r="AA91" s="236"/>
    </row>
    <row r="92" spans="25:27" ht="16.5" x14ac:dyDescent="0.3">
      <c r="Y92" s="2"/>
      <c r="Z92" s="236"/>
      <c r="AA92" s="236"/>
    </row>
    <row r="93" spans="25:27" ht="16.5" x14ac:dyDescent="0.3">
      <c r="Y93" s="2"/>
      <c r="Z93" s="236"/>
    </row>
    <row r="94" spans="25:27" ht="16.5" x14ac:dyDescent="0.3">
      <c r="Y94" s="2"/>
      <c r="Z94" s="236"/>
    </row>
    <row r="95" spans="25:27" ht="16.5" x14ac:dyDescent="0.3">
      <c r="Y95" s="2"/>
      <c r="Z95" s="236"/>
    </row>
    <row r="96" spans="25:27" ht="16.5" x14ac:dyDescent="0.3">
      <c r="Y96" s="2"/>
      <c r="Z96" s="236"/>
    </row>
    <row r="97" spans="25:26" ht="16.5" x14ac:dyDescent="0.3">
      <c r="Y97" s="2"/>
      <c r="Z97" s="236"/>
    </row>
    <row r="98" spans="25:26" ht="16.5" x14ac:dyDescent="0.3">
      <c r="Y98" s="2"/>
      <c r="Z98" s="236"/>
    </row>
    <row r="99" spans="25:26" ht="16.5" x14ac:dyDescent="0.3">
      <c r="Y99" s="2"/>
      <c r="Z99" s="236"/>
    </row>
    <row r="100" spans="25:26" ht="16.5" x14ac:dyDescent="0.3">
      <c r="Y100" s="2"/>
      <c r="Z100" s="236"/>
    </row>
    <row r="101" spans="25:26" ht="16.5" x14ac:dyDescent="0.3">
      <c r="Y101" s="2"/>
      <c r="Z101" s="236"/>
    </row>
    <row r="102" spans="25:26" ht="16.5" x14ac:dyDescent="0.3">
      <c r="Y102" s="2"/>
      <c r="Z102" s="236"/>
    </row>
    <row r="103" spans="25:26" ht="16.5" x14ac:dyDescent="0.3">
      <c r="Y103" s="2"/>
      <c r="Z103" s="236"/>
    </row>
    <row r="104" spans="25:26" ht="16.5" x14ac:dyDescent="0.3">
      <c r="Y104" s="2"/>
      <c r="Z104" s="236"/>
    </row>
    <row r="105" spans="25:26" ht="16.5" x14ac:dyDescent="0.3">
      <c r="Y105" s="2"/>
      <c r="Z105" s="236"/>
    </row>
    <row r="106" spans="25:26" ht="16.5" x14ac:dyDescent="0.3">
      <c r="Y106" s="2"/>
      <c r="Z106" s="236"/>
    </row>
    <row r="107" spans="25:26" ht="16.5" x14ac:dyDescent="0.3">
      <c r="Y107" s="2"/>
      <c r="Z107" s="236"/>
    </row>
    <row r="108" spans="25:26" ht="16.5" x14ac:dyDescent="0.3">
      <c r="Y108" s="2"/>
      <c r="Z108" s="236"/>
    </row>
    <row r="109" spans="25:26" ht="16.5" x14ac:dyDescent="0.3">
      <c r="Y109" s="2"/>
      <c r="Z109" s="236"/>
    </row>
    <row r="110" spans="25:26" ht="16.5" x14ac:dyDescent="0.3">
      <c r="Y110" s="2"/>
      <c r="Z110" s="236"/>
    </row>
    <row r="111" spans="25:26" ht="16.5" x14ac:dyDescent="0.3">
      <c r="Y111" s="2"/>
      <c r="Z111" s="236"/>
    </row>
    <row r="112" spans="25:26" ht="16.5" x14ac:dyDescent="0.3">
      <c r="Y112" s="2"/>
      <c r="Z112" s="236"/>
    </row>
    <row r="113" spans="25:26" ht="16.5" x14ac:dyDescent="0.3">
      <c r="Y113" s="2"/>
      <c r="Z113" s="236"/>
    </row>
    <row r="114" spans="25:26" ht="16.5" x14ac:dyDescent="0.3">
      <c r="Y114" s="2"/>
      <c r="Z114" s="236"/>
    </row>
    <row r="115" spans="25:26" ht="16.5" x14ac:dyDescent="0.3">
      <c r="Y115" s="2"/>
      <c r="Z115" s="236"/>
    </row>
    <row r="116" spans="25:26" ht="16.5" x14ac:dyDescent="0.3">
      <c r="Y116" s="2"/>
      <c r="Z116" s="236"/>
    </row>
    <row r="117" spans="25:26" ht="16.5" x14ac:dyDescent="0.3">
      <c r="Y117" s="2"/>
      <c r="Z117" s="236"/>
    </row>
    <row r="118" spans="25:26" ht="16.5" x14ac:dyDescent="0.3">
      <c r="Y118" s="2"/>
      <c r="Z118" s="236"/>
    </row>
    <row r="119" spans="25:26" ht="16.5" x14ac:dyDescent="0.3">
      <c r="Y119" s="2"/>
      <c r="Z119" s="236"/>
    </row>
    <row r="120" spans="25:26" ht="16.5" x14ac:dyDescent="0.3">
      <c r="Y120" s="2"/>
      <c r="Z120" s="236"/>
    </row>
    <row r="121" spans="25:26" ht="16.5" x14ac:dyDescent="0.3">
      <c r="Y121" s="2"/>
      <c r="Z121" s="236"/>
    </row>
    <row r="122" spans="25:26" ht="16.5" x14ac:dyDescent="0.3">
      <c r="Y122" s="2"/>
      <c r="Z122" s="236"/>
    </row>
    <row r="123" spans="25:26" ht="16.5" x14ac:dyDescent="0.3">
      <c r="Y123" s="2"/>
      <c r="Z123" s="236"/>
    </row>
    <row r="124" spans="25:26" ht="16.5" x14ac:dyDescent="0.3">
      <c r="Y124" s="2"/>
    </row>
    <row r="125" spans="25:26" ht="16.5" x14ac:dyDescent="0.3">
      <c r="Y125" s="2"/>
    </row>
  </sheetData>
  <mergeCells count="103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C17:J17"/>
    <mergeCell ref="T17:V17"/>
    <mergeCell ref="B18:J19"/>
    <mergeCell ref="K18:M19"/>
    <mergeCell ref="N18:P19"/>
    <mergeCell ref="Q18:S19"/>
    <mergeCell ref="T18:V19"/>
    <mergeCell ref="K15:M15"/>
    <mergeCell ref="N15:P15"/>
    <mergeCell ref="Q15:S15"/>
    <mergeCell ref="T15:V15"/>
    <mergeCell ref="K16:M16"/>
    <mergeCell ref="N16:P16"/>
    <mergeCell ref="Q16:S16"/>
    <mergeCell ref="T16:V16"/>
    <mergeCell ref="K23:M23"/>
    <mergeCell ref="N23:P23"/>
    <mergeCell ref="Q23:S23"/>
    <mergeCell ref="T23:V23"/>
    <mergeCell ref="K24:M24"/>
    <mergeCell ref="N24:P24"/>
    <mergeCell ref="Q24:S24"/>
    <mergeCell ref="T24:V24"/>
    <mergeCell ref="K21:M21"/>
    <mergeCell ref="N21:P21"/>
    <mergeCell ref="Q21:S21"/>
    <mergeCell ref="T21:V21"/>
    <mergeCell ref="K22:M22"/>
    <mergeCell ref="N22:P22"/>
    <mergeCell ref="Q22:S22"/>
    <mergeCell ref="T22:V22"/>
    <mergeCell ref="C27:J27"/>
    <mergeCell ref="T27:V27"/>
    <mergeCell ref="H28:I28"/>
    <mergeCell ref="B29:J30"/>
    <mergeCell ref="K29:M30"/>
    <mergeCell ref="N29:P30"/>
    <mergeCell ref="Q29:S30"/>
    <mergeCell ref="T29:V30"/>
    <mergeCell ref="K25:M25"/>
    <mergeCell ref="N25:P25"/>
    <mergeCell ref="Q25:S25"/>
    <mergeCell ref="T25:V25"/>
    <mergeCell ref="C26:J26"/>
    <mergeCell ref="T26:V26"/>
    <mergeCell ref="N36:P36"/>
    <mergeCell ref="Q36:S36"/>
    <mergeCell ref="T36:V36"/>
    <mergeCell ref="C38:J38"/>
    <mergeCell ref="T38:V38"/>
    <mergeCell ref="K32:M32"/>
    <mergeCell ref="N32:P32"/>
    <mergeCell ref="Q32:S32"/>
    <mergeCell ref="T32:V32"/>
    <mergeCell ref="K33:M33"/>
    <mergeCell ref="N33:P33"/>
    <mergeCell ref="Q33:S33"/>
    <mergeCell ref="T33:V33"/>
    <mergeCell ref="K56:L56"/>
    <mergeCell ref="M56:N56"/>
    <mergeCell ref="K57:L57"/>
    <mergeCell ref="M57:N57"/>
    <mergeCell ref="T34:V34"/>
    <mergeCell ref="K53:L53"/>
    <mergeCell ref="M53:N53"/>
    <mergeCell ref="K54:L54"/>
    <mergeCell ref="M54:N54"/>
    <mergeCell ref="K55:L55"/>
    <mergeCell ref="M55:N55"/>
    <mergeCell ref="K50:L50"/>
    <mergeCell ref="M50:N50"/>
    <mergeCell ref="K51:L51"/>
    <mergeCell ref="M51:N51"/>
    <mergeCell ref="K52:L52"/>
    <mergeCell ref="M52:N52"/>
    <mergeCell ref="T39:V39"/>
    <mergeCell ref="T40:V40"/>
    <mergeCell ref="T41:V41"/>
    <mergeCell ref="T42:V42"/>
    <mergeCell ref="T43:V43"/>
    <mergeCell ref="T44:V44"/>
    <mergeCell ref="K36:M3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5B02-810A-BE43-B473-EDE9FACF5774}">
  <sheetPr codeName="Sheet10">
    <tabColor rgb="FF92D050"/>
    <pageSetUpPr fitToPage="1"/>
  </sheetPr>
  <dimension ref="A1:AA125"/>
  <sheetViews>
    <sheetView view="pageBreakPreview" topLeftCell="B12" zoomScale="85" zoomScaleNormal="85" zoomScaleSheetLayoutView="85" workbookViewId="0">
      <selection activeCell="Q21" sqref="Q21:S22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2.42578125" style="1" customWidth="1"/>
    <col min="24" max="24" width="14.140625" style="1" customWidth="1"/>
    <col min="25" max="25" width="26.28515625" style="1" customWidth="1"/>
    <col min="26" max="26" width="17" style="1" customWidth="1"/>
    <col min="27" max="27" width="11" style="1" bestFit="1" customWidth="1"/>
    <col min="28" max="16384" width="9.140625" style="1"/>
  </cols>
  <sheetData>
    <row r="1" spans="1:25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</row>
    <row r="2" spans="1:25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</row>
    <row r="4" spans="1:25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</row>
    <row r="5" spans="1:25" s="4" customFormat="1" ht="16.5" customHeight="1" x14ac:dyDescent="0.3">
      <c r="A5" s="6" t="s">
        <v>2</v>
      </c>
      <c r="B5" s="5" t="s">
        <v>3</v>
      </c>
      <c r="C5" s="5"/>
      <c r="D5" s="5"/>
      <c r="E5" s="578" t="s">
        <v>190</v>
      </c>
      <c r="F5" s="578"/>
      <c r="G5" s="605" t="s">
        <v>192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</row>
    <row r="6" spans="1:25" ht="16.5" x14ac:dyDescent="0.3">
      <c r="A6" s="8" t="s">
        <v>6</v>
      </c>
      <c r="B6" s="2" t="s">
        <v>7</v>
      </c>
      <c r="C6" s="2"/>
      <c r="D6" s="2"/>
      <c r="E6" s="578" t="s">
        <v>73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</row>
    <row r="7" spans="1:25" ht="16.5" x14ac:dyDescent="0.3">
      <c r="B7" s="2" t="s">
        <v>9</v>
      </c>
      <c r="C7" s="2"/>
      <c r="D7" s="2"/>
      <c r="E7" s="581">
        <f>129.094*8*Y11</f>
        <v>1032.752</v>
      </c>
      <c r="F7" s="581"/>
      <c r="G7" s="2" t="s">
        <v>74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x14ac:dyDescent="0.3">
      <c r="A8" s="8" t="s">
        <v>11</v>
      </c>
      <c r="B8" s="2" t="s">
        <v>12</v>
      </c>
      <c r="C8" s="2"/>
      <c r="D8" s="2"/>
      <c r="E8" s="581">
        <f>'INPUT DATA'!C16</f>
        <v>50</v>
      </c>
      <c r="F8" s="581"/>
      <c r="G8" s="602" t="str">
        <f>E6</f>
        <v>KGS.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 t="s">
        <v>75</v>
      </c>
    </row>
    <row r="11" spans="1:25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>
        <v>1</v>
      </c>
    </row>
    <row r="12" spans="1:25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</row>
    <row r="13" spans="1:25" ht="16.5" x14ac:dyDescent="0.3">
      <c r="A13" s="8" t="s">
        <v>20</v>
      </c>
      <c r="B13" s="15"/>
      <c r="C13" s="16" t="s">
        <v>21</v>
      </c>
      <c r="D13" s="2" t="s">
        <v>22</v>
      </c>
      <c r="E13" s="2"/>
      <c r="F13" s="2"/>
      <c r="G13" s="2"/>
      <c r="H13" s="2"/>
      <c r="I13" s="179"/>
      <c r="J13" s="17"/>
      <c r="K13" s="577">
        <v>1</v>
      </c>
      <c r="L13" s="578"/>
      <c r="M13" s="579"/>
      <c r="N13" s="590">
        <f>E8/E7</f>
        <v>4.8414333741304785E-2</v>
      </c>
      <c r="O13" s="591"/>
      <c r="P13" s="592"/>
      <c r="Q13" s="599">
        <v>800</v>
      </c>
      <c r="R13" s="600"/>
      <c r="S13" s="601"/>
      <c r="T13" s="583">
        <f>K13*N13*Q13</f>
        <v>38.731466993043831</v>
      </c>
      <c r="U13" s="584"/>
      <c r="V13" s="585"/>
      <c r="W13" s="2"/>
      <c r="X13" s="26"/>
      <c r="Y13" s="188"/>
    </row>
    <row r="14" spans="1:25" ht="16.5" x14ac:dyDescent="0.3">
      <c r="B14" s="15"/>
      <c r="C14" s="16" t="s">
        <v>23</v>
      </c>
      <c r="D14" s="2" t="s">
        <v>156</v>
      </c>
      <c r="E14" s="2"/>
      <c r="F14" s="2"/>
      <c r="G14" s="2"/>
      <c r="H14" s="2"/>
      <c r="I14" s="2"/>
      <c r="J14" s="17"/>
      <c r="K14" s="577">
        <v>3</v>
      </c>
      <c r="L14" s="578"/>
      <c r="M14" s="579"/>
      <c r="N14" s="590">
        <f>N13</f>
        <v>4.8414333741304785E-2</v>
      </c>
      <c r="O14" s="591"/>
      <c r="P14" s="592"/>
      <c r="Q14" s="599">
        <v>600</v>
      </c>
      <c r="R14" s="600"/>
      <c r="S14" s="601"/>
      <c r="T14" s="583">
        <f t="shared" ref="T14:T15" si="0">K14*N14*Q14</f>
        <v>87.145800734348626</v>
      </c>
      <c r="U14" s="584"/>
      <c r="V14" s="585"/>
      <c r="W14" s="2"/>
      <c r="X14" s="26"/>
      <c r="Y14" s="27"/>
    </row>
    <row r="15" spans="1:25" ht="16.5" x14ac:dyDescent="0.3">
      <c r="B15" s="41"/>
      <c r="C15" s="16" t="s">
        <v>23</v>
      </c>
      <c r="D15" s="2" t="s">
        <v>24</v>
      </c>
      <c r="E15" s="2"/>
      <c r="F15" s="2"/>
      <c r="G15" s="2"/>
      <c r="H15" s="2"/>
      <c r="I15" s="2"/>
      <c r="J15" s="17"/>
      <c r="K15" s="577">
        <v>12</v>
      </c>
      <c r="L15" s="578"/>
      <c r="M15" s="579"/>
      <c r="N15" s="590">
        <f>N14</f>
        <v>4.8414333741304785E-2</v>
      </c>
      <c r="O15" s="591"/>
      <c r="P15" s="592"/>
      <c r="Q15" s="599">
        <v>400</v>
      </c>
      <c r="R15" s="600"/>
      <c r="S15" s="601"/>
      <c r="T15" s="583">
        <f t="shared" si="0"/>
        <v>232.388801958263</v>
      </c>
      <c r="U15" s="584"/>
      <c r="V15" s="585"/>
      <c r="W15" s="9"/>
      <c r="X15" s="2"/>
      <c r="Y15" s="14"/>
    </row>
    <row r="16" spans="1:25" ht="16.5" x14ac:dyDescent="0.3">
      <c r="B16" s="41"/>
      <c r="C16" s="16"/>
      <c r="D16" s="2"/>
      <c r="E16" s="2"/>
      <c r="F16" s="2"/>
      <c r="G16" s="2"/>
      <c r="H16" s="2"/>
      <c r="I16" s="2"/>
      <c r="J16" s="17"/>
      <c r="K16" s="577"/>
      <c r="L16" s="578"/>
      <c r="M16" s="579"/>
      <c r="N16" s="580"/>
      <c r="O16" s="578"/>
      <c r="P16" s="579"/>
      <c r="Q16" s="589"/>
      <c r="R16" s="578"/>
      <c r="S16" s="579"/>
      <c r="T16" s="583"/>
      <c r="U16" s="584"/>
      <c r="V16" s="585"/>
      <c r="W16" s="2"/>
      <c r="X16" s="2"/>
      <c r="Y16" s="14"/>
    </row>
    <row r="17" spans="1:26" ht="16.5" x14ac:dyDescent="0.3">
      <c r="A17" s="45" t="s">
        <v>26</v>
      </c>
      <c r="B17" s="46"/>
      <c r="C17" s="564" t="s">
        <v>27</v>
      </c>
      <c r="D17" s="565"/>
      <c r="E17" s="565"/>
      <c r="F17" s="565"/>
      <c r="G17" s="565"/>
      <c r="H17" s="565"/>
      <c r="I17" s="565"/>
      <c r="J17" s="566"/>
      <c r="K17" s="47"/>
      <c r="L17" s="48"/>
      <c r="M17" s="49"/>
      <c r="N17" s="47"/>
      <c r="O17" s="48"/>
      <c r="P17" s="49"/>
      <c r="Q17" s="47"/>
      <c r="R17" s="48"/>
      <c r="S17" s="50" t="s">
        <v>28</v>
      </c>
      <c r="T17" s="561">
        <f>ROUND(SUM(T13:V15),2)</f>
        <v>358.27</v>
      </c>
      <c r="U17" s="562"/>
      <c r="V17" s="563"/>
      <c r="X17" s="51"/>
      <c r="Y17" s="51"/>
    </row>
    <row r="18" spans="1:26" x14ac:dyDescent="0.25">
      <c r="B18" s="571" t="s">
        <v>29</v>
      </c>
      <c r="C18" s="572"/>
      <c r="D18" s="572"/>
      <c r="E18" s="572"/>
      <c r="F18" s="572"/>
      <c r="G18" s="572"/>
      <c r="H18" s="572"/>
      <c r="I18" s="572"/>
      <c r="J18" s="573"/>
      <c r="K18" s="571" t="s">
        <v>30</v>
      </c>
      <c r="L18" s="572"/>
      <c r="M18" s="573"/>
      <c r="N18" s="571" t="s">
        <v>15</v>
      </c>
      <c r="O18" s="572"/>
      <c r="P18" s="573"/>
      <c r="Q18" s="571" t="s">
        <v>16</v>
      </c>
      <c r="R18" s="572"/>
      <c r="S18" s="573"/>
      <c r="T18" s="571" t="s">
        <v>17</v>
      </c>
      <c r="U18" s="572"/>
      <c r="V18" s="573"/>
      <c r="X18" s="52"/>
      <c r="Y18" s="189"/>
    </row>
    <row r="19" spans="1:26" x14ac:dyDescent="0.25">
      <c r="B19" s="574"/>
      <c r="C19" s="575"/>
      <c r="D19" s="575"/>
      <c r="E19" s="575"/>
      <c r="F19" s="575"/>
      <c r="G19" s="575"/>
      <c r="H19" s="575"/>
      <c r="I19" s="575"/>
      <c r="J19" s="576"/>
      <c r="K19" s="574"/>
      <c r="L19" s="575"/>
      <c r="M19" s="576"/>
      <c r="N19" s="574"/>
      <c r="O19" s="575"/>
      <c r="P19" s="576"/>
      <c r="Q19" s="574"/>
      <c r="R19" s="575"/>
      <c r="S19" s="576"/>
      <c r="T19" s="574"/>
      <c r="U19" s="575"/>
      <c r="V19" s="576"/>
    </row>
    <row r="20" spans="1:26" ht="16.5" x14ac:dyDescent="0.3">
      <c r="B20" s="15" t="s">
        <v>31</v>
      </c>
      <c r="C20" s="16" t="s">
        <v>32</v>
      </c>
      <c r="D20" s="2"/>
      <c r="E20" s="2"/>
      <c r="F20" s="2"/>
      <c r="G20" s="2"/>
      <c r="H20" s="2"/>
      <c r="I20" s="2"/>
      <c r="J20" s="17"/>
      <c r="K20" s="16"/>
      <c r="L20" s="2"/>
      <c r="M20" s="17"/>
      <c r="N20" s="16"/>
      <c r="O20" s="2"/>
      <c r="P20" s="17"/>
      <c r="Q20" s="16"/>
      <c r="R20" s="2"/>
      <c r="S20" s="17"/>
      <c r="T20" s="16"/>
      <c r="U20" s="2"/>
      <c r="V20" s="17"/>
      <c r="W20" s="2"/>
      <c r="X20" s="2"/>
      <c r="Y20" s="2"/>
    </row>
    <row r="21" spans="1:26" ht="16.5" x14ac:dyDescent="0.3">
      <c r="B21" s="15"/>
      <c r="C21" s="16" t="s">
        <v>21</v>
      </c>
      <c r="D21" s="190" t="s">
        <v>76</v>
      </c>
      <c r="E21" s="2"/>
      <c r="F21" s="2"/>
      <c r="G21" s="2"/>
      <c r="H21" s="2"/>
      <c r="I21" s="2"/>
      <c r="J21" s="17"/>
      <c r="K21" s="577">
        <f>Y11</f>
        <v>1</v>
      </c>
      <c r="L21" s="578"/>
      <c r="M21" s="579"/>
      <c r="N21" s="656">
        <f>N13/2</f>
        <v>2.4207166870652393E-2</v>
      </c>
      <c r="O21" s="657"/>
      <c r="P21" s="658"/>
      <c r="Q21" s="586">
        <v>1758</v>
      </c>
      <c r="R21" s="587"/>
      <c r="S21" s="588"/>
      <c r="T21" s="583">
        <f t="shared" ref="T21:T22" si="1">K21*N21*Q21</f>
        <v>42.556199358606904</v>
      </c>
      <c r="U21" s="584"/>
      <c r="V21" s="585"/>
      <c r="W21" s="18"/>
      <c r="X21" s="18"/>
      <c r="Y21" s="18"/>
    </row>
    <row r="22" spans="1:26" ht="16.5" x14ac:dyDescent="0.3">
      <c r="B22" s="41"/>
      <c r="C22" s="16" t="s">
        <v>23</v>
      </c>
      <c r="D22" s="190" t="s">
        <v>77</v>
      </c>
      <c r="E22" s="2"/>
      <c r="F22" s="2"/>
      <c r="G22" s="2"/>
      <c r="H22" s="2"/>
      <c r="I22" s="2"/>
      <c r="J22" s="17"/>
      <c r="K22" s="577">
        <f>K21</f>
        <v>1</v>
      </c>
      <c r="L22" s="578"/>
      <c r="M22" s="579"/>
      <c r="N22" s="656">
        <f>N21</f>
        <v>2.4207166870652393E-2</v>
      </c>
      <c r="O22" s="657"/>
      <c r="P22" s="658"/>
      <c r="Q22" s="586">
        <v>2812</v>
      </c>
      <c r="R22" s="587"/>
      <c r="S22" s="588"/>
      <c r="T22" s="583">
        <f t="shared" si="1"/>
        <v>68.070553240274535</v>
      </c>
      <c r="U22" s="584"/>
      <c r="V22" s="585"/>
      <c r="W22" s="18"/>
      <c r="X22" s="18"/>
      <c r="Y22" s="18"/>
    </row>
    <row r="23" spans="1:26" ht="16.5" x14ac:dyDescent="0.3">
      <c r="B23" s="41"/>
      <c r="C23" s="16" t="s">
        <v>104</v>
      </c>
      <c r="D23" s="190"/>
      <c r="E23" s="2"/>
      <c r="F23" s="2"/>
      <c r="G23" s="2"/>
      <c r="H23" s="2"/>
      <c r="I23" s="2"/>
      <c r="J23" s="17"/>
      <c r="K23" s="577"/>
      <c r="L23" s="578"/>
      <c r="M23" s="579"/>
      <c r="N23" s="656"/>
      <c r="O23" s="657"/>
      <c r="P23" s="658"/>
      <c r="Q23" s="586"/>
      <c r="R23" s="587"/>
      <c r="S23" s="588"/>
      <c r="T23" s="583">
        <f>0.1*T17</f>
        <v>35.826999999999998</v>
      </c>
      <c r="U23" s="584"/>
      <c r="V23" s="585"/>
      <c r="W23" s="18"/>
      <c r="X23" s="18"/>
      <c r="Y23" s="18"/>
    </row>
    <row r="24" spans="1:26" ht="16.5" x14ac:dyDescent="0.3">
      <c r="B24" s="41"/>
      <c r="C24" s="16"/>
      <c r="D24" s="2"/>
      <c r="E24" s="2"/>
      <c r="F24" s="2"/>
      <c r="G24" s="2"/>
      <c r="H24" s="2"/>
      <c r="I24" s="2"/>
      <c r="J24" s="17"/>
      <c r="K24" s="577"/>
      <c r="L24" s="578"/>
      <c r="M24" s="579"/>
      <c r="N24" s="580"/>
      <c r="O24" s="581"/>
      <c r="P24" s="582"/>
      <c r="Q24" s="580"/>
      <c r="R24" s="581"/>
      <c r="S24" s="582"/>
      <c r="T24" s="583"/>
      <c r="U24" s="584"/>
      <c r="V24" s="585"/>
      <c r="W24" s="18"/>
      <c r="X24" s="18"/>
      <c r="Y24" s="18"/>
    </row>
    <row r="25" spans="1:26" ht="16.5" x14ac:dyDescent="0.3">
      <c r="B25" s="41"/>
      <c r="C25" s="16"/>
      <c r="D25" s="2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78"/>
      <c r="P25" s="579"/>
      <c r="Q25" s="580"/>
      <c r="R25" s="581"/>
      <c r="S25" s="582"/>
      <c r="T25" s="583"/>
      <c r="U25" s="584"/>
      <c r="V25" s="585"/>
      <c r="W25" s="2"/>
      <c r="X25" s="2"/>
      <c r="Y25" s="2"/>
    </row>
    <row r="26" spans="1:26" ht="16.5" x14ac:dyDescent="0.3">
      <c r="A26" s="61" t="s">
        <v>34</v>
      </c>
      <c r="B26" s="46"/>
      <c r="C26" s="564" t="s">
        <v>35</v>
      </c>
      <c r="D26" s="565"/>
      <c r="E26" s="565"/>
      <c r="F26" s="565"/>
      <c r="G26" s="565"/>
      <c r="H26" s="565"/>
      <c r="I26" s="565"/>
      <c r="J26" s="566"/>
      <c r="K26" s="47"/>
      <c r="L26" s="48"/>
      <c r="M26" s="49"/>
      <c r="N26" s="47"/>
      <c r="O26" s="48"/>
      <c r="P26" s="49"/>
      <c r="Q26" s="47"/>
      <c r="R26" s="48"/>
      <c r="S26" s="50" t="s">
        <v>28</v>
      </c>
      <c r="T26" s="561">
        <f>ROUND(SUM(T21:V25),2)</f>
        <v>146.44999999999999</v>
      </c>
      <c r="U26" s="562"/>
      <c r="V26" s="563"/>
      <c r="W26" s="9"/>
      <c r="X26" s="2"/>
      <c r="Y26" s="2"/>
      <c r="Z26" s="191"/>
    </row>
    <row r="27" spans="1:26" ht="16.5" x14ac:dyDescent="0.3">
      <c r="B27" s="64" t="s">
        <v>36</v>
      </c>
      <c r="C27" s="564" t="s">
        <v>37</v>
      </c>
      <c r="D27" s="565"/>
      <c r="E27" s="565"/>
      <c r="F27" s="565"/>
      <c r="G27" s="565"/>
      <c r="H27" s="565"/>
      <c r="I27" s="565"/>
      <c r="J27" s="565"/>
      <c r="K27" s="48"/>
      <c r="L27" s="48"/>
      <c r="M27" s="48"/>
      <c r="N27" s="48"/>
      <c r="O27" s="48"/>
      <c r="P27" s="48"/>
      <c r="Q27" s="48"/>
      <c r="R27" s="48"/>
      <c r="S27" s="48"/>
      <c r="T27" s="562">
        <f>T17+T26</f>
        <v>504.71999999999997</v>
      </c>
      <c r="U27" s="562"/>
      <c r="V27" s="563"/>
      <c r="W27" s="2"/>
      <c r="X27" s="2"/>
      <c r="Y27" s="2"/>
      <c r="Z27" s="192"/>
    </row>
    <row r="28" spans="1:26" ht="16.5" x14ac:dyDescent="0.3">
      <c r="B28" s="66" t="s">
        <v>38</v>
      </c>
      <c r="C28" s="47" t="s">
        <v>39</v>
      </c>
      <c r="D28" s="48"/>
      <c r="E28" s="48"/>
      <c r="F28" s="48"/>
      <c r="G28" s="67" t="s">
        <v>40</v>
      </c>
      <c r="H28" s="570">
        <f>E7</f>
        <v>1032.752</v>
      </c>
      <c r="I28" s="565"/>
      <c r="J28" s="48" t="str">
        <f>G7</f>
        <v>KGS./DAY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9"/>
      <c r="W28" s="2"/>
      <c r="X28" s="2"/>
      <c r="Y28" s="2"/>
      <c r="Z28" s="192"/>
    </row>
    <row r="29" spans="1:26" ht="16.5" x14ac:dyDescent="0.3">
      <c r="B29" s="571" t="s">
        <v>44</v>
      </c>
      <c r="C29" s="572"/>
      <c r="D29" s="572"/>
      <c r="E29" s="572"/>
      <c r="F29" s="572"/>
      <c r="G29" s="572"/>
      <c r="H29" s="572"/>
      <c r="I29" s="572"/>
      <c r="J29" s="573"/>
      <c r="K29" s="571" t="s">
        <v>45</v>
      </c>
      <c r="L29" s="572"/>
      <c r="M29" s="573"/>
      <c r="N29" s="571" t="s">
        <v>46</v>
      </c>
      <c r="O29" s="572"/>
      <c r="P29" s="573"/>
      <c r="Q29" s="571" t="s">
        <v>47</v>
      </c>
      <c r="R29" s="572"/>
      <c r="S29" s="573"/>
      <c r="T29" s="571" t="s">
        <v>17</v>
      </c>
      <c r="U29" s="572"/>
      <c r="V29" s="573"/>
      <c r="W29" s="2"/>
      <c r="X29" s="2"/>
      <c r="Y29" s="2"/>
      <c r="Z29" s="192"/>
    </row>
    <row r="30" spans="1:26" ht="16.5" x14ac:dyDescent="0.3">
      <c r="B30" s="574"/>
      <c r="C30" s="575"/>
      <c r="D30" s="575"/>
      <c r="E30" s="575"/>
      <c r="F30" s="575"/>
      <c r="G30" s="575"/>
      <c r="H30" s="575"/>
      <c r="I30" s="575"/>
      <c r="J30" s="576"/>
      <c r="K30" s="574"/>
      <c r="L30" s="575"/>
      <c r="M30" s="576"/>
      <c r="N30" s="574"/>
      <c r="O30" s="575"/>
      <c r="P30" s="576"/>
      <c r="Q30" s="574"/>
      <c r="R30" s="575"/>
      <c r="S30" s="576"/>
      <c r="T30" s="574"/>
      <c r="U30" s="575"/>
      <c r="V30" s="576"/>
      <c r="W30" s="2"/>
      <c r="X30" s="2"/>
      <c r="Y30" s="2"/>
      <c r="Z30" s="192"/>
    </row>
    <row r="31" spans="1:26" ht="16.5" x14ac:dyDescent="0.3">
      <c r="B31" s="15" t="s">
        <v>48</v>
      </c>
      <c r="C31" s="16" t="s">
        <v>49</v>
      </c>
      <c r="D31" s="2"/>
      <c r="E31" s="2"/>
      <c r="F31" s="2"/>
      <c r="G31" s="2"/>
      <c r="H31" s="2"/>
      <c r="I31" s="2"/>
      <c r="J31" s="17"/>
      <c r="K31" s="16"/>
      <c r="L31" s="2"/>
      <c r="M31" s="17"/>
      <c r="N31" s="16"/>
      <c r="O31" s="2"/>
      <c r="P31" s="17"/>
      <c r="Q31" s="16"/>
      <c r="R31" s="2"/>
      <c r="S31" s="17"/>
      <c r="T31" s="16"/>
      <c r="U31" s="2"/>
      <c r="V31" s="17"/>
      <c r="W31" s="2"/>
      <c r="X31" s="2"/>
      <c r="Y31" s="2"/>
      <c r="Z31" s="193"/>
    </row>
    <row r="32" spans="1:26" ht="16.5" customHeight="1" x14ac:dyDescent="0.3">
      <c r="B32" s="41"/>
      <c r="C32" s="194" t="s">
        <v>21</v>
      </c>
      <c r="D32" s="5" t="s">
        <v>80</v>
      </c>
      <c r="E32" s="121"/>
      <c r="F32" s="121"/>
      <c r="G32" s="122"/>
      <c r="H32" s="122"/>
      <c r="I32" s="122"/>
      <c r="J32" s="17"/>
      <c r="K32" s="650">
        <f>E8</f>
        <v>50</v>
      </c>
      <c r="L32" s="651"/>
      <c r="M32" s="652"/>
      <c r="N32" s="653" t="str">
        <f t="shared" ref="N32" si="2">IF(K32&gt;1,"kgs.","kg.")</f>
        <v>kgs.</v>
      </c>
      <c r="O32" s="654"/>
      <c r="P32" s="655"/>
      <c r="Q32" s="647">
        <v>75</v>
      </c>
      <c r="R32" s="648"/>
      <c r="S32" s="649"/>
      <c r="T32" s="635">
        <f>K32*Q32</f>
        <v>3750</v>
      </c>
      <c r="U32" s="636"/>
      <c r="V32" s="637"/>
      <c r="W32" s="18"/>
      <c r="X32" s="149"/>
      <c r="Y32" s="149"/>
    </row>
    <row r="33" spans="1:27" ht="16.5" x14ac:dyDescent="0.3">
      <c r="B33" s="41"/>
      <c r="C33" s="198" t="s">
        <v>23</v>
      </c>
      <c r="D33" s="199" t="s">
        <v>81</v>
      </c>
      <c r="E33" s="121"/>
      <c r="F33" s="121"/>
      <c r="G33" s="200"/>
      <c r="H33" s="201"/>
      <c r="I33" s="202"/>
      <c r="J33" s="17"/>
      <c r="K33" s="641">
        <f>E8*0.015</f>
        <v>0.75</v>
      </c>
      <c r="L33" s="642"/>
      <c r="M33" s="643"/>
      <c r="N33" s="653" t="str">
        <f>IF(K33&gt;1,"kgs.","kg.")</f>
        <v>kg.</v>
      </c>
      <c r="O33" s="654"/>
      <c r="P33" s="655"/>
      <c r="Q33" s="647">
        <v>90</v>
      </c>
      <c r="R33" s="648"/>
      <c r="S33" s="649"/>
      <c r="T33" s="635">
        <f t="shared" ref="T33" si="3">K33*Q33</f>
        <v>67.5</v>
      </c>
      <c r="U33" s="636"/>
      <c r="V33" s="637"/>
      <c r="W33" s="2"/>
      <c r="X33" s="149"/>
      <c r="Y33" s="149"/>
    </row>
    <row r="34" spans="1:27" ht="16.5" x14ac:dyDescent="0.3">
      <c r="B34" s="41"/>
      <c r="C34" s="198"/>
      <c r="D34" s="199" t="s">
        <v>193</v>
      </c>
      <c r="E34" s="121"/>
      <c r="F34" s="121"/>
      <c r="G34" s="200"/>
      <c r="H34" s="201"/>
      <c r="I34" s="202"/>
      <c r="J34" s="17"/>
      <c r="K34" s="203"/>
      <c r="L34" s="204"/>
      <c r="M34" s="205"/>
      <c r="N34" s="195"/>
      <c r="O34" s="196"/>
      <c r="P34" s="197"/>
      <c r="Q34" s="105"/>
      <c r="R34" s="106"/>
      <c r="S34" s="107"/>
      <c r="T34" s="635">
        <f>0.05*SUM(T32:V33)</f>
        <v>190.875</v>
      </c>
      <c r="U34" s="636"/>
      <c r="V34" s="637"/>
      <c r="W34" s="2"/>
      <c r="X34" s="149"/>
      <c r="Y34" s="149"/>
    </row>
    <row r="35" spans="1:27" ht="16.5" x14ac:dyDescent="0.3">
      <c r="B35" s="41"/>
      <c r="C35" s="198"/>
      <c r="D35" s="199"/>
      <c r="E35" s="121"/>
      <c r="F35" s="121"/>
      <c r="G35" s="200"/>
      <c r="H35" s="201"/>
      <c r="I35" s="202"/>
      <c r="J35" s="17"/>
      <c r="K35" s="203"/>
      <c r="L35" s="204"/>
      <c r="M35" s="205"/>
      <c r="N35" s="195"/>
      <c r="O35" s="196"/>
      <c r="P35" s="197"/>
      <c r="Q35" s="105"/>
      <c r="R35" s="106"/>
      <c r="S35" s="107"/>
      <c r="T35" s="108"/>
      <c r="U35" s="109"/>
      <c r="V35" s="110"/>
      <c r="W35" s="2"/>
      <c r="X35" s="149"/>
      <c r="Y35" s="149"/>
    </row>
    <row r="36" spans="1:27" ht="16.5" x14ac:dyDescent="0.3">
      <c r="B36" s="41"/>
      <c r="C36" s="194"/>
      <c r="D36" s="199"/>
      <c r="E36" s="121"/>
      <c r="F36" s="121"/>
      <c r="G36" s="206"/>
      <c r="H36" s="202"/>
      <c r="I36" s="202"/>
      <c r="J36" s="17"/>
      <c r="K36" s="641"/>
      <c r="L36" s="642"/>
      <c r="M36" s="643"/>
      <c r="N36" s="644"/>
      <c r="O36" s="645"/>
      <c r="P36" s="646"/>
      <c r="Q36" s="647"/>
      <c r="R36" s="648"/>
      <c r="S36" s="649"/>
      <c r="T36" s="635"/>
      <c r="U36" s="636"/>
      <c r="V36" s="637"/>
      <c r="W36" s="2"/>
      <c r="X36" s="149"/>
      <c r="Y36" s="149"/>
    </row>
    <row r="37" spans="1:27" ht="16.5" x14ac:dyDescent="0.3">
      <c r="B37" s="41"/>
      <c r="C37" s="199"/>
      <c r="D37" s="199"/>
      <c r="E37" s="121"/>
      <c r="F37" s="121"/>
      <c r="G37" s="206"/>
      <c r="H37" s="202"/>
      <c r="I37" s="202"/>
      <c r="J37" s="17"/>
      <c r="K37" s="207"/>
      <c r="L37" s="208"/>
      <c r="M37" s="209"/>
      <c r="N37" s="210"/>
      <c r="O37" s="211"/>
      <c r="P37" s="212"/>
      <c r="Q37" s="89"/>
      <c r="R37" s="90"/>
      <c r="S37" s="91"/>
      <c r="T37" s="213"/>
      <c r="U37" s="214"/>
      <c r="V37" s="215"/>
      <c r="W37" s="2"/>
      <c r="X37" s="149"/>
      <c r="Y37" s="149"/>
    </row>
    <row r="38" spans="1:27" ht="16.5" x14ac:dyDescent="0.3">
      <c r="A38" s="45" t="s">
        <v>51</v>
      </c>
      <c r="B38" s="46"/>
      <c r="C38" s="564" t="s">
        <v>52</v>
      </c>
      <c r="D38" s="565"/>
      <c r="E38" s="565"/>
      <c r="F38" s="565"/>
      <c r="G38" s="565"/>
      <c r="H38" s="565"/>
      <c r="I38" s="565"/>
      <c r="J38" s="566"/>
      <c r="K38" s="47"/>
      <c r="L38" s="48"/>
      <c r="M38" s="49"/>
      <c r="N38" s="47"/>
      <c r="O38" s="48"/>
      <c r="P38" s="49"/>
      <c r="Q38" s="47"/>
      <c r="R38" s="48"/>
      <c r="S38" s="50" t="s">
        <v>28</v>
      </c>
      <c r="T38" s="561">
        <f>ROUND(SUM(T32:V37),2)</f>
        <v>4008.38</v>
      </c>
      <c r="U38" s="562"/>
      <c r="V38" s="563"/>
      <c r="W38" s="2"/>
      <c r="X38" s="9"/>
      <c r="Y38" s="2"/>
    </row>
    <row r="39" spans="1:27" ht="16.5" x14ac:dyDescent="0.3">
      <c r="B39" s="47" t="s">
        <v>53</v>
      </c>
      <c r="C39" s="48" t="s">
        <v>54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9"/>
      <c r="T39" s="561">
        <f>T27+T38</f>
        <v>4513.1000000000004</v>
      </c>
      <c r="U39" s="562"/>
      <c r="V39" s="563"/>
      <c r="W39" s="2"/>
      <c r="X39" s="2"/>
      <c r="Y39" s="2"/>
    </row>
    <row r="40" spans="1:27" ht="16.5" x14ac:dyDescent="0.3">
      <c r="B40" s="47" t="s">
        <v>55</v>
      </c>
      <c r="C40" s="48" t="s">
        <v>56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130">
        <f>'INPUT DATA'!C62</f>
        <v>0.05</v>
      </c>
      <c r="O40" s="131"/>
      <c r="P40" s="48"/>
      <c r="Q40" s="48"/>
      <c r="R40" s="48"/>
      <c r="S40" s="49"/>
      <c r="T40" s="567">
        <f>T39*N40</f>
        <v>225.65500000000003</v>
      </c>
      <c r="U40" s="568"/>
      <c r="V40" s="569"/>
      <c r="W40" s="2"/>
      <c r="X40" s="2"/>
      <c r="Y40" s="2"/>
    </row>
    <row r="41" spans="1:27" ht="16.5" x14ac:dyDescent="0.3">
      <c r="B41" s="47" t="s">
        <v>57</v>
      </c>
      <c r="C41" s="48" t="s">
        <v>58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130">
        <f>'INPUT DATA'!C63</f>
        <v>0.1</v>
      </c>
      <c r="O41" s="131"/>
      <c r="P41" s="48"/>
      <c r="Q41" s="48"/>
      <c r="R41" s="48"/>
      <c r="S41" s="49"/>
      <c r="T41" s="567">
        <f>T39*N41</f>
        <v>451.31000000000006</v>
      </c>
      <c r="U41" s="568"/>
      <c r="V41" s="569"/>
      <c r="W41" s="2"/>
      <c r="X41" s="2"/>
      <c r="Y41" s="2"/>
    </row>
    <row r="42" spans="1:27" ht="16.5" x14ac:dyDescent="0.3">
      <c r="B42" s="47" t="s">
        <v>59</v>
      </c>
      <c r="C42" s="48" t="s">
        <v>60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130">
        <f>'INPUT DATA'!C64</f>
        <v>0</v>
      </c>
      <c r="O42" s="131"/>
      <c r="P42" s="48"/>
      <c r="Q42" s="48"/>
      <c r="R42" s="48"/>
      <c r="S42" s="49"/>
      <c r="T42" s="567">
        <f>(T39+T40+T41)*N42</f>
        <v>0</v>
      </c>
      <c r="U42" s="568"/>
      <c r="V42" s="569"/>
      <c r="W42" s="2"/>
      <c r="X42" s="2"/>
      <c r="Y42" s="2"/>
    </row>
    <row r="43" spans="1:27" ht="16.5" x14ac:dyDescent="0.3">
      <c r="A43" s="45" t="s">
        <v>61</v>
      </c>
      <c r="B43" s="47" t="s">
        <v>62</v>
      </c>
      <c r="C43" s="48" t="s">
        <v>63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130"/>
      <c r="O43" s="48"/>
      <c r="P43" s="48"/>
      <c r="Q43" s="48"/>
      <c r="R43" s="48"/>
      <c r="S43" s="49"/>
      <c r="T43" s="561">
        <f>SUM(T39:V42)</f>
        <v>5190.0650000000005</v>
      </c>
      <c r="U43" s="562"/>
      <c r="V43" s="563"/>
      <c r="W43" s="2"/>
      <c r="X43" s="9"/>
      <c r="Y43" s="2"/>
    </row>
    <row r="44" spans="1:27" ht="16.5" x14ac:dyDescent="0.3">
      <c r="A44" s="45" t="s">
        <v>64</v>
      </c>
      <c r="B44" s="47" t="s">
        <v>65</v>
      </c>
      <c r="C44" s="48" t="s">
        <v>66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9"/>
      <c r="T44" s="561">
        <f>T43/E8</f>
        <v>103.80130000000001</v>
      </c>
      <c r="U44" s="562"/>
      <c r="V44" s="563"/>
      <c r="W44" s="216"/>
      <c r="X44" s="2"/>
      <c r="Y44" s="2"/>
    </row>
    <row r="45" spans="1:27" ht="16.5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133"/>
      <c r="M45" s="133"/>
      <c r="N45" s="133"/>
      <c r="O45" s="2"/>
      <c r="P45" s="2"/>
      <c r="Q45" s="2"/>
      <c r="R45" s="2"/>
      <c r="S45" s="2"/>
      <c r="T45" s="134"/>
      <c r="U45" s="134"/>
      <c r="V45" s="134"/>
      <c r="W45" s="2"/>
      <c r="X45" s="2"/>
      <c r="Y45" s="2"/>
    </row>
    <row r="46" spans="1:27" ht="15" customHeight="1" x14ac:dyDescent="0.3">
      <c r="L46" s="2"/>
      <c r="M46" s="2"/>
      <c r="N46" s="2"/>
      <c r="Y46" s="2"/>
      <c r="AA46" s="217"/>
    </row>
    <row r="47" spans="1:27" ht="16.5" x14ac:dyDescent="0.3">
      <c r="Y47" s="2"/>
    </row>
    <row r="48" spans="1:27" ht="16.5" x14ac:dyDescent="0.3">
      <c r="Y48" s="2"/>
    </row>
    <row r="49" spans="3:25" ht="19.5" thickBot="1" x14ac:dyDescent="0.35">
      <c r="F49" s="218" t="s">
        <v>82</v>
      </c>
      <c r="Y49" s="2"/>
    </row>
    <row r="50" spans="3:25" ht="16.5" x14ac:dyDescent="0.3">
      <c r="C50" s="219"/>
      <c r="D50" s="220"/>
      <c r="E50" s="221"/>
      <c r="F50" s="221"/>
      <c r="G50" s="221"/>
      <c r="H50" s="221"/>
      <c r="I50" s="222"/>
      <c r="J50" s="223"/>
      <c r="K50" s="639" t="s">
        <v>83</v>
      </c>
      <c r="L50" s="639"/>
      <c r="M50" s="639" t="s">
        <v>84</v>
      </c>
      <c r="N50" s="640"/>
      <c r="Y50" s="2"/>
    </row>
    <row r="51" spans="3:25" ht="16.5" x14ac:dyDescent="0.3">
      <c r="C51" s="224" t="s">
        <v>85</v>
      </c>
      <c r="D51" s="225"/>
      <c r="E51" s="225"/>
      <c r="F51" s="226"/>
      <c r="G51" s="226"/>
      <c r="H51" s="226"/>
      <c r="I51" s="227"/>
      <c r="J51" s="228">
        <v>1</v>
      </c>
      <c r="K51" s="638">
        <v>3.855</v>
      </c>
      <c r="L51" s="638"/>
      <c r="M51" s="630">
        <f>J51*K51*6</f>
        <v>23.13</v>
      </c>
      <c r="N51" s="631"/>
      <c r="Y51" s="2"/>
    </row>
    <row r="52" spans="3:25" ht="16.5" x14ac:dyDescent="0.3">
      <c r="C52" s="224" t="s">
        <v>86</v>
      </c>
      <c r="D52" s="225"/>
      <c r="E52" s="225"/>
      <c r="F52" s="226"/>
      <c r="G52" s="226"/>
      <c r="H52" s="226"/>
      <c r="I52" s="227"/>
      <c r="J52" s="228">
        <v>1</v>
      </c>
      <c r="K52" s="638">
        <v>2.4670000000000001</v>
      </c>
      <c r="L52" s="638"/>
      <c r="M52" s="630">
        <f t="shared" ref="M52:M55" si="4">J52*K52*6</f>
        <v>14.802</v>
      </c>
      <c r="N52" s="631"/>
      <c r="Y52" s="2"/>
    </row>
    <row r="53" spans="3:25" ht="16.5" x14ac:dyDescent="0.3">
      <c r="C53" s="224" t="s">
        <v>87</v>
      </c>
      <c r="D53" s="225"/>
      <c r="E53" s="225"/>
      <c r="F53" s="226"/>
      <c r="G53" s="226"/>
      <c r="H53" s="226"/>
      <c r="I53" s="227"/>
      <c r="J53" s="228">
        <v>1</v>
      </c>
      <c r="K53" s="638">
        <v>1.579</v>
      </c>
      <c r="L53" s="638"/>
      <c r="M53" s="630">
        <f t="shared" si="4"/>
        <v>9.4740000000000002</v>
      </c>
      <c r="N53" s="631"/>
      <c r="Y53" s="2"/>
    </row>
    <row r="54" spans="3:25" ht="16.5" x14ac:dyDescent="0.3">
      <c r="C54" s="224" t="s">
        <v>88</v>
      </c>
      <c r="D54" s="225"/>
      <c r="E54" s="225"/>
      <c r="F54" s="226"/>
      <c r="G54" s="226"/>
      <c r="H54" s="226"/>
      <c r="I54" s="227"/>
      <c r="J54" s="228">
        <v>1</v>
      </c>
      <c r="K54" s="638">
        <v>0.88800000000000001</v>
      </c>
      <c r="L54" s="638"/>
      <c r="M54" s="630">
        <f t="shared" si="4"/>
        <v>5.3280000000000003</v>
      </c>
      <c r="N54" s="631"/>
      <c r="Y54" s="2"/>
    </row>
    <row r="55" spans="3:25" ht="16.5" x14ac:dyDescent="0.3">
      <c r="C55" s="224" t="s">
        <v>89</v>
      </c>
      <c r="D55" s="225"/>
      <c r="E55" s="225"/>
      <c r="F55" s="226"/>
      <c r="G55" s="226"/>
      <c r="H55" s="226"/>
      <c r="I55" s="227"/>
      <c r="J55" s="228">
        <v>1</v>
      </c>
      <c r="K55" s="638">
        <v>0.61599999999999999</v>
      </c>
      <c r="L55" s="638"/>
      <c r="M55" s="630">
        <f t="shared" si="4"/>
        <v>3.6959999999999997</v>
      </c>
      <c r="N55" s="631"/>
      <c r="Y55" s="2"/>
    </row>
    <row r="56" spans="3:25" ht="16.5" x14ac:dyDescent="0.3">
      <c r="C56" s="229"/>
      <c r="D56" s="225"/>
      <c r="E56" s="226"/>
      <c r="F56" s="226"/>
      <c r="G56" s="226"/>
      <c r="H56" s="226"/>
      <c r="I56" s="227"/>
      <c r="J56" s="230"/>
      <c r="K56" s="629"/>
      <c r="L56" s="629"/>
      <c r="M56" s="630"/>
      <c r="N56" s="631"/>
      <c r="Y56" s="2"/>
    </row>
    <row r="57" spans="3:25" ht="17.25" thickBot="1" x14ac:dyDescent="0.35">
      <c r="C57" s="231"/>
      <c r="D57" s="232"/>
      <c r="E57" s="233"/>
      <c r="F57" s="233"/>
      <c r="G57" s="233"/>
      <c r="H57" s="233"/>
      <c r="I57" s="234"/>
      <c r="J57" s="235"/>
      <c r="K57" s="632"/>
      <c r="L57" s="632"/>
      <c r="M57" s="633">
        <f>SUM(M51:N55)</f>
        <v>56.430000000000007</v>
      </c>
      <c r="N57" s="634"/>
      <c r="Y57" s="2"/>
    </row>
    <row r="58" spans="3:25" ht="16.5" x14ac:dyDescent="0.3">
      <c r="Y58" s="2"/>
    </row>
    <row r="59" spans="3:25" ht="16.5" x14ac:dyDescent="0.3">
      <c r="Y59" s="2"/>
    </row>
    <row r="60" spans="3:25" ht="16.5" x14ac:dyDescent="0.3">
      <c r="Y60" s="2"/>
    </row>
    <row r="61" spans="3:25" ht="16.5" x14ac:dyDescent="0.3">
      <c r="E61"/>
      <c r="Y61" s="2"/>
    </row>
    <row r="62" spans="3:25" ht="16.5" x14ac:dyDescent="0.3">
      <c r="Y62" s="2"/>
    </row>
    <row r="63" spans="3:25" ht="16.5" x14ac:dyDescent="0.3">
      <c r="Y63" s="2"/>
    </row>
    <row r="64" spans="3:25" ht="16.5" x14ac:dyDescent="0.3">
      <c r="Y64" s="2"/>
    </row>
    <row r="65" spans="25:25" ht="16.5" x14ac:dyDescent="0.3">
      <c r="Y65" s="2"/>
    </row>
    <row r="66" spans="25:25" ht="16.5" x14ac:dyDescent="0.3">
      <c r="Y66" s="2"/>
    </row>
    <row r="67" spans="25:25" ht="16.5" x14ac:dyDescent="0.3">
      <c r="Y67" s="2"/>
    </row>
    <row r="68" spans="25:25" ht="16.5" x14ac:dyDescent="0.3">
      <c r="Y68" s="2"/>
    </row>
    <row r="69" spans="25:25" ht="16.5" x14ac:dyDescent="0.3">
      <c r="Y69" s="2"/>
    </row>
    <row r="70" spans="25:25" ht="16.5" x14ac:dyDescent="0.3">
      <c r="Y70" s="2"/>
    </row>
    <row r="71" spans="25:25" ht="16.5" x14ac:dyDescent="0.3">
      <c r="Y71" s="2"/>
    </row>
    <row r="72" spans="25:25" ht="16.5" x14ac:dyDescent="0.3">
      <c r="Y72" s="2"/>
    </row>
    <row r="73" spans="25:25" ht="16.5" x14ac:dyDescent="0.3">
      <c r="Y73" s="2"/>
    </row>
    <row r="74" spans="25:25" ht="16.5" x14ac:dyDescent="0.3">
      <c r="Y74" s="2"/>
    </row>
    <row r="75" spans="25:25" ht="16.5" x14ac:dyDescent="0.3">
      <c r="Y75" s="2"/>
    </row>
    <row r="76" spans="25:25" ht="16.5" x14ac:dyDescent="0.3">
      <c r="Y76" s="2"/>
    </row>
    <row r="77" spans="25:25" ht="16.5" x14ac:dyDescent="0.3">
      <c r="Y77" s="2"/>
    </row>
    <row r="78" spans="25:25" ht="16.5" x14ac:dyDescent="0.3">
      <c r="Y78" s="2"/>
    </row>
    <row r="79" spans="25:25" ht="16.5" x14ac:dyDescent="0.3">
      <c r="Y79" s="2"/>
    </row>
    <row r="80" spans="25:25" ht="16.5" x14ac:dyDescent="0.3">
      <c r="Y80" s="2"/>
    </row>
    <row r="81" spans="25:27" ht="16.5" x14ac:dyDescent="0.3">
      <c r="Y81" s="2"/>
    </row>
    <row r="82" spans="25:27" ht="16.5" x14ac:dyDescent="0.3">
      <c r="Y82" s="2"/>
    </row>
    <row r="83" spans="25:27" ht="16.5" x14ac:dyDescent="0.3">
      <c r="Y83" s="2"/>
    </row>
    <row r="84" spans="25:27" ht="16.5" x14ac:dyDescent="0.3">
      <c r="Y84" s="2"/>
    </row>
    <row r="85" spans="25:27" ht="16.5" x14ac:dyDescent="0.3">
      <c r="Y85" s="2"/>
      <c r="AA85" s="236"/>
    </row>
    <row r="86" spans="25:27" ht="16.5" x14ac:dyDescent="0.3">
      <c r="Y86" s="2"/>
      <c r="AA86" s="236"/>
    </row>
    <row r="87" spans="25:27" ht="16.5" x14ac:dyDescent="0.3">
      <c r="Y87" s="2"/>
      <c r="AA87" s="236"/>
    </row>
    <row r="88" spans="25:27" ht="16.5" x14ac:dyDescent="0.3">
      <c r="Y88" s="2"/>
      <c r="AA88" s="236"/>
    </row>
    <row r="89" spans="25:27" ht="16.5" x14ac:dyDescent="0.3">
      <c r="Y89" s="2"/>
      <c r="AA89" s="236"/>
    </row>
    <row r="90" spans="25:27" ht="16.5" x14ac:dyDescent="0.3">
      <c r="Y90" s="2"/>
      <c r="AA90" s="236"/>
    </row>
    <row r="91" spans="25:27" ht="16.5" x14ac:dyDescent="0.3">
      <c r="Y91" s="2"/>
      <c r="Z91" s="236"/>
      <c r="AA91" s="236"/>
    </row>
    <row r="92" spans="25:27" ht="16.5" x14ac:dyDescent="0.3">
      <c r="Y92" s="2"/>
      <c r="Z92" s="236"/>
      <c r="AA92" s="236"/>
    </row>
    <row r="93" spans="25:27" ht="16.5" x14ac:dyDescent="0.3">
      <c r="Y93" s="2"/>
      <c r="Z93" s="236"/>
    </row>
    <row r="94" spans="25:27" ht="16.5" x14ac:dyDescent="0.3">
      <c r="Y94" s="2"/>
      <c r="Z94" s="236"/>
    </row>
    <row r="95" spans="25:27" ht="16.5" x14ac:dyDescent="0.3">
      <c r="Y95" s="2"/>
      <c r="Z95" s="236"/>
    </row>
    <row r="96" spans="25:27" ht="16.5" x14ac:dyDescent="0.3">
      <c r="Y96" s="2"/>
      <c r="Z96" s="236"/>
    </row>
    <row r="97" spans="25:26" ht="16.5" x14ac:dyDescent="0.3">
      <c r="Y97" s="2"/>
      <c r="Z97" s="236"/>
    </row>
    <row r="98" spans="25:26" ht="16.5" x14ac:dyDescent="0.3">
      <c r="Y98" s="2"/>
      <c r="Z98" s="236"/>
    </row>
    <row r="99" spans="25:26" ht="16.5" x14ac:dyDescent="0.3">
      <c r="Y99" s="2"/>
      <c r="Z99" s="236"/>
    </row>
    <row r="100" spans="25:26" ht="16.5" x14ac:dyDescent="0.3">
      <c r="Y100" s="2"/>
      <c r="Z100" s="236"/>
    </row>
    <row r="101" spans="25:26" ht="16.5" x14ac:dyDescent="0.3">
      <c r="Y101" s="2"/>
      <c r="Z101" s="236"/>
    </row>
    <row r="102" spans="25:26" ht="16.5" x14ac:dyDescent="0.3">
      <c r="Y102" s="2"/>
      <c r="Z102" s="236"/>
    </row>
    <row r="103" spans="25:26" ht="16.5" x14ac:dyDescent="0.3">
      <c r="Y103" s="2"/>
      <c r="Z103" s="236"/>
    </row>
    <row r="104" spans="25:26" ht="16.5" x14ac:dyDescent="0.3">
      <c r="Y104" s="2"/>
      <c r="Z104" s="236"/>
    </row>
    <row r="105" spans="25:26" ht="16.5" x14ac:dyDescent="0.3">
      <c r="Y105" s="2"/>
      <c r="Z105" s="236"/>
    </row>
    <row r="106" spans="25:26" ht="16.5" x14ac:dyDescent="0.3">
      <c r="Y106" s="2"/>
      <c r="Z106" s="236"/>
    </row>
    <row r="107" spans="25:26" ht="16.5" x14ac:dyDescent="0.3">
      <c r="Y107" s="2"/>
      <c r="Z107" s="236"/>
    </row>
    <row r="108" spans="25:26" ht="16.5" x14ac:dyDescent="0.3">
      <c r="Y108" s="2"/>
      <c r="Z108" s="236"/>
    </row>
    <row r="109" spans="25:26" ht="16.5" x14ac:dyDescent="0.3">
      <c r="Y109" s="2"/>
      <c r="Z109" s="236"/>
    </row>
    <row r="110" spans="25:26" ht="16.5" x14ac:dyDescent="0.3">
      <c r="Y110" s="2"/>
      <c r="Z110" s="236"/>
    </row>
    <row r="111" spans="25:26" ht="16.5" x14ac:dyDescent="0.3">
      <c r="Y111" s="2"/>
      <c r="Z111" s="236"/>
    </row>
    <row r="112" spans="25:26" ht="16.5" x14ac:dyDescent="0.3">
      <c r="Y112" s="2"/>
      <c r="Z112" s="236"/>
    </row>
    <row r="113" spans="25:26" ht="16.5" x14ac:dyDescent="0.3">
      <c r="Y113" s="2"/>
      <c r="Z113" s="236"/>
    </row>
    <row r="114" spans="25:26" ht="16.5" x14ac:dyDescent="0.3">
      <c r="Y114" s="2"/>
      <c r="Z114" s="236"/>
    </row>
    <row r="115" spans="25:26" ht="16.5" x14ac:dyDescent="0.3">
      <c r="Y115" s="2"/>
      <c r="Z115" s="236"/>
    </row>
    <row r="116" spans="25:26" ht="16.5" x14ac:dyDescent="0.3">
      <c r="Y116" s="2"/>
      <c r="Z116" s="236"/>
    </row>
    <row r="117" spans="25:26" ht="16.5" x14ac:dyDescent="0.3">
      <c r="Y117" s="2"/>
      <c r="Z117" s="236"/>
    </row>
    <row r="118" spans="25:26" ht="16.5" x14ac:dyDescent="0.3">
      <c r="Y118" s="2"/>
      <c r="Z118" s="236"/>
    </row>
    <row r="119" spans="25:26" ht="16.5" x14ac:dyDescent="0.3">
      <c r="Y119" s="2"/>
      <c r="Z119" s="236"/>
    </row>
    <row r="120" spans="25:26" ht="16.5" x14ac:dyDescent="0.3">
      <c r="Y120" s="2"/>
      <c r="Z120" s="236"/>
    </row>
    <row r="121" spans="25:26" ht="16.5" x14ac:dyDescent="0.3">
      <c r="Y121" s="2"/>
      <c r="Z121" s="236"/>
    </row>
    <row r="122" spans="25:26" ht="16.5" x14ac:dyDescent="0.3">
      <c r="Y122" s="2"/>
      <c r="Z122" s="236"/>
    </row>
    <row r="123" spans="25:26" ht="16.5" x14ac:dyDescent="0.3">
      <c r="Y123" s="2"/>
      <c r="Z123" s="236"/>
    </row>
    <row r="124" spans="25:26" ht="16.5" x14ac:dyDescent="0.3">
      <c r="Y124" s="2"/>
    </row>
    <row r="125" spans="25:26" ht="16.5" x14ac:dyDescent="0.3">
      <c r="Y125" s="2"/>
    </row>
  </sheetData>
  <mergeCells count="103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C17:J17"/>
    <mergeCell ref="T17:V17"/>
    <mergeCell ref="B18:J19"/>
    <mergeCell ref="K18:M19"/>
    <mergeCell ref="N18:P19"/>
    <mergeCell ref="Q18:S19"/>
    <mergeCell ref="T18:V19"/>
    <mergeCell ref="K15:M15"/>
    <mergeCell ref="N15:P15"/>
    <mergeCell ref="Q15:S15"/>
    <mergeCell ref="T15:V15"/>
    <mergeCell ref="K16:M16"/>
    <mergeCell ref="N16:P16"/>
    <mergeCell ref="Q16:S16"/>
    <mergeCell ref="T16:V16"/>
    <mergeCell ref="K23:M23"/>
    <mergeCell ref="N23:P23"/>
    <mergeCell ref="Q23:S23"/>
    <mergeCell ref="T23:V23"/>
    <mergeCell ref="K24:M24"/>
    <mergeCell ref="N24:P24"/>
    <mergeCell ref="Q24:S24"/>
    <mergeCell ref="T24:V24"/>
    <mergeCell ref="K21:M21"/>
    <mergeCell ref="N21:P21"/>
    <mergeCell ref="Q21:S21"/>
    <mergeCell ref="T21:V21"/>
    <mergeCell ref="K22:M22"/>
    <mergeCell ref="N22:P22"/>
    <mergeCell ref="Q22:S22"/>
    <mergeCell ref="T22:V22"/>
    <mergeCell ref="C27:J27"/>
    <mergeCell ref="T27:V27"/>
    <mergeCell ref="H28:I28"/>
    <mergeCell ref="B29:J30"/>
    <mergeCell ref="K29:M30"/>
    <mergeCell ref="N29:P30"/>
    <mergeCell ref="Q29:S30"/>
    <mergeCell ref="T29:V30"/>
    <mergeCell ref="K25:M25"/>
    <mergeCell ref="N25:P25"/>
    <mergeCell ref="Q25:S25"/>
    <mergeCell ref="T25:V25"/>
    <mergeCell ref="C26:J26"/>
    <mergeCell ref="T26:V26"/>
    <mergeCell ref="N36:P36"/>
    <mergeCell ref="Q36:S36"/>
    <mergeCell ref="T36:V36"/>
    <mergeCell ref="C38:J38"/>
    <mergeCell ref="T38:V38"/>
    <mergeCell ref="K32:M32"/>
    <mergeCell ref="N32:P32"/>
    <mergeCell ref="Q32:S32"/>
    <mergeCell ref="T32:V32"/>
    <mergeCell ref="K33:M33"/>
    <mergeCell ref="N33:P33"/>
    <mergeCell ref="Q33:S33"/>
    <mergeCell ref="T33:V33"/>
    <mergeCell ref="K56:L56"/>
    <mergeCell ref="M56:N56"/>
    <mergeCell ref="K57:L57"/>
    <mergeCell ref="M57:N57"/>
    <mergeCell ref="T34:V34"/>
    <mergeCell ref="K53:L53"/>
    <mergeCell ref="M53:N53"/>
    <mergeCell ref="K54:L54"/>
    <mergeCell ref="M54:N54"/>
    <mergeCell ref="K55:L55"/>
    <mergeCell ref="M55:N55"/>
    <mergeCell ref="K50:L50"/>
    <mergeCell ref="M50:N50"/>
    <mergeCell ref="K51:L51"/>
    <mergeCell ref="M51:N51"/>
    <mergeCell ref="K52:L52"/>
    <mergeCell ref="M52:N52"/>
    <mergeCell ref="T39:V39"/>
    <mergeCell ref="T40:V40"/>
    <mergeCell ref="T41:V41"/>
    <mergeCell ref="T42:V42"/>
    <mergeCell ref="T43:V43"/>
    <mergeCell ref="T44:V44"/>
    <mergeCell ref="K36:M3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7DCB-685D-CD41-8551-D55690E64A50}">
  <sheetPr codeName="Sheet11">
    <tabColor rgb="FF92D050"/>
    <pageSetUpPr fitToPage="1"/>
  </sheetPr>
  <dimension ref="A1:AF112"/>
  <sheetViews>
    <sheetView view="pageBreakPreview" topLeftCell="A15" zoomScale="85" zoomScaleNormal="85" zoomScaleSheetLayoutView="85" workbookViewId="0">
      <selection activeCell="Q25" sqref="Q25:S25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39" style="1" customWidth="1"/>
    <col min="26" max="26" width="27.7109375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1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1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1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1" s="4" customFormat="1" ht="16.5" customHeight="1" x14ac:dyDescent="0.3">
      <c r="A5" s="6" t="s">
        <v>2</v>
      </c>
      <c r="B5" s="5" t="s">
        <v>3</v>
      </c>
      <c r="C5" s="5"/>
      <c r="D5" s="5"/>
      <c r="E5" s="578" t="s">
        <v>186</v>
      </c>
      <c r="F5" s="578"/>
      <c r="G5" s="605" t="s">
        <v>187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1" ht="16.5" x14ac:dyDescent="0.3">
      <c r="A6" s="8" t="s">
        <v>6</v>
      </c>
      <c r="B6" s="2" t="s">
        <v>7</v>
      </c>
      <c r="C6" s="2"/>
      <c r="D6" s="2"/>
      <c r="E6" s="578" t="s">
        <v>71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1" ht="16.5" x14ac:dyDescent="0.3">
      <c r="B7" s="2" t="s">
        <v>9</v>
      </c>
      <c r="C7" s="2"/>
      <c r="D7" s="2"/>
      <c r="E7" s="581">
        <f>0.357*8*Y11</f>
        <v>2.8559999999999999</v>
      </c>
      <c r="F7" s="581"/>
      <c r="G7" s="2" t="s">
        <v>70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1" ht="16.5" x14ac:dyDescent="0.3">
      <c r="A8" s="8" t="s">
        <v>11</v>
      </c>
      <c r="B8" s="2" t="s">
        <v>12</v>
      </c>
      <c r="C8" s="2"/>
      <c r="D8" s="2"/>
      <c r="E8" s="581">
        <f>'INPUT DATA'!C17</f>
        <v>12.4</v>
      </c>
      <c r="F8" s="581"/>
      <c r="G8" s="602" t="str">
        <f>E6</f>
        <v>CU.M.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1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 t="s">
        <v>75</v>
      </c>
      <c r="Z10" s="2"/>
      <c r="AA10" s="2"/>
      <c r="AB10" s="10"/>
    </row>
    <row r="11" spans="1:31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>
        <v>1</v>
      </c>
      <c r="Z11" s="2"/>
      <c r="AA11" s="2"/>
      <c r="AB11" s="2"/>
    </row>
    <row r="12" spans="1:3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1" ht="16.5" customHeight="1" x14ac:dyDescent="0.3">
      <c r="A13" s="8"/>
      <c r="B13" s="15"/>
      <c r="C13" s="19" t="s">
        <v>90</v>
      </c>
      <c r="D13" s="60"/>
      <c r="E13" s="2"/>
      <c r="F13" s="2"/>
      <c r="G13" s="2"/>
      <c r="H13" s="2"/>
      <c r="I13" s="179"/>
      <c r="J13" s="17"/>
      <c r="K13" s="577"/>
      <c r="L13" s="578"/>
      <c r="M13" s="579"/>
      <c r="N13" s="590"/>
      <c r="O13" s="591"/>
      <c r="P13" s="592"/>
      <c r="Q13" s="593"/>
      <c r="R13" s="594"/>
      <c r="S13" s="595"/>
      <c r="T13" s="583"/>
      <c r="U13" s="584"/>
      <c r="V13" s="585"/>
      <c r="W13" s="2"/>
      <c r="X13" s="26"/>
      <c r="Y13" s="33"/>
      <c r="Z13" s="33"/>
      <c r="AA13" s="237"/>
      <c r="AB13" s="237"/>
      <c r="AC13" s="34"/>
      <c r="AD13" s="34"/>
      <c r="AE13" s="34"/>
    </row>
    <row r="14" spans="1:31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90">
        <f>E8/E7</f>
        <v>4.3417366946778717</v>
      </c>
      <c r="O14" s="591"/>
      <c r="P14" s="592"/>
      <c r="Q14" s="599">
        <v>800</v>
      </c>
      <c r="R14" s="600"/>
      <c r="S14" s="601"/>
      <c r="T14" s="583">
        <f t="shared" ref="T14:T16" si="0">K14*N14*Q14</f>
        <v>3473.3893557422975</v>
      </c>
      <c r="U14" s="584"/>
      <c r="V14" s="585"/>
      <c r="W14" s="2"/>
      <c r="X14" s="26"/>
      <c r="Y14" s="139"/>
      <c r="Z14" s="33"/>
      <c r="AA14" s="34"/>
      <c r="AB14" s="33"/>
      <c r="AC14" s="34"/>
      <c r="AD14" s="34"/>
      <c r="AE14" s="34"/>
    </row>
    <row r="15" spans="1:31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90">
        <f t="shared" ref="N15:N16" si="1">N14</f>
        <v>4.3417366946778717</v>
      </c>
      <c r="O15" s="591"/>
      <c r="P15" s="592"/>
      <c r="Q15" s="599">
        <v>600</v>
      </c>
      <c r="R15" s="600"/>
      <c r="S15" s="601"/>
      <c r="T15" s="583">
        <f t="shared" si="0"/>
        <v>2605.042016806723</v>
      </c>
      <c r="U15" s="584"/>
      <c r="V15" s="585"/>
      <c r="W15" s="2"/>
      <c r="X15" s="26"/>
      <c r="Y15" s="33"/>
      <c r="Z15" s="34"/>
      <c r="AA15" s="34"/>
      <c r="AB15" s="34"/>
      <c r="AC15" s="34"/>
      <c r="AD15" s="34"/>
      <c r="AE15" s="33"/>
    </row>
    <row r="16" spans="1:31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v>4</v>
      </c>
      <c r="L16" s="597"/>
      <c r="M16" s="598"/>
      <c r="N16" s="590">
        <f t="shared" si="1"/>
        <v>4.3417366946778717</v>
      </c>
      <c r="O16" s="591"/>
      <c r="P16" s="592"/>
      <c r="Q16" s="599">
        <v>400</v>
      </c>
      <c r="R16" s="600"/>
      <c r="S16" s="601"/>
      <c r="T16" s="583">
        <f t="shared" si="0"/>
        <v>6946.7787114845951</v>
      </c>
      <c r="U16" s="584"/>
      <c r="V16" s="585"/>
      <c r="W16" s="2"/>
      <c r="X16" s="26"/>
      <c r="Y16" s="33"/>
      <c r="Z16" s="34"/>
      <c r="AA16" s="34"/>
      <c r="AB16" s="34"/>
      <c r="AC16" s="34"/>
      <c r="AD16" s="34"/>
      <c r="AE16" s="141"/>
    </row>
    <row r="17" spans="1:31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206"/>
      <c r="Z17" s="33"/>
      <c r="AA17" s="34"/>
      <c r="AB17" s="33"/>
      <c r="AE17" s="33"/>
    </row>
    <row r="18" spans="1:31" ht="16.5" x14ac:dyDescent="0.3">
      <c r="B18" s="15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9"/>
      <c r="R18" s="600"/>
      <c r="S18" s="601"/>
      <c r="T18" s="583"/>
      <c r="U18" s="584"/>
      <c r="V18" s="585"/>
      <c r="W18" s="2"/>
      <c r="X18" s="26"/>
      <c r="Y18" s="238"/>
      <c r="Z18" s="239"/>
      <c r="AA18" s="144"/>
      <c r="AB18" s="144"/>
      <c r="AC18" s="144"/>
      <c r="AD18" s="144"/>
      <c r="AE18" s="33"/>
    </row>
    <row r="19" spans="1:31" ht="16.5" x14ac:dyDescent="0.3">
      <c r="B19" s="41"/>
      <c r="C19" s="19"/>
      <c r="D19" s="40"/>
      <c r="E19" s="2"/>
      <c r="F19" s="2"/>
      <c r="G19" s="2"/>
      <c r="H19" s="2"/>
      <c r="I19" s="2"/>
      <c r="J19" s="17"/>
      <c r="K19" s="577"/>
      <c r="L19" s="578"/>
      <c r="M19" s="579"/>
      <c r="N19" s="590"/>
      <c r="O19" s="591"/>
      <c r="P19" s="592"/>
      <c r="Q19" s="599"/>
      <c r="R19" s="600"/>
      <c r="S19" s="601"/>
      <c r="T19" s="583"/>
      <c r="U19" s="584"/>
      <c r="V19" s="585"/>
      <c r="W19" s="9"/>
      <c r="X19" s="2"/>
      <c r="Y19" s="238"/>
      <c r="Z19" s="239"/>
      <c r="AA19" s="144"/>
      <c r="AB19" s="144"/>
      <c r="AC19" s="144"/>
      <c r="AD19" s="144"/>
      <c r="AE19" s="33"/>
    </row>
    <row r="20" spans="1:31" ht="16.5" x14ac:dyDescent="0.3">
      <c r="B20" s="41"/>
      <c r="C20" s="16"/>
      <c r="D20" s="2"/>
      <c r="E20" s="2"/>
      <c r="F20" s="2"/>
      <c r="G20" s="2"/>
      <c r="H20" s="2"/>
      <c r="I20" s="2"/>
      <c r="J20" s="17"/>
      <c r="K20" s="577"/>
      <c r="L20" s="578"/>
      <c r="M20" s="579"/>
      <c r="N20" s="580"/>
      <c r="O20" s="578"/>
      <c r="P20" s="579"/>
      <c r="Q20" s="589"/>
      <c r="R20" s="578"/>
      <c r="S20" s="579"/>
      <c r="T20" s="583"/>
      <c r="U20" s="584"/>
      <c r="V20" s="585"/>
      <c r="W20" s="2"/>
      <c r="X20" s="2"/>
      <c r="Y20" s="238"/>
      <c r="Z20" s="239"/>
      <c r="AA20" s="144"/>
      <c r="AB20" s="144"/>
      <c r="AC20" s="144"/>
      <c r="AD20" s="144"/>
      <c r="AE20" s="33"/>
    </row>
    <row r="21" spans="1:31" ht="16.5" x14ac:dyDescent="0.3">
      <c r="A21" s="45" t="s">
        <v>26</v>
      </c>
      <c r="B21" s="46"/>
      <c r="C21" s="564" t="s">
        <v>27</v>
      </c>
      <c r="D21" s="565"/>
      <c r="E21" s="565"/>
      <c r="F21" s="565"/>
      <c r="G21" s="565"/>
      <c r="H21" s="565"/>
      <c r="I21" s="565"/>
      <c r="J21" s="566"/>
      <c r="K21" s="47"/>
      <c r="L21" s="48"/>
      <c r="M21" s="49"/>
      <c r="N21" s="47"/>
      <c r="O21" s="48"/>
      <c r="P21" s="49"/>
      <c r="Q21" s="47"/>
      <c r="R21" s="48"/>
      <c r="S21" s="50" t="s">
        <v>28</v>
      </c>
      <c r="T21" s="561">
        <f>ROUND(SUM(T13:V19),2)</f>
        <v>13025.21</v>
      </c>
      <c r="U21" s="562"/>
      <c r="V21" s="563"/>
      <c r="X21" s="2"/>
      <c r="Y21" s="238"/>
      <c r="Z21" s="239"/>
      <c r="AA21" s="144"/>
      <c r="AB21" s="144"/>
      <c r="AC21" s="144"/>
      <c r="AD21" s="144"/>
      <c r="AE21" s="33"/>
    </row>
    <row r="22" spans="1:31" ht="16.5" x14ac:dyDescent="0.3">
      <c r="B22" s="571" t="s">
        <v>29</v>
      </c>
      <c r="C22" s="572"/>
      <c r="D22" s="572"/>
      <c r="E22" s="572"/>
      <c r="F22" s="572"/>
      <c r="G22" s="572"/>
      <c r="H22" s="572"/>
      <c r="I22" s="572"/>
      <c r="J22" s="573"/>
      <c r="K22" s="571" t="s">
        <v>30</v>
      </c>
      <c r="L22" s="572"/>
      <c r="M22" s="573"/>
      <c r="N22" s="571" t="s">
        <v>15</v>
      </c>
      <c r="O22" s="572"/>
      <c r="P22" s="573"/>
      <c r="Q22" s="571" t="s">
        <v>16</v>
      </c>
      <c r="R22" s="572"/>
      <c r="S22" s="573"/>
      <c r="T22" s="571" t="s">
        <v>17</v>
      </c>
      <c r="U22" s="572"/>
      <c r="V22" s="573"/>
      <c r="X22" s="2"/>
      <c r="Y22" s="238"/>
      <c r="Z22" s="239"/>
      <c r="AA22" s="144"/>
      <c r="AB22" s="144"/>
      <c r="AC22" s="144"/>
      <c r="AD22" s="144"/>
      <c r="AE22" s="33"/>
    </row>
    <row r="23" spans="1:31" ht="16.5" x14ac:dyDescent="0.3">
      <c r="B23" s="574"/>
      <c r="C23" s="575"/>
      <c r="D23" s="575"/>
      <c r="E23" s="575"/>
      <c r="F23" s="575"/>
      <c r="G23" s="575"/>
      <c r="H23" s="575"/>
      <c r="I23" s="575"/>
      <c r="J23" s="576"/>
      <c r="K23" s="574"/>
      <c r="L23" s="575"/>
      <c r="M23" s="576"/>
      <c r="N23" s="574"/>
      <c r="O23" s="575"/>
      <c r="P23" s="576"/>
      <c r="Q23" s="574"/>
      <c r="R23" s="575"/>
      <c r="S23" s="576"/>
      <c r="T23" s="574"/>
      <c r="U23" s="575"/>
      <c r="V23" s="576"/>
      <c r="X23" s="2"/>
      <c r="Y23" s="238"/>
      <c r="Z23" s="239"/>
      <c r="AA23" s="144"/>
      <c r="AB23" s="144"/>
      <c r="AC23" s="144"/>
      <c r="AD23" s="144"/>
      <c r="AE23" s="33"/>
    </row>
    <row r="24" spans="1:31" ht="16.5" x14ac:dyDescent="0.3">
      <c r="B24" s="15" t="s">
        <v>31</v>
      </c>
      <c r="C24" s="16" t="s">
        <v>32</v>
      </c>
      <c r="D24" s="2"/>
      <c r="E24" s="2"/>
      <c r="F24" s="2"/>
      <c r="G24" s="2"/>
      <c r="H24" s="2"/>
      <c r="I24" s="2"/>
      <c r="J24" s="17"/>
      <c r="K24" s="16"/>
      <c r="L24" s="2"/>
      <c r="M24" s="17"/>
      <c r="N24" s="16"/>
      <c r="O24" s="2"/>
      <c r="P24" s="17"/>
      <c r="Q24" s="16"/>
      <c r="R24" s="2"/>
      <c r="S24" s="17"/>
      <c r="T24" s="16"/>
      <c r="U24" s="2"/>
      <c r="V24" s="17"/>
      <c r="W24" s="2"/>
      <c r="X24" s="2"/>
      <c r="Y24" s="238"/>
      <c r="Z24" s="239"/>
      <c r="AA24" s="144"/>
      <c r="AB24" s="144"/>
      <c r="AC24" s="144"/>
      <c r="AD24" s="144"/>
      <c r="AE24" s="33"/>
    </row>
    <row r="25" spans="1:31" ht="16.5" x14ac:dyDescent="0.3">
      <c r="B25" s="15"/>
      <c r="C25" s="19" t="s">
        <v>21</v>
      </c>
      <c r="D25" s="40" t="s">
        <v>93</v>
      </c>
      <c r="E25" s="2"/>
      <c r="F25" s="2"/>
      <c r="G25" s="2"/>
      <c r="H25" s="2"/>
      <c r="I25" s="2"/>
      <c r="J25" s="17"/>
      <c r="K25" s="577">
        <f>Y11</f>
        <v>1</v>
      </c>
      <c r="L25" s="578"/>
      <c r="M25" s="579"/>
      <c r="N25" s="590">
        <f>N14</f>
        <v>4.3417366946778717</v>
      </c>
      <c r="O25" s="591"/>
      <c r="P25" s="592"/>
      <c r="Q25" s="586">
        <v>1376</v>
      </c>
      <c r="R25" s="587"/>
      <c r="S25" s="588"/>
      <c r="T25" s="583">
        <f t="shared" ref="T25" si="2">K25*N25*Q25</f>
        <v>5974.2296918767515</v>
      </c>
      <c r="U25" s="584"/>
      <c r="V25" s="585"/>
      <c r="W25" s="18"/>
      <c r="X25" s="2"/>
      <c r="Y25" s="238"/>
      <c r="Z25" s="239"/>
      <c r="AA25" s="144"/>
      <c r="AB25" s="144"/>
      <c r="AC25" s="144"/>
      <c r="AD25" s="144"/>
      <c r="AE25" s="33"/>
    </row>
    <row r="26" spans="1:31" ht="16.5" x14ac:dyDescent="0.3">
      <c r="B26" s="41"/>
      <c r="C26" s="19" t="s">
        <v>104</v>
      </c>
      <c r="D26" s="40"/>
      <c r="E26" s="2"/>
      <c r="F26" s="2"/>
      <c r="G26" s="2"/>
      <c r="H26" s="2"/>
      <c r="I26" s="2"/>
      <c r="J26" s="17"/>
      <c r="K26" s="577"/>
      <c r="L26" s="578"/>
      <c r="M26" s="579"/>
      <c r="N26" s="590"/>
      <c r="O26" s="591"/>
      <c r="P26" s="592"/>
      <c r="Q26" s="586"/>
      <c r="R26" s="587"/>
      <c r="S26" s="588"/>
      <c r="T26" s="583">
        <f>0.1*T21</f>
        <v>1302.521</v>
      </c>
      <c r="U26" s="584"/>
      <c r="V26" s="585"/>
      <c r="W26" s="18"/>
      <c r="X26" s="2"/>
      <c r="Y26" s="238"/>
      <c r="Z26" s="239"/>
      <c r="AA26" s="144"/>
      <c r="AB26" s="144"/>
      <c r="AC26" s="144"/>
      <c r="AD26" s="144"/>
      <c r="AE26" s="33"/>
    </row>
    <row r="27" spans="1:31" ht="16.5" x14ac:dyDescent="0.3">
      <c r="B27" s="41"/>
      <c r="C27" s="60"/>
      <c r="D27" s="40"/>
      <c r="E27" s="2"/>
      <c r="F27" s="2"/>
      <c r="G27" s="2"/>
      <c r="H27" s="2"/>
      <c r="I27" s="2"/>
      <c r="J27" s="17"/>
      <c r="K27" s="577"/>
      <c r="L27" s="578"/>
      <c r="M27" s="579"/>
      <c r="N27" s="659"/>
      <c r="O27" s="660"/>
      <c r="P27" s="661"/>
      <c r="Q27" s="586"/>
      <c r="R27" s="587"/>
      <c r="S27" s="588"/>
      <c r="T27" s="583"/>
      <c r="U27" s="584"/>
      <c r="V27" s="585"/>
      <c r="W27" s="18"/>
      <c r="X27" s="2"/>
      <c r="Y27" s="238"/>
      <c r="Z27" s="239"/>
      <c r="AA27" s="144"/>
      <c r="AB27" s="144"/>
      <c r="AC27" s="144"/>
      <c r="AD27" s="144"/>
      <c r="AE27" s="33"/>
    </row>
    <row r="28" spans="1:31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81"/>
      <c r="P28" s="582"/>
      <c r="Q28" s="580"/>
      <c r="R28" s="581"/>
      <c r="S28" s="582"/>
      <c r="T28" s="583"/>
      <c r="U28" s="584"/>
      <c r="V28" s="585"/>
      <c r="W28" s="18"/>
      <c r="X28" s="2"/>
      <c r="Y28" s="238"/>
      <c r="Z28" s="239"/>
      <c r="AA28" s="144"/>
      <c r="AB28" s="144"/>
      <c r="AC28" s="144"/>
      <c r="AD28" s="144"/>
      <c r="AE28" s="33"/>
    </row>
    <row r="29" spans="1:31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78"/>
      <c r="P29" s="579"/>
      <c r="Q29" s="580"/>
      <c r="R29" s="581"/>
      <c r="S29" s="582"/>
      <c r="T29" s="583"/>
      <c r="U29" s="584"/>
      <c r="V29" s="585"/>
      <c r="W29" s="2"/>
      <c r="X29" s="2"/>
      <c r="Y29" s="238"/>
      <c r="Z29" s="239"/>
      <c r="AA29" s="34"/>
      <c r="AB29" s="144"/>
      <c r="AC29" s="144"/>
      <c r="AD29" s="144"/>
      <c r="AE29" s="33"/>
    </row>
    <row r="30" spans="1:31" ht="16.5" x14ac:dyDescent="0.3">
      <c r="A30" s="61" t="s">
        <v>34</v>
      </c>
      <c r="B30" s="46"/>
      <c r="C30" s="564" t="s">
        <v>35</v>
      </c>
      <c r="D30" s="565"/>
      <c r="E30" s="565"/>
      <c r="F30" s="565"/>
      <c r="G30" s="565"/>
      <c r="H30" s="565"/>
      <c r="I30" s="565"/>
      <c r="J30" s="56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61">
        <f>ROUND(SUM(T25:V29),2)</f>
        <v>7276.75</v>
      </c>
      <c r="U30" s="562"/>
      <c r="V30" s="563"/>
      <c r="W30" s="9"/>
      <c r="X30" s="2"/>
      <c r="Y30" s="206"/>
      <c r="Z30" s="239"/>
      <c r="AA30" s="144"/>
      <c r="AB30" s="144"/>
      <c r="AE30" s="33"/>
    </row>
    <row r="31" spans="1:31" ht="16.5" x14ac:dyDescent="0.3">
      <c r="B31" s="64" t="s">
        <v>36</v>
      </c>
      <c r="C31" s="564" t="s">
        <v>37</v>
      </c>
      <c r="D31" s="565"/>
      <c r="E31" s="565"/>
      <c r="F31" s="565"/>
      <c r="G31" s="565"/>
      <c r="H31" s="565"/>
      <c r="I31" s="565"/>
      <c r="J31" s="565"/>
      <c r="K31" s="48"/>
      <c r="L31" s="48"/>
      <c r="M31" s="48"/>
      <c r="N31" s="48"/>
      <c r="O31" s="48"/>
      <c r="P31" s="48"/>
      <c r="Q31" s="48"/>
      <c r="R31" s="48"/>
      <c r="S31" s="48"/>
      <c r="T31" s="562">
        <f>T21+T30</f>
        <v>20301.96</v>
      </c>
      <c r="U31" s="562"/>
      <c r="V31" s="563"/>
      <c r="W31" s="2"/>
      <c r="X31" s="2"/>
      <c r="Y31" s="206"/>
      <c r="Z31" s="239"/>
      <c r="AA31" s="144"/>
      <c r="AB31" s="144"/>
      <c r="AE31" s="33"/>
    </row>
    <row r="32" spans="1:31" ht="16.5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70">
        <f>E7</f>
        <v>2.8559999999999999</v>
      </c>
      <c r="I32" s="565"/>
      <c r="J32" s="48" t="str">
        <f>G7</f>
        <v>CU.M./DAY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"/>
      <c r="Y32" s="206"/>
      <c r="Z32" s="239"/>
      <c r="AA32" s="144"/>
      <c r="AB32" s="144"/>
      <c r="AE32" s="33"/>
    </row>
    <row r="33" spans="1:31" ht="16.5" x14ac:dyDescent="0.3">
      <c r="B33" s="571" t="s">
        <v>44</v>
      </c>
      <c r="C33" s="572"/>
      <c r="D33" s="572"/>
      <c r="E33" s="572"/>
      <c r="F33" s="572"/>
      <c r="G33" s="572"/>
      <c r="H33" s="572"/>
      <c r="I33" s="572"/>
      <c r="J33" s="573"/>
      <c r="K33" s="571" t="s">
        <v>45</v>
      </c>
      <c r="L33" s="572"/>
      <c r="M33" s="573"/>
      <c r="N33" s="571" t="s">
        <v>46</v>
      </c>
      <c r="O33" s="572"/>
      <c r="P33" s="573"/>
      <c r="Q33" s="571" t="s">
        <v>47</v>
      </c>
      <c r="R33" s="572"/>
      <c r="S33" s="573"/>
      <c r="T33" s="571" t="s">
        <v>17</v>
      </c>
      <c r="U33" s="572"/>
      <c r="V33" s="573"/>
      <c r="W33" s="2"/>
      <c r="X33" s="2"/>
      <c r="Y33" s="206"/>
      <c r="Z33" s="239"/>
      <c r="AA33" s="144"/>
      <c r="AB33" s="144"/>
      <c r="AE33" s="33"/>
    </row>
    <row r="34" spans="1:31" ht="16.5" x14ac:dyDescent="0.3">
      <c r="B34" s="574"/>
      <c r="C34" s="575"/>
      <c r="D34" s="575"/>
      <c r="E34" s="575"/>
      <c r="F34" s="575"/>
      <c r="G34" s="575"/>
      <c r="H34" s="575"/>
      <c r="I34" s="575"/>
      <c r="J34" s="576"/>
      <c r="K34" s="574"/>
      <c r="L34" s="575"/>
      <c r="M34" s="576"/>
      <c r="N34" s="574"/>
      <c r="O34" s="575"/>
      <c r="P34" s="576"/>
      <c r="Q34" s="574"/>
      <c r="R34" s="575"/>
      <c r="S34" s="576"/>
      <c r="T34" s="574"/>
      <c r="U34" s="575"/>
      <c r="V34" s="576"/>
      <c r="W34" s="2"/>
      <c r="X34" s="2"/>
      <c r="Y34" s="206"/>
      <c r="Z34" s="239"/>
      <c r="AA34" s="144"/>
      <c r="AB34" s="144"/>
      <c r="AE34" s="33"/>
    </row>
    <row r="35" spans="1:31" ht="16.5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2"/>
      <c r="Y35" s="206"/>
      <c r="Z35" s="239"/>
      <c r="AA35" s="144"/>
      <c r="AB35" s="144"/>
      <c r="AE35" s="33"/>
    </row>
    <row r="36" spans="1:31" ht="16.5" customHeight="1" x14ac:dyDescent="0.3">
      <c r="B36" s="41"/>
      <c r="C36" s="19" t="s">
        <v>21</v>
      </c>
      <c r="D36" s="40" t="s">
        <v>97</v>
      </c>
      <c r="E36" s="245"/>
      <c r="F36" s="245"/>
      <c r="G36" s="122"/>
      <c r="H36" s="122"/>
      <c r="I36" s="122"/>
      <c r="J36" s="17"/>
      <c r="K36" s="659">
        <f>9.1*E8</f>
        <v>112.84</v>
      </c>
      <c r="L36" s="660"/>
      <c r="M36" s="661"/>
      <c r="N36" s="662" t="str">
        <f>IF(K36&gt;1,"bags","bag")</f>
        <v>bags</v>
      </c>
      <c r="O36" s="663" t="str">
        <f>IF(L36&gt;1,"bags","bag")</f>
        <v>bag</v>
      </c>
      <c r="P36" s="664" t="str">
        <f>IF(M36&gt;1,"bags","bag")</f>
        <v>bag</v>
      </c>
      <c r="Q36" s="647">
        <v>265</v>
      </c>
      <c r="R36" s="648"/>
      <c r="S36" s="649"/>
      <c r="T36" s="635">
        <f t="shared" ref="T36:T38" si="3">K36*Q36</f>
        <v>29902.600000000002</v>
      </c>
      <c r="U36" s="636"/>
      <c r="V36" s="637"/>
      <c r="W36" s="18"/>
      <c r="X36" s="2"/>
      <c r="Y36" s="244"/>
      <c r="Z36" s="239"/>
      <c r="AA36" s="144"/>
      <c r="AB36" s="144"/>
      <c r="AC36" s="144"/>
      <c r="AD36" s="144"/>
      <c r="AE36" s="33"/>
    </row>
    <row r="37" spans="1:31" ht="16.5" customHeight="1" x14ac:dyDescent="0.3">
      <c r="B37" s="41"/>
      <c r="C37" s="19" t="s">
        <v>23</v>
      </c>
      <c r="D37" s="40" t="s">
        <v>99</v>
      </c>
      <c r="E37" s="121"/>
      <c r="F37" s="121"/>
      <c r="G37" s="200"/>
      <c r="H37" s="201"/>
      <c r="I37" s="202"/>
      <c r="J37" s="17"/>
      <c r="K37" s="659">
        <f>0.5*E8</f>
        <v>6.2</v>
      </c>
      <c r="L37" s="660"/>
      <c r="M37" s="661"/>
      <c r="N37" s="662" t="str">
        <f t="shared" ref="N37:N38" si="4">IF(K37&gt;1,"cu.m.","cu.m.")</f>
        <v>cu.m.</v>
      </c>
      <c r="O37" s="663" t="str">
        <f t="shared" ref="O37:O38" si="5">IF(L37&gt;1,"cu.m.","cu.m.")</f>
        <v>cu.m.</v>
      </c>
      <c r="P37" s="664" t="str">
        <f t="shared" ref="P37:P38" si="6">IF(M37&gt;1,"cu.m.","cu.m.")</f>
        <v>cu.m.</v>
      </c>
      <c r="Q37" s="647">
        <v>1400</v>
      </c>
      <c r="R37" s="648"/>
      <c r="S37" s="649"/>
      <c r="T37" s="635">
        <f t="shared" si="3"/>
        <v>8680</v>
      </c>
      <c r="U37" s="636"/>
      <c r="V37" s="637"/>
      <c r="W37" s="132"/>
      <c r="X37" s="2"/>
      <c r="Y37" s="206"/>
      <c r="Z37" s="239"/>
      <c r="AA37" s="144"/>
      <c r="AB37" s="144"/>
      <c r="AC37" s="144"/>
      <c r="AD37" s="144"/>
      <c r="AE37" s="33"/>
    </row>
    <row r="38" spans="1:31" ht="16.5" customHeight="1" x14ac:dyDescent="0.3">
      <c r="B38" s="41"/>
      <c r="C38" s="19" t="s">
        <v>78</v>
      </c>
      <c r="D38" s="40" t="s">
        <v>101</v>
      </c>
      <c r="E38" s="121"/>
      <c r="F38" s="121"/>
      <c r="G38" s="206"/>
      <c r="H38" s="202"/>
      <c r="I38" s="202"/>
      <c r="J38" s="17"/>
      <c r="K38" s="659">
        <f>1*E8</f>
        <v>12.4</v>
      </c>
      <c r="L38" s="660"/>
      <c r="M38" s="661"/>
      <c r="N38" s="662" t="str">
        <f t="shared" si="4"/>
        <v>cu.m.</v>
      </c>
      <c r="O38" s="663" t="str">
        <f t="shared" si="5"/>
        <v>cu.m.</v>
      </c>
      <c r="P38" s="664" t="str">
        <f t="shared" si="6"/>
        <v>cu.m.</v>
      </c>
      <c r="Q38" s="647">
        <v>1400</v>
      </c>
      <c r="R38" s="648"/>
      <c r="S38" s="649"/>
      <c r="T38" s="635">
        <f t="shared" si="3"/>
        <v>17360</v>
      </c>
      <c r="U38" s="636"/>
      <c r="V38" s="637"/>
      <c r="W38" s="132"/>
      <c r="X38" s="2"/>
      <c r="Y38" s="142"/>
      <c r="Z38" s="142"/>
      <c r="AA38" s="143"/>
      <c r="AB38" s="144"/>
      <c r="AC38" s="144"/>
      <c r="AD38" s="144"/>
      <c r="AE38" s="33"/>
    </row>
    <row r="39" spans="1:31" ht="16.5" customHeight="1" x14ac:dyDescent="0.3">
      <c r="B39" s="41"/>
      <c r="C39" s="19"/>
      <c r="D39" s="374"/>
      <c r="E39" s="374"/>
      <c r="F39" s="374"/>
      <c r="G39" s="374"/>
      <c r="H39" s="374"/>
      <c r="I39" s="374"/>
      <c r="J39" s="375"/>
      <c r="K39" s="369"/>
      <c r="L39" s="252"/>
      <c r="M39" s="370"/>
      <c r="N39" s="371"/>
      <c r="O39" s="372"/>
      <c r="P39" s="373"/>
      <c r="Q39" s="86"/>
      <c r="R39" s="87"/>
      <c r="S39" s="88"/>
      <c r="T39" s="89"/>
      <c r="U39" s="90"/>
      <c r="V39" s="91"/>
      <c r="W39" s="18"/>
      <c r="X39" s="2"/>
      <c r="Y39" s="142"/>
      <c r="Z39" s="142"/>
      <c r="AA39" s="143"/>
      <c r="AB39" s="144"/>
      <c r="AC39" s="144"/>
      <c r="AD39" s="144"/>
      <c r="AE39" s="141"/>
    </row>
    <row r="40" spans="1:31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115"/>
      <c r="L40" s="116"/>
      <c r="M40" s="117"/>
      <c r="N40" s="118"/>
      <c r="O40" s="20"/>
      <c r="P40" s="119"/>
      <c r="Q40" s="86"/>
      <c r="R40" s="87"/>
      <c r="S40" s="88"/>
      <c r="T40" s="89"/>
      <c r="U40" s="90"/>
      <c r="V40" s="91"/>
      <c r="W40" s="18"/>
      <c r="X40" s="149"/>
      <c r="Y40" s="33"/>
      <c r="Z40" s="33"/>
      <c r="AA40" s="34"/>
      <c r="AB40" s="33"/>
      <c r="AC40" s="34"/>
      <c r="AD40" s="34"/>
      <c r="AE40" s="141"/>
    </row>
    <row r="41" spans="1:31" ht="16.5" x14ac:dyDescent="0.3">
      <c r="B41" s="41"/>
      <c r="C41" s="19"/>
      <c r="D41" s="40"/>
      <c r="E41" s="245"/>
      <c r="F41" s="245"/>
      <c r="G41" s="122"/>
      <c r="H41" s="122"/>
      <c r="I41" s="122"/>
      <c r="J41" s="17"/>
      <c r="K41" s="115"/>
      <c r="L41" s="116"/>
      <c r="M41" s="117"/>
      <c r="N41" s="118"/>
      <c r="O41" s="20"/>
      <c r="P41" s="119"/>
      <c r="Q41" s="86"/>
      <c r="R41" s="87"/>
      <c r="S41" s="88"/>
      <c r="T41" s="89"/>
      <c r="U41" s="90"/>
      <c r="V41" s="91"/>
      <c r="W41" s="2"/>
      <c r="X41" s="149"/>
      <c r="Y41" s="33"/>
      <c r="Z41" s="33"/>
      <c r="AA41" s="34"/>
      <c r="AB41" s="33"/>
      <c r="AC41" s="34"/>
      <c r="AD41" s="34"/>
      <c r="AE41" s="141"/>
    </row>
    <row r="42" spans="1:31" ht="16.5" x14ac:dyDescent="0.3">
      <c r="B42" s="41"/>
      <c r="C42" s="19"/>
      <c r="D42" s="40"/>
      <c r="E42" s="121"/>
      <c r="F42" s="121"/>
      <c r="G42" s="200"/>
      <c r="H42" s="201"/>
      <c r="I42" s="202"/>
      <c r="J42" s="17"/>
      <c r="K42" s="115"/>
      <c r="L42" s="116"/>
      <c r="M42" s="117"/>
      <c r="N42" s="118"/>
      <c r="O42" s="20"/>
      <c r="P42" s="119"/>
      <c r="Q42" s="86"/>
      <c r="R42" s="87"/>
      <c r="S42" s="88"/>
      <c r="T42" s="89"/>
      <c r="U42" s="90"/>
      <c r="V42" s="91"/>
      <c r="W42" s="2"/>
      <c r="X42" s="149"/>
      <c r="Y42" s="139"/>
      <c r="Z42" s="33"/>
      <c r="AA42" s="34"/>
      <c r="AB42" s="33"/>
      <c r="AC42" s="34"/>
      <c r="AD42" s="34"/>
      <c r="AE42" s="141"/>
    </row>
    <row r="43" spans="1:31" ht="16.5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2"/>
      <c r="X43" s="149"/>
      <c r="Y43" s="33"/>
      <c r="Z43" s="34"/>
      <c r="AA43" s="34"/>
      <c r="AB43" s="34"/>
      <c r="AC43" s="34"/>
      <c r="AD43" s="34"/>
      <c r="AE43" s="141"/>
    </row>
    <row r="44" spans="1:31" ht="16.5" x14ac:dyDescent="0.3">
      <c r="B44" s="41"/>
      <c r="C44" s="19"/>
      <c r="D44" s="40"/>
      <c r="E44" s="121"/>
      <c r="F44" s="121"/>
      <c r="G44" s="206"/>
      <c r="H44" s="202"/>
      <c r="I44" s="202"/>
      <c r="J44" s="17"/>
      <c r="K44" s="123"/>
      <c r="L44" s="124"/>
      <c r="M44" s="125"/>
      <c r="N44" s="241"/>
      <c r="O44" s="242"/>
      <c r="P44" s="243"/>
      <c r="Q44" s="105"/>
      <c r="R44" s="106"/>
      <c r="S44" s="107"/>
      <c r="T44" s="213"/>
      <c r="U44" s="214"/>
      <c r="V44" s="215"/>
      <c r="W44" s="2"/>
      <c r="X44" s="149"/>
      <c r="Y44" s="142"/>
      <c r="Z44" s="143"/>
      <c r="AA44" s="144"/>
      <c r="AB44" s="144"/>
      <c r="AC44" s="34"/>
      <c r="AD44" s="34"/>
      <c r="AE44" s="141"/>
    </row>
    <row r="45" spans="1:31" ht="16.5" customHeight="1" x14ac:dyDescent="0.3">
      <c r="B45" s="41"/>
      <c r="C45" s="40"/>
      <c r="D45" s="199"/>
      <c r="E45" s="121"/>
      <c r="F45" s="121"/>
      <c r="G45" s="206"/>
      <c r="H45" s="202"/>
      <c r="I45" s="202"/>
      <c r="J45" s="17"/>
      <c r="K45" s="207"/>
      <c r="L45" s="208"/>
      <c r="M45" s="209"/>
      <c r="N45" s="210"/>
      <c r="O45" s="211"/>
      <c r="P45" s="212"/>
      <c r="Q45" s="89"/>
      <c r="R45" s="90"/>
      <c r="S45" s="91"/>
      <c r="T45" s="213"/>
      <c r="U45" s="214"/>
      <c r="V45" s="215"/>
      <c r="W45" s="2"/>
      <c r="X45" s="149"/>
      <c r="Y45" s="139"/>
      <c r="Z45" s="33"/>
      <c r="AA45" s="140"/>
      <c r="AB45" s="141"/>
      <c r="AC45" s="34"/>
      <c r="AD45" s="34"/>
      <c r="AE45" s="141"/>
    </row>
    <row r="46" spans="1:31" ht="16.5" x14ac:dyDescent="0.3">
      <c r="A46" s="45" t="s">
        <v>51</v>
      </c>
      <c r="B46" s="46"/>
      <c r="C46" s="564" t="s">
        <v>52</v>
      </c>
      <c r="D46" s="565"/>
      <c r="E46" s="565"/>
      <c r="F46" s="565"/>
      <c r="G46" s="565"/>
      <c r="H46" s="565"/>
      <c r="I46" s="565"/>
      <c r="J46" s="56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ROUND(SUM(T36:V45),2)</f>
        <v>55942.6</v>
      </c>
      <c r="U46" s="562"/>
      <c r="V46" s="563"/>
      <c r="W46" s="2"/>
      <c r="X46" s="149"/>
      <c r="Y46" s="142"/>
      <c r="Z46" s="143"/>
      <c r="AA46" s="144"/>
      <c r="AB46" s="144"/>
      <c r="AC46" s="34"/>
      <c r="AD46" s="34"/>
      <c r="AE46" s="141"/>
    </row>
    <row r="47" spans="1:31" ht="16.5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T31+T46</f>
        <v>76244.56</v>
      </c>
      <c r="U47" s="562"/>
      <c r="V47" s="563"/>
      <c r="W47" s="2"/>
      <c r="X47" s="149"/>
      <c r="Y47" s="33"/>
      <c r="Z47" s="34"/>
      <c r="AA47" s="140"/>
      <c r="AB47" s="140"/>
      <c r="AC47" s="34"/>
      <c r="AD47" s="34"/>
      <c r="AE47" s="141"/>
    </row>
    <row r="48" spans="1:31" ht="16.5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3812.2280000000001</v>
      </c>
      <c r="U48" s="568"/>
      <c r="V48" s="569"/>
      <c r="W48" s="2"/>
      <c r="X48" s="149"/>
      <c r="Y48" s="142"/>
      <c r="Z48" s="142"/>
      <c r="AA48" s="143"/>
      <c r="AB48" s="144"/>
      <c r="AC48" s="34"/>
      <c r="AD48" s="34"/>
      <c r="AE48" s="141"/>
    </row>
    <row r="49" spans="1:31" ht="16.5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7624.4560000000001</v>
      </c>
      <c r="U49" s="568"/>
      <c r="V49" s="569"/>
      <c r="W49" s="2"/>
      <c r="X49" s="9"/>
      <c r="Y49" s="33"/>
      <c r="Z49" s="33"/>
      <c r="AA49" s="34"/>
      <c r="AB49" s="33"/>
      <c r="AC49" s="34"/>
      <c r="AD49" s="34"/>
      <c r="AE49" s="141"/>
    </row>
    <row r="50" spans="1:31" ht="16.5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  <c r="X50" s="2"/>
      <c r="Y50" s="33"/>
      <c r="Z50" s="33"/>
      <c r="AA50" s="34"/>
      <c r="AB50" s="33"/>
      <c r="AC50" s="34"/>
      <c r="AD50" s="34"/>
      <c r="AE50" s="141"/>
    </row>
    <row r="51" spans="1:31" ht="16.5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87681.244000000006</v>
      </c>
      <c r="U51" s="562"/>
      <c r="V51" s="563"/>
      <c r="W51" s="2"/>
      <c r="X51" s="2"/>
      <c r="Y51" s="33"/>
      <c r="Z51" s="33"/>
      <c r="AA51" s="34"/>
      <c r="AB51" s="33"/>
      <c r="AC51" s="34"/>
      <c r="AD51" s="34"/>
      <c r="AE51" s="141"/>
    </row>
    <row r="52" spans="1:31" ht="16.5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7071.0680645161292</v>
      </c>
      <c r="U52" s="562"/>
      <c r="V52" s="563"/>
      <c r="W52" s="132"/>
      <c r="X52" s="2"/>
      <c r="Y52" s="33"/>
      <c r="Z52" s="248"/>
      <c r="AA52" s="124"/>
      <c r="AB52" s="116"/>
      <c r="AC52" s="34"/>
      <c r="AD52" s="34"/>
      <c r="AE52" s="141"/>
    </row>
    <row r="53" spans="1:31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33"/>
      <c r="Z53" s="248"/>
      <c r="AA53" s="248"/>
      <c r="AB53" s="249"/>
      <c r="AC53" s="34"/>
      <c r="AD53" s="34"/>
      <c r="AE53" s="141"/>
    </row>
    <row r="54" spans="1:31" ht="16.5" x14ac:dyDescent="0.3">
      <c r="L54" s="2"/>
      <c r="M54" s="2"/>
      <c r="N54" s="2"/>
      <c r="X54" s="9"/>
      <c r="Z54" s="250"/>
      <c r="AA54" s="248"/>
      <c r="AB54" s="248"/>
      <c r="AE54" s="141"/>
    </row>
    <row r="55" spans="1:31" ht="16.5" x14ac:dyDescent="0.3">
      <c r="X55" s="2"/>
      <c r="Z55" s="250"/>
      <c r="AA55" s="248"/>
      <c r="AB55" s="248"/>
      <c r="AE55" s="141"/>
    </row>
    <row r="56" spans="1:31" ht="16.5" x14ac:dyDescent="0.3">
      <c r="X56" s="2"/>
      <c r="AE56" s="141"/>
    </row>
    <row r="57" spans="1:31" ht="16.5" x14ac:dyDescent="0.25">
      <c r="AE57" s="141"/>
    </row>
    <row r="58" spans="1:31" ht="16.5" x14ac:dyDescent="0.25">
      <c r="Z58" s="251"/>
      <c r="AA58" s="252"/>
      <c r="AE58" s="141"/>
    </row>
    <row r="59" spans="1:31" ht="16.5" x14ac:dyDescent="0.25">
      <c r="AE59" s="141"/>
    </row>
    <row r="60" spans="1:31" ht="16.5" x14ac:dyDescent="0.25">
      <c r="Z60" s="26"/>
      <c r="AE60" s="141"/>
    </row>
    <row r="61" spans="1:31" ht="16.5" x14ac:dyDescent="0.25">
      <c r="Z61" s="26"/>
      <c r="AA61" s="188"/>
      <c r="AE61" s="33"/>
    </row>
    <row r="62" spans="1:31" ht="16.5" x14ac:dyDescent="0.25">
      <c r="AE62" s="33"/>
    </row>
    <row r="63" spans="1:31" ht="16.5" x14ac:dyDescent="0.25">
      <c r="AE63" s="33"/>
    </row>
    <row r="64" spans="1:31" ht="16.5" x14ac:dyDescent="0.25">
      <c r="AE64" s="33"/>
    </row>
    <row r="65" spans="31:31" ht="16.5" x14ac:dyDescent="0.25">
      <c r="AE65" s="33"/>
    </row>
    <row r="66" spans="31:31" ht="16.5" x14ac:dyDescent="0.25">
      <c r="AE66" s="33"/>
    </row>
    <row r="67" spans="31:31" ht="16.5" x14ac:dyDescent="0.25">
      <c r="AE67" s="33"/>
    </row>
    <row r="68" spans="31:31" ht="16.5" x14ac:dyDescent="0.25">
      <c r="AE68" s="33"/>
    </row>
    <row r="69" spans="31:31" ht="16.5" x14ac:dyDescent="0.25">
      <c r="AE69" s="33"/>
    </row>
    <row r="70" spans="31:31" ht="16.5" x14ac:dyDescent="0.25">
      <c r="AE70" s="33"/>
    </row>
    <row r="71" spans="31:31" ht="16.5" x14ac:dyDescent="0.25">
      <c r="AE71" s="33"/>
    </row>
    <row r="72" spans="31:31" ht="16.5" x14ac:dyDescent="0.25">
      <c r="AE72" s="33"/>
    </row>
    <row r="73" spans="31:31" ht="16.5" x14ac:dyDescent="0.25">
      <c r="AE73" s="34"/>
    </row>
    <row r="74" spans="31:31" ht="16.5" x14ac:dyDescent="0.25">
      <c r="AE74" s="34"/>
    </row>
    <row r="75" spans="31:31" ht="16.5" x14ac:dyDescent="0.25">
      <c r="AE75" s="34"/>
    </row>
    <row r="76" spans="31:31" ht="16.5" x14ac:dyDescent="0.25">
      <c r="AE76" s="34"/>
    </row>
    <row r="77" spans="31:31" ht="16.5" x14ac:dyDescent="0.25">
      <c r="AE77" s="34"/>
    </row>
    <row r="78" spans="31:31" ht="16.5" x14ac:dyDescent="0.25">
      <c r="AE78" s="34"/>
    </row>
    <row r="79" spans="31:31" ht="16.5" x14ac:dyDescent="0.25">
      <c r="AE79" s="34"/>
    </row>
    <row r="80" spans="31:31" ht="16.5" x14ac:dyDescent="0.25">
      <c r="AE80" s="34"/>
    </row>
    <row r="81" spans="31:31" ht="16.5" x14ac:dyDescent="0.25">
      <c r="AE81" s="34"/>
    </row>
    <row r="82" spans="31:31" ht="16.5" x14ac:dyDescent="0.25">
      <c r="AE82" s="34"/>
    </row>
    <row r="83" spans="31:31" ht="16.5" x14ac:dyDescent="0.25">
      <c r="AE83" s="34"/>
    </row>
    <row r="84" spans="31:31" ht="16.5" x14ac:dyDescent="0.25">
      <c r="AE84" s="34"/>
    </row>
    <row r="85" spans="31:31" ht="16.5" x14ac:dyDescent="0.25">
      <c r="AE85" s="34"/>
    </row>
    <row r="86" spans="31:31" ht="16.5" x14ac:dyDescent="0.25">
      <c r="AE86" s="34"/>
    </row>
    <row r="87" spans="31:31" ht="16.5" x14ac:dyDescent="0.25">
      <c r="AE87" s="34"/>
    </row>
    <row r="88" spans="31:31" ht="16.5" x14ac:dyDescent="0.25">
      <c r="AE88" s="34"/>
    </row>
    <row r="89" spans="31:31" ht="16.5" x14ac:dyDescent="0.25">
      <c r="AE89" s="34"/>
    </row>
    <row r="90" spans="31:31" ht="16.5" x14ac:dyDescent="0.25">
      <c r="AE90" s="34"/>
    </row>
    <row r="110" spans="32:32" x14ac:dyDescent="0.25">
      <c r="AF110" s="1">
        <f>250*14</f>
        <v>3500</v>
      </c>
    </row>
    <row r="111" spans="32:32" x14ac:dyDescent="0.25">
      <c r="AF111" s="1">
        <f>250-80</f>
        <v>170</v>
      </c>
    </row>
    <row r="112" spans="32:32" x14ac:dyDescent="0.25">
      <c r="AF112" s="1">
        <f>2500/170</f>
        <v>14.705882352941176</v>
      </c>
    </row>
  </sheetData>
  <mergeCells count="102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K20:M20"/>
    <mergeCell ref="N20:P20"/>
    <mergeCell ref="Q20:S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5:M25"/>
    <mergeCell ref="N25:P25"/>
    <mergeCell ref="Q25:S25"/>
    <mergeCell ref="T25:V25"/>
    <mergeCell ref="K26:M26"/>
    <mergeCell ref="N26:P26"/>
    <mergeCell ref="Q26:S26"/>
    <mergeCell ref="T26:V26"/>
    <mergeCell ref="C21:J21"/>
    <mergeCell ref="T21:V21"/>
    <mergeCell ref="B22:J23"/>
    <mergeCell ref="K22:M23"/>
    <mergeCell ref="N22:P23"/>
    <mergeCell ref="Q22:S23"/>
    <mergeCell ref="T22:V23"/>
    <mergeCell ref="K29:M29"/>
    <mergeCell ref="N29:P29"/>
    <mergeCell ref="Q29:S29"/>
    <mergeCell ref="T29:V29"/>
    <mergeCell ref="C30:J30"/>
    <mergeCell ref="T30:V30"/>
    <mergeCell ref="K27:M27"/>
    <mergeCell ref="N27:P27"/>
    <mergeCell ref="Q27:S27"/>
    <mergeCell ref="T27:V27"/>
    <mergeCell ref="K28:M28"/>
    <mergeCell ref="N28:P28"/>
    <mergeCell ref="Q28:S28"/>
    <mergeCell ref="T28:V28"/>
    <mergeCell ref="K36:M36"/>
    <mergeCell ref="N36:P36"/>
    <mergeCell ref="Q36:S36"/>
    <mergeCell ref="T36:V36"/>
    <mergeCell ref="K37:M37"/>
    <mergeCell ref="N37:P37"/>
    <mergeCell ref="Q37:S37"/>
    <mergeCell ref="T37:V37"/>
    <mergeCell ref="C31:J31"/>
    <mergeCell ref="T31:V31"/>
    <mergeCell ref="H32:I32"/>
    <mergeCell ref="B33:J34"/>
    <mergeCell ref="K33:M34"/>
    <mergeCell ref="N33:P34"/>
    <mergeCell ref="Q33:S34"/>
    <mergeCell ref="T33:V34"/>
    <mergeCell ref="T52:V52"/>
    <mergeCell ref="C46:J46"/>
    <mergeCell ref="T46:V46"/>
    <mergeCell ref="K38:M38"/>
    <mergeCell ref="N38:P38"/>
    <mergeCell ref="Q38:S38"/>
    <mergeCell ref="T38:V38"/>
    <mergeCell ref="T47:V47"/>
    <mergeCell ref="T48:V48"/>
    <mergeCell ref="T49:V49"/>
    <mergeCell ref="T50:V50"/>
    <mergeCell ref="T51:V5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A603-3246-D84C-A64A-05FAAE8F6619}">
  <sheetPr codeName="Sheet12">
    <tabColor rgb="FF92D050"/>
    <pageSetUpPr fitToPage="1"/>
  </sheetPr>
  <dimension ref="A1:AF112"/>
  <sheetViews>
    <sheetView view="pageBreakPreview" topLeftCell="A10" zoomScale="85" zoomScaleNormal="85" zoomScaleSheetLayoutView="85" workbookViewId="0">
      <selection activeCell="Q25" sqref="Q25:S25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39" style="1" customWidth="1"/>
    <col min="26" max="26" width="27.7109375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1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1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1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1" s="4" customFormat="1" ht="33.950000000000003" customHeight="1" x14ac:dyDescent="0.3">
      <c r="A5" s="6" t="s">
        <v>2</v>
      </c>
      <c r="B5" s="5" t="s">
        <v>3</v>
      </c>
      <c r="C5" s="5"/>
      <c r="D5" s="5"/>
      <c r="E5" s="578" t="s">
        <v>188</v>
      </c>
      <c r="F5" s="578"/>
      <c r="G5" s="605" t="s">
        <v>189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1" ht="16.5" x14ac:dyDescent="0.3">
      <c r="A6" s="8" t="s">
        <v>6</v>
      </c>
      <c r="B6" s="2" t="s">
        <v>7</v>
      </c>
      <c r="C6" s="2"/>
      <c r="D6" s="2"/>
      <c r="E6" s="578" t="s">
        <v>71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1" ht="16.5" x14ac:dyDescent="0.3">
      <c r="B7" s="2" t="s">
        <v>9</v>
      </c>
      <c r="C7" s="2"/>
      <c r="D7" s="2"/>
      <c r="E7" s="581">
        <f>0.27*8*Y11</f>
        <v>2.16</v>
      </c>
      <c r="F7" s="581"/>
      <c r="G7" s="2" t="s">
        <v>70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1" ht="16.5" x14ac:dyDescent="0.3">
      <c r="A8" s="8" t="s">
        <v>11</v>
      </c>
      <c r="B8" s="2" t="s">
        <v>12</v>
      </c>
      <c r="C8" s="2"/>
      <c r="D8" s="2"/>
      <c r="E8" s="581">
        <f>'INPUT DATA'!C18</f>
        <v>23.6</v>
      </c>
      <c r="F8" s="581"/>
      <c r="G8" s="602" t="str">
        <f>E6</f>
        <v>CU.M.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1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 t="s">
        <v>75</v>
      </c>
      <c r="Z10" s="2"/>
      <c r="AA10" s="2"/>
      <c r="AB10" s="10"/>
    </row>
    <row r="11" spans="1:31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>
        <v>1</v>
      </c>
      <c r="Z11" s="2"/>
      <c r="AA11" s="2"/>
      <c r="AB11" s="2"/>
    </row>
    <row r="12" spans="1:3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1" ht="16.5" customHeight="1" x14ac:dyDescent="0.3">
      <c r="A13" s="8"/>
      <c r="B13" s="15"/>
      <c r="C13" s="19" t="s">
        <v>90</v>
      </c>
      <c r="D13" s="60"/>
      <c r="E13" s="2"/>
      <c r="F13" s="2"/>
      <c r="G13" s="2"/>
      <c r="H13" s="2"/>
      <c r="I13" s="179"/>
      <c r="J13" s="17"/>
      <c r="K13" s="577"/>
      <c r="L13" s="578"/>
      <c r="M13" s="579"/>
      <c r="N13" s="590"/>
      <c r="O13" s="591"/>
      <c r="P13" s="592"/>
      <c r="Q13" s="593"/>
      <c r="R13" s="594"/>
      <c r="S13" s="595"/>
      <c r="T13" s="583"/>
      <c r="U13" s="584"/>
      <c r="V13" s="585"/>
      <c r="W13" s="2"/>
      <c r="X13" s="26"/>
      <c r="Y13" s="33"/>
      <c r="Z13" s="33"/>
      <c r="AA13" s="237"/>
      <c r="AB13" s="237"/>
      <c r="AC13" s="34"/>
      <c r="AD13" s="34"/>
      <c r="AE13" s="34"/>
    </row>
    <row r="14" spans="1:31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90">
        <f>E8/E7</f>
        <v>10.925925925925926</v>
      </c>
      <c r="O14" s="591"/>
      <c r="P14" s="592"/>
      <c r="Q14" s="599">
        <v>800</v>
      </c>
      <c r="R14" s="600"/>
      <c r="S14" s="601"/>
      <c r="T14" s="583">
        <f t="shared" ref="T14:T16" si="0">K14*N14*Q14</f>
        <v>8740.7407407407409</v>
      </c>
      <c r="U14" s="584"/>
      <c r="V14" s="585"/>
      <c r="W14" s="2"/>
      <c r="X14" s="26"/>
      <c r="Y14" s="139"/>
      <c r="Z14" s="33"/>
      <c r="AA14" s="34"/>
      <c r="AB14" s="33"/>
      <c r="AC14" s="34"/>
      <c r="AD14" s="34"/>
      <c r="AE14" s="34"/>
    </row>
    <row r="15" spans="1:31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90">
        <f t="shared" ref="N15:N16" si="1">N14</f>
        <v>10.925925925925926</v>
      </c>
      <c r="O15" s="591"/>
      <c r="P15" s="592"/>
      <c r="Q15" s="599">
        <v>600</v>
      </c>
      <c r="R15" s="600"/>
      <c r="S15" s="601"/>
      <c r="T15" s="583">
        <f t="shared" si="0"/>
        <v>6555.5555555555557</v>
      </c>
      <c r="U15" s="584"/>
      <c r="V15" s="585"/>
      <c r="W15" s="2"/>
      <c r="X15" s="26"/>
      <c r="Y15" s="33"/>
      <c r="Z15" s="34"/>
      <c r="AA15" s="34"/>
      <c r="AB15" s="34"/>
      <c r="AC15" s="34"/>
      <c r="AD15" s="34"/>
      <c r="AE15" s="33"/>
    </row>
    <row r="16" spans="1:31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v>4</v>
      </c>
      <c r="L16" s="597"/>
      <c r="M16" s="598"/>
      <c r="N16" s="590">
        <f t="shared" si="1"/>
        <v>10.925925925925926</v>
      </c>
      <c r="O16" s="591"/>
      <c r="P16" s="592"/>
      <c r="Q16" s="599">
        <v>400</v>
      </c>
      <c r="R16" s="600"/>
      <c r="S16" s="601"/>
      <c r="T16" s="583">
        <f t="shared" si="0"/>
        <v>17481.481481481482</v>
      </c>
      <c r="U16" s="584"/>
      <c r="V16" s="585"/>
      <c r="W16" s="2"/>
      <c r="X16" s="26"/>
      <c r="Y16" s="33"/>
      <c r="Z16" s="34"/>
      <c r="AA16" s="34"/>
      <c r="AB16" s="34"/>
      <c r="AC16" s="34"/>
      <c r="AD16" s="34"/>
      <c r="AE16" s="141"/>
    </row>
    <row r="17" spans="1:31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206"/>
      <c r="Z17" s="33"/>
      <c r="AA17" s="34"/>
      <c r="AB17" s="33"/>
      <c r="AE17" s="33"/>
    </row>
    <row r="18" spans="1:31" ht="16.5" x14ac:dyDescent="0.3">
      <c r="B18" s="15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9"/>
      <c r="R18" s="600"/>
      <c r="S18" s="601"/>
      <c r="T18" s="583"/>
      <c r="U18" s="584"/>
      <c r="V18" s="585"/>
      <c r="W18" s="2"/>
      <c r="X18" s="26"/>
      <c r="Y18" s="238"/>
      <c r="Z18" s="239"/>
      <c r="AA18" s="144"/>
      <c r="AB18" s="144"/>
      <c r="AC18" s="144"/>
      <c r="AD18" s="144"/>
      <c r="AE18" s="33"/>
    </row>
    <row r="19" spans="1:31" ht="16.5" x14ac:dyDescent="0.3">
      <c r="B19" s="41"/>
      <c r="C19" s="19"/>
      <c r="D19" s="40"/>
      <c r="E19" s="2"/>
      <c r="F19" s="2"/>
      <c r="G19" s="2"/>
      <c r="H19" s="2"/>
      <c r="I19" s="2"/>
      <c r="J19" s="17"/>
      <c r="K19" s="577"/>
      <c r="L19" s="578"/>
      <c r="M19" s="579"/>
      <c r="N19" s="590"/>
      <c r="O19" s="591"/>
      <c r="P19" s="592"/>
      <c r="Q19" s="599"/>
      <c r="R19" s="600"/>
      <c r="S19" s="601"/>
      <c r="T19" s="583"/>
      <c r="U19" s="584"/>
      <c r="V19" s="585"/>
      <c r="W19" s="9"/>
      <c r="X19" s="2"/>
      <c r="Y19" s="238"/>
      <c r="Z19" s="239"/>
      <c r="AA19" s="144"/>
      <c r="AB19" s="144"/>
      <c r="AC19" s="144"/>
      <c r="AD19" s="144"/>
      <c r="AE19" s="33"/>
    </row>
    <row r="20" spans="1:31" ht="16.5" x14ac:dyDescent="0.3">
      <c r="B20" s="41"/>
      <c r="C20" s="16"/>
      <c r="D20" s="2"/>
      <c r="E20" s="2"/>
      <c r="F20" s="2"/>
      <c r="G20" s="2"/>
      <c r="H20" s="2"/>
      <c r="I20" s="2"/>
      <c r="J20" s="17"/>
      <c r="K20" s="577"/>
      <c r="L20" s="578"/>
      <c r="M20" s="579"/>
      <c r="N20" s="580"/>
      <c r="O20" s="578"/>
      <c r="P20" s="579"/>
      <c r="Q20" s="589"/>
      <c r="R20" s="578"/>
      <c r="S20" s="579"/>
      <c r="T20" s="583"/>
      <c r="U20" s="584"/>
      <c r="V20" s="585"/>
      <c r="W20" s="2"/>
      <c r="X20" s="2"/>
      <c r="Y20" s="238"/>
      <c r="Z20" s="239"/>
      <c r="AA20" s="144"/>
      <c r="AB20" s="144"/>
      <c r="AC20" s="144"/>
      <c r="AD20" s="144"/>
      <c r="AE20" s="33"/>
    </row>
    <row r="21" spans="1:31" ht="16.5" x14ac:dyDescent="0.3">
      <c r="A21" s="45" t="s">
        <v>26</v>
      </c>
      <c r="B21" s="46"/>
      <c r="C21" s="564" t="s">
        <v>27</v>
      </c>
      <c r="D21" s="565"/>
      <c r="E21" s="565"/>
      <c r="F21" s="565"/>
      <c r="G21" s="565"/>
      <c r="H21" s="565"/>
      <c r="I21" s="565"/>
      <c r="J21" s="566"/>
      <c r="K21" s="47"/>
      <c r="L21" s="48"/>
      <c r="M21" s="49"/>
      <c r="N21" s="47"/>
      <c r="O21" s="48"/>
      <c r="P21" s="49"/>
      <c r="Q21" s="47"/>
      <c r="R21" s="48"/>
      <c r="S21" s="50" t="s">
        <v>28</v>
      </c>
      <c r="T21" s="561">
        <f>ROUND(SUM(T13:V19),2)</f>
        <v>32777.78</v>
      </c>
      <c r="U21" s="562"/>
      <c r="V21" s="563"/>
      <c r="X21" s="2"/>
      <c r="Y21" s="238"/>
      <c r="Z21" s="239"/>
      <c r="AA21" s="144"/>
      <c r="AB21" s="144"/>
      <c r="AC21" s="144"/>
      <c r="AD21" s="144"/>
      <c r="AE21" s="33"/>
    </row>
    <row r="22" spans="1:31" ht="16.5" x14ac:dyDescent="0.3">
      <c r="B22" s="571" t="s">
        <v>29</v>
      </c>
      <c r="C22" s="572"/>
      <c r="D22" s="572"/>
      <c r="E22" s="572"/>
      <c r="F22" s="572"/>
      <c r="G22" s="572"/>
      <c r="H22" s="572"/>
      <c r="I22" s="572"/>
      <c r="J22" s="573"/>
      <c r="K22" s="571" t="s">
        <v>30</v>
      </c>
      <c r="L22" s="572"/>
      <c r="M22" s="573"/>
      <c r="N22" s="571" t="s">
        <v>15</v>
      </c>
      <c r="O22" s="572"/>
      <c r="P22" s="573"/>
      <c r="Q22" s="571" t="s">
        <v>16</v>
      </c>
      <c r="R22" s="572"/>
      <c r="S22" s="573"/>
      <c r="T22" s="571" t="s">
        <v>17</v>
      </c>
      <c r="U22" s="572"/>
      <c r="V22" s="573"/>
      <c r="X22" s="2"/>
      <c r="Y22" s="238"/>
      <c r="Z22" s="239"/>
      <c r="AA22" s="144"/>
      <c r="AB22" s="144"/>
      <c r="AC22" s="144"/>
      <c r="AD22" s="144"/>
      <c r="AE22" s="33"/>
    </row>
    <row r="23" spans="1:31" ht="16.5" x14ac:dyDescent="0.3">
      <c r="B23" s="574"/>
      <c r="C23" s="575"/>
      <c r="D23" s="575"/>
      <c r="E23" s="575"/>
      <c r="F23" s="575"/>
      <c r="G23" s="575"/>
      <c r="H23" s="575"/>
      <c r="I23" s="575"/>
      <c r="J23" s="576"/>
      <c r="K23" s="574"/>
      <c r="L23" s="575"/>
      <c r="M23" s="576"/>
      <c r="N23" s="574"/>
      <c r="O23" s="575"/>
      <c r="P23" s="576"/>
      <c r="Q23" s="574"/>
      <c r="R23" s="575"/>
      <c r="S23" s="576"/>
      <c r="T23" s="574"/>
      <c r="U23" s="575"/>
      <c r="V23" s="576"/>
      <c r="X23" s="2"/>
      <c r="Y23" s="238"/>
      <c r="Z23" s="239"/>
      <c r="AA23" s="144"/>
      <c r="AB23" s="144"/>
      <c r="AC23" s="144"/>
      <c r="AD23" s="144"/>
      <c r="AE23" s="33"/>
    </row>
    <row r="24" spans="1:31" ht="16.5" x14ac:dyDescent="0.3">
      <c r="B24" s="15" t="s">
        <v>31</v>
      </c>
      <c r="C24" s="16" t="s">
        <v>32</v>
      </c>
      <c r="D24" s="2"/>
      <c r="E24" s="2"/>
      <c r="F24" s="2"/>
      <c r="G24" s="2"/>
      <c r="H24" s="2"/>
      <c r="I24" s="2"/>
      <c r="J24" s="17"/>
      <c r="K24" s="16"/>
      <c r="L24" s="2"/>
      <c r="M24" s="17"/>
      <c r="N24" s="16"/>
      <c r="O24" s="2"/>
      <c r="P24" s="17"/>
      <c r="Q24" s="16"/>
      <c r="R24" s="2"/>
      <c r="S24" s="17"/>
      <c r="T24" s="16"/>
      <c r="U24" s="2"/>
      <c r="V24" s="17"/>
      <c r="W24" s="2"/>
      <c r="X24" s="2"/>
      <c r="Y24" s="238"/>
      <c r="Z24" s="239"/>
      <c r="AA24" s="144"/>
      <c r="AB24" s="144"/>
      <c r="AC24" s="144"/>
      <c r="AD24" s="144"/>
      <c r="AE24" s="33"/>
    </row>
    <row r="25" spans="1:31" ht="16.5" x14ac:dyDescent="0.3">
      <c r="B25" s="15"/>
      <c r="C25" s="19" t="s">
        <v>21</v>
      </c>
      <c r="D25" s="40" t="s">
        <v>93</v>
      </c>
      <c r="E25" s="2"/>
      <c r="F25" s="2"/>
      <c r="G25" s="2"/>
      <c r="H25" s="2"/>
      <c r="I25" s="2"/>
      <c r="J25" s="17"/>
      <c r="K25" s="577">
        <f>Y11</f>
        <v>1</v>
      </c>
      <c r="L25" s="578"/>
      <c r="M25" s="579"/>
      <c r="N25" s="590">
        <f>N14</f>
        <v>10.925925925925926</v>
      </c>
      <c r="O25" s="591"/>
      <c r="P25" s="592"/>
      <c r="Q25" s="586">
        <v>1376</v>
      </c>
      <c r="R25" s="587"/>
      <c r="S25" s="588"/>
      <c r="T25" s="583">
        <f t="shared" ref="T25" si="2">K25*N25*Q25</f>
        <v>15034.074074074073</v>
      </c>
      <c r="U25" s="584"/>
      <c r="V25" s="585"/>
      <c r="W25" s="18"/>
      <c r="X25" s="2"/>
      <c r="Y25" s="238"/>
      <c r="Z25" s="239"/>
      <c r="AA25" s="144"/>
      <c r="AB25" s="144"/>
      <c r="AC25" s="144"/>
      <c r="AD25" s="144"/>
      <c r="AE25" s="33"/>
    </row>
    <row r="26" spans="1:31" ht="16.5" x14ac:dyDescent="0.3">
      <c r="B26" s="41"/>
      <c r="C26" s="19" t="s">
        <v>104</v>
      </c>
      <c r="D26" s="40"/>
      <c r="E26" s="2"/>
      <c r="F26" s="2"/>
      <c r="G26" s="2"/>
      <c r="H26" s="2"/>
      <c r="I26" s="2"/>
      <c r="J26" s="17"/>
      <c r="K26" s="577"/>
      <c r="L26" s="578"/>
      <c r="M26" s="579"/>
      <c r="N26" s="590"/>
      <c r="O26" s="591"/>
      <c r="P26" s="592"/>
      <c r="Q26" s="586"/>
      <c r="R26" s="587"/>
      <c r="S26" s="588"/>
      <c r="T26" s="583">
        <f>0.1*T21</f>
        <v>3277.7780000000002</v>
      </c>
      <c r="U26" s="584"/>
      <c r="V26" s="585"/>
      <c r="W26" s="18"/>
      <c r="X26" s="2"/>
      <c r="Y26" s="238"/>
      <c r="Z26" s="239"/>
      <c r="AA26" s="144"/>
      <c r="AB26" s="144"/>
      <c r="AC26" s="144"/>
      <c r="AD26" s="144"/>
      <c r="AE26" s="33"/>
    </row>
    <row r="27" spans="1:31" ht="16.5" x14ac:dyDescent="0.3">
      <c r="B27" s="41"/>
      <c r="C27" s="60"/>
      <c r="D27" s="40"/>
      <c r="E27" s="2"/>
      <c r="F27" s="2"/>
      <c r="G27" s="2"/>
      <c r="H27" s="2"/>
      <c r="I27" s="2"/>
      <c r="J27" s="17"/>
      <c r="K27" s="577"/>
      <c r="L27" s="578"/>
      <c r="M27" s="579"/>
      <c r="N27" s="659"/>
      <c r="O27" s="660"/>
      <c r="P27" s="661"/>
      <c r="Q27" s="586"/>
      <c r="R27" s="587"/>
      <c r="S27" s="588"/>
      <c r="T27" s="583"/>
      <c r="U27" s="584"/>
      <c r="V27" s="585"/>
      <c r="W27" s="18"/>
      <c r="X27" s="2"/>
      <c r="Y27" s="238"/>
      <c r="Z27" s="239"/>
      <c r="AA27" s="144"/>
      <c r="AB27" s="144"/>
      <c r="AC27" s="144"/>
      <c r="AD27" s="144"/>
      <c r="AE27" s="33"/>
    </row>
    <row r="28" spans="1:31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81"/>
      <c r="P28" s="582"/>
      <c r="Q28" s="580"/>
      <c r="R28" s="581"/>
      <c r="S28" s="582"/>
      <c r="T28" s="583"/>
      <c r="U28" s="584"/>
      <c r="V28" s="585"/>
      <c r="W28" s="18"/>
      <c r="X28" s="2"/>
      <c r="Y28" s="238"/>
      <c r="Z28" s="239"/>
      <c r="AA28" s="144"/>
      <c r="AB28" s="144"/>
      <c r="AC28" s="144"/>
      <c r="AD28" s="144"/>
      <c r="AE28" s="33"/>
    </row>
    <row r="29" spans="1:31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78"/>
      <c r="P29" s="579"/>
      <c r="Q29" s="580"/>
      <c r="R29" s="581"/>
      <c r="S29" s="582"/>
      <c r="T29" s="583"/>
      <c r="U29" s="584"/>
      <c r="V29" s="585"/>
      <c r="W29" s="2"/>
      <c r="X29" s="2"/>
      <c r="Y29" s="238"/>
      <c r="Z29" s="239"/>
      <c r="AA29" s="34"/>
      <c r="AB29" s="144"/>
      <c r="AC29" s="144"/>
      <c r="AD29" s="144"/>
      <c r="AE29" s="33"/>
    </row>
    <row r="30" spans="1:31" ht="16.5" x14ac:dyDescent="0.3">
      <c r="A30" s="61" t="s">
        <v>34</v>
      </c>
      <c r="B30" s="46"/>
      <c r="C30" s="564" t="s">
        <v>35</v>
      </c>
      <c r="D30" s="565"/>
      <c r="E30" s="565"/>
      <c r="F30" s="565"/>
      <c r="G30" s="565"/>
      <c r="H30" s="565"/>
      <c r="I30" s="565"/>
      <c r="J30" s="56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61">
        <f>ROUND(SUM(T25:V29),2)</f>
        <v>18311.849999999999</v>
      </c>
      <c r="U30" s="562"/>
      <c r="V30" s="563"/>
      <c r="W30" s="9"/>
      <c r="X30" s="2"/>
      <c r="Y30" s="206"/>
      <c r="Z30" s="239"/>
      <c r="AA30" s="144"/>
      <c r="AB30" s="144"/>
      <c r="AE30" s="33"/>
    </row>
    <row r="31" spans="1:31" ht="16.5" x14ac:dyDescent="0.3">
      <c r="B31" s="64" t="s">
        <v>36</v>
      </c>
      <c r="C31" s="564" t="s">
        <v>37</v>
      </c>
      <c r="D31" s="565"/>
      <c r="E31" s="565"/>
      <c r="F31" s="565"/>
      <c r="G31" s="565"/>
      <c r="H31" s="565"/>
      <c r="I31" s="565"/>
      <c r="J31" s="565"/>
      <c r="K31" s="48"/>
      <c r="L31" s="48"/>
      <c r="M31" s="48"/>
      <c r="N31" s="48"/>
      <c r="O31" s="48"/>
      <c r="P31" s="48"/>
      <c r="Q31" s="48"/>
      <c r="R31" s="48"/>
      <c r="S31" s="48"/>
      <c r="T31" s="562">
        <f>T21+T30</f>
        <v>51089.63</v>
      </c>
      <c r="U31" s="562"/>
      <c r="V31" s="563"/>
      <c r="W31" s="2"/>
      <c r="X31" s="2"/>
      <c r="Y31" s="206"/>
      <c r="Z31" s="239"/>
      <c r="AA31" s="144"/>
      <c r="AB31" s="144"/>
      <c r="AE31" s="33"/>
    </row>
    <row r="32" spans="1:31" ht="16.5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70">
        <f>E7</f>
        <v>2.16</v>
      </c>
      <c r="I32" s="565"/>
      <c r="J32" s="48" t="str">
        <f>G7</f>
        <v>CU.M./DAY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"/>
      <c r="Y32" s="206"/>
      <c r="Z32" s="239"/>
      <c r="AA32" s="144"/>
      <c r="AB32" s="144"/>
      <c r="AE32" s="33"/>
    </row>
    <row r="33" spans="1:31" ht="16.5" x14ac:dyDescent="0.3">
      <c r="B33" s="571" t="s">
        <v>44</v>
      </c>
      <c r="C33" s="572"/>
      <c r="D33" s="572"/>
      <c r="E33" s="572"/>
      <c r="F33" s="572"/>
      <c r="G33" s="572"/>
      <c r="H33" s="572"/>
      <c r="I33" s="572"/>
      <c r="J33" s="573"/>
      <c r="K33" s="571" t="s">
        <v>45</v>
      </c>
      <c r="L33" s="572"/>
      <c r="M33" s="573"/>
      <c r="N33" s="571" t="s">
        <v>46</v>
      </c>
      <c r="O33" s="572"/>
      <c r="P33" s="573"/>
      <c r="Q33" s="571" t="s">
        <v>47</v>
      </c>
      <c r="R33" s="572"/>
      <c r="S33" s="573"/>
      <c r="T33" s="571" t="s">
        <v>17</v>
      </c>
      <c r="U33" s="572"/>
      <c r="V33" s="573"/>
      <c r="W33" s="2"/>
      <c r="X33" s="2"/>
      <c r="Y33" s="206"/>
      <c r="Z33" s="239"/>
      <c r="AA33" s="144"/>
      <c r="AB33" s="144"/>
      <c r="AE33" s="33"/>
    </row>
    <row r="34" spans="1:31" ht="16.5" x14ac:dyDescent="0.3">
      <c r="B34" s="574"/>
      <c r="C34" s="575"/>
      <c r="D34" s="575"/>
      <c r="E34" s="575"/>
      <c r="F34" s="575"/>
      <c r="G34" s="575"/>
      <c r="H34" s="575"/>
      <c r="I34" s="575"/>
      <c r="J34" s="576"/>
      <c r="K34" s="574"/>
      <c r="L34" s="575"/>
      <c r="M34" s="576"/>
      <c r="N34" s="574"/>
      <c r="O34" s="575"/>
      <c r="P34" s="576"/>
      <c r="Q34" s="574"/>
      <c r="R34" s="575"/>
      <c r="S34" s="576"/>
      <c r="T34" s="574"/>
      <c r="U34" s="575"/>
      <c r="V34" s="576"/>
      <c r="W34" s="2"/>
      <c r="X34" s="2"/>
      <c r="Y34" s="206"/>
      <c r="Z34" s="239"/>
      <c r="AA34" s="144"/>
      <c r="AB34" s="144"/>
      <c r="AE34" s="33"/>
    </row>
    <row r="35" spans="1:31" ht="16.5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2"/>
      <c r="Y35" s="206"/>
      <c r="Z35" s="239"/>
      <c r="AA35" s="144"/>
      <c r="AB35" s="144"/>
      <c r="AE35" s="33"/>
    </row>
    <row r="36" spans="1:31" ht="16.5" customHeight="1" x14ac:dyDescent="0.3">
      <c r="B36" s="41"/>
      <c r="C36" s="19" t="s">
        <v>21</v>
      </c>
      <c r="D36" s="40" t="s">
        <v>97</v>
      </c>
      <c r="E36" s="245"/>
      <c r="F36" s="245"/>
      <c r="G36" s="122"/>
      <c r="H36" s="122"/>
      <c r="I36" s="122"/>
      <c r="J36" s="17"/>
      <c r="K36" s="659">
        <f>9.1*E8</f>
        <v>214.76</v>
      </c>
      <c r="L36" s="660"/>
      <c r="M36" s="661"/>
      <c r="N36" s="662" t="str">
        <f>IF(K36&gt;1,"bags","bag")</f>
        <v>bags</v>
      </c>
      <c r="O36" s="663" t="str">
        <f>IF(L36&gt;1,"bags","bag")</f>
        <v>bag</v>
      </c>
      <c r="P36" s="664" t="str">
        <f>IF(M36&gt;1,"bags","bag")</f>
        <v>bag</v>
      </c>
      <c r="Q36" s="647">
        <v>265</v>
      </c>
      <c r="R36" s="648"/>
      <c r="S36" s="649"/>
      <c r="T36" s="635">
        <f t="shared" ref="T36:T38" si="3">K36*Q36</f>
        <v>56911.399999999994</v>
      </c>
      <c r="U36" s="636"/>
      <c r="V36" s="637"/>
      <c r="W36" s="18"/>
      <c r="X36" s="2"/>
      <c r="Y36" s="244"/>
      <c r="Z36" s="239"/>
      <c r="AA36" s="144"/>
      <c r="AB36" s="144"/>
      <c r="AC36" s="144"/>
      <c r="AD36" s="144"/>
      <c r="AE36" s="33"/>
    </row>
    <row r="37" spans="1:31" ht="16.5" customHeight="1" x14ac:dyDescent="0.3">
      <c r="B37" s="41"/>
      <c r="C37" s="19" t="s">
        <v>23</v>
      </c>
      <c r="D37" s="40" t="s">
        <v>99</v>
      </c>
      <c r="E37" s="121"/>
      <c r="F37" s="121"/>
      <c r="G37" s="200"/>
      <c r="H37" s="201"/>
      <c r="I37" s="202"/>
      <c r="J37" s="17"/>
      <c r="K37" s="659">
        <f>0.5*E8</f>
        <v>11.8</v>
      </c>
      <c r="L37" s="660"/>
      <c r="M37" s="661"/>
      <c r="N37" s="662" t="str">
        <f t="shared" ref="N37:P38" si="4">IF(K37&gt;1,"cu.m.","cu.m.")</f>
        <v>cu.m.</v>
      </c>
      <c r="O37" s="663" t="str">
        <f t="shared" si="4"/>
        <v>cu.m.</v>
      </c>
      <c r="P37" s="664" t="str">
        <f t="shared" si="4"/>
        <v>cu.m.</v>
      </c>
      <c r="Q37" s="647">
        <v>1200</v>
      </c>
      <c r="R37" s="648"/>
      <c r="S37" s="649"/>
      <c r="T37" s="635">
        <f t="shared" si="3"/>
        <v>14160</v>
      </c>
      <c r="U37" s="636"/>
      <c r="V37" s="637"/>
      <c r="W37" s="132"/>
      <c r="X37" s="2"/>
      <c r="Y37" s="206"/>
      <c r="Z37" s="239"/>
      <c r="AA37" s="144"/>
      <c r="AB37" s="144"/>
      <c r="AC37" s="144"/>
      <c r="AD37" s="144"/>
      <c r="AE37" s="33"/>
    </row>
    <row r="38" spans="1:31" ht="16.5" customHeight="1" x14ac:dyDescent="0.3">
      <c r="B38" s="41"/>
      <c r="C38" s="19" t="s">
        <v>78</v>
      </c>
      <c r="D38" s="40" t="s">
        <v>101</v>
      </c>
      <c r="E38" s="121"/>
      <c r="F38" s="121"/>
      <c r="G38" s="206"/>
      <c r="H38" s="202"/>
      <c r="I38" s="202"/>
      <c r="J38" s="17"/>
      <c r="K38" s="659">
        <f>1*E8</f>
        <v>23.6</v>
      </c>
      <c r="L38" s="660"/>
      <c r="M38" s="661"/>
      <c r="N38" s="662" t="str">
        <f t="shared" si="4"/>
        <v>cu.m.</v>
      </c>
      <c r="O38" s="663" t="str">
        <f t="shared" si="4"/>
        <v>cu.m.</v>
      </c>
      <c r="P38" s="664" t="str">
        <f t="shared" si="4"/>
        <v>cu.m.</v>
      </c>
      <c r="Q38" s="647">
        <v>1200</v>
      </c>
      <c r="R38" s="648"/>
      <c r="S38" s="649"/>
      <c r="T38" s="635">
        <f t="shared" si="3"/>
        <v>28320</v>
      </c>
      <c r="U38" s="636"/>
      <c r="V38" s="637"/>
      <c r="W38" s="132"/>
      <c r="X38" s="2"/>
      <c r="Y38" s="142"/>
      <c r="Z38" s="142"/>
      <c r="AA38" s="143"/>
      <c r="AB38" s="144"/>
      <c r="AC38" s="144"/>
      <c r="AD38" s="144"/>
      <c r="AE38" s="33"/>
    </row>
    <row r="39" spans="1:31" ht="16.5" customHeight="1" x14ac:dyDescent="0.3">
      <c r="B39" s="41"/>
      <c r="C39" s="19"/>
      <c r="D39" s="665"/>
      <c r="E39" s="665"/>
      <c r="F39" s="665"/>
      <c r="G39" s="665"/>
      <c r="H39" s="665"/>
      <c r="I39" s="665"/>
      <c r="J39" s="666"/>
      <c r="K39" s="667"/>
      <c r="L39" s="668"/>
      <c r="M39" s="669"/>
      <c r="N39" s="670"/>
      <c r="O39" s="671"/>
      <c r="P39" s="672"/>
      <c r="Q39" s="647"/>
      <c r="R39" s="648"/>
      <c r="S39" s="649"/>
      <c r="T39" s="635"/>
      <c r="U39" s="636"/>
      <c r="V39" s="637"/>
      <c r="W39" s="18"/>
      <c r="X39" s="2"/>
      <c r="Y39" s="142"/>
      <c r="Z39" s="142"/>
      <c r="AA39" s="143"/>
      <c r="AB39" s="144"/>
      <c r="AC39" s="144"/>
      <c r="AD39" s="144"/>
      <c r="AE39" s="141"/>
    </row>
    <row r="40" spans="1:31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659"/>
      <c r="L40" s="660"/>
      <c r="M40" s="661"/>
      <c r="N40" s="662"/>
      <c r="O40" s="663"/>
      <c r="P40" s="664"/>
      <c r="Q40" s="647"/>
      <c r="R40" s="648"/>
      <c r="S40" s="649"/>
      <c r="T40" s="635"/>
      <c r="U40" s="636"/>
      <c r="V40" s="637"/>
      <c r="W40" s="18"/>
      <c r="X40" s="149"/>
      <c r="Y40" s="33"/>
      <c r="Z40" s="33"/>
      <c r="AA40" s="34"/>
      <c r="AB40" s="33"/>
      <c r="AC40" s="34"/>
      <c r="AD40" s="34"/>
      <c r="AE40" s="141"/>
    </row>
    <row r="41" spans="1:31" ht="16.5" x14ac:dyDescent="0.3">
      <c r="B41" s="41"/>
      <c r="C41" s="19"/>
      <c r="D41" s="40"/>
      <c r="E41" s="245"/>
      <c r="F41" s="245"/>
      <c r="G41" s="122"/>
      <c r="H41" s="122"/>
      <c r="I41" s="122"/>
      <c r="J41" s="17"/>
      <c r="K41" s="659"/>
      <c r="L41" s="660"/>
      <c r="M41" s="661"/>
      <c r="N41" s="662"/>
      <c r="O41" s="663"/>
      <c r="P41" s="664"/>
      <c r="Q41" s="647"/>
      <c r="R41" s="648"/>
      <c r="S41" s="649"/>
      <c r="T41" s="635"/>
      <c r="U41" s="636"/>
      <c r="V41" s="637"/>
      <c r="W41" s="2"/>
      <c r="X41" s="149"/>
      <c r="Y41" s="33"/>
      <c r="Z41" s="33"/>
      <c r="AA41" s="34"/>
      <c r="AB41" s="33"/>
      <c r="AC41" s="34"/>
      <c r="AD41" s="34"/>
      <c r="AE41" s="141"/>
    </row>
    <row r="42" spans="1:31" ht="16.5" x14ac:dyDescent="0.3">
      <c r="B42" s="41"/>
      <c r="C42" s="19"/>
      <c r="D42" s="40"/>
      <c r="E42" s="121"/>
      <c r="F42" s="121"/>
      <c r="G42" s="200"/>
      <c r="H42" s="201"/>
      <c r="I42" s="202"/>
      <c r="J42" s="17"/>
      <c r="K42" s="659"/>
      <c r="L42" s="660"/>
      <c r="M42" s="661"/>
      <c r="N42" s="662"/>
      <c r="O42" s="663"/>
      <c r="P42" s="664"/>
      <c r="Q42" s="647"/>
      <c r="R42" s="648"/>
      <c r="S42" s="649"/>
      <c r="T42" s="635"/>
      <c r="U42" s="636"/>
      <c r="V42" s="637"/>
      <c r="W42" s="2"/>
      <c r="X42" s="149"/>
      <c r="Y42" s="139"/>
      <c r="Z42" s="33"/>
      <c r="AA42" s="34"/>
      <c r="AB42" s="33"/>
      <c r="AC42" s="34"/>
      <c r="AD42" s="34"/>
      <c r="AE42" s="141"/>
    </row>
    <row r="43" spans="1:31" ht="16.5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659"/>
      <c r="L43" s="660"/>
      <c r="M43" s="661"/>
      <c r="N43" s="662"/>
      <c r="O43" s="663"/>
      <c r="P43" s="664"/>
      <c r="Q43" s="647"/>
      <c r="R43" s="648"/>
      <c r="S43" s="649"/>
      <c r="T43" s="635"/>
      <c r="U43" s="636"/>
      <c r="V43" s="637"/>
      <c r="W43" s="2"/>
      <c r="X43" s="149"/>
      <c r="Y43" s="33"/>
      <c r="Z43" s="34"/>
      <c r="AA43" s="34"/>
      <c r="AB43" s="34"/>
      <c r="AC43" s="34"/>
      <c r="AD43" s="34"/>
      <c r="AE43" s="141"/>
    </row>
    <row r="44" spans="1:31" ht="16.5" x14ac:dyDescent="0.3">
      <c r="B44" s="41"/>
      <c r="C44" s="19"/>
      <c r="D44" s="40"/>
      <c r="E44" s="121"/>
      <c r="F44" s="121"/>
      <c r="G44" s="206"/>
      <c r="H44" s="202"/>
      <c r="I44" s="202"/>
      <c r="J44" s="17"/>
      <c r="K44" s="123"/>
      <c r="L44" s="124"/>
      <c r="M44" s="125"/>
      <c r="N44" s="241"/>
      <c r="O44" s="242"/>
      <c r="P44" s="243"/>
      <c r="Q44" s="105"/>
      <c r="R44" s="106"/>
      <c r="S44" s="107"/>
      <c r="T44" s="213"/>
      <c r="U44" s="214"/>
      <c r="V44" s="215"/>
      <c r="W44" s="2"/>
      <c r="X44" s="149"/>
      <c r="Y44" s="142"/>
      <c r="Z44" s="143"/>
      <c r="AA44" s="144"/>
      <c r="AB44" s="144"/>
      <c r="AC44" s="34"/>
      <c r="AD44" s="34"/>
      <c r="AE44" s="141"/>
    </row>
    <row r="45" spans="1:31" ht="16.5" customHeight="1" x14ac:dyDescent="0.3">
      <c r="B45" s="41"/>
      <c r="C45" s="40"/>
      <c r="D45" s="199"/>
      <c r="E45" s="121"/>
      <c r="F45" s="121"/>
      <c r="G45" s="206"/>
      <c r="H45" s="202"/>
      <c r="I45" s="202"/>
      <c r="J45" s="17"/>
      <c r="K45" s="207"/>
      <c r="L45" s="208"/>
      <c r="M45" s="209"/>
      <c r="N45" s="210"/>
      <c r="O45" s="211"/>
      <c r="P45" s="212"/>
      <c r="Q45" s="89"/>
      <c r="R45" s="90"/>
      <c r="S45" s="91"/>
      <c r="T45" s="213"/>
      <c r="U45" s="214"/>
      <c r="V45" s="215"/>
      <c r="W45" s="2"/>
      <c r="X45" s="149"/>
      <c r="Y45" s="139"/>
      <c r="Z45" s="33"/>
      <c r="AA45" s="140"/>
      <c r="AB45" s="141"/>
      <c r="AC45" s="34"/>
      <c r="AD45" s="34"/>
      <c r="AE45" s="141"/>
    </row>
    <row r="46" spans="1:31" ht="16.5" x14ac:dyDescent="0.3">
      <c r="A46" s="45" t="s">
        <v>51</v>
      </c>
      <c r="B46" s="46"/>
      <c r="C46" s="564" t="s">
        <v>52</v>
      </c>
      <c r="D46" s="565"/>
      <c r="E46" s="565"/>
      <c r="F46" s="565"/>
      <c r="G46" s="565"/>
      <c r="H46" s="565"/>
      <c r="I46" s="565"/>
      <c r="J46" s="56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ROUND(SUM(T36:V45),2)</f>
        <v>99391.4</v>
      </c>
      <c r="U46" s="562"/>
      <c r="V46" s="563"/>
      <c r="W46" s="2"/>
      <c r="X46" s="149"/>
      <c r="Y46" s="142"/>
      <c r="Z46" s="143"/>
      <c r="AA46" s="144"/>
      <c r="AB46" s="144"/>
      <c r="AC46" s="34"/>
      <c r="AD46" s="34"/>
      <c r="AE46" s="141"/>
    </row>
    <row r="47" spans="1:31" ht="16.5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T31+T46</f>
        <v>150481.03</v>
      </c>
      <c r="U47" s="562"/>
      <c r="V47" s="563"/>
      <c r="W47" s="2"/>
      <c r="X47" s="149"/>
      <c r="Y47" s="33"/>
      <c r="Z47" s="34"/>
      <c r="AA47" s="140"/>
      <c r="AB47" s="140"/>
      <c r="AC47" s="34"/>
      <c r="AD47" s="34"/>
      <c r="AE47" s="141"/>
    </row>
    <row r="48" spans="1:31" ht="16.5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7524.0515000000005</v>
      </c>
      <c r="U48" s="568"/>
      <c r="V48" s="569"/>
      <c r="W48" s="2"/>
      <c r="X48" s="149"/>
      <c r="Y48" s="142"/>
      <c r="Z48" s="142"/>
      <c r="AA48" s="143"/>
      <c r="AB48" s="144"/>
      <c r="AC48" s="34"/>
      <c r="AD48" s="34"/>
      <c r="AE48" s="141"/>
    </row>
    <row r="49" spans="1:31" ht="16.5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15048.103000000001</v>
      </c>
      <c r="U49" s="568"/>
      <c r="V49" s="569"/>
      <c r="W49" s="2"/>
      <c r="X49" s="9"/>
      <c r="Y49" s="33"/>
      <c r="Z49" s="33"/>
      <c r="AA49" s="34"/>
      <c r="AB49" s="33"/>
      <c r="AC49" s="34"/>
      <c r="AD49" s="34"/>
      <c r="AE49" s="141"/>
    </row>
    <row r="50" spans="1:31" ht="16.5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  <c r="X50" s="2"/>
      <c r="Y50" s="33"/>
      <c r="Z50" s="33"/>
      <c r="AA50" s="34"/>
      <c r="AB50" s="33"/>
      <c r="AC50" s="34"/>
      <c r="AD50" s="34"/>
      <c r="AE50" s="141"/>
    </row>
    <row r="51" spans="1:31" ht="16.5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173053.1845</v>
      </c>
      <c r="U51" s="562"/>
      <c r="V51" s="563"/>
      <c r="W51" s="2"/>
      <c r="X51" s="2"/>
      <c r="Y51" s="33"/>
      <c r="Z51" s="33"/>
      <c r="AA51" s="34"/>
      <c r="AB51" s="33"/>
      <c r="AC51" s="34"/>
      <c r="AD51" s="34"/>
      <c r="AE51" s="141"/>
    </row>
    <row r="52" spans="1:31" ht="16.5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7332.762055084745</v>
      </c>
      <c r="U52" s="562"/>
      <c r="V52" s="563"/>
      <c r="W52" s="132"/>
      <c r="X52" s="2"/>
      <c r="Y52" s="33"/>
      <c r="Z52" s="248"/>
      <c r="AA52" s="124"/>
      <c r="AB52" s="116"/>
      <c r="AC52" s="34"/>
      <c r="AD52" s="34"/>
      <c r="AE52" s="141"/>
    </row>
    <row r="53" spans="1:31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33"/>
      <c r="Z53" s="248"/>
      <c r="AA53" s="248"/>
      <c r="AB53" s="249"/>
      <c r="AC53" s="34"/>
      <c r="AD53" s="34"/>
      <c r="AE53" s="141"/>
    </row>
    <row r="54" spans="1:31" ht="16.5" x14ac:dyDescent="0.3">
      <c r="L54" s="2"/>
      <c r="M54" s="2"/>
      <c r="N54" s="2"/>
      <c r="X54" s="9"/>
      <c r="Z54" s="250"/>
      <c r="AA54" s="248"/>
      <c r="AB54" s="248"/>
      <c r="AE54" s="141"/>
    </row>
    <row r="55" spans="1:31" ht="16.5" x14ac:dyDescent="0.3">
      <c r="X55" s="2"/>
      <c r="Z55" s="250"/>
      <c r="AA55" s="248"/>
      <c r="AB55" s="248"/>
      <c r="AE55" s="141"/>
    </row>
    <row r="56" spans="1:31" ht="16.5" x14ac:dyDescent="0.3">
      <c r="X56" s="2"/>
      <c r="AE56" s="141"/>
    </row>
    <row r="57" spans="1:31" ht="16.5" x14ac:dyDescent="0.25">
      <c r="AE57" s="141"/>
    </row>
    <row r="58" spans="1:31" ht="16.5" x14ac:dyDescent="0.25">
      <c r="Z58" s="251"/>
      <c r="AA58" s="252"/>
      <c r="AE58" s="141"/>
    </row>
    <row r="59" spans="1:31" ht="16.5" x14ac:dyDescent="0.25">
      <c r="AE59" s="141"/>
    </row>
    <row r="60" spans="1:31" ht="16.5" x14ac:dyDescent="0.25">
      <c r="Z60" s="26"/>
      <c r="AE60" s="141"/>
    </row>
    <row r="61" spans="1:31" ht="16.5" x14ac:dyDescent="0.25">
      <c r="Z61" s="26"/>
      <c r="AA61" s="188"/>
      <c r="AE61" s="33"/>
    </row>
    <row r="62" spans="1:31" ht="16.5" x14ac:dyDescent="0.25">
      <c r="AE62" s="33"/>
    </row>
    <row r="63" spans="1:31" ht="16.5" x14ac:dyDescent="0.25">
      <c r="AE63" s="33"/>
    </row>
    <row r="64" spans="1:31" ht="16.5" x14ac:dyDescent="0.25">
      <c r="AE64" s="33"/>
    </row>
    <row r="65" spans="31:31" ht="16.5" x14ac:dyDescent="0.25">
      <c r="AE65" s="33"/>
    </row>
    <row r="66" spans="31:31" ht="16.5" x14ac:dyDescent="0.25">
      <c r="AE66" s="33"/>
    </row>
    <row r="67" spans="31:31" ht="16.5" x14ac:dyDescent="0.25">
      <c r="AE67" s="33"/>
    </row>
    <row r="68" spans="31:31" ht="16.5" x14ac:dyDescent="0.25">
      <c r="AE68" s="33"/>
    </row>
    <row r="69" spans="31:31" ht="16.5" x14ac:dyDescent="0.25">
      <c r="AE69" s="33"/>
    </row>
    <row r="70" spans="31:31" ht="16.5" x14ac:dyDescent="0.25">
      <c r="AE70" s="33"/>
    </row>
    <row r="71" spans="31:31" ht="16.5" x14ac:dyDescent="0.25">
      <c r="AE71" s="33"/>
    </row>
    <row r="72" spans="31:31" ht="16.5" x14ac:dyDescent="0.25">
      <c r="AE72" s="33"/>
    </row>
    <row r="73" spans="31:31" ht="16.5" x14ac:dyDescent="0.25">
      <c r="AE73" s="34"/>
    </row>
    <row r="74" spans="31:31" ht="16.5" x14ac:dyDescent="0.25">
      <c r="AE74" s="34"/>
    </row>
    <row r="75" spans="31:31" ht="16.5" x14ac:dyDescent="0.25">
      <c r="AE75" s="34"/>
    </row>
    <row r="76" spans="31:31" ht="16.5" x14ac:dyDescent="0.25">
      <c r="AE76" s="34"/>
    </row>
    <row r="77" spans="31:31" ht="16.5" x14ac:dyDescent="0.25">
      <c r="AE77" s="34"/>
    </row>
    <row r="78" spans="31:31" ht="16.5" x14ac:dyDescent="0.25">
      <c r="AE78" s="34"/>
    </row>
    <row r="79" spans="31:31" ht="16.5" x14ac:dyDescent="0.25">
      <c r="AE79" s="34"/>
    </row>
    <row r="80" spans="31:31" ht="16.5" x14ac:dyDescent="0.25">
      <c r="AE80" s="34"/>
    </row>
    <row r="81" spans="31:31" ht="16.5" x14ac:dyDescent="0.25">
      <c r="AE81" s="34"/>
    </row>
    <row r="82" spans="31:31" ht="16.5" x14ac:dyDescent="0.25">
      <c r="AE82" s="34"/>
    </row>
    <row r="83" spans="31:31" ht="16.5" x14ac:dyDescent="0.25">
      <c r="AE83" s="34"/>
    </row>
    <row r="84" spans="31:31" ht="16.5" x14ac:dyDescent="0.25">
      <c r="AE84" s="34"/>
    </row>
    <row r="85" spans="31:31" ht="16.5" x14ac:dyDescent="0.25">
      <c r="AE85" s="34"/>
    </row>
    <row r="86" spans="31:31" ht="16.5" x14ac:dyDescent="0.25">
      <c r="AE86" s="34"/>
    </row>
    <row r="87" spans="31:31" ht="16.5" x14ac:dyDescent="0.25">
      <c r="AE87" s="34"/>
    </row>
    <row r="88" spans="31:31" ht="16.5" x14ac:dyDescent="0.25">
      <c r="AE88" s="34"/>
    </row>
    <row r="89" spans="31:31" ht="16.5" x14ac:dyDescent="0.25">
      <c r="AE89" s="34"/>
    </row>
    <row r="90" spans="31:31" ht="16.5" x14ac:dyDescent="0.25">
      <c r="AE90" s="34"/>
    </row>
    <row r="110" spans="32:32" x14ac:dyDescent="0.25">
      <c r="AF110" s="1">
        <f>250*14</f>
        <v>3500</v>
      </c>
    </row>
    <row r="111" spans="32:32" x14ac:dyDescent="0.25">
      <c r="AF111" s="1">
        <f>250-80</f>
        <v>170</v>
      </c>
    </row>
    <row r="112" spans="32:32" x14ac:dyDescent="0.25">
      <c r="AF112" s="1">
        <f>2500/170</f>
        <v>14.705882352941176</v>
      </c>
    </row>
  </sheetData>
  <mergeCells count="123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C21:J21"/>
    <mergeCell ref="T21:V21"/>
    <mergeCell ref="B22:J23"/>
    <mergeCell ref="K22:M23"/>
    <mergeCell ref="N22:P23"/>
    <mergeCell ref="Q22:S23"/>
    <mergeCell ref="T22:V23"/>
    <mergeCell ref="K19:M19"/>
    <mergeCell ref="N19:P19"/>
    <mergeCell ref="Q19:S19"/>
    <mergeCell ref="T19:V19"/>
    <mergeCell ref="K20:M20"/>
    <mergeCell ref="N20:P20"/>
    <mergeCell ref="Q20:S20"/>
    <mergeCell ref="T20:V20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31:J31"/>
    <mergeCell ref="T31:V31"/>
    <mergeCell ref="H32:I32"/>
    <mergeCell ref="B33:J34"/>
    <mergeCell ref="K33:M34"/>
    <mergeCell ref="N33:P34"/>
    <mergeCell ref="Q33:S34"/>
    <mergeCell ref="T33:V34"/>
    <mergeCell ref="K29:M29"/>
    <mergeCell ref="N29:P29"/>
    <mergeCell ref="Q29:S29"/>
    <mergeCell ref="T29:V29"/>
    <mergeCell ref="C30:J30"/>
    <mergeCell ref="T30:V30"/>
    <mergeCell ref="D39:J39"/>
    <mergeCell ref="K39:M39"/>
    <mergeCell ref="N39:P39"/>
    <mergeCell ref="Q39:S39"/>
    <mergeCell ref="T39:V39"/>
    <mergeCell ref="K36:M36"/>
    <mergeCell ref="N36:P36"/>
    <mergeCell ref="Q36:S36"/>
    <mergeCell ref="T36:V36"/>
    <mergeCell ref="K37:M37"/>
    <mergeCell ref="N37:P37"/>
    <mergeCell ref="Q37:S37"/>
    <mergeCell ref="T37:V37"/>
    <mergeCell ref="K40:M40"/>
    <mergeCell ref="N40:P40"/>
    <mergeCell ref="Q40:S40"/>
    <mergeCell ref="T40:V40"/>
    <mergeCell ref="K41:M41"/>
    <mergeCell ref="N41:P41"/>
    <mergeCell ref="Q41:S41"/>
    <mergeCell ref="T41:V41"/>
    <mergeCell ref="K38:M38"/>
    <mergeCell ref="N38:P38"/>
    <mergeCell ref="Q38:S38"/>
    <mergeCell ref="T38:V38"/>
    <mergeCell ref="T51:V51"/>
    <mergeCell ref="T52:V52"/>
    <mergeCell ref="C46:J46"/>
    <mergeCell ref="T46:V46"/>
    <mergeCell ref="T47:V47"/>
    <mergeCell ref="T48:V48"/>
    <mergeCell ref="T49:V49"/>
    <mergeCell ref="T50:V50"/>
    <mergeCell ref="K42:M42"/>
    <mergeCell ref="N42:P42"/>
    <mergeCell ref="Q42:S42"/>
    <mergeCell ref="T42:V42"/>
    <mergeCell ref="K43:M43"/>
    <mergeCell ref="N43:P43"/>
    <mergeCell ref="Q43:S43"/>
    <mergeCell ref="T43:V43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320B-DEFA-8847-8BF9-6B1C5C80106B}">
  <sheetPr codeName="Sheet13">
    <tabColor rgb="FF92D050"/>
    <pageSetUpPr fitToPage="1"/>
  </sheetPr>
  <dimension ref="A1:AF113"/>
  <sheetViews>
    <sheetView view="pageBreakPreview" topLeftCell="A16" zoomScale="85" zoomScaleNormal="85" zoomScaleSheetLayoutView="85" workbookViewId="0">
      <selection activeCell="Q27" sqref="Q27:S2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39" style="1" customWidth="1"/>
    <col min="26" max="26" width="27.7109375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1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1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1" ht="16.5" x14ac:dyDescent="0.3">
      <c r="B4" s="5"/>
      <c r="C4" s="2"/>
      <c r="D4" s="2"/>
      <c r="E4" s="37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1" s="4" customFormat="1" ht="24.95" customHeight="1" x14ac:dyDescent="0.25">
      <c r="A5" s="6" t="s">
        <v>2</v>
      </c>
      <c r="B5" s="5" t="s">
        <v>3</v>
      </c>
      <c r="C5" s="5"/>
      <c r="D5" s="5"/>
      <c r="E5" s="673" t="s">
        <v>194</v>
      </c>
      <c r="F5" s="673"/>
      <c r="G5" s="605" t="s">
        <v>195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1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1" ht="16.5" x14ac:dyDescent="0.3">
      <c r="B7" s="2" t="s">
        <v>9</v>
      </c>
      <c r="C7" s="2"/>
      <c r="D7" s="2"/>
      <c r="E7" s="581">
        <f>3.24*8*Y11</f>
        <v>25.92</v>
      </c>
      <c r="F7" s="581"/>
      <c r="G7" s="2" t="s">
        <v>196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1" ht="16.5" x14ac:dyDescent="0.3">
      <c r="A8" s="8" t="s">
        <v>11</v>
      </c>
      <c r="B8" s="2" t="s">
        <v>12</v>
      </c>
      <c r="C8" s="2"/>
      <c r="D8" s="2"/>
      <c r="E8" s="581">
        <f>'INPUT DATA'!C19</f>
        <v>49</v>
      </c>
      <c r="F8" s="581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1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 t="s">
        <v>75</v>
      </c>
      <c r="Z10" s="2"/>
      <c r="AA10" s="2"/>
      <c r="AB10" s="10"/>
    </row>
    <row r="11" spans="1:31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>
        <v>1</v>
      </c>
      <c r="Z11" s="2"/>
      <c r="AA11" s="2"/>
      <c r="AB11" s="2"/>
    </row>
    <row r="12" spans="1:3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1" ht="16.5" customHeight="1" x14ac:dyDescent="0.3">
      <c r="A13" s="8"/>
      <c r="B13" s="15"/>
      <c r="C13" s="19" t="s">
        <v>197</v>
      </c>
      <c r="D13" s="60"/>
      <c r="E13" s="2"/>
      <c r="F13" s="2"/>
      <c r="G13" s="2"/>
      <c r="H13" s="2"/>
      <c r="I13" s="179"/>
      <c r="J13" s="17"/>
      <c r="K13" s="577"/>
      <c r="L13" s="578"/>
      <c r="M13" s="579"/>
      <c r="N13" s="590"/>
      <c r="O13" s="591"/>
      <c r="P13" s="592"/>
      <c r="Q13" s="593"/>
      <c r="R13" s="594"/>
      <c r="S13" s="595"/>
      <c r="T13" s="583"/>
      <c r="U13" s="584"/>
      <c r="V13" s="585"/>
      <c r="W13" s="2"/>
      <c r="X13" s="26"/>
      <c r="Y13" s="33"/>
      <c r="Z13" s="33"/>
      <c r="AA13" s="237"/>
      <c r="AB13" s="237"/>
      <c r="AC13" s="34"/>
      <c r="AD13" s="34"/>
      <c r="AE13" s="34"/>
    </row>
    <row r="14" spans="1:31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90">
        <f>E8/E7</f>
        <v>1.8904320987654319</v>
      </c>
      <c r="O14" s="591"/>
      <c r="P14" s="592"/>
      <c r="Q14" s="599">
        <v>800</v>
      </c>
      <c r="R14" s="600"/>
      <c r="S14" s="601"/>
      <c r="T14" s="583">
        <f t="shared" ref="T14:T16" si="0">K14*N14*Q14</f>
        <v>1512.3456790123455</v>
      </c>
      <c r="U14" s="584"/>
      <c r="V14" s="585"/>
      <c r="W14" s="2"/>
      <c r="X14" s="26"/>
      <c r="Y14" s="139"/>
      <c r="Z14" s="33"/>
      <c r="AA14" s="34"/>
      <c r="AB14" s="33"/>
      <c r="AC14" s="34"/>
      <c r="AD14" s="34"/>
      <c r="AE14" s="34"/>
    </row>
    <row r="15" spans="1:31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96">
        <v>2</v>
      </c>
      <c r="L15" s="597"/>
      <c r="M15" s="598"/>
      <c r="N15" s="590">
        <f t="shared" ref="N15:N16" si="1">N14</f>
        <v>1.8904320987654319</v>
      </c>
      <c r="O15" s="591"/>
      <c r="P15" s="592"/>
      <c r="Q15" s="599">
        <v>600</v>
      </c>
      <c r="R15" s="600"/>
      <c r="S15" s="601"/>
      <c r="T15" s="583">
        <f t="shared" si="0"/>
        <v>2268.5185185185182</v>
      </c>
      <c r="U15" s="584"/>
      <c r="V15" s="585"/>
      <c r="W15" s="2"/>
      <c r="X15" s="26"/>
      <c r="Y15" s="33"/>
      <c r="Z15" s="34"/>
      <c r="AA15" s="34"/>
      <c r="AB15" s="34"/>
      <c r="AC15" s="34"/>
      <c r="AD15" s="34"/>
      <c r="AE15" s="33"/>
    </row>
    <row r="16" spans="1:31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v>4</v>
      </c>
      <c r="L16" s="597"/>
      <c r="M16" s="598"/>
      <c r="N16" s="590">
        <f t="shared" si="1"/>
        <v>1.8904320987654319</v>
      </c>
      <c r="O16" s="591"/>
      <c r="P16" s="592"/>
      <c r="Q16" s="599">
        <v>400</v>
      </c>
      <c r="R16" s="600"/>
      <c r="S16" s="601"/>
      <c r="T16" s="583">
        <f t="shared" si="0"/>
        <v>3024.691358024691</v>
      </c>
      <c r="U16" s="584"/>
      <c r="V16" s="585"/>
      <c r="W16" s="2"/>
      <c r="X16" s="26"/>
      <c r="Y16" s="33"/>
      <c r="Z16" s="34"/>
      <c r="AA16" s="34"/>
      <c r="AB16" s="34"/>
      <c r="AC16" s="34"/>
      <c r="AD16" s="34"/>
      <c r="AE16" s="141"/>
    </row>
    <row r="17" spans="1:31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206"/>
      <c r="Z17" s="33"/>
      <c r="AA17" s="34"/>
      <c r="AB17" s="33"/>
      <c r="AE17" s="33"/>
    </row>
    <row r="18" spans="1:31" ht="16.5" x14ac:dyDescent="0.3">
      <c r="B18" s="15"/>
      <c r="C18" s="19" t="s">
        <v>198</v>
      </c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9"/>
      <c r="R18" s="600"/>
      <c r="S18" s="601"/>
      <c r="T18" s="583"/>
      <c r="U18" s="584"/>
      <c r="V18" s="585"/>
      <c r="W18" s="2"/>
      <c r="X18" s="26"/>
      <c r="Y18" s="238"/>
      <c r="Z18" s="239"/>
      <c r="AA18" s="144"/>
      <c r="AB18" s="144"/>
      <c r="AC18" s="144"/>
      <c r="AD18" s="144"/>
      <c r="AE18" s="33"/>
    </row>
    <row r="19" spans="1:31" ht="16.5" x14ac:dyDescent="0.3">
      <c r="B19" s="15"/>
      <c r="C19" s="19" t="s">
        <v>21</v>
      </c>
      <c r="D19" s="40" t="s">
        <v>22</v>
      </c>
      <c r="E19" s="2"/>
      <c r="F19" s="2"/>
      <c r="G19" s="2"/>
      <c r="H19" s="2"/>
      <c r="I19" s="2"/>
      <c r="J19" s="17"/>
      <c r="K19" s="596">
        <v>1</v>
      </c>
      <c r="L19" s="597"/>
      <c r="M19" s="598"/>
      <c r="N19" s="590">
        <f>0.41*N16</f>
        <v>0.77507716049382702</v>
      </c>
      <c r="O19" s="591"/>
      <c r="P19" s="592"/>
      <c r="Q19" s="599">
        <v>800</v>
      </c>
      <c r="R19" s="600"/>
      <c r="S19" s="601"/>
      <c r="T19" s="583">
        <f t="shared" ref="T19:T20" si="2">K19*N19*Q19</f>
        <v>620.06172839506166</v>
      </c>
      <c r="U19" s="584"/>
      <c r="V19" s="585"/>
      <c r="W19" s="2"/>
      <c r="X19" s="26"/>
      <c r="Y19" s="238"/>
      <c r="Z19" s="239"/>
      <c r="AA19" s="144"/>
      <c r="AB19" s="144"/>
      <c r="AC19" s="144"/>
      <c r="AD19" s="144"/>
      <c r="AE19" s="33"/>
    </row>
    <row r="20" spans="1:31" ht="16.5" x14ac:dyDescent="0.3">
      <c r="B20" s="41"/>
      <c r="C20" s="19" t="s">
        <v>23</v>
      </c>
      <c r="D20" s="40" t="s">
        <v>24</v>
      </c>
      <c r="E20" s="2"/>
      <c r="F20" s="2"/>
      <c r="G20" s="2"/>
      <c r="H20" s="2"/>
      <c r="I20" s="2"/>
      <c r="J20" s="17"/>
      <c r="K20" s="596">
        <v>6</v>
      </c>
      <c r="L20" s="597"/>
      <c r="M20" s="598"/>
      <c r="N20" s="590">
        <f t="shared" ref="N20" si="3">N19</f>
        <v>0.77507716049382702</v>
      </c>
      <c r="O20" s="591"/>
      <c r="P20" s="592"/>
      <c r="Q20" s="599">
        <v>400</v>
      </c>
      <c r="R20" s="600"/>
      <c r="S20" s="601"/>
      <c r="T20" s="583">
        <f t="shared" si="2"/>
        <v>1860.1851851851848</v>
      </c>
      <c r="U20" s="584"/>
      <c r="V20" s="585"/>
      <c r="W20" s="9"/>
      <c r="X20" s="2"/>
      <c r="Y20" s="238"/>
      <c r="Z20" s="239"/>
      <c r="AA20" s="144"/>
      <c r="AB20" s="144"/>
      <c r="AC20" s="144"/>
      <c r="AD20" s="144"/>
      <c r="AE20" s="33"/>
    </row>
    <row r="21" spans="1:31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7"/>
      <c r="L21" s="578"/>
      <c r="M21" s="579"/>
      <c r="N21" s="580"/>
      <c r="O21" s="578"/>
      <c r="P21" s="579"/>
      <c r="Q21" s="589"/>
      <c r="R21" s="578"/>
      <c r="S21" s="579"/>
      <c r="T21" s="583"/>
      <c r="U21" s="584"/>
      <c r="V21" s="585"/>
      <c r="W21" s="2"/>
      <c r="X21" s="2"/>
      <c r="Y21" s="238"/>
      <c r="Z21" s="239"/>
      <c r="AA21" s="144"/>
      <c r="AB21" s="144"/>
      <c r="AC21" s="144"/>
      <c r="AD21" s="144"/>
      <c r="AE21" s="33"/>
    </row>
    <row r="22" spans="1:31" ht="16.5" x14ac:dyDescent="0.3">
      <c r="A22" s="45" t="s">
        <v>26</v>
      </c>
      <c r="B22" s="46"/>
      <c r="C22" s="564" t="s">
        <v>27</v>
      </c>
      <c r="D22" s="565"/>
      <c r="E22" s="565"/>
      <c r="F22" s="565"/>
      <c r="G22" s="565"/>
      <c r="H22" s="565"/>
      <c r="I22" s="565"/>
      <c r="J22" s="56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61">
        <f>ROUND(SUM(T13:V20),2)</f>
        <v>9285.7999999999993</v>
      </c>
      <c r="U22" s="562"/>
      <c r="V22" s="563"/>
      <c r="X22" s="2"/>
      <c r="Y22" s="238"/>
      <c r="Z22" s="239"/>
      <c r="AA22" s="144"/>
      <c r="AB22" s="144"/>
      <c r="AC22" s="144"/>
      <c r="AD22" s="144"/>
      <c r="AE22" s="33"/>
    </row>
    <row r="23" spans="1:31" ht="16.5" x14ac:dyDescent="0.3">
      <c r="B23" s="571" t="s">
        <v>29</v>
      </c>
      <c r="C23" s="572"/>
      <c r="D23" s="572"/>
      <c r="E23" s="572"/>
      <c r="F23" s="572"/>
      <c r="G23" s="572"/>
      <c r="H23" s="572"/>
      <c r="I23" s="572"/>
      <c r="J23" s="573"/>
      <c r="K23" s="571" t="s">
        <v>30</v>
      </c>
      <c r="L23" s="572"/>
      <c r="M23" s="573"/>
      <c r="N23" s="571" t="s">
        <v>15</v>
      </c>
      <c r="O23" s="572"/>
      <c r="P23" s="573"/>
      <c r="Q23" s="571" t="s">
        <v>16</v>
      </c>
      <c r="R23" s="572"/>
      <c r="S23" s="573"/>
      <c r="T23" s="571" t="s">
        <v>17</v>
      </c>
      <c r="U23" s="572"/>
      <c r="V23" s="573"/>
      <c r="X23" s="2"/>
      <c r="Y23" s="238"/>
      <c r="Z23" s="239"/>
      <c r="AA23" s="144"/>
      <c r="AB23" s="144"/>
      <c r="AC23" s="144"/>
      <c r="AD23" s="144"/>
      <c r="AE23" s="33"/>
    </row>
    <row r="24" spans="1:31" ht="16.5" x14ac:dyDescent="0.3">
      <c r="B24" s="574"/>
      <c r="C24" s="575"/>
      <c r="D24" s="575"/>
      <c r="E24" s="575"/>
      <c r="F24" s="575"/>
      <c r="G24" s="575"/>
      <c r="H24" s="575"/>
      <c r="I24" s="575"/>
      <c r="J24" s="576"/>
      <c r="K24" s="574"/>
      <c r="L24" s="575"/>
      <c r="M24" s="576"/>
      <c r="N24" s="574"/>
      <c r="O24" s="575"/>
      <c r="P24" s="576"/>
      <c r="Q24" s="574"/>
      <c r="R24" s="575"/>
      <c r="S24" s="576"/>
      <c r="T24" s="574"/>
      <c r="U24" s="575"/>
      <c r="V24" s="576"/>
      <c r="X24" s="2"/>
      <c r="Y24" s="238"/>
      <c r="Z24" s="239"/>
      <c r="AA24" s="144"/>
      <c r="AB24" s="144"/>
      <c r="AC24" s="144"/>
      <c r="AD24" s="144"/>
      <c r="AE24" s="33"/>
    </row>
    <row r="25" spans="1:31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238"/>
      <c r="Z25" s="239"/>
      <c r="AA25" s="144"/>
      <c r="AB25" s="144"/>
      <c r="AC25" s="144"/>
      <c r="AD25" s="144"/>
      <c r="AE25" s="33"/>
    </row>
    <row r="26" spans="1:31" ht="16.5" x14ac:dyDescent="0.3">
      <c r="B26" s="15"/>
      <c r="C26" s="19"/>
      <c r="D26" s="40"/>
      <c r="E26" s="2"/>
      <c r="F26" s="2"/>
      <c r="G26" s="2"/>
      <c r="H26" s="2"/>
      <c r="I26" s="2"/>
      <c r="J26" s="17"/>
      <c r="K26" s="577"/>
      <c r="L26" s="578"/>
      <c r="M26" s="579"/>
      <c r="N26" s="590"/>
      <c r="O26" s="591"/>
      <c r="P26" s="592"/>
      <c r="Q26" s="586"/>
      <c r="R26" s="587"/>
      <c r="S26" s="588"/>
      <c r="T26" s="583"/>
      <c r="U26" s="584"/>
      <c r="V26" s="585"/>
      <c r="W26" s="18"/>
      <c r="X26" s="2"/>
      <c r="Y26" s="238"/>
      <c r="Z26" s="239"/>
      <c r="AA26" s="144"/>
      <c r="AB26" s="144"/>
      <c r="AC26" s="144"/>
      <c r="AD26" s="144"/>
      <c r="AE26" s="33"/>
    </row>
    <row r="27" spans="1:31" ht="16.5" x14ac:dyDescent="0.3">
      <c r="B27" s="41"/>
      <c r="C27" s="19" t="s">
        <v>104</v>
      </c>
      <c r="D27" s="40"/>
      <c r="E27" s="2"/>
      <c r="F27" s="2"/>
      <c r="G27" s="2"/>
      <c r="H27" s="2"/>
      <c r="I27" s="2"/>
      <c r="J27" s="17"/>
      <c r="K27" s="577"/>
      <c r="L27" s="578"/>
      <c r="M27" s="579"/>
      <c r="N27" s="590"/>
      <c r="O27" s="591"/>
      <c r="P27" s="592"/>
      <c r="Q27" s="586"/>
      <c r="R27" s="587"/>
      <c r="S27" s="588"/>
      <c r="T27" s="583">
        <f>0.1*T22</f>
        <v>928.57999999999993</v>
      </c>
      <c r="U27" s="584"/>
      <c r="V27" s="585"/>
      <c r="W27" s="18"/>
      <c r="X27" s="2"/>
      <c r="Y27" s="238"/>
      <c r="Z27" s="239"/>
      <c r="AA27" s="144"/>
      <c r="AB27" s="144"/>
      <c r="AC27" s="144"/>
      <c r="AD27" s="144"/>
      <c r="AE27" s="33"/>
    </row>
    <row r="28" spans="1:31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7"/>
      <c r="L28" s="578"/>
      <c r="M28" s="579"/>
      <c r="N28" s="659"/>
      <c r="O28" s="660"/>
      <c r="P28" s="661"/>
      <c r="Q28" s="586"/>
      <c r="R28" s="587"/>
      <c r="S28" s="588"/>
      <c r="T28" s="583"/>
      <c r="U28" s="584"/>
      <c r="V28" s="585"/>
      <c r="W28" s="18"/>
      <c r="X28" s="2"/>
      <c r="Y28" s="238"/>
      <c r="Z28" s="239"/>
      <c r="AA28" s="144"/>
      <c r="AB28" s="144"/>
      <c r="AC28" s="144"/>
      <c r="AD28" s="144"/>
      <c r="AE28" s="33"/>
    </row>
    <row r="29" spans="1:31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81"/>
      <c r="P29" s="582"/>
      <c r="Q29" s="580"/>
      <c r="R29" s="581"/>
      <c r="S29" s="582"/>
      <c r="T29" s="583"/>
      <c r="U29" s="584"/>
      <c r="V29" s="585"/>
      <c r="W29" s="18"/>
      <c r="X29" s="2"/>
      <c r="Y29" s="238"/>
      <c r="Z29" s="239"/>
      <c r="AA29" s="144"/>
      <c r="AB29" s="144"/>
      <c r="AC29" s="144"/>
      <c r="AD29" s="144"/>
      <c r="AE29" s="33"/>
    </row>
    <row r="30" spans="1:31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7"/>
      <c r="L30" s="578"/>
      <c r="M30" s="579"/>
      <c r="N30" s="580"/>
      <c r="O30" s="578"/>
      <c r="P30" s="579"/>
      <c r="Q30" s="580"/>
      <c r="R30" s="581"/>
      <c r="S30" s="582"/>
      <c r="T30" s="583"/>
      <c r="U30" s="584"/>
      <c r="V30" s="585"/>
      <c r="W30" s="2"/>
      <c r="X30" s="2"/>
      <c r="Y30" s="238"/>
      <c r="Z30" s="239"/>
      <c r="AA30" s="34"/>
      <c r="AB30" s="144"/>
      <c r="AC30" s="144"/>
      <c r="AD30" s="144"/>
      <c r="AE30" s="33"/>
    </row>
    <row r="31" spans="1:31" ht="16.5" x14ac:dyDescent="0.3">
      <c r="A31" s="61" t="s">
        <v>34</v>
      </c>
      <c r="B31" s="46"/>
      <c r="C31" s="564" t="s">
        <v>35</v>
      </c>
      <c r="D31" s="565"/>
      <c r="E31" s="565"/>
      <c r="F31" s="565"/>
      <c r="G31" s="565"/>
      <c r="H31" s="565"/>
      <c r="I31" s="565"/>
      <c r="J31" s="56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61">
        <f>ROUND(SUM(T26:V30),2)</f>
        <v>928.58</v>
      </c>
      <c r="U31" s="562"/>
      <c r="V31" s="563"/>
      <c r="W31" s="9"/>
      <c r="X31" s="2"/>
      <c r="Y31" s="206"/>
      <c r="Z31" s="239"/>
      <c r="AA31" s="144"/>
      <c r="AB31" s="144"/>
      <c r="AE31" s="33"/>
    </row>
    <row r="32" spans="1:31" ht="16.5" x14ac:dyDescent="0.3">
      <c r="B32" s="64" t="s">
        <v>36</v>
      </c>
      <c r="C32" s="564" t="s">
        <v>37</v>
      </c>
      <c r="D32" s="565"/>
      <c r="E32" s="565"/>
      <c r="F32" s="565"/>
      <c r="G32" s="565"/>
      <c r="H32" s="565"/>
      <c r="I32" s="565"/>
      <c r="J32" s="565"/>
      <c r="K32" s="48"/>
      <c r="L32" s="48"/>
      <c r="M32" s="48"/>
      <c r="N32" s="48"/>
      <c r="O32" s="48"/>
      <c r="P32" s="48"/>
      <c r="Q32" s="48"/>
      <c r="R32" s="48"/>
      <c r="S32" s="48"/>
      <c r="T32" s="562">
        <f>T22+T31</f>
        <v>10214.379999999999</v>
      </c>
      <c r="U32" s="562"/>
      <c r="V32" s="563"/>
      <c r="W32" s="2"/>
      <c r="X32" s="2"/>
      <c r="Y32" s="206"/>
      <c r="Z32" s="239"/>
      <c r="AA32" s="144"/>
      <c r="AB32" s="144"/>
      <c r="AE32" s="33"/>
    </row>
    <row r="33" spans="1:31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70">
        <f>E7</f>
        <v>25.92</v>
      </c>
      <c r="I33" s="565"/>
      <c r="J33" s="48" t="str">
        <f>G7</f>
        <v>SQ.M.DAY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206"/>
      <c r="Z33" s="239"/>
      <c r="AA33" s="144"/>
      <c r="AB33" s="144"/>
      <c r="AE33" s="33"/>
    </row>
    <row r="34" spans="1:31" ht="16.5" x14ac:dyDescent="0.3">
      <c r="B34" s="571" t="s">
        <v>44</v>
      </c>
      <c r="C34" s="572"/>
      <c r="D34" s="572"/>
      <c r="E34" s="572"/>
      <c r="F34" s="572"/>
      <c r="G34" s="572"/>
      <c r="H34" s="572"/>
      <c r="I34" s="572"/>
      <c r="J34" s="573"/>
      <c r="K34" s="571" t="s">
        <v>45</v>
      </c>
      <c r="L34" s="572"/>
      <c r="M34" s="573"/>
      <c r="N34" s="571" t="s">
        <v>46</v>
      </c>
      <c r="O34" s="572"/>
      <c r="P34" s="573"/>
      <c r="Q34" s="571" t="s">
        <v>47</v>
      </c>
      <c r="R34" s="572"/>
      <c r="S34" s="573"/>
      <c r="T34" s="571" t="s">
        <v>17</v>
      </c>
      <c r="U34" s="572"/>
      <c r="V34" s="573"/>
      <c r="W34" s="2"/>
      <c r="X34" s="2"/>
      <c r="Y34" s="206"/>
      <c r="Z34" s="239"/>
      <c r="AA34" s="144"/>
      <c r="AB34" s="144"/>
      <c r="AE34" s="33"/>
    </row>
    <row r="35" spans="1:31" ht="16.5" x14ac:dyDescent="0.3">
      <c r="B35" s="574"/>
      <c r="C35" s="575"/>
      <c r="D35" s="575"/>
      <c r="E35" s="575"/>
      <c r="F35" s="575"/>
      <c r="G35" s="575"/>
      <c r="H35" s="575"/>
      <c r="I35" s="575"/>
      <c r="J35" s="576"/>
      <c r="K35" s="574"/>
      <c r="L35" s="575"/>
      <c r="M35" s="576"/>
      <c r="N35" s="574"/>
      <c r="O35" s="575"/>
      <c r="P35" s="576"/>
      <c r="Q35" s="574"/>
      <c r="R35" s="575"/>
      <c r="S35" s="576"/>
      <c r="T35" s="574"/>
      <c r="U35" s="575"/>
      <c r="V35" s="576"/>
      <c r="W35" s="2"/>
      <c r="X35" s="2"/>
      <c r="Y35" s="206"/>
      <c r="Z35" s="239"/>
      <c r="AA35" s="144"/>
      <c r="AB35" s="144"/>
      <c r="AE35" s="33"/>
    </row>
    <row r="36" spans="1:31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06"/>
      <c r="Z36" s="239"/>
      <c r="AA36" s="144"/>
      <c r="AB36" s="144"/>
      <c r="AE36" s="33"/>
    </row>
    <row r="37" spans="1:31" ht="16.5" customHeight="1" x14ac:dyDescent="0.3">
      <c r="B37" s="41"/>
      <c r="C37" s="19" t="s">
        <v>21</v>
      </c>
      <c r="D37" s="40" t="s">
        <v>199</v>
      </c>
      <c r="E37" s="245"/>
      <c r="F37" s="245"/>
      <c r="G37" s="122"/>
      <c r="H37" s="122"/>
      <c r="I37" s="122"/>
      <c r="J37" s="17"/>
      <c r="K37" s="659">
        <f>0.347*E8</f>
        <v>17.003</v>
      </c>
      <c r="L37" s="660"/>
      <c r="M37" s="661"/>
      <c r="N37" s="662" t="s">
        <v>200</v>
      </c>
      <c r="O37" s="663" t="str">
        <f>IF(L37&gt;1,"bags","bag")</f>
        <v>bag</v>
      </c>
      <c r="P37" s="664" t="str">
        <f>IF(M37&gt;1,"bags","bag")</f>
        <v>bag</v>
      </c>
      <c r="Q37" s="647">
        <v>890</v>
      </c>
      <c r="R37" s="648"/>
      <c r="S37" s="649"/>
      <c r="T37" s="635">
        <f t="shared" ref="T37:T39" si="4">K37*Q37</f>
        <v>15132.67</v>
      </c>
      <c r="U37" s="636"/>
      <c r="V37" s="637"/>
      <c r="W37" s="18"/>
      <c r="X37" s="2"/>
      <c r="Y37" s="244"/>
      <c r="Z37" s="239"/>
      <c r="AA37" s="144"/>
      <c r="AB37" s="144"/>
      <c r="AC37" s="144"/>
      <c r="AD37" s="144"/>
      <c r="AE37" s="33"/>
    </row>
    <row r="38" spans="1:31" ht="16.5" customHeight="1" x14ac:dyDescent="0.3">
      <c r="B38" s="41"/>
      <c r="C38" s="19" t="s">
        <v>23</v>
      </c>
      <c r="D38" s="40" t="s">
        <v>201</v>
      </c>
      <c r="E38" s="121"/>
      <c r="F38" s="121"/>
      <c r="G38" s="200"/>
      <c r="H38" s="201"/>
      <c r="I38" s="202"/>
      <c r="J38" s="17"/>
      <c r="K38" s="659">
        <f>7.19*E8</f>
        <v>352.31</v>
      </c>
      <c r="L38" s="660"/>
      <c r="M38" s="661"/>
      <c r="N38" s="662" t="s">
        <v>202</v>
      </c>
      <c r="O38" s="663" t="str">
        <f t="shared" ref="O38:P39" si="5">IF(L38&gt;1,"cu.m.","cu.m.")</f>
        <v>cu.m.</v>
      </c>
      <c r="P38" s="664" t="str">
        <f t="shared" si="5"/>
        <v>cu.m.</v>
      </c>
      <c r="Q38" s="647">
        <v>35</v>
      </c>
      <c r="R38" s="648"/>
      <c r="S38" s="649"/>
      <c r="T38" s="635">
        <f t="shared" si="4"/>
        <v>12330.85</v>
      </c>
      <c r="U38" s="636"/>
      <c r="V38" s="637"/>
      <c r="W38" s="132"/>
      <c r="X38" s="2"/>
      <c r="Y38" s="206"/>
      <c r="Z38" s="239"/>
      <c r="AA38" s="144"/>
      <c r="AB38" s="144"/>
      <c r="AC38" s="144"/>
      <c r="AD38" s="144"/>
      <c r="AE38" s="33"/>
    </row>
    <row r="39" spans="1:31" ht="16.5" customHeight="1" x14ac:dyDescent="0.3">
      <c r="B39" s="41"/>
      <c r="C39" s="19" t="s">
        <v>78</v>
      </c>
      <c r="D39" s="40" t="s">
        <v>203</v>
      </c>
      <c r="E39" s="121"/>
      <c r="F39" s="121"/>
      <c r="G39" s="206"/>
      <c r="H39" s="202"/>
      <c r="I39" s="202"/>
      <c r="J39" s="17"/>
      <c r="K39" s="659">
        <f>0.21*E8</f>
        <v>10.29</v>
      </c>
      <c r="L39" s="660"/>
      <c r="M39" s="661"/>
      <c r="N39" s="662" t="s">
        <v>166</v>
      </c>
      <c r="O39" s="663" t="str">
        <f t="shared" si="5"/>
        <v>cu.m.</v>
      </c>
      <c r="P39" s="664" t="str">
        <f t="shared" si="5"/>
        <v>cu.m.</v>
      </c>
      <c r="Q39" s="647">
        <v>75</v>
      </c>
      <c r="R39" s="648"/>
      <c r="S39" s="649"/>
      <c r="T39" s="635">
        <f t="shared" si="4"/>
        <v>771.74999999999989</v>
      </c>
      <c r="U39" s="636"/>
      <c r="V39" s="637"/>
      <c r="W39" s="132"/>
      <c r="X39" s="2"/>
      <c r="Y39" s="142"/>
      <c r="Z39" s="142"/>
      <c r="AA39" s="143"/>
      <c r="AB39" s="144"/>
      <c r="AC39" s="144"/>
      <c r="AD39" s="144"/>
      <c r="AE39" s="33"/>
    </row>
    <row r="40" spans="1:31" ht="16.5" customHeight="1" x14ac:dyDescent="0.3">
      <c r="B40" s="41"/>
      <c r="C40" s="19" t="s">
        <v>94</v>
      </c>
      <c r="D40" s="665" t="s">
        <v>193</v>
      </c>
      <c r="E40" s="665"/>
      <c r="F40" s="665"/>
      <c r="G40" s="665"/>
      <c r="H40" s="665"/>
      <c r="I40" s="665"/>
      <c r="J40" s="666"/>
      <c r="K40" s="667"/>
      <c r="L40" s="668"/>
      <c r="M40" s="669"/>
      <c r="N40" s="670"/>
      <c r="O40" s="671"/>
      <c r="P40" s="672"/>
      <c r="Q40" s="647"/>
      <c r="R40" s="648"/>
      <c r="S40" s="649"/>
      <c r="T40" s="635">
        <f>0.05*SUM(T37:V39)</f>
        <v>1411.7635</v>
      </c>
      <c r="U40" s="636"/>
      <c r="V40" s="637"/>
      <c r="W40" s="18"/>
      <c r="X40" s="2"/>
      <c r="Y40" s="142"/>
      <c r="Z40" s="142"/>
      <c r="AA40" s="143"/>
      <c r="AB40" s="144"/>
      <c r="AC40" s="144"/>
      <c r="AD40" s="144"/>
      <c r="AE40" s="141"/>
    </row>
    <row r="41" spans="1:31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9"/>
      <c r="L41" s="660"/>
      <c r="M41" s="661"/>
      <c r="N41" s="662"/>
      <c r="O41" s="663"/>
      <c r="P41" s="664"/>
      <c r="Q41" s="647"/>
      <c r="R41" s="648"/>
      <c r="S41" s="649"/>
      <c r="T41" s="635"/>
      <c r="U41" s="636"/>
      <c r="V41" s="637"/>
      <c r="W41" s="18"/>
      <c r="X41" s="149"/>
      <c r="Y41" s="33"/>
      <c r="Z41" s="33"/>
      <c r="AA41" s="34"/>
      <c r="AB41" s="33"/>
      <c r="AC41" s="34"/>
      <c r="AD41" s="34"/>
      <c r="AE41" s="141"/>
    </row>
    <row r="42" spans="1:31" ht="16.5" x14ac:dyDescent="0.3">
      <c r="B42" s="41"/>
      <c r="C42" s="19"/>
      <c r="D42" s="40"/>
      <c r="E42" s="245"/>
      <c r="F42" s="245"/>
      <c r="G42" s="122"/>
      <c r="H42" s="122"/>
      <c r="I42" s="122"/>
      <c r="J42" s="17"/>
      <c r="K42" s="659"/>
      <c r="L42" s="660"/>
      <c r="M42" s="661"/>
      <c r="N42" s="662"/>
      <c r="O42" s="663"/>
      <c r="P42" s="664"/>
      <c r="Q42" s="647"/>
      <c r="R42" s="648"/>
      <c r="S42" s="649"/>
      <c r="T42" s="635"/>
      <c r="U42" s="636"/>
      <c r="V42" s="637"/>
      <c r="W42" s="2"/>
      <c r="X42" s="149"/>
      <c r="Y42" s="33"/>
      <c r="Z42" s="33"/>
      <c r="AA42" s="34"/>
      <c r="AB42" s="33"/>
      <c r="AC42" s="34"/>
      <c r="AD42" s="34"/>
      <c r="AE42" s="141"/>
    </row>
    <row r="43" spans="1:31" ht="16.5" x14ac:dyDescent="0.3">
      <c r="B43" s="41"/>
      <c r="C43" s="19"/>
      <c r="D43" s="40"/>
      <c r="E43" s="121"/>
      <c r="F43" s="121"/>
      <c r="G43" s="200"/>
      <c r="H43" s="201"/>
      <c r="I43" s="202"/>
      <c r="J43" s="17"/>
      <c r="K43" s="659"/>
      <c r="L43" s="660"/>
      <c r="M43" s="661"/>
      <c r="N43" s="662"/>
      <c r="O43" s="663"/>
      <c r="P43" s="664"/>
      <c r="Q43" s="647"/>
      <c r="R43" s="648"/>
      <c r="S43" s="649"/>
      <c r="T43" s="635"/>
      <c r="U43" s="636"/>
      <c r="V43" s="637"/>
      <c r="W43" s="2"/>
      <c r="X43" s="149"/>
      <c r="Y43" s="139"/>
      <c r="Z43" s="33"/>
      <c r="AA43" s="34"/>
      <c r="AB43" s="33"/>
      <c r="AC43" s="34"/>
      <c r="AD43" s="34"/>
      <c r="AE43" s="141"/>
    </row>
    <row r="44" spans="1:31" ht="16.5" x14ac:dyDescent="0.3">
      <c r="B44" s="41"/>
      <c r="C44" s="19"/>
      <c r="D44" s="40"/>
      <c r="E44" s="121"/>
      <c r="F44" s="121"/>
      <c r="G44" s="206"/>
      <c r="H44" s="202"/>
      <c r="I44" s="202"/>
      <c r="J44" s="17"/>
      <c r="K44" s="659"/>
      <c r="L44" s="660"/>
      <c r="M44" s="661"/>
      <c r="N44" s="662"/>
      <c r="O44" s="663"/>
      <c r="P44" s="664"/>
      <c r="Q44" s="647"/>
      <c r="R44" s="648"/>
      <c r="S44" s="649"/>
      <c r="T44" s="635"/>
      <c r="U44" s="636"/>
      <c r="V44" s="637"/>
      <c r="W44" s="2"/>
      <c r="X44" s="149"/>
      <c r="Y44" s="33"/>
      <c r="Z44" s="34"/>
      <c r="AA44" s="34"/>
      <c r="AB44" s="34"/>
      <c r="AC44" s="34"/>
      <c r="AD44" s="34"/>
      <c r="AE44" s="141"/>
    </row>
    <row r="45" spans="1:31" ht="16.5" x14ac:dyDescent="0.3">
      <c r="B45" s="41"/>
      <c r="C45" s="19"/>
      <c r="D45" s="40"/>
      <c r="E45" s="121"/>
      <c r="F45" s="121"/>
      <c r="G45" s="206"/>
      <c r="H45" s="202"/>
      <c r="I45" s="202"/>
      <c r="J45" s="17"/>
      <c r="K45" s="123"/>
      <c r="L45" s="124"/>
      <c r="M45" s="125"/>
      <c r="N45" s="241"/>
      <c r="O45" s="242"/>
      <c r="P45" s="243"/>
      <c r="Q45" s="105"/>
      <c r="R45" s="106"/>
      <c r="S45" s="107"/>
      <c r="T45" s="213"/>
      <c r="U45" s="214"/>
      <c r="V45" s="215"/>
      <c r="W45" s="2"/>
      <c r="X45" s="149"/>
      <c r="Y45" s="142"/>
      <c r="Z45" s="143"/>
      <c r="AA45" s="144"/>
      <c r="AB45" s="144"/>
      <c r="AC45" s="34"/>
      <c r="AD45" s="34"/>
      <c r="AE45" s="141"/>
    </row>
    <row r="46" spans="1:31" ht="16.5" customHeight="1" x14ac:dyDescent="0.3">
      <c r="B46" s="41"/>
      <c r="C46" s="40"/>
      <c r="D46" s="199"/>
      <c r="E46" s="121"/>
      <c r="F46" s="121"/>
      <c r="G46" s="206"/>
      <c r="H46" s="202"/>
      <c r="I46" s="202"/>
      <c r="J46" s="17"/>
      <c r="K46" s="207"/>
      <c r="L46" s="208"/>
      <c r="M46" s="209"/>
      <c r="N46" s="210"/>
      <c r="O46" s="211"/>
      <c r="P46" s="212"/>
      <c r="Q46" s="89"/>
      <c r="R46" s="90"/>
      <c r="S46" s="91"/>
      <c r="T46" s="213"/>
      <c r="U46" s="214"/>
      <c r="V46" s="215"/>
      <c r="W46" s="2"/>
      <c r="X46" s="149"/>
      <c r="Y46" s="139"/>
      <c r="Z46" s="33"/>
      <c r="AA46" s="140"/>
      <c r="AB46" s="141"/>
      <c r="AC46" s="34"/>
      <c r="AD46" s="34"/>
      <c r="AE46" s="141"/>
    </row>
    <row r="47" spans="1:31" ht="16.5" x14ac:dyDescent="0.3">
      <c r="A47" s="45" t="s">
        <v>51</v>
      </c>
      <c r="B47" s="46"/>
      <c r="C47" s="564" t="s">
        <v>52</v>
      </c>
      <c r="D47" s="565"/>
      <c r="E47" s="565"/>
      <c r="F47" s="565"/>
      <c r="G47" s="565"/>
      <c r="H47" s="565"/>
      <c r="I47" s="565"/>
      <c r="J47" s="56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61">
        <f>ROUND(SUM(T37:V46),2)</f>
        <v>29647.03</v>
      </c>
      <c r="U47" s="562"/>
      <c r="V47" s="563"/>
      <c r="W47" s="2"/>
      <c r="X47" s="149"/>
      <c r="Y47" s="142"/>
      <c r="Z47" s="143"/>
      <c r="AA47" s="144"/>
      <c r="AB47" s="144"/>
      <c r="AC47" s="34"/>
      <c r="AD47" s="34"/>
      <c r="AE47" s="141"/>
    </row>
    <row r="48" spans="1:31" ht="16.5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61">
        <f>T32+T47</f>
        <v>39861.409999999996</v>
      </c>
      <c r="U48" s="562"/>
      <c r="V48" s="563"/>
      <c r="W48" s="2"/>
      <c r="X48" s="149"/>
      <c r="Y48" s="33"/>
      <c r="Z48" s="34"/>
      <c r="AA48" s="140"/>
      <c r="AB48" s="140"/>
      <c r="AC48" s="34"/>
      <c r="AD48" s="34"/>
      <c r="AE48" s="141"/>
    </row>
    <row r="49" spans="1:31" ht="16.5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67">
        <f>T48*N49</f>
        <v>1993.0704999999998</v>
      </c>
      <c r="U49" s="568"/>
      <c r="V49" s="569"/>
      <c r="W49" s="2"/>
      <c r="X49" s="149"/>
      <c r="Y49" s="142"/>
      <c r="Z49" s="142"/>
      <c r="AA49" s="143"/>
      <c r="AB49" s="144"/>
      <c r="AC49" s="34"/>
      <c r="AD49" s="34"/>
      <c r="AE49" s="141"/>
    </row>
    <row r="50" spans="1:31" ht="16.5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67">
        <f>T48*N50</f>
        <v>3986.1409999999996</v>
      </c>
      <c r="U50" s="568"/>
      <c r="V50" s="569"/>
      <c r="W50" s="2"/>
      <c r="X50" s="9"/>
      <c r="Y50" s="33"/>
      <c r="Z50" s="33"/>
      <c r="AA50" s="34"/>
      <c r="AB50" s="33"/>
      <c r="AC50" s="34"/>
      <c r="AD50" s="34"/>
      <c r="AE50" s="141"/>
    </row>
    <row r="51" spans="1:31" ht="16.5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67">
        <f>(T48+T49+T50)*N51</f>
        <v>0</v>
      </c>
      <c r="U51" s="568"/>
      <c r="V51" s="569"/>
      <c r="W51" s="2"/>
      <c r="X51" s="2"/>
      <c r="Y51" s="33"/>
      <c r="Z51" s="33"/>
      <c r="AA51" s="34"/>
      <c r="AB51" s="33"/>
      <c r="AC51" s="34"/>
      <c r="AD51" s="34"/>
      <c r="AE51" s="141"/>
    </row>
    <row r="52" spans="1:31" ht="16.5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61">
        <f>SUM(T48:V51)</f>
        <v>45840.621499999994</v>
      </c>
      <c r="U52" s="562"/>
      <c r="V52" s="563"/>
      <c r="W52" s="2"/>
      <c r="X52" s="2"/>
      <c r="Y52" s="33"/>
      <c r="Z52" s="33"/>
      <c r="AA52" s="34"/>
      <c r="AB52" s="33"/>
      <c r="AC52" s="34"/>
      <c r="AD52" s="34"/>
      <c r="AE52" s="141"/>
    </row>
    <row r="53" spans="1:31" ht="16.5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61">
        <f>T52/E8</f>
        <v>935.52288775510192</v>
      </c>
      <c r="U53" s="562"/>
      <c r="V53" s="563"/>
      <c r="W53" s="132"/>
      <c r="X53" s="2"/>
      <c r="Y53" s="33"/>
      <c r="Z53" s="248"/>
      <c r="AA53" s="124"/>
      <c r="AB53" s="116"/>
      <c r="AC53" s="34"/>
      <c r="AD53" s="34"/>
      <c r="AE53" s="141"/>
    </row>
    <row r="54" spans="1:31" ht="1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33"/>
      <c r="Z54" s="248"/>
      <c r="AA54" s="248"/>
      <c r="AB54" s="249"/>
      <c r="AC54" s="34"/>
      <c r="AD54" s="34"/>
      <c r="AE54" s="141"/>
    </row>
    <row r="55" spans="1:31" ht="16.5" x14ac:dyDescent="0.3">
      <c r="L55" s="2"/>
      <c r="M55" s="2"/>
      <c r="N55" s="2"/>
      <c r="X55" s="9"/>
      <c r="Z55" s="250"/>
      <c r="AA55" s="248"/>
      <c r="AB55" s="248"/>
      <c r="AE55" s="141"/>
    </row>
    <row r="56" spans="1:31" ht="16.5" x14ac:dyDescent="0.3">
      <c r="X56" s="2"/>
      <c r="Z56" s="250"/>
      <c r="AA56" s="248"/>
      <c r="AB56" s="248"/>
      <c r="AE56" s="141"/>
    </row>
    <row r="57" spans="1:31" ht="16.5" x14ac:dyDescent="0.3">
      <c r="X57" s="2"/>
      <c r="AE57" s="141"/>
    </row>
    <row r="58" spans="1:31" ht="16.5" x14ac:dyDescent="0.25">
      <c r="AE58" s="141"/>
    </row>
    <row r="59" spans="1:31" ht="16.5" x14ac:dyDescent="0.25">
      <c r="Z59" s="251"/>
      <c r="AA59" s="252"/>
      <c r="AE59" s="141"/>
    </row>
    <row r="60" spans="1:31" ht="16.5" x14ac:dyDescent="0.25">
      <c r="AE60" s="141"/>
    </row>
    <row r="61" spans="1:31" ht="16.5" x14ac:dyDescent="0.25">
      <c r="Z61" s="26"/>
      <c r="AE61" s="141"/>
    </row>
    <row r="62" spans="1:31" ht="16.5" x14ac:dyDescent="0.25">
      <c r="Z62" s="26"/>
      <c r="AA62" s="188"/>
      <c r="AE62" s="33"/>
    </row>
    <row r="63" spans="1:31" ht="16.5" x14ac:dyDescent="0.25">
      <c r="AE63" s="33"/>
    </row>
    <row r="64" spans="1:31" ht="16.5" x14ac:dyDescent="0.25">
      <c r="AE64" s="33"/>
    </row>
    <row r="65" spans="31:31" ht="16.5" x14ac:dyDescent="0.25">
      <c r="AE65" s="33"/>
    </row>
    <row r="66" spans="31:31" ht="16.5" x14ac:dyDescent="0.25">
      <c r="AE66" s="33"/>
    </row>
    <row r="67" spans="31:31" ht="16.5" x14ac:dyDescent="0.25">
      <c r="AE67" s="33"/>
    </row>
    <row r="68" spans="31:31" ht="16.5" x14ac:dyDescent="0.25">
      <c r="AE68" s="33"/>
    </row>
    <row r="69" spans="31:31" ht="16.5" x14ac:dyDescent="0.25">
      <c r="AE69" s="33"/>
    </row>
    <row r="70" spans="31:31" ht="16.5" x14ac:dyDescent="0.25">
      <c r="AE70" s="33"/>
    </row>
    <row r="71" spans="31:31" ht="16.5" x14ac:dyDescent="0.25">
      <c r="AE71" s="33"/>
    </row>
    <row r="72" spans="31:31" ht="16.5" x14ac:dyDescent="0.25">
      <c r="AE72" s="33"/>
    </row>
    <row r="73" spans="31:31" ht="16.5" x14ac:dyDescent="0.25">
      <c r="AE73" s="33"/>
    </row>
    <row r="74" spans="31:31" ht="16.5" x14ac:dyDescent="0.25">
      <c r="AE74" s="34"/>
    </row>
    <row r="75" spans="31:31" ht="16.5" x14ac:dyDescent="0.25">
      <c r="AE75" s="34"/>
    </row>
    <row r="76" spans="31:31" ht="16.5" x14ac:dyDescent="0.25">
      <c r="AE76" s="34"/>
    </row>
    <row r="77" spans="31:31" ht="16.5" x14ac:dyDescent="0.25">
      <c r="AE77" s="34"/>
    </row>
    <row r="78" spans="31:31" ht="16.5" x14ac:dyDescent="0.25">
      <c r="AE78" s="34"/>
    </row>
    <row r="79" spans="31:31" ht="16.5" x14ac:dyDescent="0.25">
      <c r="AE79" s="34"/>
    </row>
    <row r="80" spans="31:31" ht="16.5" x14ac:dyDescent="0.25">
      <c r="AE80" s="34"/>
    </row>
    <row r="81" spans="31:31" ht="16.5" x14ac:dyDescent="0.25">
      <c r="AE81" s="34"/>
    </row>
    <row r="82" spans="31:31" ht="16.5" x14ac:dyDescent="0.25">
      <c r="AE82" s="34"/>
    </row>
    <row r="83" spans="31:31" ht="16.5" x14ac:dyDescent="0.25">
      <c r="AE83" s="34"/>
    </row>
    <row r="84" spans="31:31" ht="16.5" x14ac:dyDescent="0.25">
      <c r="AE84" s="34"/>
    </row>
    <row r="85" spans="31:31" ht="16.5" x14ac:dyDescent="0.25">
      <c r="AE85" s="34"/>
    </row>
    <row r="86" spans="31:31" ht="16.5" x14ac:dyDescent="0.25">
      <c r="AE86" s="34"/>
    </row>
    <row r="87" spans="31:31" ht="16.5" x14ac:dyDescent="0.25">
      <c r="AE87" s="34"/>
    </row>
    <row r="88" spans="31:31" ht="16.5" x14ac:dyDescent="0.25">
      <c r="AE88" s="34"/>
    </row>
    <row r="89" spans="31:31" ht="16.5" x14ac:dyDescent="0.25">
      <c r="AE89" s="34"/>
    </row>
    <row r="90" spans="31:31" ht="16.5" x14ac:dyDescent="0.25">
      <c r="AE90" s="34"/>
    </row>
    <row r="91" spans="31:31" ht="16.5" x14ac:dyDescent="0.25">
      <c r="AE91" s="34"/>
    </row>
    <row r="111" spans="32:32" x14ac:dyDescent="0.25">
      <c r="AF111" s="1">
        <f>250*14</f>
        <v>3500</v>
      </c>
    </row>
    <row r="112" spans="32:32" x14ac:dyDescent="0.25">
      <c r="AF112" s="1">
        <f>250-80</f>
        <v>170</v>
      </c>
    </row>
    <row r="113" spans="32:32" x14ac:dyDescent="0.25">
      <c r="AF113" s="1">
        <f>2500/170</f>
        <v>14.705882352941176</v>
      </c>
    </row>
  </sheetData>
  <mergeCells count="127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20:M20"/>
    <mergeCell ref="N20:P20"/>
    <mergeCell ref="Q20:S20"/>
    <mergeCell ref="T20:V20"/>
    <mergeCell ref="K21:M21"/>
    <mergeCell ref="N21:P21"/>
    <mergeCell ref="Q21:S21"/>
    <mergeCell ref="T21:V21"/>
    <mergeCell ref="K17:M17"/>
    <mergeCell ref="N17:P17"/>
    <mergeCell ref="Q17:S17"/>
    <mergeCell ref="T17:V17"/>
    <mergeCell ref="K18:M18"/>
    <mergeCell ref="N18:P18"/>
    <mergeCell ref="Q18:S18"/>
    <mergeCell ref="T18:V18"/>
    <mergeCell ref="K26:M26"/>
    <mergeCell ref="N26:P26"/>
    <mergeCell ref="Q26:S26"/>
    <mergeCell ref="T26:V26"/>
    <mergeCell ref="K27:M27"/>
    <mergeCell ref="N27:P27"/>
    <mergeCell ref="Q27:S27"/>
    <mergeCell ref="T27:V27"/>
    <mergeCell ref="C22:J22"/>
    <mergeCell ref="T22:V22"/>
    <mergeCell ref="B23:J24"/>
    <mergeCell ref="K23:M24"/>
    <mergeCell ref="N23:P24"/>
    <mergeCell ref="Q23:S24"/>
    <mergeCell ref="T23:V24"/>
    <mergeCell ref="K30:M30"/>
    <mergeCell ref="N30:P30"/>
    <mergeCell ref="Q30:S30"/>
    <mergeCell ref="T30:V30"/>
    <mergeCell ref="C31:J31"/>
    <mergeCell ref="T31:V31"/>
    <mergeCell ref="K28:M28"/>
    <mergeCell ref="N28:P28"/>
    <mergeCell ref="Q28:S28"/>
    <mergeCell ref="T28:V28"/>
    <mergeCell ref="K29:M29"/>
    <mergeCell ref="N29:P29"/>
    <mergeCell ref="Q29:S29"/>
    <mergeCell ref="T29:V29"/>
    <mergeCell ref="K37:M37"/>
    <mergeCell ref="N37:P37"/>
    <mergeCell ref="Q37:S37"/>
    <mergeCell ref="T37:V37"/>
    <mergeCell ref="K38:M38"/>
    <mergeCell ref="N38:P38"/>
    <mergeCell ref="Q38:S38"/>
    <mergeCell ref="T38:V38"/>
    <mergeCell ref="C32:J32"/>
    <mergeCell ref="T32:V32"/>
    <mergeCell ref="H33:I33"/>
    <mergeCell ref="B34:J35"/>
    <mergeCell ref="K34:M35"/>
    <mergeCell ref="N34:P35"/>
    <mergeCell ref="Q34:S35"/>
    <mergeCell ref="T34:V35"/>
    <mergeCell ref="K42:M42"/>
    <mergeCell ref="N42:P42"/>
    <mergeCell ref="Q42:S42"/>
    <mergeCell ref="T42:V42"/>
    <mergeCell ref="K39:M39"/>
    <mergeCell ref="N39:P39"/>
    <mergeCell ref="Q39:S39"/>
    <mergeCell ref="T39:V39"/>
    <mergeCell ref="D40:J40"/>
    <mergeCell ref="K40:M40"/>
    <mergeCell ref="N40:P40"/>
    <mergeCell ref="Q40:S40"/>
    <mergeCell ref="T40:V40"/>
    <mergeCell ref="T52:V52"/>
    <mergeCell ref="T53:V53"/>
    <mergeCell ref="K19:M19"/>
    <mergeCell ref="N19:P19"/>
    <mergeCell ref="Q19:S19"/>
    <mergeCell ref="T19:V19"/>
    <mergeCell ref="C47:J47"/>
    <mergeCell ref="T47:V47"/>
    <mergeCell ref="T48:V48"/>
    <mergeCell ref="T49:V49"/>
    <mergeCell ref="T50:V50"/>
    <mergeCell ref="T51:V51"/>
    <mergeCell ref="K43:M43"/>
    <mergeCell ref="N43:P43"/>
    <mergeCell ref="Q43:S43"/>
    <mergeCell ref="T43:V43"/>
    <mergeCell ref="K44:M44"/>
    <mergeCell ref="N44:P44"/>
    <mergeCell ref="Q44:S44"/>
    <mergeCell ref="T44:V44"/>
    <mergeCell ref="K41:M41"/>
    <mergeCell ref="N41:P41"/>
    <mergeCell ref="Q41:S41"/>
    <mergeCell ref="T41:V4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5825-0A47-B34D-98BE-1BE4FAAFB9E8}">
  <sheetPr codeName="Sheet14">
    <tabColor theme="9" tint="0.39997558519241921"/>
    <pageSetUpPr fitToPage="1"/>
  </sheetPr>
  <dimension ref="A1:AM68"/>
  <sheetViews>
    <sheetView view="pageBreakPreview" topLeftCell="A10" zoomScale="85" zoomScaleNormal="85" zoomScaleSheetLayoutView="85" workbookViewId="0">
      <selection activeCell="Q25" sqref="Q25:S25"/>
    </sheetView>
  </sheetViews>
  <sheetFormatPr defaultColWidth="9.140625" defaultRowHeight="16.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28.7109375" style="33" customWidth="1"/>
    <col min="25" max="25" width="15" style="33" customWidth="1"/>
    <col min="26" max="26" width="13.42578125" style="34" customWidth="1"/>
    <col min="27" max="27" width="14.85546875" style="33" customWidth="1"/>
    <col min="28" max="28" width="17.140625" style="33" customWidth="1"/>
    <col min="29" max="29" width="9.140625" style="33"/>
    <col min="30" max="30" width="10.42578125" style="33" customWidth="1"/>
    <col min="31" max="33" width="8.7109375" style="33" customWidth="1"/>
    <col min="34" max="34" width="13.42578125" style="33" customWidth="1"/>
    <col min="35" max="35" width="27.28515625" style="33" customWidth="1"/>
    <col min="36" max="36" width="14.140625" style="33" customWidth="1"/>
    <col min="37" max="37" width="15.7109375" style="33" customWidth="1"/>
    <col min="38" max="39" width="9.140625" style="33"/>
    <col min="40" max="16384" width="9.140625" style="1"/>
  </cols>
  <sheetData>
    <row r="1" spans="1:39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</row>
    <row r="2" spans="1:3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Y2" s="33" t="s">
        <v>102</v>
      </c>
      <c r="Z2" s="39">
        <v>1</v>
      </c>
      <c r="AA2" s="34"/>
    </row>
    <row r="3" spans="1:39" s="4" customFormat="1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33"/>
      <c r="Y3" s="33"/>
      <c r="Z3" s="34"/>
      <c r="AA3" s="34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</row>
    <row r="4" spans="1:39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142"/>
      <c r="Y4" s="39"/>
      <c r="Z4" s="39"/>
      <c r="AA4" s="39"/>
      <c r="AB4" s="39"/>
      <c r="AE4" s="34"/>
      <c r="AF4" s="39"/>
      <c r="AG4" s="39"/>
      <c r="AH4" s="39"/>
      <c r="AI4" s="39"/>
      <c r="AJ4" s="39"/>
      <c r="AK4" s="253"/>
      <c r="AL4" s="132">
        <f>SUM(AJ4:AJ5)</f>
        <v>0</v>
      </c>
    </row>
    <row r="5" spans="1:39" s="4" customFormat="1" ht="16.5" customHeight="1" x14ac:dyDescent="0.3">
      <c r="A5" s="6" t="s">
        <v>2</v>
      </c>
      <c r="B5" s="5" t="s">
        <v>3</v>
      </c>
      <c r="C5" s="5"/>
      <c r="D5" s="5"/>
      <c r="E5" s="578">
        <v>1046</v>
      </c>
      <c r="F5" s="578"/>
      <c r="G5" s="605" t="s">
        <v>103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142"/>
      <c r="Y5" s="39"/>
      <c r="Z5" s="39"/>
      <c r="AA5" s="39"/>
      <c r="AB5" s="39"/>
      <c r="AC5" s="33"/>
      <c r="AD5" s="33"/>
      <c r="AE5" s="39"/>
      <c r="AF5" s="39"/>
      <c r="AG5" s="39"/>
      <c r="AH5" s="39"/>
      <c r="AI5" s="39"/>
      <c r="AJ5" s="39"/>
      <c r="AK5" s="253"/>
      <c r="AL5" s="33"/>
      <c r="AM5" s="33"/>
    </row>
    <row r="6" spans="1:39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142"/>
      <c r="Y6" s="62"/>
      <c r="Z6" s="62"/>
      <c r="AA6" s="39"/>
      <c r="AB6" s="39"/>
      <c r="AC6" s="34"/>
      <c r="AD6" s="34"/>
      <c r="AE6" s="39"/>
      <c r="AF6" s="62"/>
      <c r="AG6" s="62"/>
      <c r="AH6" s="62"/>
      <c r="AI6" s="62"/>
      <c r="AJ6" s="62"/>
      <c r="AK6" s="253"/>
    </row>
    <row r="7" spans="1:39" x14ac:dyDescent="0.3">
      <c r="B7" s="2" t="s">
        <v>9</v>
      </c>
      <c r="C7" s="2"/>
      <c r="D7" s="2"/>
      <c r="E7" s="581">
        <f>3.825*8*Z2</f>
        <v>30.6</v>
      </c>
      <c r="F7" s="581"/>
      <c r="G7" s="2" t="str">
        <f>CONCATENATE(G8,"/DAY")</f>
        <v>SQ.M./DAY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142"/>
      <c r="Y7" s="62"/>
      <c r="Z7" s="62"/>
      <c r="AA7" s="39"/>
      <c r="AB7" s="39"/>
      <c r="AC7" s="34"/>
      <c r="AD7" s="34"/>
      <c r="AE7" s="39"/>
      <c r="AF7" s="62"/>
      <c r="AG7" s="62"/>
      <c r="AH7" s="62"/>
      <c r="AI7" s="62"/>
      <c r="AJ7" s="62"/>
      <c r="AK7" s="253"/>
    </row>
    <row r="8" spans="1:39" x14ac:dyDescent="0.3">
      <c r="A8" s="8" t="s">
        <v>11</v>
      </c>
      <c r="B8" s="2" t="s">
        <v>12</v>
      </c>
      <c r="C8" s="2"/>
      <c r="D8" s="2"/>
      <c r="E8" s="600">
        <f>'INPUT DATA'!C20</f>
        <v>189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42"/>
      <c r="Y8" s="62"/>
      <c r="Z8" s="62"/>
      <c r="AB8" s="62"/>
      <c r="AC8" s="34"/>
      <c r="AD8" s="39"/>
      <c r="AJ8" s="39"/>
      <c r="AK8" s="253"/>
    </row>
    <row r="9" spans="1:39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42"/>
      <c r="Y9" s="62"/>
      <c r="Z9" s="62"/>
      <c r="AB9" s="62"/>
      <c r="AC9" s="34"/>
      <c r="AD9" s="39"/>
      <c r="AJ9" s="39"/>
      <c r="AK9" s="253"/>
    </row>
    <row r="10" spans="1:39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142"/>
      <c r="Y10" s="62"/>
      <c r="Z10" s="62"/>
      <c r="AB10" s="62"/>
      <c r="AC10" s="34"/>
      <c r="AD10" s="34"/>
    </row>
    <row r="11" spans="1:39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142"/>
      <c r="Y11" s="62"/>
      <c r="Z11" s="62"/>
      <c r="AB11" s="62"/>
      <c r="AC11" s="34"/>
      <c r="AD11" s="34"/>
    </row>
    <row r="12" spans="1:39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42"/>
      <c r="Y12" s="62"/>
      <c r="Z12" s="62"/>
      <c r="AB12" s="62"/>
      <c r="AC12" s="34"/>
    </row>
    <row r="13" spans="1:39" x14ac:dyDescent="0.3">
      <c r="A13" s="8"/>
      <c r="B13" s="15"/>
      <c r="C13" s="19" t="s">
        <v>90</v>
      </c>
      <c r="D13" s="60"/>
      <c r="E13" s="2"/>
      <c r="F13" s="2"/>
      <c r="G13" s="2"/>
      <c r="H13" s="2"/>
      <c r="I13" s="179"/>
      <c r="J13" s="17"/>
      <c r="K13" s="577"/>
      <c r="L13" s="578"/>
      <c r="M13" s="579"/>
      <c r="N13" s="590"/>
      <c r="O13" s="591"/>
      <c r="P13" s="592"/>
      <c r="Q13" s="593"/>
      <c r="R13" s="594"/>
      <c r="S13" s="595"/>
      <c r="T13" s="583"/>
      <c r="U13" s="584"/>
      <c r="V13" s="585"/>
      <c r="W13" s="2"/>
      <c r="X13" s="142"/>
      <c r="Y13" s="62"/>
      <c r="Z13" s="62"/>
      <c r="AB13" s="62"/>
      <c r="AC13" s="34"/>
    </row>
    <row r="14" spans="1:39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90">
        <f>E8/E7</f>
        <v>6.1764705882352935</v>
      </c>
      <c r="O14" s="591"/>
      <c r="P14" s="592"/>
      <c r="Q14" s="599">
        <v>800</v>
      </c>
      <c r="R14" s="600"/>
      <c r="S14" s="601"/>
      <c r="T14" s="583">
        <f t="shared" ref="T14:T16" si="0">K14*N14*Q14</f>
        <v>4941.1764705882351</v>
      </c>
      <c r="U14" s="584"/>
      <c r="V14" s="585"/>
      <c r="W14" s="2"/>
      <c r="X14" s="142"/>
      <c r="Y14" s="62"/>
      <c r="Z14" s="62"/>
      <c r="AB14" s="62"/>
      <c r="AC14" s="34"/>
      <c r="AE14" s="216"/>
      <c r="AF14" s="216"/>
      <c r="AG14" s="216"/>
      <c r="AH14" s="254"/>
      <c r="AI14" s="688"/>
      <c r="AJ14" s="688"/>
      <c r="AM14" s="1"/>
    </row>
    <row r="15" spans="1:39" x14ac:dyDescent="0.3">
      <c r="B15" s="15"/>
      <c r="C15" s="19" t="s">
        <v>23</v>
      </c>
      <c r="D15" s="40" t="s">
        <v>91</v>
      </c>
      <c r="E15" s="2"/>
      <c r="F15" s="2"/>
      <c r="G15" s="2"/>
      <c r="H15" s="2"/>
      <c r="I15" s="2"/>
      <c r="J15" s="17"/>
      <c r="K15" s="596">
        <f>2*Z2</f>
        <v>2</v>
      </c>
      <c r="L15" s="597"/>
      <c r="M15" s="598"/>
      <c r="N15" s="590">
        <f t="shared" ref="N15:N16" si="1">N14</f>
        <v>6.1764705882352935</v>
      </c>
      <c r="O15" s="591"/>
      <c r="P15" s="592"/>
      <c r="Q15" s="599">
        <v>600</v>
      </c>
      <c r="R15" s="600"/>
      <c r="S15" s="601"/>
      <c r="T15" s="583">
        <f t="shared" si="0"/>
        <v>7411.7647058823522</v>
      </c>
      <c r="U15" s="584"/>
      <c r="V15" s="585"/>
      <c r="W15" s="2"/>
      <c r="X15" s="142"/>
      <c r="Y15" s="62"/>
      <c r="Z15" s="62"/>
      <c r="AB15" s="62"/>
      <c r="AC15" s="34"/>
      <c r="AE15" s="5"/>
      <c r="AF15" s="216"/>
      <c r="AG15" s="255"/>
      <c r="AH15" s="255"/>
      <c r="AI15" s="687"/>
      <c r="AJ15" s="687"/>
      <c r="AM15" s="1"/>
    </row>
    <row r="16" spans="1:39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f>3*Z2</f>
        <v>3</v>
      </c>
      <c r="L16" s="597"/>
      <c r="M16" s="598"/>
      <c r="N16" s="590">
        <f t="shared" si="1"/>
        <v>6.1764705882352935</v>
      </c>
      <c r="O16" s="591"/>
      <c r="P16" s="592"/>
      <c r="Q16" s="599">
        <v>400</v>
      </c>
      <c r="R16" s="600"/>
      <c r="S16" s="601"/>
      <c r="T16" s="583">
        <f t="shared" si="0"/>
        <v>7411.7647058823522</v>
      </c>
      <c r="U16" s="584"/>
      <c r="V16" s="585"/>
      <c r="W16" s="2"/>
      <c r="X16" s="142"/>
      <c r="Y16" s="62"/>
      <c r="Z16" s="62"/>
      <c r="AB16" s="62"/>
      <c r="AC16" s="34"/>
      <c r="AE16" s="5"/>
      <c r="AF16" s="216"/>
      <c r="AG16" s="255"/>
      <c r="AH16" s="255"/>
      <c r="AI16" s="687"/>
      <c r="AJ16" s="687"/>
      <c r="AM16" s="1"/>
    </row>
    <row r="17" spans="1:39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142"/>
      <c r="Y17" s="62"/>
      <c r="Z17" s="62"/>
      <c r="AB17" s="62"/>
      <c r="AC17" s="34"/>
      <c r="AE17" s="5"/>
      <c r="AF17" s="216"/>
      <c r="AG17" s="255"/>
      <c r="AH17" s="255"/>
      <c r="AI17" s="687"/>
      <c r="AJ17" s="687"/>
      <c r="AM17" s="1"/>
    </row>
    <row r="18" spans="1:39" x14ac:dyDescent="0.3">
      <c r="B18" s="15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2"/>
      <c r="X18" s="142"/>
      <c r="Y18" s="62"/>
      <c r="Z18" s="62"/>
      <c r="AB18" s="62"/>
      <c r="AC18" s="34"/>
      <c r="AE18" s="5"/>
      <c r="AF18" s="216"/>
      <c r="AG18" s="255"/>
      <c r="AH18" s="255"/>
      <c r="AI18" s="687"/>
      <c r="AJ18" s="687"/>
      <c r="AM18" s="1"/>
    </row>
    <row r="19" spans="1:39" x14ac:dyDescent="0.3">
      <c r="B19" s="41"/>
      <c r="C19" s="19"/>
      <c r="D19" s="40"/>
      <c r="E19" s="2"/>
      <c r="F19" s="2"/>
      <c r="G19" s="2"/>
      <c r="H19" s="2"/>
      <c r="I19" s="2"/>
      <c r="J19" s="17"/>
      <c r="K19" s="577"/>
      <c r="L19" s="578"/>
      <c r="M19" s="579"/>
      <c r="N19" s="590"/>
      <c r="O19" s="591"/>
      <c r="P19" s="592"/>
      <c r="Q19" s="593"/>
      <c r="R19" s="594"/>
      <c r="S19" s="595"/>
      <c r="T19" s="583"/>
      <c r="U19" s="584"/>
      <c r="V19" s="585"/>
      <c r="W19" s="2"/>
      <c r="X19" s="142"/>
      <c r="Y19" s="62"/>
      <c r="Z19" s="62"/>
      <c r="AB19" s="62"/>
      <c r="AC19" s="34"/>
      <c r="AE19" s="5"/>
      <c r="AF19" s="216"/>
      <c r="AG19" s="255"/>
      <c r="AH19" s="255"/>
      <c r="AI19" s="687"/>
      <c r="AJ19" s="687"/>
      <c r="AM19" s="1"/>
    </row>
    <row r="20" spans="1:39" x14ac:dyDescent="0.3">
      <c r="B20" s="41"/>
      <c r="C20" s="16"/>
      <c r="D20" s="2"/>
      <c r="E20" s="2"/>
      <c r="F20" s="2"/>
      <c r="G20" s="2"/>
      <c r="H20" s="2"/>
      <c r="I20" s="2"/>
      <c r="J20" s="17"/>
      <c r="K20" s="577"/>
      <c r="L20" s="578"/>
      <c r="M20" s="579"/>
      <c r="N20" s="580"/>
      <c r="O20" s="578"/>
      <c r="P20" s="579"/>
      <c r="Q20" s="589"/>
      <c r="R20" s="578"/>
      <c r="S20" s="579"/>
      <c r="T20" s="583"/>
      <c r="U20" s="584"/>
      <c r="V20" s="585"/>
      <c r="W20" s="2"/>
      <c r="X20" s="142"/>
      <c r="Y20" s="62"/>
      <c r="Z20" s="62"/>
      <c r="AB20" s="62"/>
      <c r="AC20" s="34"/>
      <c r="AE20" s="216"/>
      <c r="AF20" s="216"/>
      <c r="AG20" s="216"/>
      <c r="AH20" s="254"/>
      <c r="AI20" s="256"/>
      <c r="AJ20" s="256"/>
      <c r="AM20" s="1"/>
    </row>
    <row r="21" spans="1:39" x14ac:dyDescent="0.3">
      <c r="A21" s="45" t="s">
        <v>26</v>
      </c>
      <c r="B21" s="46"/>
      <c r="C21" s="564" t="s">
        <v>27</v>
      </c>
      <c r="D21" s="565"/>
      <c r="E21" s="565"/>
      <c r="F21" s="565"/>
      <c r="G21" s="565"/>
      <c r="H21" s="565"/>
      <c r="I21" s="565"/>
      <c r="J21" s="566"/>
      <c r="K21" s="47"/>
      <c r="L21" s="48"/>
      <c r="M21" s="49"/>
      <c r="N21" s="47"/>
      <c r="O21" s="48"/>
      <c r="P21" s="49"/>
      <c r="Q21" s="47"/>
      <c r="R21" s="48"/>
      <c r="S21" s="50" t="s">
        <v>28</v>
      </c>
      <c r="T21" s="561">
        <f>ROUND(SUM(T13:V19),2)</f>
        <v>19764.71</v>
      </c>
      <c r="U21" s="562"/>
      <c r="V21" s="563"/>
      <c r="W21" s="2"/>
      <c r="X21" s="142"/>
      <c r="Y21" s="62"/>
      <c r="Z21" s="62"/>
      <c r="AB21" s="62"/>
      <c r="AC21" s="34"/>
      <c r="AE21" s="216"/>
      <c r="AF21" s="216"/>
      <c r="AG21" s="216"/>
      <c r="AH21" s="254"/>
      <c r="AI21" s="687"/>
      <c r="AJ21" s="687"/>
      <c r="AM21" s="1"/>
    </row>
    <row r="22" spans="1:39" x14ac:dyDescent="0.3">
      <c r="B22" s="571" t="s">
        <v>29</v>
      </c>
      <c r="C22" s="572"/>
      <c r="D22" s="572"/>
      <c r="E22" s="572"/>
      <c r="F22" s="572"/>
      <c r="G22" s="572"/>
      <c r="H22" s="572"/>
      <c r="I22" s="572"/>
      <c r="J22" s="573"/>
      <c r="K22" s="571" t="s">
        <v>30</v>
      </c>
      <c r="L22" s="572"/>
      <c r="M22" s="573"/>
      <c r="N22" s="571" t="s">
        <v>15</v>
      </c>
      <c r="O22" s="572"/>
      <c r="P22" s="573"/>
      <c r="Q22" s="571" t="s">
        <v>16</v>
      </c>
      <c r="R22" s="572"/>
      <c r="S22" s="573"/>
      <c r="T22" s="571" t="s">
        <v>17</v>
      </c>
      <c r="U22" s="572"/>
      <c r="V22" s="573"/>
      <c r="W22" s="2"/>
      <c r="X22" s="257"/>
      <c r="Y22" s="257"/>
      <c r="Z22" s="258"/>
      <c r="AA22" s="258"/>
      <c r="AB22" s="259"/>
      <c r="AC22" s="34"/>
      <c r="AI22" s="38"/>
      <c r="AJ22" s="34"/>
      <c r="AK22" s="1"/>
      <c r="AL22" s="1"/>
      <c r="AM22" s="1"/>
    </row>
    <row r="23" spans="1:39" x14ac:dyDescent="0.3">
      <c r="B23" s="574"/>
      <c r="C23" s="575"/>
      <c r="D23" s="575"/>
      <c r="E23" s="575"/>
      <c r="F23" s="575"/>
      <c r="G23" s="575"/>
      <c r="H23" s="575"/>
      <c r="I23" s="575"/>
      <c r="J23" s="576"/>
      <c r="K23" s="574"/>
      <c r="L23" s="575"/>
      <c r="M23" s="576"/>
      <c r="N23" s="574"/>
      <c r="O23" s="575"/>
      <c r="P23" s="576"/>
      <c r="Q23" s="574"/>
      <c r="R23" s="575"/>
      <c r="S23" s="576"/>
      <c r="T23" s="574"/>
      <c r="U23" s="575"/>
      <c r="V23" s="576"/>
      <c r="W23" s="2"/>
      <c r="X23" s="257"/>
      <c r="Y23" s="257"/>
      <c r="Z23" s="258"/>
      <c r="AA23" s="258"/>
      <c r="AB23" s="259"/>
      <c r="AL23" s="38"/>
      <c r="AM23" s="34"/>
    </row>
    <row r="24" spans="1:39" x14ac:dyDescent="0.3">
      <c r="B24" s="15" t="s">
        <v>31</v>
      </c>
      <c r="C24" s="19" t="s">
        <v>32</v>
      </c>
      <c r="D24" s="40"/>
      <c r="E24" s="2"/>
      <c r="F24" s="2"/>
      <c r="G24" s="2"/>
      <c r="H24" s="2"/>
      <c r="I24" s="2"/>
      <c r="J24" s="17"/>
      <c r="K24" s="596"/>
      <c r="L24" s="597"/>
      <c r="M24" s="598"/>
      <c r="N24" s="590"/>
      <c r="O24" s="591"/>
      <c r="P24" s="592"/>
      <c r="Q24" s="593"/>
      <c r="R24" s="594"/>
      <c r="S24" s="595"/>
      <c r="T24" s="583"/>
      <c r="U24" s="584"/>
      <c r="V24" s="585"/>
      <c r="W24" s="2"/>
      <c r="X24" s="257"/>
      <c r="Y24" s="257"/>
      <c r="Z24" s="258"/>
      <c r="AA24" s="258"/>
      <c r="AB24" s="259"/>
    </row>
    <row r="25" spans="1:39" x14ac:dyDescent="0.3">
      <c r="B25" s="15"/>
      <c r="C25" s="28" t="s">
        <v>21</v>
      </c>
      <c r="D25" s="5" t="s">
        <v>93</v>
      </c>
      <c r="E25" s="2"/>
      <c r="F25" s="2"/>
      <c r="G25" s="2"/>
      <c r="H25" s="2"/>
      <c r="I25" s="2"/>
      <c r="J25" s="17"/>
      <c r="K25" s="577">
        <v>1</v>
      </c>
      <c r="L25" s="578"/>
      <c r="M25" s="579"/>
      <c r="N25" s="590">
        <f>N14</f>
        <v>6.1764705882352935</v>
      </c>
      <c r="O25" s="591"/>
      <c r="P25" s="592"/>
      <c r="Q25" s="586">
        <v>1376</v>
      </c>
      <c r="R25" s="587"/>
      <c r="S25" s="588"/>
      <c r="T25" s="583">
        <f t="shared" ref="T25" si="2">K25*N25*Q25</f>
        <v>8498.823529411764</v>
      </c>
      <c r="U25" s="584"/>
      <c r="V25" s="585"/>
      <c r="W25" s="2"/>
      <c r="X25" s="257"/>
      <c r="Y25" s="257"/>
      <c r="Z25" s="258"/>
      <c r="AA25" s="258"/>
      <c r="AB25" s="259"/>
      <c r="AC25" s="34"/>
    </row>
    <row r="26" spans="1:39" x14ac:dyDescent="0.3">
      <c r="B26" s="15"/>
      <c r="C26" s="19"/>
      <c r="D26" s="5" t="s">
        <v>104</v>
      </c>
      <c r="E26" s="2"/>
      <c r="F26" s="2"/>
      <c r="G26" s="2"/>
      <c r="H26" s="2"/>
      <c r="I26" s="2"/>
      <c r="J26" s="17"/>
      <c r="K26" s="596"/>
      <c r="L26" s="597"/>
      <c r="M26" s="598"/>
      <c r="N26" s="590"/>
      <c r="O26" s="591"/>
      <c r="P26" s="592"/>
      <c r="Q26" s="593"/>
      <c r="R26" s="594"/>
      <c r="S26" s="595"/>
      <c r="T26" s="583">
        <f>T21*10%</f>
        <v>1976.471</v>
      </c>
      <c r="U26" s="584"/>
      <c r="V26" s="585"/>
      <c r="W26" s="2"/>
      <c r="AA26" s="34"/>
      <c r="AC26" s="34"/>
    </row>
    <row r="27" spans="1:39" x14ac:dyDescent="0.3">
      <c r="B27" s="15"/>
      <c r="C27" s="19"/>
      <c r="D27" s="40"/>
      <c r="E27" s="2"/>
      <c r="F27" s="2"/>
      <c r="G27" s="2"/>
      <c r="H27" s="2"/>
      <c r="I27" s="2"/>
      <c r="J27" s="17"/>
      <c r="K27" s="596"/>
      <c r="L27" s="597"/>
      <c r="M27" s="598"/>
      <c r="N27" s="590"/>
      <c r="O27" s="591"/>
      <c r="P27" s="592"/>
      <c r="Q27" s="593"/>
      <c r="R27" s="594"/>
      <c r="S27" s="595"/>
      <c r="T27" s="583"/>
      <c r="U27" s="584"/>
      <c r="V27" s="585"/>
      <c r="W27" s="2"/>
      <c r="X27" s="260"/>
      <c r="Y27" s="260"/>
      <c r="AA27" s="34"/>
      <c r="AB27" s="34"/>
      <c r="AC27" s="39"/>
    </row>
    <row r="28" spans="1:39" x14ac:dyDescent="0.3">
      <c r="B28" s="15"/>
      <c r="C28" s="19"/>
      <c r="D28" s="40"/>
      <c r="E28" s="2"/>
      <c r="F28" s="2"/>
      <c r="G28" s="2"/>
      <c r="H28" s="2"/>
      <c r="I28" s="2"/>
      <c r="J28" s="17"/>
      <c r="K28" s="596"/>
      <c r="L28" s="597"/>
      <c r="M28" s="598"/>
      <c r="N28" s="590"/>
      <c r="O28" s="591"/>
      <c r="P28" s="592"/>
      <c r="Q28" s="593"/>
      <c r="R28" s="594"/>
      <c r="S28" s="595"/>
      <c r="T28" s="583"/>
      <c r="U28" s="584"/>
      <c r="V28" s="585"/>
      <c r="W28" s="2"/>
      <c r="X28" s="34"/>
      <c r="Y28" s="34"/>
      <c r="AA28" s="34"/>
      <c r="AC28" s="34"/>
    </row>
    <row r="29" spans="1:39" x14ac:dyDescent="0.3">
      <c r="B29" s="15"/>
      <c r="C29" s="19"/>
      <c r="D29" s="40"/>
      <c r="E29" s="2"/>
      <c r="F29" s="2"/>
      <c r="G29" s="2"/>
      <c r="H29" s="2"/>
      <c r="I29" s="2"/>
      <c r="J29" s="17"/>
      <c r="K29" s="596"/>
      <c r="L29" s="597"/>
      <c r="M29" s="598"/>
      <c r="N29" s="590"/>
      <c r="O29" s="591"/>
      <c r="P29" s="592"/>
      <c r="Q29" s="593"/>
      <c r="R29" s="594"/>
      <c r="S29" s="595"/>
      <c r="T29" s="583"/>
      <c r="U29" s="584"/>
      <c r="V29" s="585"/>
      <c r="W29" s="2"/>
      <c r="X29" s="34"/>
      <c r="Y29" s="34"/>
      <c r="AA29" s="34"/>
      <c r="AC29" s="39"/>
    </row>
    <row r="30" spans="1:39" x14ac:dyDescent="0.3">
      <c r="A30" s="45" t="s">
        <v>34</v>
      </c>
      <c r="B30" s="46"/>
      <c r="C30" s="564" t="s">
        <v>35</v>
      </c>
      <c r="D30" s="565"/>
      <c r="E30" s="565"/>
      <c r="F30" s="565"/>
      <c r="G30" s="565"/>
      <c r="H30" s="565"/>
      <c r="I30" s="565"/>
      <c r="J30" s="56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61">
        <f>ROUND(SUM(T24:V29),2)</f>
        <v>10475.290000000001</v>
      </c>
      <c r="U30" s="562"/>
      <c r="V30" s="563"/>
      <c r="W30" s="2"/>
      <c r="X30" s="34"/>
      <c r="Y30" s="34"/>
      <c r="Z30" s="261"/>
      <c r="AA30" s="34"/>
      <c r="AB30" s="39"/>
      <c r="AC30" s="39"/>
      <c r="AL30" s="34"/>
      <c r="AM30" s="34"/>
    </row>
    <row r="31" spans="1:39" x14ac:dyDescent="0.3">
      <c r="B31" s="64" t="s">
        <v>36</v>
      </c>
      <c r="C31" s="564" t="s">
        <v>37</v>
      </c>
      <c r="D31" s="565"/>
      <c r="E31" s="565"/>
      <c r="F31" s="565"/>
      <c r="G31" s="565"/>
      <c r="H31" s="565"/>
      <c r="I31" s="565"/>
      <c r="J31" s="565"/>
      <c r="K31" s="48"/>
      <c r="L31" s="48"/>
      <c r="M31" s="48"/>
      <c r="N31" s="48"/>
      <c r="O31" s="48"/>
      <c r="P31" s="48"/>
      <c r="Q31" s="48"/>
      <c r="R31" s="48"/>
      <c r="S31" s="48"/>
      <c r="T31" s="562">
        <f>T21+T30</f>
        <v>30240</v>
      </c>
      <c r="U31" s="562"/>
      <c r="V31" s="563"/>
      <c r="W31" s="2"/>
      <c r="X31" s="261"/>
      <c r="Y31" s="262"/>
      <c r="AA31" s="34"/>
      <c r="AB31" s="39"/>
      <c r="AC31" s="34"/>
      <c r="AD31" s="38"/>
      <c r="AE31" s="39"/>
      <c r="AF31" s="263"/>
      <c r="AG31" s="263"/>
      <c r="AH31" s="262"/>
    </row>
    <row r="32" spans="1:39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70">
        <f>E7</f>
        <v>30.6</v>
      </c>
      <c r="I32" s="565"/>
      <c r="J32" s="48" t="str">
        <f>G7</f>
        <v>SQ.M./DAY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61"/>
      <c r="Y32" s="262"/>
      <c r="Z32" s="261"/>
      <c r="AA32" s="34"/>
    </row>
    <row r="33" spans="1:39" x14ac:dyDescent="0.3">
      <c r="B33" s="571" t="s">
        <v>44</v>
      </c>
      <c r="C33" s="572"/>
      <c r="D33" s="572"/>
      <c r="E33" s="572"/>
      <c r="F33" s="572"/>
      <c r="G33" s="572"/>
      <c r="H33" s="572"/>
      <c r="I33" s="572"/>
      <c r="J33" s="573"/>
      <c r="K33" s="571" t="s">
        <v>45</v>
      </c>
      <c r="L33" s="572"/>
      <c r="M33" s="573"/>
      <c r="N33" s="571" t="s">
        <v>46</v>
      </c>
      <c r="O33" s="572"/>
      <c r="P33" s="573"/>
      <c r="Q33" s="571" t="s">
        <v>47</v>
      </c>
      <c r="R33" s="572"/>
      <c r="S33" s="573"/>
      <c r="T33" s="571" t="s">
        <v>17</v>
      </c>
      <c r="U33" s="572"/>
      <c r="V33" s="573"/>
      <c r="W33" s="2"/>
      <c r="X33" s="260"/>
      <c r="Y33" s="260"/>
      <c r="AA33" s="34"/>
    </row>
    <row r="34" spans="1:39" x14ac:dyDescent="0.3">
      <c r="B34" s="574"/>
      <c r="C34" s="575"/>
      <c r="D34" s="575"/>
      <c r="E34" s="575"/>
      <c r="F34" s="575"/>
      <c r="G34" s="575"/>
      <c r="H34" s="575"/>
      <c r="I34" s="575"/>
      <c r="J34" s="576"/>
      <c r="K34" s="574"/>
      <c r="L34" s="575"/>
      <c r="M34" s="576"/>
      <c r="N34" s="574"/>
      <c r="O34" s="575"/>
      <c r="P34" s="576"/>
      <c r="Q34" s="574"/>
      <c r="R34" s="575"/>
      <c r="S34" s="576"/>
      <c r="T34" s="574"/>
      <c r="U34" s="575"/>
      <c r="V34" s="576"/>
      <c r="W34" s="9"/>
      <c r="X34" s="34"/>
      <c r="Y34" s="34"/>
      <c r="AA34" s="34"/>
      <c r="AL34" s="34"/>
    </row>
    <row r="35" spans="1:39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34"/>
      <c r="Y35" s="34"/>
      <c r="AA35" s="34"/>
      <c r="AL35" s="34"/>
    </row>
    <row r="36" spans="1:39" ht="16.5" customHeight="1" x14ac:dyDescent="0.3">
      <c r="B36" s="41"/>
      <c r="C36" s="19" t="s">
        <v>21</v>
      </c>
      <c r="D36" s="240" t="s">
        <v>105</v>
      </c>
      <c r="F36" s="121"/>
      <c r="G36" s="122"/>
      <c r="H36" s="122"/>
      <c r="I36" s="122"/>
      <c r="J36" s="17"/>
      <c r="K36" s="681">
        <f>13*E8</f>
        <v>2457</v>
      </c>
      <c r="L36" s="682"/>
      <c r="M36" s="683"/>
      <c r="N36" s="662" t="str">
        <f>IF(K36&gt;1,"pcs.","pc.")</f>
        <v>pcs.</v>
      </c>
      <c r="O36" s="663" t="str">
        <f>IF(L36&gt;1,"pcs.","pc.")</f>
        <v>pc.</v>
      </c>
      <c r="P36" s="664" t="str">
        <f>IF(M36&gt;1,"pcs.","pc.")</f>
        <v>pc.</v>
      </c>
      <c r="Q36" s="647">
        <v>15</v>
      </c>
      <c r="R36" s="648"/>
      <c r="S36" s="649"/>
      <c r="T36" s="635">
        <f>K36*Q36</f>
        <v>36855</v>
      </c>
      <c r="U36" s="636"/>
      <c r="V36" s="637"/>
      <c r="X36" s="34"/>
      <c r="Y36" s="34"/>
      <c r="AA36" s="34"/>
      <c r="AL36" s="34"/>
    </row>
    <row r="37" spans="1:39" ht="16.5" customHeight="1" x14ac:dyDescent="0.3">
      <c r="B37" s="41"/>
      <c r="C37" s="19" t="s">
        <v>23</v>
      </c>
      <c r="D37" s="60" t="s">
        <v>97</v>
      </c>
      <c r="F37" s="121"/>
      <c r="G37" s="122"/>
      <c r="H37" s="122"/>
      <c r="I37" s="122"/>
      <c r="J37" s="17"/>
      <c r="K37" s="681">
        <f>0.525*E8</f>
        <v>99.225000000000009</v>
      </c>
      <c r="L37" s="682"/>
      <c r="M37" s="683"/>
      <c r="N37" s="662" t="str">
        <f>IF(K37&gt;1,"bags","bag")</f>
        <v>bags</v>
      </c>
      <c r="O37" s="663" t="str">
        <f>IF(L37&gt;1,"bags","bag")</f>
        <v>bag</v>
      </c>
      <c r="P37" s="664" t="str">
        <f>IF(M37&gt;1,"bags","bag")</f>
        <v>bag</v>
      </c>
      <c r="Q37" s="647">
        <v>265</v>
      </c>
      <c r="R37" s="648"/>
      <c r="S37" s="649"/>
      <c r="T37" s="635">
        <f t="shared" ref="T37:T40" si="3">K37*Q37</f>
        <v>26294.625000000004</v>
      </c>
      <c r="U37" s="636"/>
      <c r="V37" s="637"/>
      <c r="X37" s="261"/>
      <c r="Y37" s="140"/>
      <c r="AA37" s="34"/>
      <c r="AD37" s="675"/>
      <c r="AE37" s="675"/>
      <c r="AF37" s="674"/>
      <c r="AG37" s="674"/>
      <c r="AL37" s="34"/>
    </row>
    <row r="38" spans="1:39" ht="16.5" customHeight="1" x14ac:dyDescent="0.3">
      <c r="B38" s="41"/>
      <c r="C38" s="19" t="s">
        <v>78</v>
      </c>
      <c r="D38" s="60" t="s">
        <v>106</v>
      </c>
      <c r="E38" s="121"/>
      <c r="F38" s="121"/>
      <c r="G38" s="122"/>
      <c r="H38" s="122"/>
      <c r="I38" s="122"/>
      <c r="J38" s="17"/>
      <c r="K38" s="681">
        <f>0.04*E8</f>
        <v>7.5600000000000005</v>
      </c>
      <c r="L38" s="682"/>
      <c r="M38" s="683"/>
      <c r="N38" s="662" t="str">
        <f>IF(K38&gt;1,"cu.m.","cu.m.")</f>
        <v>cu.m.</v>
      </c>
      <c r="O38" s="663" t="str">
        <f>IF(L38&gt;1,"cu.m.","cu.m.")</f>
        <v>cu.m.</v>
      </c>
      <c r="P38" s="664" t="str">
        <f>IF(M38&gt;1,"cu.m.","cu.m.")</f>
        <v>cu.m.</v>
      </c>
      <c r="Q38" s="647">
        <v>1400</v>
      </c>
      <c r="R38" s="648"/>
      <c r="S38" s="649"/>
      <c r="T38" s="635">
        <f t="shared" si="3"/>
        <v>10584</v>
      </c>
      <c r="U38" s="636"/>
      <c r="V38" s="637"/>
      <c r="X38" s="261"/>
      <c r="Y38" s="140"/>
      <c r="AA38" s="34"/>
      <c r="AM38" s="264"/>
    </row>
    <row r="39" spans="1:39" ht="38.1" customHeight="1" x14ac:dyDescent="0.3">
      <c r="B39" s="41"/>
      <c r="C39" s="19" t="s">
        <v>94</v>
      </c>
      <c r="D39" s="679" t="s">
        <v>107</v>
      </c>
      <c r="E39" s="679"/>
      <c r="F39" s="679"/>
      <c r="G39" s="679"/>
      <c r="H39" s="679"/>
      <c r="I39" s="679"/>
      <c r="J39" s="680"/>
      <c r="K39" s="681">
        <f>3.24*E8</f>
        <v>612.36</v>
      </c>
      <c r="L39" s="682"/>
      <c r="M39" s="683"/>
      <c r="N39" s="684" t="str">
        <f t="shared" ref="N39:P40" si="4">IF(K39&gt;1,"kgs.","kg.")</f>
        <v>kgs.</v>
      </c>
      <c r="O39" s="685" t="str">
        <f t="shared" si="4"/>
        <v>kg.</v>
      </c>
      <c r="P39" s="686" t="str">
        <f t="shared" si="4"/>
        <v>kg.</v>
      </c>
      <c r="Q39" s="647">
        <v>75</v>
      </c>
      <c r="R39" s="648"/>
      <c r="S39" s="649"/>
      <c r="T39" s="635">
        <f t="shared" si="3"/>
        <v>45927</v>
      </c>
      <c r="U39" s="636"/>
      <c r="V39" s="637"/>
      <c r="W39" s="2"/>
      <c r="X39" s="261"/>
      <c r="Y39" s="262"/>
      <c r="AA39" s="34"/>
      <c r="AB39" s="39"/>
      <c r="AC39" s="34"/>
      <c r="AM39" s="264"/>
    </row>
    <row r="40" spans="1:39" ht="16.5" customHeight="1" x14ac:dyDescent="0.3">
      <c r="B40" s="41"/>
      <c r="C40" s="19" t="s">
        <v>95</v>
      </c>
      <c r="D40" s="265" t="s">
        <v>81</v>
      </c>
      <c r="E40" s="121"/>
      <c r="F40" s="121"/>
      <c r="G40" s="122"/>
      <c r="H40" s="122"/>
      <c r="I40" s="122"/>
      <c r="J40" s="17"/>
      <c r="K40" s="681">
        <f>0.05*E8</f>
        <v>9.4500000000000011</v>
      </c>
      <c r="L40" s="682"/>
      <c r="M40" s="683"/>
      <c r="N40" s="684" t="str">
        <f t="shared" si="4"/>
        <v>kgs.</v>
      </c>
      <c r="O40" s="685" t="str">
        <f t="shared" si="4"/>
        <v>kg.</v>
      </c>
      <c r="P40" s="686" t="str">
        <f t="shared" si="4"/>
        <v>kg.</v>
      </c>
      <c r="Q40" s="647">
        <v>90</v>
      </c>
      <c r="R40" s="648"/>
      <c r="S40" s="649"/>
      <c r="T40" s="635">
        <f t="shared" si="3"/>
        <v>850.50000000000011</v>
      </c>
      <c r="U40" s="636"/>
      <c r="V40" s="637"/>
      <c r="W40" s="2"/>
      <c r="X40" s="261"/>
      <c r="Y40" s="262"/>
      <c r="AA40" s="34"/>
      <c r="AB40" s="39"/>
      <c r="AC40" s="34"/>
      <c r="AM40" s="264"/>
    </row>
    <row r="41" spans="1:39" x14ac:dyDescent="0.3">
      <c r="B41" s="41"/>
      <c r="C41" s="19"/>
      <c r="D41" s="40"/>
      <c r="E41" s="245"/>
      <c r="F41" s="245"/>
      <c r="G41" s="122"/>
      <c r="H41" s="122"/>
      <c r="I41" s="122"/>
      <c r="J41" s="17"/>
      <c r="K41" s="676"/>
      <c r="L41" s="677"/>
      <c r="M41" s="678"/>
      <c r="N41" s="662"/>
      <c r="O41" s="663"/>
      <c r="P41" s="664"/>
      <c r="Q41" s="647"/>
      <c r="R41" s="648"/>
      <c r="S41" s="649"/>
      <c r="T41" s="635"/>
      <c r="U41" s="636"/>
      <c r="V41" s="637"/>
      <c r="W41" s="2"/>
      <c r="X41" s="261"/>
      <c r="Y41" s="262"/>
      <c r="AA41" s="34"/>
      <c r="AB41" s="39"/>
      <c r="AC41" s="34"/>
      <c r="AM41" s="264"/>
    </row>
    <row r="42" spans="1:39" x14ac:dyDescent="0.3">
      <c r="B42" s="41"/>
      <c r="C42" s="19"/>
      <c r="D42" s="40"/>
      <c r="E42" s="121"/>
      <c r="F42" s="121"/>
      <c r="G42" s="200"/>
      <c r="H42" s="201"/>
      <c r="I42" s="202"/>
      <c r="J42" s="17"/>
      <c r="K42" s="676"/>
      <c r="L42" s="677"/>
      <c r="M42" s="678"/>
      <c r="N42" s="662"/>
      <c r="O42" s="663"/>
      <c r="P42" s="664"/>
      <c r="Q42" s="647"/>
      <c r="R42" s="648"/>
      <c r="S42" s="649"/>
      <c r="T42" s="635"/>
      <c r="U42" s="636"/>
      <c r="V42" s="637"/>
      <c r="W42" s="2"/>
      <c r="X42" s="261"/>
      <c r="Y42" s="262"/>
      <c r="AA42" s="34"/>
      <c r="AB42" s="39"/>
      <c r="AC42" s="34"/>
    </row>
    <row r="43" spans="1:39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676"/>
      <c r="L43" s="677"/>
      <c r="M43" s="678"/>
      <c r="N43" s="662"/>
      <c r="O43" s="663"/>
      <c r="P43" s="664"/>
      <c r="Q43" s="647"/>
      <c r="R43" s="648"/>
      <c r="S43" s="649"/>
      <c r="T43" s="635"/>
      <c r="U43" s="636"/>
      <c r="V43" s="637"/>
      <c r="W43" s="2"/>
      <c r="X43" s="261"/>
      <c r="Y43" s="262"/>
      <c r="Z43" s="39"/>
      <c r="AA43" s="39"/>
      <c r="AB43" s="39"/>
      <c r="AC43" s="34"/>
    </row>
    <row r="44" spans="1:39" x14ac:dyDescent="0.3">
      <c r="B44" s="41"/>
      <c r="C44" s="19"/>
      <c r="D44" s="40"/>
      <c r="E44" s="121"/>
      <c r="F44" s="121"/>
      <c r="G44" s="206"/>
      <c r="H44" s="202"/>
      <c r="I44" s="202"/>
      <c r="J44" s="17"/>
      <c r="K44" s="266"/>
      <c r="L44" s="267"/>
      <c r="M44" s="268"/>
      <c r="N44" s="241"/>
      <c r="O44" s="242"/>
      <c r="P44" s="243"/>
      <c r="Q44" s="105"/>
      <c r="R44" s="106"/>
      <c r="S44" s="107"/>
      <c r="T44" s="213"/>
      <c r="U44" s="214"/>
      <c r="V44" s="215"/>
      <c r="W44" s="2"/>
      <c r="X44" s="261"/>
      <c r="Y44" s="262"/>
      <c r="Z44" s="39"/>
      <c r="AA44" s="39"/>
      <c r="AB44" s="39"/>
      <c r="AC44" s="34"/>
    </row>
    <row r="45" spans="1:39" x14ac:dyDescent="0.3">
      <c r="B45" s="41"/>
      <c r="C45" s="40"/>
      <c r="D45" s="199"/>
      <c r="E45" s="121"/>
      <c r="F45" s="121"/>
      <c r="G45" s="206"/>
      <c r="H45" s="202"/>
      <c r="I45" s="202"/>
      <c r="J45" s="17"/>
      <c r="K45" s="207"/>
      <c r="L45" s="208"/>
      <c r="M45" s="209"/>
      <c r="N45" s="210"/>
      <c r="O45" s="211"/>
      <c r="P45" s="212"/>
      <c r="Q45" s="89"/>
      <c r="R45" s="90"/>
      <c r="S45" s="91"/>
      <c r="T45" s="213"/>
      <c r="U45" s="214"/>
      <c r="V45" s="215"/>
      <c r="X45" s="34"/>
      <c r="Y45" s="34"/>
      <c r="AA45" s="34"/>
    </row>
    <row r="46" spans="1:39" ht="16.5" customHeight="1" x14ac:dyDescent="0.3">
      <c r="A46" s="45" t="s">
        <v>51</v>
      </c>
      <c r="B46" s="46"/>
      <c r="C46" s="564" t="s">
        <v>52</v>
      </c>
      <c r="D46" s="565"/>
      <c r="E46" s="565"/>
      <c r="F46" s="565"/>
      <c r="G46" s="565"/>
      <c r="H46" s="565"/>
      <c r="I46" s="565"/>
      <c r="J46" s="56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ROUND(SUM(T36:V45),2)</f>
        <v>120511.13</v>
      </c>
      <c r="U46" s="562"/>
      <c r="V46" s="563"/>
      <c r="W46" s="2"/>
    </row>
    <row r="47" spans="1:39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T31+T46</f>
        <v>150751.13</v>
      </c>
      <c r="U47" s="562"/>
      <c r="V47" s="563"/>
      <c r="W47" s="2"/>
      <c r="X47" s="60"/>
      <c r="Z47" s="33"/>
      <c r="AC47" s="34"/>
      <c r="AD47" s="34"/>
      <c r="AE47" s="34"/>
      <c r="AF47" s="674"/>
      <c r="AG47" s="674"/>
    </row>
    <row r="48" spans="1:39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7537.5565000000006</v>
      </c>
      <c r="U48" s="568"/>
      <c r="V48" s="569"/>
      <c r="W48" s="2"/>
      <c r="X48" s="269"/>
      <c r="Z48" s="33"/>
      <c r="AC48" s="34"/>
      <c r="AD48" s="675"/>
      <c r="AE48" s="675"/>
      <c r="AF48" s="674"/>
      <c r="AG48" s="674"/>
    </row>
    <row r="49" spans="1:33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15075.113000000001</v>
      </c>
      <c r="U49" s="568"/>
      <c r="V49" s="569"/>
      <c r="W49" s="2"/>
      <c r="Z49" s="33"/>
      <c r="AD49" s="675"/>
      <c r="AE49" s="675"/>
      <c r="AF49" s="263"/>
      <c r="AG49" s="263"/>
    </row>
    <row r="50" spans="1:33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</row>
    <row r="51" spans="1:33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173363.79950000002</v>
      </c>
      <c r="U51" s="562"/>
      <c r="V51" s="563"/>
      <c r="W51" s="18"/>
    </row>
    <row r="52" spans="1:33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917.26878042328053</v>
      </c>
      <c r="U52" s="562"/>
      <c r="V52" s="563"/>
      <c r="W52" s="132"/>
      <c r="Z52" s="33"/>
    </row>
    <row r="53" spans="1:33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132"/>
    </row>
    <row r="54" spans="1:33" ht="15" customHeight="1" x14ac:dyDescent="0.3">
      <c r="L54" s="2"/>
      <c r="M54" s="2"/>
      <c r="N54" s="2"/>
      <c r="W54" s="18"/>
    </row>
    <row r="55" spans="1:33" x14ac:dyDescent="0.3">
      <c r="W55" s="18"/>
    </row>
    <row r="56" spans="1:33" x14ac:dyDescent="0.3">
      <c r="W56" s="2"/>
    </row>
    <row r="57" spans="1:33" x14ac:dyDescent="0.3">
      <c r="W57" s="2"/>
    </row>
    <row r="58" spans="1:33" x14ac:dyDescent="0.3">
      <c r="W58" s="2"/>
    </row>
    <row r="59" spans="1:33" x14ac:dyDescent="0.3">
      <c r="W59" s="2"/>
    </row>
    <row r="60" spans="1:33" x14ac:dyDescent="0.3">
      <c r="W60" s="2"/>
    </row>
    <row r="61" spans="1:33" x14ac:dyDescent="0.3">
      <c r="W61" s="2"/>
    </row>
    <row r="62" spans="1:33" x14ac:dyDescent="0.3">
      <c r="W62" s="2"/>
    </row>
    <row r="63" spans="1:33" x14ac:dyDescent="0.3">
      <c r="W63" s="2"/>
    </row>
    <row r="64" spans="1:33" x14ac:dyDescent="0.3">
      <c r="W64" s="2"/>
    </row>
    <row r="65" spans="23:23" x14ac:dyDescent="0.3">
      <c r="W65" s="2"/>
    </row>
    <row r="66" spans="23:23" x14ac:dyDescent="0.3">
      <c r="W66" s="2"/>
    </row>
    <row r="67" spans="23:23" x14ac:dyDescent="0.25">
      <c r="W67" s="132"/>
    </row>
    <row r="68" spans="23:23" x14ac:dyDescent="0.3">
      <c r="W68" s="2"/>
    </row>
  </sheetData>
  <mergeCells count="140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AI14:AJ14"/>
    <mergeCell ref="K15:M15"/>
    <mergeCell ref="N15:P15"/>
    <mergeCell ref="Q15:S15"/>
    <mergeCell ref="T15:V15"/>
    <mergeCell ref="AI15:AJ15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6:M16"/>
    <mergeCell ref="N16:P16"/>
    <mergeCell ref="Q16:S16"/>
    <mergeCell ref="T16:V16"/>
    <mergeCell ref="AI16:AJ16"/>
    <mergeCell ref="K17:M17"/>
    <mergeCell ref="N17:P17"/>
    <mergeCell ref="Q17:S17"/>
    <mergeCell ref="T17:V17"/>
    <mergeCell ref="AI17:AJ17"/>
    <mergeCell ref="K18:M18"/>
    <mergeCell ref="N18:P18"/>
    <mergeCell ref="Q18:S18"/>
    <mergeCell ref="T18:V18"/>
    <mergeCell ref="AI18:AJ18"/>
    <mergeCell ref="K19:M19"/>
    <mergeCell ref="N19:P19"/>
    <mergeCell ref="Q19:S19"/>
    <mergeCell ref="T19:V19"/>
    <mergeCell ref="AI19:AJ19"/>
    <mergeCell ref="B22:J23"/>
    <mergeCell ref="K22:M23"/>
    <mergeCell ref="N22:P23"/>
    <mergeCell ref="Q22:S23"/>
    <mergeCell ref="T22:V23"/>
    <mergeCell ref="K20:M20"/>
    <mergeCell ref="N20:P20"/>
    <mergeCell ref="Q20:S20"/>
    <mergeCell ref="T20:V20"/>
    <mergeCell ref="C21:J21"/>
    <mergeCell ref="T21:V21"/>
    <mergeCell ref="K24:M24"/>
    <mergeCell ref="N24:P24"/>
    <mergeCell ref="Q24:S24"/>
    <mergeCell ref="T24:V24"/>
    <mergeCell ref="K25:M25"/>
    <mergeCell ref="N25:P25"/>
    <mergeCell ref="Q25:S25"/>
    <mergeCell ref="T25:V25"/>
    <mergeCell ref="AI21:AJ2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C30:J30"/>
    <mergeCell ref="T30:V30"/>
    <mergeCell ref="C31:J31"/>
    <mergeCell ref="T31:V31"/>
    <mergeCell ref="H32:I32"/>
    <mergeCell ref="B33:J34"/>
    <mergeCell ref="K33:M34"/>
    <mergeCell ref="N33:P34"/>
    <mergeCell ref="Q33:S34"/>
    <mergeCell ref="T33:V34"/>
    <mergeCell ref="AD37:AE37"/>
    <mergeCell ref="AF37:AG37"/>
    <mergeCell ref="K38:M38"/>
    <mergeCell ref="N38:P38"/>
    <mergeCell ref="Q38:S38"/>
    <mergeCell ref="T38:V38"/>
    <mergeCell ref="K36:M36"/>
    <mergeCell ref="N36:P36"/>
    <mergeCell ref="Q36:S36"/>
    <mergeCell ref="T36:V36"/>
    <mergeCell ref="K37:M37"/>
    <mergeCell ref="N37:P37"/>
    <mergeCell ref="Q37:S37"/>
    <mergeCell ref="T37:V37"/>
    <mergeCell ref="D39:J39"/>
    <mergeCell ref="K39:M39"/>
    <mergeCell ref="N39:P39"/>
    <mergeCell ref="Q39:S39"/>
    <mergeCell ref="T39:V39"/>
    <mergeCell ref="K40:M40"/>
    <mergeCell ref="N40:P40"/>
    <mergeCell ref="Q40:S40"/>
    <mergeCell ref="T40:V40"/>
    <mergeCell ref="K43:M43"/>
    <mergeCell ref="N43:P43"/>
    <mergeCell ref="Q43:S43"/>
    <mergeCell ref="T43:V43"/>
    <mergeCell ref="C46:J46"/>
    <mergeCell ref="T46:V46"/>
    <mergeCell ref="K41:M41"/>
    <mergeCell ref="N41:P41"/>
    <mergeCell ref="Q41:S41"/>
    <mergeCell ref="T41:V41"/>
    <mergeCell ref="K42:M42"/>
    <mergeCell ref="N42:P42"/>
    <mergeCell ref="Q42:S42"/>
    <mergeCell ref="T42:V42"/>
    <mergeCell ref="T50:V50"/>
    <mergeCell ref="T51:V51"/>
    <mergeCell ref="T52:V52"/>
    <mergeCell ref="T47:V47"/>
    <mergeCell ref="AF47:AG47"/>
    <mergeCell ref="T48:V48"/>
    <mergeCell ref="AD48:AE48"/>
    <mergeCell ref="AF48:AG48"/>
    <mergeCell ref="T49:V49"/>
    <mergeCell ref="AD49:AE49"/>
  </mergeCells>
  <conditionalFormatting sqref="AK4:AK9">
    <cfRule type="cellIs" dxfId="1" priority="1" operator="equal">
      <formula>10</formula>
    </cfRule>
  </conditionalFormatting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BEB5-E385-DB4B-8179-1E6A7CF14DE5}">
  <sheetPr codeName="Sheet15">
    <tabColor theme="9" tint="0.39997558519241921"/>
    <pageSetUpPr fitToPage="1"/>
  </sheetPr>
  <dimension ref="A1:AM68"/>
  <sheetViews>
    <sheetView view="pageBreakPreview" topLeftCell="A17" zoomScale="85" zoomScaleNormal="85" zoomScaleSheetLayoutView="85" workbookViewId="0">
      <selection activeCell="Q25" sqref="Q25:S25"/>
    </sheetView>
  </sheetViews>
  <sheetFormatPr defaultColWidth="9.140625" defaultRowHeight="16.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28.7109375" style="33" customWidth="1"/>
    <col min="25" max="25" width="15" style="33" customWidth="1"/>
    <col min="26" max="26" width="13.42578125" style="34" customWidth="1"/>
    <col min="27" max="27" width="14.85546875" style="33" customWidth="1"/>
    <col min="28" max="28" width="17.140625" style="33" customWidth="1"/>
    <col min="29" max="29" width="9.140625" style="33"/>
    <col min="30" max="30" width="10.42578125" style="33" customWidth="1"/>
    <col min="31" max="33" width="8.7109375" style="33" customWidth="1"/>
    <col min="34" max="34" width="13.42578125" style="33" customWidth="1"/>
    <col min="35" max="35" width="27.28515625" style="33" customWidth="1"/>
    <col min="36" max="36" width="14.140625" style="33" customWidth="1"/>
    <col min="37" max="37" width="15.7109375" style="33" customWidth="1"/>
    <col min="38" max="39" width="9.140625" style="33"/>
    <col min="40" max="16384" width="9.140625" style="1"/>
  </cols>
  <sheetData>
    <row r="1" spans="1:39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</row>
    <row r="2" spans="1:3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Y2" s="33" t="s">
        <v>102</v>
      </c>
      <c r="Z2" s="39">
        <v>1</v>
      </c>
      <c r="AA2" s="34"/>
    </row>
    <row r="3" spans="1:39" s="4" customFormat="1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33"/>
      <c r="Y3" s="33"/>
      <c r="Z3" s="34"/>
      <c r="AA3" s="34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</row>
    <row r="4" spans="1:39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142"/>
      <c r="Y4" s="39"/>
      <c r="Z4" s="39"/>
      <c r="AA4" s="39"/>
      <c r="AB4" s="39"/>
      <c r="AE4" s="34"/>
      <c r="AF4" s="39"/>
      <c r="AG4" s="39"/>
      <c r="AH4" s="39"/>
      <c r="AI4" s="39"/>
      <c r="AJ4" s="39"/>
      <c r="AK4" s="253"/>
      <c r="AL4" s="132"/>
    </row>
    <row r="5" spans="1:39" s="4" customFormat="1" ht="16.5" customHeight="1" x14ac:dyDescent="0.3">
      <c r="A5" s="6" t="s">
        <v>2</v>
      </c>
      <c r="B5" s="5" t="s">
        <v>3</v>
      </c>
      <c r="C5" s="5"/>
      <c r="D5" s="5"/>
      <c r="E5" s="578">
        <v>1046</v>
      </c>
      <c r="F5" s="578"/>
      <c r="G5" s="605" t="s">
        <v>108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142"/>
      <c r="Y5" s="39"/>
      <c r="Z5" s="39"/>
      <c r="AA5" s="39"/>
      <c r="AB5" s="39"/>
      <c r="AC5" s="33"/>
      <c r="AD5" s="33"/>
      <c r="AE5" s="39"/>
      <c r="AF5" s="39"/>
      <c r="AG5" s="39"/>
      <c r="AH5" s="39"/>
      <c r="AI5" s="39"/>
      <c r="AJ5" s="39"/>
      <c r="AK5" s="253"/>
      <c r="AL5" s="33"/>
      <c r="AM5" s="33"/>
    </row>
    <row r="6" spans="1:39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142"/>
      <c r="Y6" s="62"/>
      <c r="Z6" s="62"/>
      <c r="AA6" s="39"/>
      <c r="AB6" s="39"/>
      <c r="AC6" s="34"/>
      <c r="AD6" s="34"/>
      <c r="AE6" s="39"/>
      <c r="AF6" s="62"/>
      <c r="AG6" s="62"/>
      <c r="AH6" s="62"/>
      <c r="AI6" s="62"/>
      <c r="AJ6" s="62"/>
      <c r="AK6" s="253"/>
    </row>
    <row r="7" spans="1:39" x14ac:dyDescent="0.3">
      <c r="B7" s="2" t="s">
        <v>9</v>
      </c>
      <c r="C7" s="2"/>
      <c r="D7" s="2"/>
      <c r="E7" s="581">
        <f>3.18*8*Z2</f>
        <v>25.44</v>
      </c>
      <c r="F7" s="581"/>
      <c r="G7" s="2" t="str">
        <f>CONCATENATE(G8,"/DAY")</f>
        <v>SQ.M./DAY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142"/>
      <c r="Y7" s="62"/>
      <c r="Z7" s="62"/>
      <c r="AA7" s="39"/>
      <c r="AB7" s="39"/>
      <c r="AC7" s="34"/>
      <c r="AD7" s="34"/>
      <c r="AE7" s="39"/>
      <c r="AF7" s="62"/>
      <c r="AG7" s="62"/>
      <c r="AH7" s="62"/>
      <c r="AI7" s="62"/>
      <c r="AJ7" s="62"/>
      <c r="AK7" s="253"/>
    </row>
    <row r="8" spans="1:39" x14ac:dyDescent="0.3">
      <c r="A8" s="8" t="s">
        <v>11</v>
      </c>
      <c r="B8" s="2" t="s">
        <v>12</v>
      </c>
      <c r="C8" s="2"/>
      <c r="D8" s="2"/>
      <c r="E8" s="600">
        <f>'INPUT DATA'!C21</f>
        <v>36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42"/>
      <c r="Y8" s="62"/>
      <c r="Z8" s="62"/>
      <c r="AB8" s="62"/>
      <c r="AC8" s="34"/>
      <c r="AD8" s="39"/>
      <c r="AJ8" s="39"/>
      <c r="AK8" s="253"/>
    </row>
    <row r="9" spans="1:39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42"/>
      <c r="Y9" s="62"/>
      <c r="Z9" s="62"/>
      <c r="AB9" s="62"/>
      <c r="AC9" s="34"/>
      <c r="AD9" s="39"/>
      <c r="AJ9" s="39"/>
      <c r="AK9" s="253"/>
    </row>
    <row r="10" spans="1:39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142"/>
      <c r="Y10" s="62"/>
      <c r="Z10" s="62"/>
      <c r="AB10" s="62"/>
      <c r="AC10" s="34"/>
      <c r="AD10" s="34"/>
    </row>
    <row r="11" spans="1:39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142"/>
      <c r="Y11" s="62"/>
      <c r="Z11" s="62"/>
      <c r="AB11" s="62"/>
      <c r="AC11" s="34"/>
      <c r="AD11" s="34"/>
    </row>
    <row r="12" spans="1:39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42"/>
      <c r="Y12" s="62"/>
      <c r="Z12" s="62"/>
      <c r="AB12" s="62"/>
      <c r="AC12" s="34"/>
    </row>
    <row r="13" spans="1:39" x14ac:dyDescent="0.3">
      <c r="A13" s="8"/>
      <c r="B13" s="15"/>
      <c r="C13" s="19" t="s">
        <v>90</v>
      </c>
      <c r="D13" s="60"/>
      <c r="E13" s="2"/>
      <c r="F13" s="2"/>
      <c r="G13" s="2"/>
      <c r="H13" s="2"/>
      <c r="I13" s="179"/>
      <c r="J13" s="17"/>
      <c r="K13" s="577"/>
      <c r="L13" s="578"/>
      <c r="M13" s="579"/>
      <c r="N13" s="590"/>
      <c r="O13" s="591"/>
      <c r="P13" s="592"/>
      <c r="Q13" s="593"/>
      <c r="R13" s="594"/>
      <c r="S13" s="595"/>
      <c r="T13" s="583"/>
      <c r="U13" s="584"/>
      <c r="V13" s="585"/>
      <c r="W13" s="2"/>
      <c r="X13" s="142"/>
      <c r="Y13" s="62"/>
      <c r="Z13" s="62"/>
      <c r="AB13" s="62"/>
      <c r="AC13" s="34"/>
    </row>
    <row r="14" spans="1:39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90">
        <f>E8/E7</f>
        <v>1.4150943396226414</v>
      </c>
      <c r="O14" s="591"/>
      <c r="P14" s="592"/>
      <c r="Q14" s="599">
        <v>800</v>
      </c>
      <c r="R14" s="600"/>
      <c r="S14" s="601"/>
      <c r="T14" s="583">
        <f t="shared" ref="T14:T16" si="0">K14*N14*Q14</f>
        <v>1132.0754716981132</v>
      </c>
      <c r="U14" s="584"/>
      <c r="V14" s="585"/>
      <c r="W14" s="2"/>
      <c r="X14" s="142"/>
      <c r="Y14" s="62"/>
      <c r="Z14" s="62"/>
      <c r="AB14" s="62"/>
      <c r="AC14" s="34"/>
      <c r="AE14" s="216"/>
      <c r="AF14" s="216"/>
      <c r="AG14" s="216"/>
      <c r="AH14" s="254"/>
      <c r="AI14" s="688"/>
      <c r="AJ14" s="688"/>
      <c r="AM14" s="1"/>
    </row>
    <row r="15" spans="1:39" x14ac:dyDescent="0.3">
      <c r="B15" s="15"/>
      <c r="C15" s="19" t="s">
        <v>23</v>
      </c>
      <c r="D15" s="40" t="s">
        <v>91</v>
      </c>
      <c r="E15" s="2"/>
      <c r="F15" s="2"/>
      <c r="G15" s="2"/>
      <c r="H15" s="2"/>
      <c r="I15" s="2"/>
      <c r="J15" s="17"/>
      <c r="K15" s="596">
        <f>2*Z2</f>
        <v>2</v>
      </c>
      <c r="L15" s="597"/>
      <c r="M15" s="598"/>
      <c r="N15" s="590">
        <f t="shared" ref="N15:N16" si="1">N14</f>
        <v>1.4150943396226414</v>
      </c>
      <c r="O15" s="591"/>
      <c r="P15" s="592"/>
      <c r="Q15" s="599">
        <v>600</v>
      </c>
      <c r="R15" s="600"/>
      <c r="S15" s="601"/>
      <c r="T15" s="583">
        <f t="shared" si="0"/>
        <v>1698.1132075471696</v>
      </c>
      <c r="U15" s="584"/>
      <c r="V15" s="585"/>
      <c r="W15" s="2"/>
      <c r="X15" s="142"/>
      <c r="Y15" s="62"/>
      <c r="Z15" s="62"/>
      <c r="AB15" s="62"/>
      <c r="AC15" s="34"/>
      <c r="AE15" s="5"/>
      <c r="AF15" s="216"/>
      <c r="AG15" s="255"/>
      <c r="AH15" s="255"/>
      <c r="AI15" s="687"/>
      <c r="AJ15" s="687"/>
      <c r="AM15" s="1"/>
    </row>
    <row r="16" spans="1:39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f>3*Z2</f>
        <v>3</v>
      </c>
      <c r="L16" s="597"/>
      <c r="M16" s="598"/>
      <c r="N16" s="590">
        <f t="shared" si="1"/>
        <v>1.4150943396226414</v>
      </c>
      <c r="O16" s="591"/>
      <c r="P16" s="592"/>
      <c r="Q16" s="599">
        <v>400</v>
      </c>
      <c r="R16" s="600"/>
      <c r="S16" s="601"/>
      <c r="T16" s="583">
        <f t="shared" si="0"/>
        <v>1698.1132075471698</v>
      </c>
      <c r="U16" s="584"/>
      <c r="V16" s="585"/>
      <c r="W16" s="2"/>
      <c r="X16" s="142"/>
      <c r="Y16" s="62"/>
      <c r="Z16" s="62"/>
      <c r="AB16" s="62"/>
      <c r="AC16" s="34"/>
      <c r="AE16" s="5"/>
      <c r="AF16" s="216"/>
      <c r="AG16" s="255"/>
      <c r="AH16" s="255"/>
      <c r="AI16" s="687"/>
      <c r="AJ16" s="687"/>
      <c r="AM16" s="1"/>
    </row>
    <row r="17" spans="1:39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142"/>
      <c r="Y17" s="62"/>
      <c r="Z17" s="62"/>
      <c r="AB17" s="62"/>
      <c r="AC17" s="34"/>
      <c r="AE17" s="5"/>
      <c r="AF17" s="216"/>
      <c r="AG17" s="255"/>
      <c r="AH17" s="255"/>
      <c r="AI17" s="687"/>
      <c r="AJ17" s="687"/>
      <c r="AM17" s="1"/>
    </row>
    <row r="18" spans="1:39" x14ac:dyDescent="0.3">
      <c r="B18" s="15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2"/>
      <c r="X18" s="142"/>
      <c r="Y18" s="62"/>
      <c r="Z18" s="62"/>
      <c r="AB18" s="62"/>
      <c r="AC18" s="34"/>
      <c r="AE18" s="5"/>
      <c r="AF18" s="216"/>
      <c r="AG18" s="255"/>
      <c r="AH18" s="255"/>
      <c r="AI18" s="687"/>
      <c r="AJ18" s="687"/>
      <c r="AM18" s="1"/>
    </row>
    <row r="19" spans="1:39" x14ac:dyDescent="0.3">
      <c r="B19" s="41"/>
      <c r="C19" s="19"/>
      <c r="D19" s="40"/>
      <c r="E19" s="2"/>
      <c r="F19" s="2"/>
      <c r="G19" s="2"/>
      <c r="H19" s="2"/>
      <c r="I19" s="2"/>
      <c r="J19" s="17"/>
      <c r="K19" s="577"/>
      <c r="L19" s="578"/>
      <c r="M19" s="579"/>
      <c r="N19" s="590"/>
      <c r="O19" s="591"/>
      <c r="P19" s="592"/>
      <c r="Q19" s="593"/>
      <c r="R19" s="594"/>
      <c r="S19" s="595"/>
      <c r="T19" s="583"/>
      <c r="U19" s="584"/>
      <c r="V19" s="585"/>
      <c r="W19" s="2"/>
      <c r="X19" s="142"/>
      <c r="Y19" s="62"/>
      <c r="Z19" s="62"/>
      <c r="AB19" s="62"/>
      <c r="AC19" s="34"/>
      <c r="AE19" s="5"/>
      <c r="AF19" s="216"/>
      <c r="AG19" s="255"/>
      <c r="AH19" s="255"/>
      <c r="AI19" s="687"/>
      <c r="AJ19" s="687"/>
      <c r="AM19" s="1"/>
    </row>
    <row r="20" spans="1:39" x14ac:dyDescent="0.3">
      <c r="B20" s="41"/>
      <c r="C20" s="16"/>
      <c r="D20" s="2"/>
      <c r="E20" s="2"/>
      <c r="F20" s="2"/>
      <c r="G20" s="2"/>
      <c r="H20" s="2"/>
      <c r="I20" s="2"/>
      <c r="J20" s="17"/>
      <c r="K20" s="577"/>
      <c r="L20" s="578"/>
      <c r="M20" s="579"/>
      <c r="N20" s="580"/>
      <c r="O20" s="578"/>
      <c r="P20" s="579"/>
      <c r="Q20" s="589"/>
      <c r="R20" s="578"/>
      <c r="S20" s="579"/>
      <c r="T20" s="583"/>
      <c r="U20" s="584"/>
      <c r="V20" s="585"/>
      <c r="W20" s="2"/>
      <c r="X20" s="142"/>
      <c r="Y20" s="62"/>
      <c r="Z20" s="62"/>
      <c r="AB20" s="62"/>
      <c r="AC20" s="34"/>
      <c r="AE20" s="216"/>
      <c r="AF20" s="216"/>
      <c r="AG20" s="216"/>
      <c r="AH20" s="254"/>
      <c r="AI20" s="256"/>
      <c r="AJ20" s="256"/>
      <c r="AM20" s="1"/>
    </row>
    <row r="21" spans="1:39" x14ac:dyDescent="0.3">
      <c r="A21" s="45" t="s">
        <v>26</v>
      </c>
      <c r="B21" s="46"/>
      <c r="C21" s="564" t="s">
        <v>27</v>
      </c>
      <c r="D21" s="565"/>
      <c r="E21" s="565"/>
      <c r="F21" s="565"/>
      <c r="G21" s="565"/>
      <c r="H21" s="565"/>
      <c r="I21" s="565"/>
      <c r="J21" s="566"/>
      <c r="K21" s="47"/>
      <c r="L21" s="48"/>
      <c r="M21" s="49"/>
      <c r="N21" s="47"/>
      <c r="O21" s="48"/>
      <c r="P21" s="49"/>
      <c r="Q21" s="47"/>
      <c r="R21" s="48"/>
      <c r="S21" s="50" t="s">
        <v>28</v>
      </c>
      <c r="T21" s="561">
        <f>ROUND(SUM(T13:V19),2)</f>
        <v>4528.3</v>
      </c>
      <c r="U21" s="562"/>
      <c r="V21" s="563"/>
      <c r="W21" s="2"/>
      <c r="X21" s="142"/>
      <c r="Y21" s="62"/>
      <c r="Z21" s="62"/>
      <c r="AB21" s="62"/>
      <c r="AC21" s="34"/>
      <c r="AE21" s="216"/>
      <c r="AF21" s="216"/>
      <c r="AG21" s="216"/>
      <c r="AH21" s="254"/>
      <c r="AI21" s="687"/>
      <c r="AJ21" s="687"/>
      <c r="AM21" s="1"/>
    </row>
    <row r="22" spans="1:39" x14ac:dyDescent="0.3">
      <c r="B22" s="571" t="s">
        <v>29</v>
      </c>
      <c r="C22" s="572"/>
      <c r="D22" s="572"/>
      <c r="E22" s="572"/>
      <c r="F22" s="572"/>
      <c r="G22" s="572"/>
      <c r="H22" s="572"/>
      <c r="I22" s="572"/>
      <c r="J22" s="573"/>
      <c r="K22" s="571" t="s">
        <v>30</v>
      </c>
      <c r="L22" s="572"/>
      <c r="M22" s="573"/>
      <c r="N22" s="571" t="s">
        <v>15</v>
      </c>
      <c r="O22" s="572"/>
      <c r="P22" s="573"/>
      <c r="Q22" s="571" t="s">
        <v>16</v>
      </c>
      <c r="R22" s="572"/>
      <c r="S22" s="573"/>
      <c r="T22" s="571" t="s">
        <v>17</v>
      </c>
      <c r="U22" s="572"/>
      <c r="V22" s="573"/>
      <c r="W22" s="2"/>
      <c r="X22" s="257"/>
      <c r="Y22" s="257"/>
      <c r="Z22" s="258"/>
      <c r="AA22" s="258"/>
      <c r="AB22" s="259"/>
      <c r="AC22" s="34"/>
      <c r="AI22" s="38"/>
      <c r="AJ22" s="34"/>
      <c r="AK22" s="1"/>
      <c r="AL22" s="1"/>
      <c r="AM22" s="1"/>
    </row>
    <row r="23" spans="1:39" x14ac:dyDescent="0.3">
      <c r="B23" s="574"/>
      <c r="C23" s="575"/>
      <c r="D23" s="575"/>
      <c r="E23" s="575"/>
      <c r="F23" s="575"/>
      <c r="G23" s="575"/>
      <c r="H23" s="575"/>
      <c r="I23" s="575"/>
      <c r="J23" s="576"/>
      <c r="K23" s="574"/>
      <c r="L23" s="575"/>
      <c r="M23" s="576"/>
      <c r="N23" s="574"/>
      <c r="O23" s="575"/>
      <c r="P23" s="576"/>
      <c r="Q23" s="574"/>
      <c r="R23" s="575"/>
      <c r="S23" s="576"/>
      <c r="T23" s="574"/>
      <c r="U23" s="575"/>
      <c r="V23" s="576"/>
      <c r="W23" s="2"/>
      <c r="X23" s="257"/>
      <c r="Y23" s="257"/>
      <c r="Z23" s="258"/>
      <c r="AA23" s="258"/>
      <c r="AB23" s="259"/>
      <c r="AL23" s="38"/>
      <c r="AM23" s="34"/>
    </row>
    <row r="24" spans="1:39" x14ac:dyDescent="0.3">
      <c r="B24" s="15" t="s">
        <v>31</v>
      </c>
      <c r="C24" s="19" t="s">
        <v>32</v>
      </c>
      <c r="D24" s="40"/>
      <c r="E24" s="2"/>
      <c r="F24" s="2"/>
      <c r="G24" s="2"/>
      <c r="H24" s="2"/>
      <c r="I24" s="2"/>
      <c r="J24" s="17"/>
      <c r="K24" s="596"/>
      <c r="L24" s="597"/>
      <c r="M24" s="598"/>
      <c r="N24" s="590"/>
      <c r="O24" s="591"/>
      <c r="P24" s="592"/>
      <c r="Q24" s="593"/>
      <c r="R24" s="594"/>
      <c r="S24" s="595"/>
      <c r="T24" s="583"/>
      <c r="U24" s="584"/>
      <c r="V24" s="585"/>
      <c r="W24" s="2"/>
      <c r="X24" s="257"/>
      <c r="Y24" s="257"/>
      <c r="Z24" s="258"/>
      <c r="AA24" s="258"/>
      <c r="AB24" s="259"/>
    </row>
    <row r="25" spans="1:39" x14ac:dyDescent="0.3">
      <c r="B25" s="15"/>
      <c r="C25" s="28" t="s">
        <v>21</v>
      </c>
      <c r="D25" s="5" t="s">
        <v>93</v>
      </c>
      <c r="E25" s="2"/>
      <c r="F25" s="2"/>
      <c r="G25" s="2"/>
      <c r="H25" s="2"/>
      <c r="I25" s="2"/>
      <c r="J25" s="17"/>
      <c r="K25" s="577">
        <v>1</v>
      </c>
      <c r="L25" s="578"/>
      <c r="M25" s="579"/>
      <c r="N25" s="590">
        <f>N14</f>
        <v>1.4150943396226414</v>
      </c>
      <c r="O25" s="591"/>
      <c r="P25" s="592"/>
      <c r="Q25" s="586">
        <v>1376</v>
      </c>
      <c r="R25" s="587"/>
      <c r="S25" s="588"/>
      <c r="T25" s="583">
        <f t="shared" ref="T25" si="2">K25*N25*Q25</f>
        <v>1947.1698113207547</v>
      </c>
      <c r="U25" s="584"/>
      <c r="V25" s="585"/>
      <c r="W25" s="2"/>
      <c r="X25" s="257"/>
      <c r="Y25" s="257"/>
      <c r="Z25" s="258"/>
      <c r="AA25" s="258"/>
      <c r="AB25" s="259"/>
      <c r="AC25" s="34"/>
    </row>
    <row r="26" spans="1:39" x14ac:dyDescent="0.3">
      <c r="B26" s="15"/>
      <c r="C26" s="19"/>
      <c r="D26" s="5" t="s">
        <v>104</v>
      </c>
      <c r="E26" s="2"/>
      <c r="F26" s="2"/>
      <c r="G26" s="2"/>
      <c r="H26" s="2"/>
      <c r="I26" s="2"/>
      <c r="J26" s="17"/>
      <c r="K26" s="596"/>
      <c r="L26" s="597"/>
      <c r="M26" s="598"/>
      <c r="N26" s="590"/>
      <c r="O26" s="591"/>
      <c r="P26" s="592"/>
      <c r="Q26" s="593"/>
      <c r="R26" s="594"/>
      <c r="S26" s="595"/>
      <c r="T26" s="583">
        <f>T21*10%</f>
        <v>452.83000000000004</v>
      </c>
      <c r="U26" s="584"/>
      <c r="V26" s="585"/>
      <c r="W26" s="2"/>
      <c r="AA26" s="34"/>
      <c r="AC26" s="34"/>
    </row>
    <row r="27" spans="1:39" x14ac:dyDescent="0.3">
      <c r="B27" s="15"/>
      <c r="C27" s="19"/>
      <c r="D27" s="40"/>
      <c r="E27" s="2"/>
      <c r="F27" s="2"/>
      <c r="G27" s="2"/>
      <c r="H27" s="2"/>
      <c r="I27" s="2"/>
      <c r="J27" s="17"/>
      <c r="K27" s="596"/>
      <c r="L27" s="597"/>
      <c r="M27" s="598"/>
      <c r="N27" s="590"/>
      <c r="O27" s="591"/>
      <c r="P27" s="592"/>
      <c r="Q27" s="593"/>
      <c r="R27" s="594"/>
      <c r="S27" s="595"/>
      <c r="T27" s="583"/>
      <c r="U27" s="584"/>
      <c r="V27" s="585"/>
      <c r="W27" s="2"/>
      <c r="X27" s="260"/>
      <c r="Y27" s="260"/>
      <c r="AA27" s="34"/>
      <c r="AB27" s="34"/>
      <c r="AC27" s="39"/>
    </row>
    <row r="28" spans="1:39" x14ac:dyDescent="0.3">
      <c r="B28" s="15"/>
      <c r="C28" s="19"/>
      <c r="D28" s="40"/>
      <c r="E28" s="2"/>
      <c r="F28" s="2"/>
      <c r="G28" s="2"/>
      <c r="H28" s="2"/>
      <c r="I28" s="2"/>
      <c r="J28" s="17"/>
      <c r="K28" s="596"/>
      <c r="L28" s="597"/>
      <c r="M28" s="598"/>
      <c r="N28" s="590"/>
      <c r="O28" s="591"/>
      <c r="P28" s="592"/>
      <c r="Q28" s="593"/>
      <c r="R28" s="594"/>
      <c r="S28" s="595"/>
      <c r="T28" s="583"/>
      <c r="U28" s="584"/>
      <c r="V28" s="585"/>
      <c r="W28" s="2"/>
      <c r="X28" s="34"/>
      <c r="Y28" s="34"/>
      <c r="AA28" s="34"/>
      <c r="AC28" s="34"/>
    </row>
    <row r="29" spans="1:39" x14ac:dyDescent="0.3">
      <c r="B29" s="15"/>
      <c r="C29" s="19"/>
      <c r="D29" s="40"/>
      <c r="E29" s="2"/>
      <c r="F29" s="2"/>
      <c r="G29" s="2"/>
      <c r="H29" s="2"/>
      <c r="I29" s="2"/>
      <c r="J29" s="17"/>
      <c r="K29" s="596"/>
      <c r="L29" s="597"/>
      <c r="M29" s="598"/>
      <c r="N29" s="590"/>
      <c r="O29" s="591"/>
      <c r="P29" s="592"/>
      <c r="Q29" s="593"/>
      <c r="R29" s="594"/>
      <c r="S29" s="595"/>
      <c r="T29" s="583"/>
      <c r="U29" s="584"/>
      <c r="V29" s="585"/>
      <c r="W29" s="2"/>
      <c r="X29" s="34"/>
      <c r="Y29" s="34"/>
      <c r="AA29" s="34"/>
      <c r="AC29" s="39"/>
    </row>
    <row r="30" spans="1:39" x14ac:dyDescent="0.3">
      <c r="A30" s="45" t="s">
        <v>34</v>
      </c>
      <c r="B30" s="46"/>
      <c r="C30" s="564" t="s">
        <v>35</v>
      </c>
      <c r="D30" s="565"/>
      <c r="E30" s="565"/>
      <c r="F30" s="565"/>
      <c r="G30" s="565"/>
      <c r="H30" s="565"/>
      <c r="I30" s="565"/>
      <c r="J30" s="56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61">
        <f>ROUND(SUM(T24:V29),2)</f>
        <v>2400</v>
      </c>
      <c r="U30" s="562"/>
      <c r="V30" s="563"/>
      <c r="W30" s="2"/>
      <c r="X30" s="34"/>
      <c r="Y30" s="34"/>
      <c r="Z30" s="261"/>
      <c r="AA30" s="34"/>
      <c r="AB30" s="39"/>
      <c r="AC30" s="39"/>
      <c r="AL30" s="34"/>
      <c r="AM30" s="34"/>
    </row>
    <row r="31" spans="1:39" x14ac:dyDescent="0.3">
      <c r="B31" s="64" t="s">
        <v>36</v>
      </c>
      <c r="C31" s="564" t="s">
        <v>37</v>
      </c>
      <c r="D31" s="565"/>
      <c r="E31" s="565"/>
      <c r="F31" s="565"/>
      <c r="G31" s="565"/>
      <c r="H31" s="565"/>
      <c r="I31" s="565"/>
      <c r="J31" s="565"/>
      <c r="K31" s="48"/>
      <c r="L31" s="48"/>
      <c r="M31" s="48"/>
      <c r="N31" s="48"/>
      <c r="O31" s="48"/>
      <c r="P31" s="48"/>
      <c r="Q31" s="48"/>
      <c r="R31" s="48"/>
      <c r="S31" s="48"/>
      <c r="T31" s="562">
        <f>T21+T30</f>
        <v>6928.3</v>
      </c>
      <c r="U31" s="562"/>
      <c r="V31" s="563"/>
      <c r="W31" s="2"/>
      <c r="X31" s="261"/>
      <c r="Y31" s="262"/>
      <c r="AA31" s="34"/>
      <c r="AB31" s="39"/>
      <c r="AC31" s="34"/>
      <c r="AD31" s="38"/>
      <c r="AE31" s="39"/>
      <c r="AF31" s="263"/>
      <c r="AG31" s="263"/>
      <c r="AH31" s="262"/>
    </row>
    <row r="32" spans="1:39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70">
        <f>E7</f>
        <v>25.44</v>
      </c>
      <c r="I32" s="565"/>
      <c r="J32" s="48" t="str">
        <f>G7</f>
        <v>SQ.M./DAY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61"/>
      <c r="Y32" s="262"/>
      <c r="Z32" s="261"/>
      <c r="AA32" s="34"/>
    </row>
    <row r="33" spans="1:39" x14ac:dyDescent="0.3">
      <c r="B33" s="571" t="s">
        <v>44</v>
      </c>
      <c r="C33" s="572"/>
      <c r="D33" s="572"/>
      <c r="E33" s="572"/>
      <c r="F33" s="572"/>
      <c r="G33" s="572"/>
      <c r="H33" s="572"/>
      <c r="I33" s="572"/>
      <c r="J33" s="573"/>
      <c r="K33" s="571" t="s">
        <v>45</v>
      </c>
      <c r="L33" s="572"/>
      <c r="M33" s="573"/>
      <c r="N33" s="571" t="s">
        <v>46</v>
      </c>
      <c r="O33" s="572"/>
      <c r="P33" s="573"/>
      <c r="Q33" s="571" t="s">
        <v>47</v>
      </c>
      <c r="R33" s="572"/>
      <c r="S33" s="573"/>
      <c r="T33" s="571" t="s">
        <v>17</v>
      </c>
      <c r="U33" s="572"/>
      <c r="V33" s="573"/>
      <c r="W33" s="2"/>
      <c r="X33" s="260"/>
      <c r="Y33" s="260"/>
      <c r="AA33" s="34"/>
    </row>
    <row r="34" spans="1:39" x14ac:dyDescent="0.3">
      <c r="B34" s="574"/>
      <c r="C34" s="575"/>
      <c r="D34" s="575"/>
      <c r="E34" s="575"/>
      <c r="F34" s="575"/>
      <c r="G34" s="575"/>
      <c r="H34" s="575"/>
      <c r="I34" s="575"/>
      <c r="J34" s="576"/>
      <c r="K34" s="574"/>
      <c r="L34" s="575"/>
      <c r="M34" s="576"/>
      <c r="N34" s="574"/>
      <c r="O34" s="575"/>
      <c r="P34" s="576"/>
      <c r="Q34" s="574"/>
      <c r="R34" s="575"/>
      <c r="S34" s="576"/>
      <c r="T34" s="574"/>
      <c r="U34" s="575"/>
      <c r="V34" s="576"/>
      <c r="W34" s="9"/>
      <c r="X34" s="34"/>
      <c r="Y34" s="34"/>
      <c r="AA34" s="34"/>
      <c r="AL34" s="34"/>
    </row>
    <row r="35" spans="1:39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34"/>
      <c r="Y35" s="34"/>
      <c r="AA35" s="34"/>
      <c r="AL35" s="34"/>
    </row>
    <row r="36" spans="1:39" ht="16.5" customHeight="1" x14ac:dyDescent="0.3">
      <c r="B36" s="41"/>
      <c r="C36" s="19" t="s">
        <v>21</v>
      </c>
      <c r="D36" s="240" t="s">
        <v>109</v>
      </c>
      <c r="F36" s="121"/>
      <c r="G36" s="122"/>
      <c r="H36" s="122"/>
      <c r="I36" s="122"/>
      <c r="J36" s="17"/>
      <c r="K36" s="681">
        <f>13*E8</f>
        <v>468</v>
      </c>
      <c r="L36" s="682"/>
      <c r="M36" s="683"/>
      <c r="N36" s="662" t="str">
        <f>IF(K36&gt;1,"pcs.","pc.")</f>
        <v>pcs.</v>
      </c>
      <c r="O36" s="663" t="str">
        <f>IF(L36&gt;1,"pcs.","pc.")</f>
        <v>pc.</v>
      </c>
      <c r="P36" s="664" t="str">
        <f>IF(M36&gt;1,"pcs.","pc.")</f>
        <v>pc.</v>
      </c>
      <c r="Q36" s="647">
        <v>18</v>
      </c>
      <c r="R36" s="648"/>
      <c r="S36" s="649"/>
      <c r="T36" s="635">
        <f>K36*Q36</f>
        <v>8424</v>
      </c>
      <c r="U36" s="636"/>
      <c r="V36" s="637"/>
      <c r="X36" s="34"/>
      <c r="Y36" s="34"/>
      <c r="AA36" s="34"/>
      <c r="AL36" s="34"/>
    </row>
    <row r="37" spans="1:39" ht="16.5" customHeight="1" x14ac:dyDescent="0.3">
      <c r="B37" s="41"/>
      <c r="C37" s="19" t="s">
        <v>23</v>
      </c>
      <c r="D37" s="60" t="s">
        <v>97</v>
      </c>
      <c r="F37" s="121"/>
      <c r="G37" s="122"/>
      <c r="H37" s="122"/>
      <c r="I37" s="122"/>
      <c r="J37" s="17"/>
      <c r="K37" s="681">
        <f>1.5*E8</f>
        <v>54</v>
      </c>
      <c r="L37" s="682"/>
      <c r="M37" s="683"/>
      <c r="N37" s="662" t="str">
        <f>IF(K37&gt;1,"bags","bag")</f>
        <v>bags</v>
      </c>
      <c r="O37" s="663" t="str">
        <f>IF(L37&gt;1,"bags","bag")</f>
        <v>bag</v>
      </c>
      <c r="P37" s="664" t="str">
        <f>IF(M37&gt;1,"bags","bag")</f>
        <v>bag</v>
      </c>
      <c r="Q37" s="647">
        <v>265</v>
      </c>
      <c r="R37" s="648"/>
      <c r="S37" s="649"/>
      <c r="T37" s="635">
        <f t="shared" ref="T37:T40" si="3">K37*Q37</f>
        <v>14310</v>
      </c>
      <c r="U37" s="636"/>
      <c r="V37" s="637"/>
      <c r="X37" s="261"/>
      <c r="Y37" s="140"/>
      <c r="AA37" s="34"/>
      <c r="AD37" s="675"/>
      <c r="AE37" s="675"/>
      <c r="AF37" s="674"/>
      <c r="AG37" s="674"/>
      <c r="AL37" s="34"/>
    </row>
    <row r="38" spans="1:39" ht="16.5" customHeight="1" x14ac:dyDescent="0.3">
      <c r="B38" s="41"/>
      <c r="C38" s="19" t="s">
        <v>78</v>
      </c>
      <c r="D38" s="60" t="s">
        <v>106</v>
      </c>
      <c r="E38" s="121"/>
      <c r="F38" s="121"/>
      <c r="G38" s="122"/>
      <c r="H38" s="122"/>
      <c r="I38" s="122"/>
      <c r="J38" s="17"/>
      <c r="K38" s="681">
        <f>0.04*E8</f>
        <v>1.44</v>
      </c>
      <c r="L38" s="682"/>
      <c r="M38" s="683"/>
      <c r="N38" s="662" t="str">
        <f>IF(K38&gt;1,"cu.m.","cu.m.")</f>
        <v>cu.m.</v>
      </c>
      <c r="O38" s="663" t="str">
        <f>IF(L38&gt;1,"cu.m.","cu.m.")</f>
        <v>cu.m.</v>
      </c>
      <c r="P38" s="664" t="str">
        <f>IF(M38&gt;1,"cu.m.","cu.m.")</f>
        <v>cu.m.</v>
      </c>
      <c r="Q38" s="647">
        <v>1400</v>
      </c>
      <c r="R38" s="648"/>
      <c r="S38" s="649"/>
      <c r="T38" s="635">
        <f t="shared" si="3"/>
        <v>2016</v>
      </c>
      <c r="U38" s="636"/>
      <c r="V38" s="637"/>
      <c r="X38" s="261"/>
      <c r="Y38" s="140"/>
      <c r="AA38" s="34"/>
      <c r="AM38" s="264"/>
    </row>
    <row r="39" spans="1:39" ht="36" customHeight="1" x14ac:dyDescent="0.3">
      <c r="B39" s="41"/>
      <c r="C39" s="19" t="s">
        <v>94</v>
      </c>
      <c r="D39" s="679" t="s">
        <v>107</v>
      </c>
      <c r="E39" s="679"/>
      <c r="F39" s="679"/>
      <c r="G39" s="679"/>
      <c r="H39" s="679"/>
      <c r="I39" s="679"/>
      <c r="J39" s="680"/>
      <c r="K39" s="681">
        <f>3.24*E8</f>
        <v>116.64000000000001</v>
      </c>
      <c r="L39" s="682"/>
      <c r="M39" s="683"/>
      <c r="N39" s="684" t="str">
        <f t="shared" ref="N39:P40" si="4">IF(K39&gt;1,"kgs.","kg.")</f>
        <v>kgs.</v>
      </c>
      <c r="O39" s="685" t="str">
        <f t="shared" si="4"/>
        <v>kg.</v>
      </c>
      <c r="P39" s="686" t="str">
        <f t="shared" si="4"/>
        <v>kg.</v>
      </c>
      <c r="Q39" s="647">
        <v>75</v>
      </c>
      <c r="R39" s="648"/>
      <c r="S39" s="649"/>
      <c r="T39" s="635">
        <f t="shared" si="3"/>
        <v>8748.0000000000018</v>
      </c>
      <c r="U39" s="636"/>
      <c r="V39" s="637"/>
      <c r="W39" s="2"/>
      <c r="X39" s="261"/>
      <c r="Y39" s="262"/>
      <c r="AA39" s="34"/>
      <c r="AB39" s="39"/>
      <c r="AC39" s="34"/>
      <c r="AM39" s="264"/>
    </row>
    <row r="40" spans="1:39" ht="16.5" customHeight="1" x14ac:dyDescent="0.3">
      <c r="B40" s="41"/>
      <c r="C40" s="19" t="s">
        <v>95</v>
      </c>
      <c r="D40" s="265" t="s">
        <v>81</v>
      </c>
      <c r="E40" s="121"/>
      <c r="F40" s="121"/>
      <c r="G40" s="122"/>
      <c r="H40" s="122"/>
      <c r="I40" s="122"/>
      <c r="J40" s="17"/>
      <c r="K40" s="681">
        <f>0.05*E8</f>
        <v>1.8</v>
      </c>
      <c r="L40" s="682"/>
      <c r="M40" s="683"/>
      <c r="N40" s="684" t="str">
        <f t="shared" si="4"/>
        <v>kgs.</v>
      </c>
      <c r="O40" s="685" t="str">
        <f t="shared" si="4"/>
        <v>kg.</v>
      </c>
      <c r="P40" s="686" t="str">
        <f t="shared" si="4"/>
        <v>kg.</v>
      </c>
      <c r="Q40" s="647">
        <v>90</v>
      </c>
      <c r="R40" s="648"/>
      <c r="S40" s="649"/>
      <c r="T40" s="635">
        <f t="shared" si="3"/>
        <v>162</v>
      </c>
      <c r="U40" s="636"/>
      <c r="V40" s="637"/>
      <c r="W40" s="2"/>
      <c r="X40" s="261"/>
      <c r="Y40" s="262"/>
      <c r="AA40" s="34"/>
      <c r="AB40" s="39"/>
      <c r="AC40" s="34"/>
      <c r="AM40" s="264"/>
    </row>
    <row r="41" spans="1:39" x14ac:dyDescent="0.3">
      <c r="B41" s="41"/>
      <c r="C41" s="19"/>
      <c r="D41" s="40"/>
      <c r="E41" s="245"/>
      <c r="F41" s="245"/>
      <c r="G41" s="122"/>
      <c r="H41" s="122"/>
      <c r="I41" s="122"/>
      <c r="J41" s="17"/>
      <c r="K41" s="676"/>
      <c r="L41" s="677"/>
      <c r="M41" s="678"/>
      <c r="N41" s="662"/>
      <c r="O41" s="663"/>
      <c r="P41" s="664"/>
      <c r="Q41" s="647"/>
      <c r="R41" s="648"/>
      <c r="S41" s="649"/>
      <c r="T41" s="635"/>
      <c r="U41" s="636"/>
      <c r="V41" s="637"/>
      <c r="W41" s="2"/>
      <c r="X41" s="261"/>
      <c r="Y41" s="262"/>
      <c r="AA41" s="34"/>
      <c r="AB41" s="39"/>
      <c r="AC41" s="34"/>
      <c r="AM41" s="264"/>
    </row>
    <row r="42" spans="1:39" x14ac:dyDescent="0.3">
      <c r="B42" s="41"/>
      <c r="C42" s="19"/>
      <c r="D42" s="40"/>
      <c r="E42" s="121"/>
      <c r="F42" s="121"/>
      <c r="G42" s="200"/>
      <c r="H42" s="201"/>
      <c r="I42" s="202"/>
      <c r="J42" s="17"/>
      <c r="K42" s="676"/>
      <c r="L42" s="677"/>
      <c r="M42" s="678"/>
      <c r="N42" s="662"/>
      <c r="O42" s="663"/>
      <c r="P42" s="664"/>
      <c r="Q42" s="647"/>
      <c r="R42" s="648"/>
      <c r="S42" s="649"/>
      <c r="T42" s="635"/>
      <c r="U42" s="636"/>
      <c r="V42" s="637"/>
      <c r="W42" s="2"/>
      <c r="X42" s="261"/>
      <c r="Y42" s="262"/>
      <c r="AA42" s="34"/>
      <c r="AB42" s="39"/>
      <c r="AC42" s="34"/>
    </row>
    <row r="43" spans="1:39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676"/>
      <c r="L43" s="677"/>
      <c r="M43" s="678"/>
      <c r="N43" s="662"/>
      <c r="O43" s="663"/>
      <c r="P43" s="664"/>
      <c r="Q43" s="647"/>
      <c r="R43" s="648"/>
      <c r="S43" s="649"/>
      <c r="T43" s="635"/>
      <c r="U43" s="636"/>
      <c r="V43" s="637"/>
      <c r="W43" s="2"/>
      <c r="X43" s="261"/>
      <c r="Y43" s="262"/>
      <c r="Z43" s="39"/>
      <c r="AA43" s="39"/>
      <c r="AB43" s="39"/>
      <c r="AC43" s="34"/>
    </row>
    <row r="44" spans="1:39" x14ac:dyDescent="0.3">
      <c r="B44" s="41"/>
      <c r="C44" s="19"/>
      <c r="D44" s="40"/>
      <c r="E44" s="121"/>
      <c r="F44" s="121"/>
      <c r="G44" s="206"/>
      <c r="H44" s="202"/>
      <c r="I44" s="202"/>
      <c r="J44" s="17"/>
      <c r="K44" s="266"/>
      <c r="L44" s="267"/>
      <c r="M44" s="268"/>
      <c r="N44" s="241"/>
      <c r="O44" s="242"/>
      <c r="P44" s="243"/>
      <c r="Q44" s="105"/>
      <c r="R44" s="106"/>
      <c r="S44" s="107"/>
      <c r="T44" s="213"/>
      <c r="U44" s="214"/>
      <c r="V44" s="215"/>
      <c r="W44" s="2"/>
      <c r="X44" s="261"/>
      <c r="Y44" s="262"/>
      <c r="Z44" s="39"/>
      <c r="AA44" s="39"/>
      <c r="AB44" s="39"/>
      <c r="AC44" s="34"/>
    </row>
    <row r="45" spans="1:39" x14ac:dyDescent="0.3">
      <c r="B45" s="41"/>
      <c r="C45" s="40"/>
      <c r="D45" s="199"/>
      <c r="E45" s="121"/>
      <c r="F45" s="121"/>
      <c r="G45" s="206"/>
      <c r="H45" s="202"/>
      <c r="I45" s="202"/>
      <c r="J45" s="17"/>
      <c r="K45" s="207"/>
      <c r="L45" s="208"/>
      <c r="M45" s="209"/>
      <c r="N45" s="210"/>
      <c r="O45" s="211"/>
      <c r="P45" s="212"/>
      <c r="Q45" s="89"/>
      <c r="R45" s="90"/>
      <c r="S45" s="91"/>
      <c r="T45" s="213"/>
      <c r="U45" s="214"/>
      <c r="V45" s="215"/>
      <c r="X45" s="34"/>
      <c r="Y45" s="34"/>
      <c r="AA45" s="34"/>
    </row>
    <row r="46" spans="1:39" ht="16.5" customHeight="1" x14ac:dyDescent="0.3">
      <c r="A46" s="45" t="s">
        <v>51</v>
      </c>
      <c r="B46" s="46"/>
      <c r="C46" s="564" t="s">
        <v>52</v>
      </c>
      <c r="D46" s="565"/>
      <c r="E46" s="565"/>
      <c r="F46" s="565"/>
      <c r="G46" s="565"/>
      <c r="H46" s="565"/>
      <c r="I46" s="565"/>
      <c r="J46" s="56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ROUND(SUM(T36:V45),2)</f>
        <v>33660</v>
      </c>
      <c r="U46" s="562"/>
      <c r="V46" s="563"/>
      <c r="W46" s="2"/>
    </row>
    <row r="47" spans="1:39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T31+T46</f>
        <v>40588.300000000003</v>
      </c>
      <c r="U47" s="562"/>
      <c r="V47" s="563"/>
      <c r="W47" s="2"/>
      <c r="X47" s="60"/>
      <c r="Z47" s="33"/>
      <c r="AC47" s="34"/>
      <c r="AD47" s="34"/>
      <c r="AE47" s="34"/>
      <c r="AF47" s="674"/>
      <c r="AG47" s="674"/>
    </row>
    <row r="48" spans="1:39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2029.4150000000002</v>
      </c>
      <c r="U48" s="568"/>
      <c r="V48" s="569"/>
      <c r="W48" s="2"/>
      <c r="X48" s="269"/>
      <c r="Z48" s="33"/>
      <c r="AC48" s="34"/>
      <c r="AD48" s="675"/>
      <c r="AE48" s="675"/>
      <c r="AF48" s="674"/>
      <c r="AG48" s="674"/>
    </row>
    <row r="49" spans="1:33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4058.8300000000004</v>
      </c>
      <c r="U49" s="568"/>
      <c r="V49" s="569"/>
      <c r="W49" s="2"/>
      <c r="Z49" s="33"/>
      <c r="AD49" s="675"/>
      <c r="AE49" s="675"/>
      <c r="AF49" s="263"/>
      <c r="AG49" s="263"/>
    </row>
    <row r="50" spans="1:33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</row>
    <row r="51" spans="1:33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46676.545000000006</v>
      </c>
      <c r="U51" s="562"/>
      <c r="V51" s="563"/>
      <c r="W51" s="18"/>
    </row>
    <row r="52" spans="1:33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1296.5706944444446</v>
      </c>
      <c r="U52" s="562"/>
      <c r="V52" s="563"/>
      <c r="W52" s="132"/>
      <c r="Z52" s="33"/>
    </row>
    <row r="53" spans="1:33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132"/>
    </row>
    <row r="54" spans="1:33" ht="15" customHeight="1" x14ac:dyDescent="0.3">
      <c r="L54" s="2"/>
      <c r="M54" s="2"/>
      <c r="N54" s="2"/>
      <c r="W54" s="18"/>
    </row>
    <row r="55" spans="1:33" x14ac:dyDescent="0.3">
      <c r="T55" s="689"/>
      <c r="U55" s="689"/>
      <c r="V55" s="689"/>
      <c r="W55" s="18"/>
    </row>
    <row r="56" spans="1:33" x14ac:dyDescent="0.3">
      <c r="W56" s="2"/>
    </row>
    <row r="57" spans="1:33" x14ac:dyDescent="0.3">
      <c r="W57" s="2"/>
    </row>
    <row r="58" spans="1:33" x14ac:dyDescent="0.3">
      <c r="W58" s="2"/>
    </row>
    <row r="59" spans="1:33" x14ac:dyDescent="0.3">
      <c r="W59" s="2"/>
    </row>
    <row r="60" spans="1:33" x14ac:dyDescent="0.3">
      <c r="W60" s="2"/>
    </row>
    <row r="61" spans="1:33" x14ac:dyDescent="0.3">
      <c r="W61" s="2"/>
    </row>
    <row r="62" spans="1:33" x14ac:dyDescent="0.3">
      <c r="W62" s="2"/>
    </row>
    <row r="63" spans="1:33" x14ac:dyDescent="0.3">
      <c r="W63" s="2"/>
    </row>
    <row r="64" spans="1:33" x14ac:dyDescent="0.3">
      <c r="W64" s="2"/>
    </row>
    <row r="65" spans="23:23" x14ac:dyDescent="0.3">
      <c r="W65" s="2"/>
    </row>
    <row r="66" spans="23:23" x14ac:dyDescent="0.3">
      <c r="W66" s="2"/>
    </row>
    <row r="67" spans="23:23" x14ac:dyDescent="0.25">
      <c r="W67" s="132"/>
    </row>
    <row r="68" spans="23:23" x14ac:dyDescent="0.3">
      <c r="W68" s="2"/>
    </row>
  </sheetData>
  <mergeCells count="141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AI14:AJ14"/>
    <mergeCell ref="K15:M15"/>
    <mergeCell ref="N15:P15"/>
    <mergeCell ref="Q15:S15"/>
    <mergeCell ref="T15:V15"/>
    <mergeCell ref="AI15:AJ15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6:M16"/>
    <mergeCell ref="N16:P16"/>
    <mergeCell ref="Q16:S16"/>
    <mergeCell ref="T16:V16"/>
    <mergeCell ref="AI16:AJ16"/>
    <mergeCell ref="K17:M17"/>
    <mergeCell ref="N17:P17"/>
    <mergeCell ref="Q17:S17"/>
    <mergeCell ref="T17:V17"/>
    <mergeCell ref="AI17:AJ17"/>
    <mergeCell ref="K18:M18"/>
    <mergeCell ref="N18:P18"/>
    <mergeCell ref="Q18:S18"/>
    <mergeCell ref="T18:V18"/>
    <mergeCell ref="AI18:AJ18"/>
    <mergeCell ref="K19:M19"/>
    <mergeCell ref="N19:P19"/>
    <mergeCell ref="Q19:S19"/>
    <mergeCell ref="T19:V19"/>
    <mergeCell ref="AI19:AJ19"/>
    <mergeCell ref="B22:J23"/>
    <mergeCell ref="K22:M23"/>
    <mergeCell ref="N22:P23"/>
    <mergeCell ref="Q22:S23"/>
    <mergeCell ref="T22:V23"/>
    <mergeCell ref="K20:M20"/>
    <mergeCell ref="N20:P20"/>
    <mergeCell ref="Q20:S20"/>
    <mergeCell ref="T20:V20"/>
    <mergeCell ref="C21:J21"/>
    <mergeCell ref="T21:V21"/>
    <mergeCell ref="K24:M24"/>
    <mergeCell ref="N24:P24"/>
    <mergeCell ref="Q24:S24"/>
    <mergeCell ref="T24:V24"/>
    <mergeCell ref="K25:M25"/>
    <mergeCell ref="N25:P25"/>
    <mergeCell ref="Q25:S25"/>
    <mergeCell ref="T25:V25"/>
    <mergeCell ref="AI21:AJ2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C30:J30"/>
    <mergeCell ref="T30:V30"/>
    <mergeCell ref="C31:J31"/>
    <mergeCell ref="T31:V31"/>
    <mergeCell ref="H32:I32"/>
    <mergeCell ref="B33:J34"/>
    <mergeCell ref="K33:M34"/>
    <mergeCell ref="N33:P34"/>
    <mergeCell ref="Q33:S34"/>
    <mergeCell ref="T33:V34"/>
    <mergeCell ref="AD37:AE37"/>
    <mergeCell ref="AF37:AG37"/>
    <mergeCell ref="K38:M38"/>
    <mergeCell ref="N38:P38"/>
    <mergeCell ref="Q38:S38"/>
    <mergeCell ref="T38:V38"/>
    <mergeCell ref="K36:M36"/>
    <mergeCell ref="N36:P36"/>
    <mergeCell ref="Q36:S36"/>
    <mergeCell ref="T36:V36"/>
    <mergeCell ref="K37:M37"/>
    <mergeCell ref="N37:P37"/>
    <mergeCell ref="Q37:S37"/>
    <mergeCell ref="T37:V37"/>
    <mergeCell ref="D39:J39"/>
    <mergeCell ref="K39:M39"/>
    <mergeCell ref="N39:P39"/>
    <mergeCell ref="Q39:S39"/>
    <mergeCell ref="T39:V39"/>
    <mergeCell ref="K40:M40"/>
    <mergeCell ref="N40:P40"/>
    <mergeCell ref="Q40:S40"/>
    <mergeCell ref="T40:V40"/>
    <mergeCell ref="K43:M43"/>
    <mergeCell ref="N43:P43"/>
    <mergeCell ref="Q43:S43"/>
    <mergeCell ref="T43:V43"/>
    <mergeCell ref="C46:J46"/>
    <mergeCell ref="T46:V46"/>
    <mergeCell ref="K41:M41"/>
    <mergeCell ref="N41:P41"/>
    <mergeCell ref="Q41:S41"/>
    <mergeCell ref="T41:V41"/>
    <mergeCell ref="K42:M42"/>
    <mergeCell ref="N42:P42"/>
    <mergeCell ref="Q42:S42"/>
    <mergeCell ref="T42:V42"/>
    <mergeCell ref="T50:V50"/>
    <mergeCell ref="T51:V51"/>
    <mergeCell ref="T52:V52"/>
    <mergeCell ref="T55:V55"/>
    <mergeCell ref="T47:V47"/>
    <mergeCell ref="AF47:AG47"/>
    <mergeCell ref="T48:V48"/>
    <mergeCell ref="AD48:AE48"/>
    <mergeCell ref="AF48:AG48"/>
    <mergeCell ref="T49:V49"/>
    <mergeCell ref="AD49:AE49"/>
  </mergeCells>
  <conditionalFormatting sqref="AK4:AK9">
    <cfRule type="cellIs" dxfId="0" priority="1" operator="equal">
      <formula>10</formula>
    </cfRule>
  </conditionalFormatting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E500-56F9-E34D-B25A-61BB215CC59B}">
  <sheetPr codeName="Sheet16">
    <tabColor rgb="FF92D050"/>
    <pageSetUpPr fitToPage="1"/>
  </sheetPr>
  <dimension ref="A1:AG88"/>
  <sheetViews>
    <sheetView view="pageBreakPreview" topLeftCell="A16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110</v>
      </c>
      <c r="F5" s="578"/>
      <c r="G5" s="605" t="s">
        <v>111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91">
        <f>7.125*8*Y11</f>
        <v>57</v>
      </c>
      <c r="F7" s="59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DATA'!C22</f>
        <v>420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4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7.3684210526315788</v>
      </c>
      <c r="O13" s="581"/>
      <c r="P13" s="582"/>
      <c r="Q13" s="599">
        <v>800</v>
      </c>
      <c r="R13" s="600"/>
      <c r="S13" s="601"/>
      <c r="T13" s="583">
        <f t="shared" ref="T13:T15" si="0">K13*N13*Q13</f>
        <v>5894.7368421052633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40" t="s">
        <v>91</v>
      </c>
      <c r="E14" s="2"/>
      <c r="F14" s="2"/>
      <c r="G14" s="2"/>
      <c r="H14" s="2"/>
      <c r="I14" s="2"/>
      <c r="J14" s="17"/>
      <c r="K14" s="596">
        <f>2*Y11</f>
        <v>2</v>
      </c>
      <c r="L14" s="597"/>
      <c r="M14" s="598"/>
      <c r="N14" s="580">
        <f t="shared" ref="N14:N15" si="1">N13</f>
        <v>7.3684210526315788</v>
      </c>
      <c r="O14" s="581"/>
      <c r="P14" s="582"/>
      <c r="Q14" s="599">
        <v>600</v>
      </c>
      <c r="R14" s="600"/>
      <c r="S14" s="601"/>
      <c r="T14" s="583">
        <f t="shared" si="0"/>
        <v>8842.105263157895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40" t="s">
        <v>24</v>
      </c>
      <c r="E15" s="2"/>
      <c r="F15" s="2"/>
      <c r="G15" s="2"/>
      <c r="H15" s="2"/>
      <c r="I15" s="2"/>
      <c r="J15" s="17"/>
      <c r="K15" s="596">
        <f>4*Y11</f>
        <v>4</v>
      </c>
      <c r="L15" s="597"/>
      <c r="M15" s="598"/>
      <c r="N15" s="580">
        <f t="shared" si="1"/>
        <v>7.3684210526315788</v>
      </c>
      <c r="O15" s="581"/>
      <c r="P15" s="582"/>
      <c r="Q15" s="599">
        <v>400</v>
      </c>
      <c r="R15" s="600"/>
      <c r="S15" s="601"/>
      <c r="T15" s="583">
        <f t="shared" si="0"/>
        <v>11789.473684210527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80"/>
      <c r="O16" s="581"/>
      <c r="P16" s="58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33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33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33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26526.32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33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25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Y22" s="33"/>
      <c r="Z22" s="33"/>
      <c r="AA22" s="34"/>
      <c r="AB22" s="33"/>
      <c r="AC22" s="33"/>
      <c r="AD22" s="33"/>
      <c r="AE22" s="33"/>
      <c r="AF22" s="33"/>
      <c r="AG22" s="33"/>
    </row>
    <row r="23" spans="1:33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34"/>
      <c r="Z23" s="34"/>
      <c r="AA23" s="34"/>
      <c r="AB23" s="34"/>
      <c r="AC23" s="34"/>
      <c r="AD23" s="34"/>
      <c r="AE23" s="34"/>
      <c r="AF23" s="34"/>
      <c r="AG23" s="34"/>
    </row>
    <row r="24" spans="1:33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2652.6320000000001</v>
      </c>
      <c r="U24" s="584"/>
      <c r="V24" s="585"/>
      <c r="W24" s="18"/>
      <c r="X24" s="18"/>
      <c r="Y24" s="139"/>
      <c r="Z24" s="139"/>
      <c r="AA24" s="34"/>
      <c r="AB24" s="34"/>
      <c r="AC24" s="33"/>
      <c r="AD24" s="33"/>
      <c r="AE24" s="33"/>
      <c r="AF24" s="33"/>
      <c r="AG24" s="33"/>
    </row>
    <row r="25" spans="1:33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90"/>
      <c r="O25" s="591"/>
      <c r="P25" s="592"/>
      <c r="Q25" s="580"/>
      <c r="R25" s="581"/>
      <c r="S25" s="582"/>
      <c r="T25" s="583"/>
      <c r="U25" s="584"/>
      <c r="V25" s="585"/>
      <c r="W25" s="18"/>
      <c r="X25" s="18"/>
      <c r="Y25" s="139"/>
      <c r="Z25" s="270"/>
      <c r="AA25" s="39"/>
      <c r="AB25" s="39"/>
      <c r="AC25" s="39"/>
      <c r="AD25" s="140"/>
      <c r="AE25" s="271"/>
      <c r="AF25" s="140"/>
      <c r="AG25" s="140"/>
    </row>
    <row r="26" spans="1:33" ht="16.5" x14ac:dyDescent="0.3">
      <c r="B26" s="41"/>
      <c r="C26" s="60"/>
      <c r="D26" s="40"/>
      <c r="E26" s="2"/>
      <c r="F26" s="2"/>
      <c r="G26" s="2"/>
      <c r="H26" s="2"/>
      <c r="I26" s="2"/>
      <c r="J26" s="17"/>
      <c r="K26" s="577"/>
      <c r="L26" s="578"/>
      <c r="M26" s="579"/>
      <c r="N26" s="659"/>
      <c r="O26" s="660"/>
      <c r="P26" s="661"/>
      <c r="Q26" s="580"/>
      <c r="R26" s="581"/>
      <c r="S26" s="582"/>
      <c r="T26" s="583"/>
      <c r="U26" s="584"/>
      <c r="V26" s="585"/>
      <c r="W26" s="18"/>
      <c r="X26" s="18"/>
      <c r="Y26" s="139"/>
      <c r="Z26" s="270"/>
      <c r="AA26" s="39"/>
      <c r="AB26" s="39"/>
      <c r="AC26" s="39"/>
      <c r="AD26" s="140"/>
      <c r="AE26" s="271"/>
      <c r="AF26" s="140"/>
      <c r="AG26" s="140"/>
    </row>
    <row r="27" spans="1:33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33"/>
      <c r="Z28" s="33"/>
      <c r="AA28" s="34"/>
      <c r="AB28" s="34"/>
      <c r="AC28" s="33"/>
      <c r="AD28" s="33"/>
      <c r="AE28" s="33"/>
      <c r="AF28" s="140"/>
      <c r="AG28" s="140"/>
    </row>
    <row r="29" spans="1:33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ROUND(SUM(T24:V28),2)</f>
        <v>2652.63</v>
      </c>
      <c r="U29" s="562"/>
      <c r="V29" s="563"/>
      <c r="W29" s="9"/>
      <c r="X29" s="2"/>
      <c r="Y29" s="257"/>
      <c r="Z29" s="257"/>
      <c r="AA29" s="272"/>
      <c r="AB29" s="272"/>
      <c r="AC29" s="257"/>
      <c r="AD29" s="257"/>
      <c r="AE29" s="272"/>
      <c r="AF29" s="140"/>
      <c r="AG29" s="140"/>
    </row>
    <row r="30" spans="1:33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29178.95</v>
      </c>
      <c r="U30" s="562"/>
      <c r="V30" s="563"/>
      <c r="W30" s="2"/>
      <c r="X30" s="2"/>
      <c r="Y30" s="33"/>
      <c r="Z30" s="33"/>
      <c r="AA30" s="271"/>
      <c r="AB30" s="271"/>
      <c r="AC30" s="33"/>
      <c r="AD30" s="33"/>
      <c r="AE30" s="271"/>
      <c r="AF30" s="271"/>
      <c r="AG30" s="271"/>
    </row>
    <row r="31" spans="1:33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>
        <f>E7</f>
        <v>57</v>
      </c>
      <c r="I31" s="56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33"/>
      <c r="Z31" s="33"/>
      <c r="AA31" s="39"/>
      <c r="AB31" s="34"/>
      <c r="AC31" s="33"/>
      <c r="AD31" s="33"/>
      <c r="AE31" s="33"/>
      <c r="AF31" s="271"/>
      <c r="AG31" s="271"/>
    </row>
    <row r="32" spans="1:33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33"/>
      <c r="Z32" s="33"/>
      <c r="AA32" s="34"/>
      <c r="AB32" s="34"/>
      <c r="AC32" s="33"/>
      <c r="AD32" s="33"/>
      <c r="AE32" s="33"/>
      <c r="AF32" s="33"/>
      <c r="AG32" s="33"/>
    </row>
    <row r="33" spans="1:33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2"/>
      <c r="Z33" s="2"/>
      <c r="AA33" s="7"/>
      <c r="AB33" s="7"/>
      <c r="AC33" s="192"/>
      <c r="AD33" s="192"/>
      <c r="AE33" s="192"/>
      <c r="AF33" s="192"/>
      <c r="AG33" s="192"/>
    </row>
    <row r="34" spans="1:33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2"/>
      <c r="Z34" s="2"/>
      <c r="AA34" s="7"/>
      <c r="AB34" s="7"/>
      <c r="AC34" s="193"/>
      <c r="AD34" s="193"/>
      <c r="AE34" s="192"/>
      <c r="AF34" s="192"/>
      <c r="AG34" s="193"/>
    </row>
    <row r="35" spans="1:33" ht="16.5" customHeight="1" x14ac:dyDescent="0.3">
      <c r="B35" s="41"/>
      <c r="C35" s="60" t="s">
        <v>21</v>
      </c>
      <c r="D35" s="60" t="s">
        <v>97</v>
      </c>
      <c r="F35" s="121"/>
      <c r="G35" s="122"/>
      <c r="H35" s="122"/>
      <c r="I35" s="122"/>
      <c r="J35" s="17"/>
      <c r="K35" s="659">
        <f>0.33*E8</f>
        <v>138.6</v>
      </c>
      <c r="L35" s="660"/>
      <c r="M35" s="661"/>
      <c r="N35" s="662" t="str">
        <f>IF(K35&gt;1,"bags","bag")</f>
        <v>bags</v>
      </c>
      <c r="O35" s="663" t="str">
        <f>IF(L35&gt;1,"bags","bag")</f>
        <v>bag</v>
      </c>
      <c r="P35" s="664" t="str">
        <f>IF(M35&gt;1,"bags","bag")</f>
        <v>bag</v>
      </c>
      <c r="Q35" s="647">
        <v>265</v>
      </c>
      <c r="R35" s="648"/>
      <c r="S35" s="649"/>
      <c r="T35" s="635">
        <f>K35*Q35</f>
        <v>36729</v>
      </c>
      <c r="U35" s="636"/>
      <c r="V35" s="637"/>
      <c r="W35" s="18"/>
      <c r="X35" s="149"/>
      <c r="Y35" s="149"/>
      <c r="Z35" s="149"/>
      <c r="AA35" s="149"/>
      <c r="AB35" s="2"/>
    </row>
    <row r="36" spans="1:33" ht="16.5" customHeight="1" x14ac:dyDescent="0.3">
      <c r="B36" s="41"/>
      <c r="C36" s="19" t="s">
        <v>23</v>
      </c>
      <c r="D36" s="60" t="s">
        <v>116</v>
      </c>
      <c r="F36" s="121"/>
      <c r="G36" s="122"/>
      <c r="H36" s="122"/>
      <c r="I36" s="122"/>
      <c r="J36" s="17"/>
      <c r="K36" s="659">
        <f>0.027*E8</f>
        <v>11.34</v>
      </c>
      <c r="L36" s="660"/>
      <c r="M36" s="661"/>
      <c r="N36" s="662" t="str">
        <f>IF(K36&gt;1,"cu.m.","cu.m.")</f>
        <v>cu.m.</v>
      </c>
      <c r="O36" s="663" t="str">
        <f>IF(L36&gt;1,"cu.m.","cu.m.")</f>
        <v>cu.m.</v>
      </c>
      <c r="P36" s="664" t="str">
        <f>IF(M36&gt;1,"cu.m.","cu.m.")</f>
        <v>cu.m.</v>
      </c>
      <c r="Q36" s="647">
        <v>1800</v>
      </c>
      <c r="R36" s="648"/>
      <c r="S36" s="649"/>
      <c r="T36" s="635">
        <f t="shared" ref="T36" si="2">K36*Q36</f>
        <v>20412</v>
      </c>
      <c r="U36" s="636"/>
      <c r="V36" s="637"/>
      <c r="W36" s="132"/>
      <c r="X36" s="149"/>
      <c r="Y36" s="149"/>
      <c r="Z36" s="149"/>
      <c r="AA36" s="149"/>
      <c r="AB36" s="2"/>
    </row>
    <row r="37" spans="1:33" ht="16.5" customHeight="1" x14ac:dyDescent="0.3">
      <c r="B37" s="41"/>
      <c r="C37" s="19"/>
      <c r="D37" s="40"/>
      <c r="E37" s="121"/>
      <c r="F37" s="121"/>
      <c r="G37" s="122"/>
      <c r="H37" s="122"/>
      <c r="I37" s="122"/>
      <c r="J37" s="17"/>
      <c r="K37" s="659"/>
      <c r="L37" s="660"/>
      <c r="M37" s="661"/>
      <c r="N37" s="690"/>
      <c r="O37" s="691"/>
      <c r="P37" s="692"/>
      <c r="Q37" s="647"/>
      <c r="R37" s="648"/>
      <c r="S37" s="649"/>
      <c r="T37" s="635"/>
      <c r="U37" s="636"/>
      <c r="V37" s="637"/>
      <c r="W37" s="132"/>
      <c r="X37" s="149"/>
      <c r="Y37" s="149"/>
      <c r="Z37" s="149"/>
      <c r="AA37" s="149"/>
      <c r="AB37" s="2"/>
    </row>
    <row r="38" spans="1:33" ht="16.5" customHeight="1" x14ac:dyDescent="0.3">
      <c r="B38" s="41"/>
      <c r="C38" s="19"/>
      <c r="D38" s="240"/>
      <c r="E38" s="121"/>
      <c r="F38" s="121"/>
      <c r="G38" s="122"/>
      <c r="H38" s="122"/>
      <c r="I38" s="122"/>
      <c r="J38" s="17"/>
      <c r="K38" s="659"/>
      <c r="L38" s="660"/>
      <c r="M38" s="661"/>
      <c r="N38" s="662"/>
      <c r="O38" s="663"/>
      <c r="P38" s="664"/>
      <c r="Q38" s="647"/>
      <c r="R38" s="648"/>
      <c r="S38" s="649"/>
      <c r="T38" s="635"/>
      <c r="U38" s="636"/>
      <c r="V38" s="637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/>
      <c r="D39" s="240"/>
      <c r="E39" s="121"/>
      <c r="F39" s="121"/>
      <c r="G39" s="122"/>
      <c r="H39" s="122"/>
      <c r="I39" s="122"/>
      <c r="J39" s="17"/>
      <c r="K39" s="659"/>
      <c r="L39" s="660"/>
      <c r="M39" s="661"/>
      <c r="N39" s="662"/>
      <c r="O39" s="663"/>
      <c r="P39" s="664"/>
      <c r="Q39" s="647"/>
      <c r="R39" s="648"/>
      <c r="S39" s="649"/>
      <c r="T39" s="635"/>
      <c r="U39" s="636"/>
      <c r="V39" s="637"/>
      <c r="W39" s="18"/>
      <c r="X39" s="149"/>
      <c r="Y39" s="149"/>
      <c r="Z39" s="149"/>
      <c r="AA39" s="149"/>
      <c r="AB39" s="2"/>
    </row>
    <row r="40" spans="1:33" ht="16.5" x14ac:dyDescent="0.3">
      <c r="B40" s="41"/>
      <c r="C40" s="19"/>
      <c r="D40" s="40"/>
      <c r="E40" s="245"/>
      <c r="F40" s="245"/>
      <c r="G40" s="122"/>
      <c r="H40" s="122"/>
      <c r="I40" s="122"/>
      <c r="J40" s="17"/>
      <c r="K40" s="659"/>
      <c r="L40" s="660"/>
      <c r="M40" s="661"/>
      <c r="N40" s="662"/>
      <c r="O40" s="663"/>
      <c r="P40" s="664"/>
      <c r="Q40" s="647"/>
      <c r="R40" s="648"/>
      <c r="S40" s="649"/>
      <c r="T40" s="635"/>
      <c r="U40" s="636"/>
      <c r="V40" s="637"/>
      <c r="W40" s="2"/>
      <c r="X40" s="149"/>
      <c r="Y40" s="149"/>
      <c r="Z40" s="149"/>
      <c r="AA40" s="149"/>
      <c r="AB40" s="2"/>
    </row>
    <row r="41" spans="1:33" ht="16.5" x14ac:dyDescent="0.3">
      <c r="B41" s="41"/>
      <c r="C41" s="19"/>
      <c r="D41" s="40"/>
      <c r="E41" s="121"/>
      <c r="F41" s="121"/>
      <c r="G41" s="200"/>
      <c r="H41" s="201"/>
      <c r="I41" s="202"/>
      <c r="J41" s="17"/>
      <c r="K41" s="659"/>
      <c r="L41" s="660"/>
      <c r="M41" s="661"/>
      <c r="N41" s="662"/>
      <c r="O41" s="663"/>
      <c r="P41" s="664"/>
      <c r="Q41" s="647"/>
      <c r="R41" s="648"/>
      <c r="S41" s="649"/>
      <c r="T41" s="635"/>
      <c r="U41" s="636"/>
      <c r="V41" s="637"/>
      <c r="W41" s="2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121"/>
      <c r="F42" s="121"/>
      <c r="G42" s="206"/>
      <c r="H42" s="202"/>
      <c r="I42" s="202"/>
      <c r="J42" s="17"/>
      <c r="K42" s="659"/>
      <c r="L42" s="660"/>
      <c r="M42" s="661"/>
      <c r="N42" s="662"/>
      <c r="O42" s="663"/>
      <c r="P42" s="664"/>
      <c r="Q42" s="647"/>
      <c r="R42" s="648"/>
      <c r="S42" s="649"/>
      <c r="T42" s="635"/>
      <c r="U42" s="636"/>
      <c r="V42" s="637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123"/>
      <c r="L43" s="124"/>
      <c r="M43" s="125"/>
      <c r="N43" s="241"/>
      <c r="O43" s="242"/>
      <c r="P43" s="243"/>
      <c r="Q43" s="105"/>
      <c r="R43" s="106"/>
      <c r="S43" s="107"/>
      <c r="T43" s="213"/>
      <c r="U43" s="214"/>
      <c r="V43" s="215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40"/>
      <c r="D44" s="199"/>
      <c r="E44" s="121"/>
      <c r="F44" s="121"/>
      <c r="G44" s="206"/>
      <c r="H44" s="202"/>
      <c r="I44" s="202"/>
      <c r="J44" s="17"/>
      <c r="K44" s="207"/>
      <c r="L44" s="208"/>
      <c r="M44" s="209"/>
      <c r="N44" s="210"/>
      <c r="O44" s="211"/>
      <c r="P44" s="212"/>
      <c r="Q44" s="89"/>
      <c r="R44" s="90"/>
      <c r="S44" s="91"/>
      <c r="T44" s="213"/>
      <c r="U44" s="214"/>
      <c r="V44" s="215"/>
      <c r="W44" s="2"/>
      <c r="X44" s="149"/>
      <c r="Y44" s="149"/>
      <c r="Z44" s="2"/>
      <c r="AA44" s="2"/>
      <c r="AB44" s="2"/>
    </row>
    <row r="45" spans="1:33" ht="16.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57141</v>
      </c>
      <c r="U45" s="562"/>
      <c r="V45" s="563"/>
      <c r="W45" s="2"/>
      <c r="X45" s="9"/>
      <c r="Y45" s="33"/>
      <c r="Z45" s="33"/>
      <c r="AA45" s="237"/>
      <c r="AB45" s="237"/>
      <c r="AC45" s="34"/>
      <c r="AD45" s="34"/>
      <c r="AE45" s="34"/>
    </row>
    <row r="46" spans="1:33" ht="16.5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86319.95</v>
      </c>
      <c r="U46" s="562"/>
      <c r="V46" s="563"/>
      <c r="W46" s="2"/>
      <c r="X46" s="2"/>
      <c r="Y46" s="139"/>
      <c r="Z46" s="33"/>
      <c r="AA46" s="34"/>
      <c r="AB46" s="33"/>
      <c r="AC46" s="34"/>
      <c r="AD46" s="34"/>
      <c r="AE46" s="34"/>
    </row>
    <row r="47" spans="1:33" ht="16.5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4315.9975000000004</v>
      </c>
      <c r="U47" s="568"/>
      <c r="V47" s="569"/>
      <c r="W47" s="2"/>
      <c r="X47" s="2"/>
      <c r="Y47" s="33"/>
      <c r="Z47" s="34"/>
      <c r="AA47" s="34"/>
      <c r="AB47" s="34"/>
      <c r="AC47" s="34"/>
      <c r="AD47" s="34"/>
      <c r="AE47" s="33"/>
    </row>
    <row r="48" spans="1:33" ht="16.5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8631.9950000000008</v>
      </c>
      <c r="U48" s="568"/>
      <c r="V48" s="569"/>
      <c r="W48" s="2"/>
      <c r="X48" s="2"/>
      <c r="Y48" s="33"/>
      <c r="Z48" s="34"/>
      <c r="AA48" s="34"/>
      <c r="AB48" s="34"/>
      <c r="AC48" s="34"/>
      <c r="AD48" s="34"/>
      <c r="AE48" s="141"/>
    </row>
    <row r="49" spans="1:31" ht="16.5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244"/>
      <c r="Z49" s="33"/>
      <c r="AA49" s="34"/>
      <c r="AB49" s="33"/>
      <c r="AE49" s="33"/>
    </row>
    <row r="50" spans="1:31" ht="16.5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99267.94249999999</v>
      </c>
      <c r="U50" s="562"/>
      <c r="V50" s="563"/>
      <c r="W50" s="2"/>
      <c r="X50" s="9"/>
      <c r="Y50" s="238"/>
      <c r="Z50" s="239"/>
      <c r="AA50" s="144"/>
      <c r="AB50" s="144"/>
      <c r="AC50" s="144"/>
      <c r="AD50" s="144"/>
      <c r="AE50" s="33"/>
    </row>
    <row r="51" spans="1:31" ht="16.5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236.35224404761902</v>
      </c>
      <c r="U51" s="562"/>
      <c r="V51" s="563"/>
      <c r="W51" s="132"/>
      <c r="X51" s="2"/>
      <c r="Y51" s="238"/>
      <c r="Z51" s="239"/>
      <c r="AA51" s="144"/>
      <c r="AB51" s="144"/>
      <c r="AC51" s="144"/>
      <c r="AD51" s="144"/>
      <c r="AE51" s="33"/>
    </row>
    <row r="52" spans="1:31" ht="16.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244"/>
      <c r="Z52" s="273"/>
      <c r="AA52" s="144"/>
      <c r="AB52" s="144"/>
      <c r="AC52" s="144"/>
      <c r="AD52" s="144"/>
      <c r="AE52" s="33"/>
    </row>
    <row r="53" spans="1:31" ht="15" customHeight="1" x14ac:dyDescent="0.3">
      <c r="L53" s="2"/>
      <c r="M53" s="2"/>
      <c r="N53" s="2"/>
      <c r="Y53" s="244"/>
      <c r="Z53" s="239"/>
      <c r="AA53" s="144"/>
      <c r="AB53" s="144"/>
      <c r="AC53" s="144"/>
      <c r="AD53" s="144"/>
      <c r="AE53" s="33"/>
    </row>
    <row r="54" spans="1:31" ht="16.5" x14ac:dyDescent="0.3">
      <c r="Y54" s="238"/>
      <c r="Z54" s="239"/>
      <c r="AA54" s="144"/>
      <c r="AB54" s="144"/>
      <c r="AC54" s="144"/>
      <c r="AD54" s="144"/>
      <c r="AE54" s="33"/>
    </row>
    <row r="55" spans="1:31" ht="16.5" x14ac:dyDescent="0.3">
      <c r="Y55" s="244"/>
      <c r="Z55" s="273"/>
      <c r="AA55" s="144"/>
      <c r="AB55" s="144"/>
      <c r="AC55" s="143"/>
      <c r="AD55" s="144"/>
      <c r="AE55" s="141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74"/>
      <c r="Z57" s="239"/>
      <c r="AA57" s="144"/>
      <c r="AB57" s="144"/>
      <c r="AC57" s="144"/>
      <c r="AD57" s="144"/>
      <c r="AE57" s="33"/>
    </row>
    <row r="58" spans="1:31" ht="16.5" x14ac:dyDescent="0.3">
      <c r="Y58" s="244"/>
      <c r="Z58" s="254"/>
      <c r="AA58" s="144"/>
      <c r="AB58" s="144"/>
      <c r="AC58" s="144"/>
      <c r="AD58" s="144"/>
      <c r="AE58" s="33"/>
    </row>
    <row r="59" spans="1:31" ht="16.5" x14ac:dyDescent="0.3">
      <c r="Y59" s="238"/>
      <c r="Z59" s="239"/>
      <c r="AA59" s="144"/>
      <c r="AB59" s="144"/>
      <c r="AC59" s="144"/>
      <c r="AD59" s="144"/>
      <c r="AE59" s="33"/>
    </row>
    <row r="60" spans="1:31" ht="16.5" x14ac:dyDescent="0.3">
      <c r="Y60" s="139"/>
      <c r="Z60" s="239"/>
      <c r="AA60" s="34"/>
      <c r="AB60" s="33"/>
      <c r="AC60" s="144"/>
      <c r="AD60" s="144"/>
      <c r="AE60" s="33"/>
    </row>
    <row r="61" spans="1:31" ht="16.5" x14ac:dyDescent="0.25">
      <c r="Y61" s="142"/>
      <c r="Z61" s="143"/>
      <c r="AA61" s="144"/>
      <c r="AB61" s="144"/>
      <c r="AC61" s="143"/>
      <c r="AD61" s="144"/>
      <c r="AE61" s="33"/>
    </row>
    <row r="62" spans="1:31" ht="16.5" x14ac:dyDescent="0.25">
      <c r="Y62" s="139"/>
      <c r="Z62" s="33"/>
      <c r="AA62" s="140"/>
      <c r="AB62" s="141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34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3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4"/>
    </row>
    <row r="68" spans="25:31" ht="16.5" x14ac:dyDescent="0.25">
      <c r="Y68" s="275"/>
      <c r="Z68" s="276"/>
      <c r="AA68" s="277"/>
      <c r="AB68" s="277"/>
      <c r="AC68" s="278"/>
      <c r="AD68" s="144"/>
      <c r="AE68" s="33"/>
    </row>
    <row r="69" spans="25:31" ht="16.5" x14ac:dyDescent="0.25">
      <c r="Y69" s="279"/>
      <c r="Z69" s="280"/>
      <c r="AA69" s="278"/>
      <c r="AB69" s="278"/>
      <c r="AC69" s="276"/>
      <c r="AD69" s="276"/>
      <c r="AE69" s="33"/>
    </row>
    <row r="70" spans="25:31" ht="16.5" x14ac:dyDescent="0.25">
      <c r="Y70" s="142"/>
      <c r="Z70" s="143"/>
      <c r="AA70" s="144"/>
      <c r="AB70" s="278"/>
      <c r="AC70" s="34"/>
      <c r="AD70" s="34"/>
      <c r="AE70" s="34"/>
    </row>
    <row r="71" spans="25:31" ht="16.5" x14ac:dyDescent="0.25">
      <c r="Y71" s="33"/>
      <c r="Z71" s="34"/>
      <c r="AA71" s="140"/>
      <c r="AB71" s="140"/>
      <c r="AC71" s="140"/>
      <c r="AD71" s="140"/>
      <c r="AE71" s="34"/>
    </row>
    <row r="72" spans="25:31" ht="16.5" x14ac:dyDescent="0.25">
      <c r="Y72" s="142"/>
      <c r="Z72" s="142"/>
      <c r="AA72" s="143"/>
      <c r="AB72" s="144"/>
      <c r="AC72" s="144"/>
      <c r="AD72" s="144"/>
      <c r="AE72" s="34"/>
    </row>
    <row r="73" spans="25:31" ht="16.5" x14ac:dyDescent="0.25">
      <c r="Y73" s="142"/>
      <c r="Z73" s="142"/>
      <c r="AA73" s="143"/>
      <c r="AB73" s="144"/>
      <c r="AC73" s="144"/>
      <c r="AD73" s="144"/>
      <c r="AE73" s="34"/>
    </row>
    <row r="74" spans="25:31" ht="16.5" x14ac:dyDescent="0.25">
      <c r="Y74" s="33"/>
      <c r="Z74" s="33"/>
      <c r="AA74" s="34"/>
      <c r="AB74" s="33"/>
      <c r="AC74" s="34"/>
      <c r="AD74" s="34"/>
      <c r="AE74" s="34"/>
    </row>
    <row r="75" spans="25:31" ht="16.5" x14ac:dyDescent="0.25">
      <c r="Y75" s="33"/>
      <c r="Z75" s="33"/>
      <c r="AA75" s="34"/>
      <c r="AB75" s="33"/>
      <c r="AC75" s="34"/>
      <c r="AD75" s="34"/>
      <c r="AE75" s="34"/>
    </row>
    <row r="76" spans="25:31" ht="16.5" x14ac:dyDescent="0.25">
      <c r="Y76" s="139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4"/>
      <c r="AA77" s="34"/>
      <c r="AB77" s="34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142"/>
      <c r="Z79" s="143"/>
      <c r="AA79" s="144"/>
      <c r="AB79" s="144"/>
      <c r="AC79" s="34"/>
      <c r="AD79" s="34"/>
      <c r="AE79" s="34"/>
    </row>
    <row r="80" spans="25:31" ht="16.5" x14ac:dyDescent="0.25">
      <c r="Y80" s="139"/>
      <c r="Z80" s="33"/>
      <c r="AA80" s="140"/>
      <c r="AB80" s="141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33"/>
      <c r="Z82" s="34"/>
      <c r="AA82" s="140"/>
      <c r="AB82" s="140"/>
      <c r="AC82" s="34"/>
      <c r="AD82" s="34"/>
      <c r="AE82" s="34"/>
    </row>
    <row r="83" spans="25:31" ht="16.5" x14ac:dyDescent="0.25">
      <c r="Y83" s="142"/>
      <c r="Z83" s="142"/>
      <c r="AA83" s="143"/>
      <c r="AB83" s="144"/>
      <c r="AC83" s="34"/>
      <c r="AD83" s="34"/>
      <c r="AE83" s="34"/>
    </row>
    <row r="84" spans="25:31" ht="16.5" x14ac:dyDescent="0.25">
      <c r="Y84" s="33"/>
      <c r="Z84" s="33"/>
      <c r="AA84" s="34"/>
      <c r="AB84" s="33"/>
      <c r="AC84" s="34"/>
      <c r="AD84" s="34"/>
      <c r="AE84" s="34"/>
    </row>
    <row r="85" spans="25:31" ht="16.5" x14ac:dyDescent="0.25">
      <c r="Y85" s="33"/>
      <c r="Z85" s="33"/>
      <c r="AA85" s="34"/>
      <c r="AB85" s="33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</sheetData>
  <mergeCells count="118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T50:V50"/>
    <mergeCell ref="T51:V51"/>
    <mergeCell ref="C45:J45"/>
    <mergeCell ref="T45:V45"/>
    <mergeCell ref="T46:V46"/>
    <mergeCell ref="T47:V47"/>
    <mergeCell ref="T48:V48"/>
    <mergeCell ref="T49:V49"/>
    <mergeCell ref="K41:M41"/>
    <mergeCell ref="N41:P41"/>
    <mergeCell ref="Q41:S41"/>
    <mergeCell ref="T41:V41"/>
    <mergeCell ref="K42:M42"/>
    <mergeCell ref="N42:P42"/>
    <mergeCell ref="Q42:S42"/>
    <mergeCell ref="T42:V42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BD46-2BBD-AF4E-8B40-02904C8851A6}">
  <sheetPr codeName="Sheet17">
    <tabColor rgb="FF92D050"/>
    <pageSetUpPr fitToPage="1"/>
  </sheetPr>
  <dimension ref="A1:AG95"/>
  <sheetViews>
    <sheetView view="pageBreakPreview" topLeftCell="A22" zoomScale="73" zoomScaleNormal="85" zoomScaleSheetLayoutView="73" workbookViewId="0">
      <selection activeCell="Q33" sqref="Q33:S33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351</v>
      </c>
      <c r="F5" s="578"/>
      <c r="G5" s="605" t="s">
        <v>352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73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91">
        <f>85*8</f>
        <v>680</v>
      </c>
      <c r="F7" s="591"/>
      <c r="G7" s="2" t="s">
        <v>74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DATA'!C23</f>
        <v>0</v>
      </c>
      <c r="F8" s="600"/>
      <c r="G8" s="602" t="str">
        <f>E6</f>
        <v>KGS.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E8/E7</f>
        <v>0</v>
      </c>
      <c r="O14" s="581"/>
      <c r="P14" s="582"/>
      <c r="Q14" s="599">
        <v>800</v>
      </c>
      <c r="R14" s="600"/>
      <c r="S14" s="601"/>
      <c r="T14" s="583">
        <f t="shared" ref="T14:T16" si="0">K14*N14*Q14</f>
        <v>0</v>
      </c>
      <c r="U14" s="584"/>
      <c r="V14" s="585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96">
        <f>2*Y11</f>
        <v>2</v>
      </c>
      <c r="L15" s="597"/>
      <c r="M15" s="598"/>
      <c r="N15" s="580">
        <f>N14</f>
        <v>0</v>
      </c>
      <c r="O15" s="581"/>
      <c r="P15" s="582"/>
      <c r="Q15" s="599">
        <v>600</v>
      </c>
      <c r="R15" s="600"/>
      <c r="S15" s="601"/>
      <c r="T15" s="583">
        <f t="shared" si="0"/>
        <v>0</v>
      </c>
      <c r="U15" s="584"/>
      <c r="V15" s="585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v>2</v>
      </c>
      <c r="L16" s="597"/>
      <c r="M16" s="598"/>
      <c r="N16" s="580">
        <f>N15</f>
        <v>0</v>
      </c>
      <c r="O16" s="581"/>
      <c r="P16" s="582"/>
      <c r="Q16" s="599">
        <v>400</v>
      </c>
      <c r="R16" s="600"/>
      <c r="S16" s="601"/>
      <c r="T16" s="583">
        <f t="shared" si="0"/>
        <v>0</v>
      </c>
      <c r="U16" s="584"/>
      <c r="V16" s="585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80"/>
      <c r="O17" s="581"/>
      <c r="P17" s="58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 t="s">
        <v>157</v>
      </c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 t="s">
        <v>21</v>
      </c>
      <c r="D20" s="35" t="s">
        <v>156</v>
      </c>
      <c r="E20" s="2"/>
      <c r="F20" s="2"/>
      <c r="G20" s="2"/>
      <c r="H20" s="2"/>
      <c r="I20" s="2"/>
      <c r="J20" s="17"/>
      <c r="K20" s="596">
        <v>3</v>
      </c>
      <c r="L20" s="597"/>
      <c r="M20" s="598"/>
      <c r="N20" s="580">
        <f>0.49*N16</f>
        <v>0</v>
      </c>
      <c r="O20" s="581"/>
      <c r="P20" s="582"/>
      <c r="Q20" s="599">
        <v>600</v>
      </c>
      <c r="R20" s="600"/>
      <c r="S20" s="601"/>
      <c r="T20" s="583">
        <f t="shared" ref="T20:T21" si="1">K20*N20*Q20</f>
        <v>0</v>
      </c>
      <c r="U20" s="584"/>
      <c r="V20" s="585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15"/>
      <c r="C21" s="19" t="s">
        <v>23</v>
      </c>
      <c r="D21" s="35" t="s">
        <v>24</v>
      </c>
      <c r="E21" s="2"/>
      <c r="F21" s="2"/>
      <c r="G21" s="2"/>
      <c r="H21" s="2"/>
      <c r="I21" s="2"/>
      <c r="J21" s="17"/>
      <c r="K21" s="596">
        <v>3</v>
      </c>
      <c r="L21" s="597"/>
      <c r="M21" s="598"/>
      <c r="N21" s="580">
        <f>0.49*N16</f>
        <v>0</v>
      </c>
      <c r="O21" s="581"/>
      <c r="P21" s="582"/>
      <c r="Q21" s="599">
        <v>400</v>
      </c>
      <c r="R21" s="600"/>
      <c r="S21" s="601"/>
      <c r="T21" s="583">
        <f t="shared" si="1"/>
        <v>0</v>
      </c>
      <c r="U21" s="584"/>
      <c r="V21" s="585"/>
      <c r="W21" s="2"/>
      <c r="X21" s="26"/>
      <c r="Y21" s="33"/>
      <c r="Z21" s="33"/>
      <c r="AA21" s="34"/>
      <c r="AB21" s="38"/>
      <c r="AC21" s="39"/>
      <c r="AD21" s="39"/>
      <c r="AE21" s="33"/>
      <c r="AF21" s="33"/>
      <c r="AG21" s="33"/>
    </row>
    <row r="22" spans="1:33" ht="16.5" x14ac:dyDescent="0.3">
      <c r="B22" s="15"/>
      <c r="C22" s="19"/>
      <c r="D22" s="35"/>
      <c r="E22" s="2"/>
      <c r="F22" s="2"/>
      <c r="G22" s="2"/>
      <c r="H22" s="2"/>
      <c r="I22" s="2"/>
      <c r="J22" s="17"/>
      <c r="K22" s="36"/>
      <c r="L22" s="7"/>
      <c r="M22" s="37"/>
      <c r="N22" s="21"/>
      <c r="O22" s="10"/>
      <c r="P22" s="22"/>
      <c r="Q22" s="30"/>
      <c r="R22" s="31"/>
      <c r="S22" s="32"/>
      <c r="T22" s="23"/>
      <c r="U22" s="24"/>
      <c r="V22" s="25"/>
      <c r="W22" s="2"/>
      <c r="X22" s="26"/>
      <c r="Y22" s="33"/>
      <c r="Z22" s="33"/>
      <c r="AA22" s="34"/>
      <c r="AB22" s="38"/>
      <c r="AC22" s="39"/>
      <c r="AD22" s="39"/>
      <c r="AE22" s="33"/>
      <c r="AF22" s="33"/>
      <c r="AG22" s="33"/>
    </row>
    <row r="23" spans="1:33" ht="16.5" x14ac:dyDescent="0.3">
      <c r="B23" s="15"/>
      <c r="C23" s="19"/>
      <c r="D23" s="35"/>
      <c r="E23" s="2"/>
      <c r="F23" s="2"/>
      <c r="G23" s="2"/>
      <c r="H23" s="2"/>
      <c r="I23" s="2"/>
      <c r="J23" s="17"/>
      <c r="K23" s="36"/>
      <c r="L23" s="7"/>
      <c r="M23" s="37"/>
      <c r="N23" s="21"/>
      <c r="O23" s="10"/>
      <c r="P23" s="22"/>
      <c r="Q23" s="30"/>
      <c r="R23" s="31"/>
      <c r="S23" s="32"/>
      <c r="T23" s="23"/>
      <c r="U23" s="24"/>
      <c r="V23" s="25"/>
      <c r="W23" s="2"/>
      <c r="X23" s="26"/>
      <c r="Y23" s="33"/>
      <c r="Z23" s="33"/>
      <c r="AA23" s="34"/>
      <c r="AB23" s="38"/>
      <c r="AC23" s="39"/>
      <c r="AD23" s="39"/>
      <c r="AE23" s="33"/>
      <c r="AF23" s="33"/>
      <c r="AG23" s="33"/>
    </row>
    <row r="24" spans="1:33" ht="16.5" x14ac:dyDescent="0.3">
      <c r="B24" s="15"/>
      <c r="C24" s="19"/>
      <c r="D24" s="40"/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93"/>
      <c r="R24" s="594"/>
      <c r="S24" s="595"/>
      <c r="T24" s="583"/>
      <c r="U24" s="584"/>
      <c r="V24" s="585"/>
      <c r="W24" s="2"/>
      <c r="X24" s="26"/>
      <c r="Y24" s="33"/>
      <c r="Z24" s="33"/>
      <c r="AA24" s="34"/>
      <c r="AB24" s="38"/>
      <c r="AC24" s="39"/>
      <c r="AD24" s="39"/>
      <c r="AE24" s="33"/>
      <c r="AF24" s="33"/>
      <c r="AG24" s="33"/>
    </row>
    <row r="25" spans="1:33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90"/>
      <c r="O25" s="591"/>
      <c r="P25" s="592"/>
      <c r="Q25" s="593"/>
      <c r="R25" s="594"/>
      <c r="S25" s="595"/>
      <c r="T25" s="583"/>
      <c r="U25" s="584"/>
      <c r="V25" s="585"/>
      <c r="W25" s="9"/>
      <c r="X25" s="2"/>
      <c r="Y25" s="33"/>
      <c r="Z25" s="33"/>
      <c r="AA25" s="34"/>
      <c r="AB25" s="38"/>
      <c r="AC25" s="39"/>
      <c r="AD25" s="39"/>
      <c r="AE25" s="33"/>
      <c r="AF25" s="42"/>
      <c r="AG25" s="33"/>
    </row>
    <row r="26" spans="1:33" ht="16.5" x14ac:dyDescent="0.3">
      <c r="B26" s="41"/>
      <c r="C26" s="16"/>
      <c r="D26" s="2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78"/>
      <c r="P26" s="579"/>
      <c r="Q26" s="589"/>
      <c r="R26" s="578"/>
      <c r="S26" s="579"/>
      <c r="T26" s="583"/>
      <c r="U26" s="584"/>
      <c r="V26" s="585"/>
      <c r="W26" s="2"/>
      <c r="X26" s="2"/>
      <c r="Y26" s="39"/>
      <c r="Z26" s="33"/>
      <c r="AA26" s="34"/>
      <c r="AB26" s="38"/>
      <c r="AC26" s="34"/>
      <c r="AD26" s="34"/>
      <c r="AE26" s="33"/>
      <c r="AF26" s="42"/>
      <c r="AG26" s="33"/>
    </row>
    <row r="27" spans="1:33" ht="16.5" x14ac:dyDescent="0.3">
      <c r="A27" s="45" t="s">
        <v>26</v>
      </c>
      <c r="B27" s="46"/>
      <c r="C27" s="564" t="s">
        <v>27</v>
      </c>
      <c r="D27" s="565"/>
      <c r="E27" s="565"/>
      <c r="F27" s="565"/>
      <c r="G27" s="565"/>
      <c r="H27" s="565"/>
      <c r="I27" s="565"/>
      <c r="J27" s="566"/>
      <c r="K27" s="47"/>
      <c r="L27" s="48"/>
      <c r="M27" s="49"/>
      <c r="N27" s="47"/>
      <c r="O27" s="48"/>
      <c r="P27" s="49"/>
      <c r="Q27" s="47"/>
      <c r="R27" s="48"/>
      <c r="S27" s="50" t="s">
        <v>28</v>
      </c>
      <c r="T27" s="561">
        <f>ROUND(SUM(T14:V25),2)</f>
        <v>0</v>
      </c>
      <c r="U27" s="562"/>
      <c r="V27" s="563"/>
      <c r="X27" s="51"/>
      <c r="Y27" s="39"/>
      <c r="Z27" s="33"/>
      <c r="AA27" s="34"/>
      <c r="AB27" s="38"/>
      <c r="AC27" s="34"/>
      <c r="AD27" s="34"/>
      <c r="AE27" s="33"/>
      <c r="AF27" s="42"/>
      <c r="AG27" s="33"/>
    </row>
    <row r="28" spans="1:33" ht="16.5" x14ac:dyDescent="0.25">
      <c r="B28" s="571" t="s">
        <v>29</v>
      </c>
      <c r="C28" s="572"/>
      <c r="D28" s="572"/>
      <c r="E28" s="572"/>
      <c r="F28" s="572"/>
      <c r="G28" s="572"/>
      <c r="H28" s="572"/>
      <c r="I28" s="572"/>
      <c r="J28" s="573"/>
      <c r="K28" s="571" t="s">
        <v>30</v>
      </c>
      <c r="L28" s="572"/>
      <c r="M28" s="573"/>
      <c r="N28" s="571" t="s">
        <v>15</v>
      </c>
      <c r="O28" s="572"/>
      <c r="P28" s="573"/>
      <c r="Q28" s="571" t="s">
        <v>16</v>
      </c>
      <c r="R28" s="572"/>
      <c r="S28" s="573"/>
      <c r="T28" s="571" t="s">
        <v>17</v>
      </c>
      <c r="U28" s="572"/>
      <c r="V28" s="573"/>
      <c r="X28" s="52"/>
      <c r="Y28" s="33"/>
      <c r="Z28" s="33"/>
      <c r="AA28" s="34"/>
      <c r="AB28" s="38"/>
      <c r="AC28" s="34"/>
      <c r="AD28" s="34"/>
      <c r="AE28" s="33"/>
      <c r="AF28" s="42"/>
      <c r="AG28" s="33"/>
    </row>
    <row r="29" spans="1:33" ht="16.5" x14ac:dyDescent="0.25">
      <c r="B29" s="574"/>
      <c r="C29" s="575"/>
      <c r="D29" s="575"/>
      <c r="E29" s="575"/>
      <c r="F29" s="575"/>
      <c r="G29" s="575"/>
      <c r="H29" s="575"/>
      <c r="I29" s="575"/>
      <c r="J29" s="576"/>
      <c r="K29" s="574"/>
      <c r="L29" s="575"/>
      <c r="M29" s="576"/>
      <c r="N29" s="574"/>
      <c r="O29" s="575"/>
      <c r="P29" s="576"/>
      <c r="Q29" s="574"/>
      <c r="R29" s="575"/>
      <c r="S29" s="576"/>
      <c r="T29" s="574"/>
      <c r="U29" s="575"/>
      <c r="V29" s="576"/>
      <c r="Y29" s="33"/>
      <c r="Z29" s="33"/>
      <c r="AA29" s="34"/>
      <c r="AB29" s="33"/>
      <c r="AC29" s="33"/>
      <c r="AD29" s="33"/>
      <c r="AE29" s="33"/>
      <c r="AF29" s="33"/>
      <c r="AG29" s="33"/>
    </row>
    <row r="30" spans="1:33" ht="16.5" x14ac:dyDescent="0.3">
      <c r="B30" s="15" t="s">
        <v>31</v>
      </c>
      <c r="C30" s="16" t="s">
        <v>32</v>
      </c>
      <c r="D30" s="2"/>
      <c r="E30" s="2"/>
      <c r="F30" s="2"/>
      <c r="G30" s="2"/>
      <c r="H30" s="2"/>
      <c r="I30" s="2"/>
      <c r="J30" s="17"/>
      <c r="K30" s="16"/>
      <c r="L30" s="2"/>
      <c r="M30" s="17"/>
      <c r="N30" s="16"/>
      <c r="O30" s="2"/>
      <c r="P30" s="17"/>
      <c r="Q30" s="16"/>
      <c r="R30" s="2"/>
      <c r="S30" s="17"/>
      <c r="T30" s="16"/>
      <c r="U30" s="2"/>
      <c r="V30" s="17"/>
      <c r="W30" s="2"/>
      <c r="X30" s="2"/>
      <c r="Y30" s="34"/>
      <c r="Z30" s="34"/>
      <c r="AA30" s="34"/>
      <c r="AB30" s="34"/>
      <c r="AC30" s="34"/>
      <c r="AD30" s="34"/>
      <c r="AE30" s="34"/>
      <c r="AF30" s="34"/>
      <c r="AG30" s="34"/>
    </row>
    <row r="31" spans="1:33" ht="16.5" x14ac:dyDescent="0.3">
      <c r="B31" s="15"/>
      <c r="C31" s="19" t="s">
        <v>21</v>
      </c>
      <c r="D31" s="60" t="s">
        <v>158</v>
      </c>
      <c r="E31" s="2"/>
      <c r="F31" s="2"/>
      <c r="G31" s="2"/>
      <c r="H31" s="2"/>
      <c r="I31" s="2"/>
      <c r="J31" s="17"/>
      <c r="K31" s="577">
        <v>1</v>
      </c>
      <c r="L31" s="578"/>
      <c r="M31" s="579"/>
      <c r="N31" s="590">
        <f>0.75*N16</f>
        <v>0</v>
      </c>
      <c r="O31" s="591"/>
      <c r="P31" s="592"/>
      <c r="Q31" s="580">
        <v>2160</v>
      </c>
      <c r="R31" s="581"/>
      <c r="S31" s="582"/>
      <c r="T31" s="583">
        <f>Q31*N31*K31</f>
        <v>0</v>
      </c>
      <c r="U31" s="584"/>
      <c r="V31" s="585"/>
      <c r="W31" s="18"/>
      <c r="X31" s="18"/>
      <c r="Y31" s="139"/>
      <c r="Z31" s="139"/>
      <c r="AA31" s="34"/>
      <c r="AB31" s="34"/>
      <c r="AC31" s="33"/>
      <c r="AD31" s="33"/>
      <c r="AE31" s="33"/>
      <c r="AF31" s="33"/>
      <c r="AG31" s="33"/>
    </row>
    <row r="32" spans="1:33" ht="16.5" x14ac:dyDescent="0.3">
      <c r="B32" s="41"/>
      <c r="C32" s="19" t="s">
        <v>23</v>
      </c>
      <c r="D32" s="40" t="s">
        <v>159</v>
      </c>
      <c r="E32" s="2"/>
      <c r="F32" s="2"/>
      <c r="G32" s="2"/>
      <c r="H32" s="2"/>
      <c r="I32" s="2"/>
      <c r="J32" s="17"/>
      <c r="K32" s="577">
        <v>1</v>
      </c>
      <c r="L32" s="578"/>
      <c r="M32" s="579"/>
      <c r="N32" s="590">
        <f>0.25*N16</f>
        <v>0</v>
      </c>
      <c r="O32" s="591"/>
      <c r="P32" s="592"/>
      <c r="Q32" s="580">
        <v>364</v>
      </c>
      <c r="R32" s="581"/>
      <c r="S32" s="582"/>
      <c r="T32" s="583">
        <f t="shared" ref="T32:T33" si="2">Q32*N32*K32</f>
        <v>0</v>
      </c>
      <c r="U32" s="584"/>
      <c r="V32" s="585"/>
      <c r="W32" s="18"/>
      <c r="X32" s="18"/>
      <c r="Y32" s="139"/>
      <c r="Z32" s="270"/>
      <c r="AA32" s="39"/>
      <c r="AB32" s="39"/>
      <c r="AC32" s="39"/>
      <c r="AD32" s="140"/>
      <c r="AE32" s="271"/>
      <c r="AF32" s="140"/>
      <c r="AG32" s="140"/>
    </row>
    <row r="33" spans="1:33" ht="16.5" x14ac:dyDescent="0.3">
      <c r="B33" s="41"/>
      <c r="C33" s="60" t="s">
        <v>78</v>
      </c>
      <c r="D33" s="40" t="s">
        <v>160</v>
      </c>
      <c r="E33" s="2"/>
      <c r="F33" s="2"/>
      <c r="G33" s="2"/>
      <c r="H33" s="2"/>
      <c r="I33" s="2"/>
      <c r="J33" s="17"/>
      <c r="K33" s="577">
        <v>1</v>
      </c>
      <c r="L33" s="578"/>
      <c r="M33" s="579"/>
      <c r="N33" s="659">
        <f>0.49*N16</f>
        <v>0</v>
      </c>
      <c r="O33" s="660"/>
      <c r="P33" s="661"/>
      <c r="Q33" s="580">
        <v>14176</v>
      </c>
      <c r="R33" s="581"/>
      <c r="S33" s="582"/>
      <c r="T33" s="583">
        <f t="shared" si="2"/>
        <v>0</v>
      </c>
      <c r="U33" s="584"/>
      <c r="V33" s="585"/>
      <c r="W33" s="18"/>
      <c r="X33" s="18"/>
      <c r="Y33" s="139"/>
      <c r="Z33" s="270"/>
      <c r="AA33" s="39"/>
      <c r="AB33" s="39"/>
      <c r="AC33" s="39"/>
      <c r="AD33" s="140"/>
      <c r="AE33" s="271"/>
      <c r="AF33" s="140"/>
      <c r="AG33" s="140"/>
    </row>
    <row r="34" spans="1:33" ht="16.5" x14ac:dyDescent="0.3">
      <c r="B34" s="41"/>
      <c r="C34" s="16"/>
      <c r="D34" s="2" t="s">
        <v>104</v>
      </c>
      <c r="E34" s="2"/>
      <c r="F34" s="2"/>
      <c r="G34" s="2"/>
      <c r="H34" s="2"/>
      <c r="I34" s="2"/>
      <c r="J34" s="17"/>
      <c r="K34" s="577"/>
      <c r="L34" s="578"/>
      <c r="M34" s="579"/>
      <c r="N34" s="580"/>
      <c r="O34" s="581"/>
      <c r="P34" s="582"/>
      <c r="Q34" s="580"/>
      <c r="R34" s="581"/>
      <c r="S34" s="582"/>
      <c r="T34" s="583">
        <f>0.1*SUM(T31:V33)</f>
        <v>0</v>
      </c>
      <c r="U34" s="584"/>
      <c r="V34" s="585"/>
      <c r="W34" s="18"/>
      <c r="X34" s="18"/>
      <c r="Y34" s="139"/>
      <c r="Z34" s="270"/>
      <c r="AA34" s="39"/>
      <c r="AB34" s="39"/>
      <c r="AC34" s="39"/>
      <c r="AD34" s="140"/>
      <c r="AE34" s="271"/>
      <c r="AF34" s="140"/>
      <c r="AG34" s="140"/>
    </row>
    <row r="35" spans="1:33" ht="16.5" x14ac:dyDescent="0.3">
      <c r="B35" s="41"/>
      <c r="C35" s="16"/>
      <c r="D35" s="2"/>
      <c r="E35" s="2"/>
      <c r="F35" s="2"/>
      <c r="G35" s="2"/>
      <c r="H35" s="2"/>
      <c r="I35" s="2"/>
      <c r="J35" s="17"/>
      <c r="K35" s="577"/>
      <c r="L35" s="578"/>
      <c r="M35" s="579"/>
      <c r="N35" s="580"/>
      <c r="O35" s="578"/>
      <c r="P35" s="579"/>
      <c r="Q35" s="580"/>
      <c r="R35" s="581"/>
      <c r="S35" s="582"/>
      <c r="T35" s="583"/>
      <c r="U35" s="584"/>
      <c r="V35" s="585"/>
      <c r="W35" s="2"/>
      <c r="X35" s="2"/>
      <c r="Y35" s="33"/>
      <c r="Z35" s="33"/>
      <c r="AA35" s="34"/>
      <c r="AB35" s="34"/>
      <c r="AC35" s="33"/>
      <c r="AD35" s="33"/>
      <c r="AE35" s="33"/>
      <c r="AF35" s="140"/>
      <c r="AG35" s="140"/>
    </row>
    <row r="36" spans="1:33" ht="16.5" x14ac:dyDescent="0.3">
      <c r="A36" s="61" t="s">
        <v>34</v>
      </c>
      <c r="B36" s="46"/>
      <c r="C36" s="564" t="s">
        <v>35</v>
      </c>
      <c r="D36" s="565"/>
      <c r="E36" s="565"/>
      <c r="F36" s="565"/>
      <c r="G36" s="565"/>
      <c r="H36" s="565"/>
      <c r="I36" s="565"/>
      <c r="J36" s="566"/>
      <c r="K36" s="47"/>
      <c r="L36" s="48"/>
      <c r="M36" s="49"/>
      <c r="N36" s="47"/>
      <c r="O36" s="48"/>
      <c r="P36" s="49"/>
      <c r="Q36" s="47"/>
      <c r="R36" s="48"/>
      <c r="S36" s="50" t="s">
        <v>28</v>
      </c>
      <c r="T36" s="561">
        <f>ROUND(SUM(T31:V35),2)</f>
        <v>0</v>
      </c>
      <c r="U36" s="562"/>
      <c r="V36" s="563"/>
      <c r="W36" s="9"/>
      <c r="X36" s="2"/>
      <c r="Y36" s="257"/>
      <c r="Z36" s="257"/>
      <c r="AA36" s="272"/>
      <c r="AB36" s="272"/>
      <c r="AC36" s="257"/>
      <c r="AD36" s="257"/>
      <c r="AE36" s="272"/>
      <c r="AF36" s="140"/>
      <c r="AG36" s="140"/>
    </row>
    <row r="37" spans="1:33" ht="16.5" x14ac:dyDescent="0.3">
      <c r="B37" s="64" t="s">
        <v>36</v>
      </c>
      <c r="C37" s="564" t="s">
        <v>37</v>
      </c>
      <c r="D37" s="565"/>
      <c r="E37" s="565"/>
      <c r="F37" s="565"/>
      <c r="G37" s="565"/>
      <c r="H37" s="565"/>
      <c r="I37" s="565"/>
      <c r="J37" s="565"/>
      <c r="K37" s="48"/>
      <c r="L37" s="48"/>
      <c r="M37" s="48"/>
      <c r="N37" s="48"/>
      <c r="O37" s="48"/>
      <c r="P37" s="48"/>
      <c r="Q37" s="48"/>
      <c r="R37" s="48"/>
      <c r="S37" s="48"/>
      <c r="T37" s="562">
        <f>T27+T36</f>
        <v>0</v>
      </c>
      <c r="U37" s="562"/>
      <c r="V37" s="563"/>
      <c r="W37" s="2"/>
      <c r="X37" s="2"/>
      <c r="Y37" s="33"/>
      <c r="Z37" s="33"/>
      <c r="AA37" s="271"/>
      <c r="AB37" s="271"/>
      <c r="AC37" s="33"/>
      <c r="AD37" s="33"/>
      <c r="AE37" s="271"/>
      <c r="AF37" s="271"/>
      <c r="AG37" s="271"/>
    </row>
    <row r="38" spans="1:33" ht="16.5" x14ac:dyDescent="0.3">
      <c r="B38" s="66" t="s">
        <v>38</v>
      </c>
      <c r="C38" s="47" t="s">
        <v>39</v>
      </c>
      <c r="D38" s="48"/>
      <c r="E38" s="48"/>
      <c r="F38" s="48"/>
      <c r="G38" s="67" t="s">
        <v>40</v>
      </c>
      <c r="H38" s="570">
        <f>E7</f>
        <v>680</v>
      </c>
      <c r="I38" s="565"/>
      <c r="J38" s="48" t="str">
        <f>G7</f>
        <v>KGS./DAY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9"/>
      <c r="W38" s="2"/>
      <c r="X38" s="2"/>
      <c r="Y38" s="33"/>
      <c r="Z38" s="33"/>
      <c r="AA38" s="39"/>
      <c r="AB38" s="34"/>
      <c r="AC38" s="33"/>
      <c r="AD38" s="33"/>
      <c r="AE38" s="33"/>
      <c r="AF38" s="271"/>
      <c r="AG38" s="271"/>
    </row>
    <row r="39" spans="1:33" ht="16.5" x14ac:dyDescent="0.3">
      <c r="B39" s="571" t="s">
        <v>44</v>
      </c>
      <c r="C39" s="572"/>
      <c r="D39" s="572"/>
      <c r="E39" s="572"/>
      <c r="F39" s="572"/>
      <c r="G39" s="572"/>
      <c r="H39" s="572"/>
      <c r="I39" s="572"/>
      <c r="J39" s="573"/>
      <c r="K39" s="571" t="s">
        <v>45</v>
      </c>
      <c r="L39" s="572"/>
      <c r="M39" s="573"/>
      <c r="N39" s="571" t="s">
        <v>46</v>
      </c>
      <c r="O39" s="572"/>
      <c r="P39" s="573"/>
      <c r="Q39" s="571" t="s">
        <v>47</v>
      </c>
      <c r="R39" s="572"/>
      <c r="S39" s="573"/>
      <c r="T39" s="571" t="s">
        <v>17</v>
      </c>
      <c r="U39" s="572"/>
      <c r="V39" s="573"/>
      <c r="W39" s="2"/>
      <c r="X39" s="2"/>
      <c r="Y39" s="33"/>
      <c r="Z39" s="33"/>
      <c r="AA39" s="34"/>
      <c r="AB39" s="34"/>
      <c r="AC39" s="33"/>
      <c r="AD39" s="33"/>
      <c r="AE39" s="33"/>
      <c r="AF39" s="33"/>
      <c r="AG39" s="33"/>
    </row>
    <row r="40" spans="1:33" ht="16.5" x14ac:dyDescent="0.3">
      <c r="B40" s="574"/>
      <c r="C40" s="575"/>
      <c r="D40" s="575"/>
      <c r="E40" s="575"/>
      <c r="F40" s="575"/>
      <c r="G40" s="575"/>
      <c r="H40" s="575"/>
      <c r="I40" s="575"/>
      <c r="J40" s="576"/>
      <c r="K40" s="574"/>
      <c r="L40" s="575"/>
      <c r="M40" s="576"/>
      <c r="N40" s="574"/>
      <c r="O40" s="575"/>
      <c r="P40" s="576"/>
      <c r="Q40" s="574"/>
      <c r="R40" s="575"/>
      <c r="S40" s="576"/>
      <c r="T40" s="574"/>
      <c r="U40" s="575"/>
      <c r="V40" s="576"/>
      <c r="W40" s="2"/>
      <c r="X40" s="2"/>
      <c r="Y40" s="2"/>
      <c r="Z40" s="2"/>
      <c r="AA40" s="7"/>
      <c r="AB40" s="7"/>
      <c r="AC40" s="192"/>
      <c r="AD40" s="192"/>
      <c r="AE40" s="192"/>
      <c r="AF40" s="192"/>
      <c r="AG40" s="192"/>
    </row>
    <row r="41" spans="1:33" ht="16.5" x14ac:dyDescent="0.3">
      <c r="B41" s="15" t="s">
        <v>48</v>
      </c>
      <c r="C41" s="16" t="s">
        <v>49</v>
      </c>
      <c r="D41" s="2"/>
      <c r="E41" s="2"/>
      <c r="F41" s="2"/>
      <c r="G41" s="2"/>
      <c r="H41" s="2"/>
      <c r="I41" s="2"/>
      <c r="J41" s="17"/>
      <c r="K41" s="16"/>
      <c r="L41" s="2"/>
      <c r="M41" s="17"/>
      <c r="N41" s="16"/>
      <c r="O41" s="2"/>
      <c r="P41" s="17"/>
      <c r="Q41" s="16"/>
      <c r="R41" s="2"/>
      <c r="S41" s="17"/>
      <c r="T41" s="16"/>
      <c r="U41" s="2"/>
      <c r="V41" s="17"/>
      <c r="W41" s="2"/>
      <c r="X41" s="2"/>
      <c r="Y41" s="2"/>
      <c r="Z41" s="2"/>
      <c r="AA41" s="7"/>
      <c r="AB41" s="7"/>
      <c r="AC41" s="193"/>
      <c r="AD41" s="193"/>
      <c r="AE41" s="192"/>
      <c r="AF41" s="192"/>
      <c r="AG41" s="193"/>
    </row>
    <row r="42" spans="1:33" ht="16.5" customHeight="1" x14ac:dyDescent="0.3">
      <c r="B42" s="41"/>
      <c r="C42" s="60" t="s">
        <v>21</v>
      </c>
      <c r="D42" s="60" t="s">
        <v>161</v>
      </c>
      <c r="F42" s="121"/>
      <c r="G42" s="122"/>
      <c r="H42" s="122"/>
      <c r="I42" s="122"/>
      <c r="J42" s="17"/>
      <c r="K42" s="659">
        <f>E8</f>
        <v>0</v>
      </c>
      <c r="L42" s="660"/>
      <c r="M42" s="661"/>
      <c r="N42" s="662" t="s">
        <v>166</v>
      </c>
      <c r="O42" s="663" t="str">
        <f t="shared" ref="O42:P45" si="3">IF(L42&gt;1,"bags","bag")</f>
        <v>bag</v>
      </c>
      <c r="P42" s="664" t="str">
        <f t="shared" si="3"/>
        <v>bag</v>
      </c>
      <c r="Q42" s="647">
        <v>70</v>
      </c>
      <c r="R42" s="648"/>
      <c r="S42" s="649"/>
      <c r="T42" s="635">
        <f>K42*Q42</f>
        <v>0</v>
      </c>
      <c r="U42" s="636"/>
      <c r="V42" s="637"/>
      <c r="W42" s="18"/>
      <c r="X42" s="149"/>
      <c r="Y42" s="149"/>
      <c r="Z42" s="149"/>
      <c r="AA42" s="149"/>
      <c r="AB42" s="2"/>
    </row>
    <row r="43" spans="1:33" ht="16.5" customHeight="1" x14ac:dyDescent="0.3">
      <c r="B43" s="41"/>
      <c r="C43" s="19" t="s">
        <v>23</v>
      </c>
      <c r="D43" s="60" t="s">
        <v>162</v>
      </c>
      <c r="F43" s="121"/>
      <c r="G43" s="122"/>
      <c r="H43" s="122"/>
      <c r="I43" s="122"/>
      <c r="J43" s="17"/>
      <c r="K43" s="659">
        <f>0.011*E8</f>
        <v>0</v>
      </c>
      <c r="L43" s="660"/>
      <c r="M43" s="661"/>
      <c r="N43" s="662" t="s">
        <v>167</v>
      </c>
      <c r="O43" s="663" t="str">
        <f t="shared" si="3"/>
        <v>bag</v>
      </c>
      <c r="P43" s="664" t="str">
        <f t="shared" si="3"/>
        <v>bag</v>
      </c>
      <c r="Q43" s="647">
        <v>3500</v>
      </c>
      <c r="R43" s="648"/>
      <c r="S43" s="649"/>
      <c r="T43" s="635">
        <f t="shared" ref="T43" si="4">K43*Q43</f>
        <v>0</v>
      </c>
      <c r="U43" s="636"/>
      <c r="V43" s="637"/>
      <c r="W43" s="132"/>
      <c r="X43" s="149"/>
      <c r="Y43" s="149"/>
      <c r="Z43" s="149"/>
      <c r="AA43" s="149"/>
      <c r="AB43" s="2"/>
    </row>
    <row r="44" spans="1:33" ht="16.5" customHeight="1" x14ac:dyDescent="0.3">
      <c r="B44" s="41"/>
      <c r="C44" s="19" t="s">
        <v>78</v>
      </c>
      <c r="D44" s="40" t="s">
        <v>163</v>
      </c>
      <c r="E44" s="121"/>
      <c r="F44" s="121"/>
      <c r="G44" s="122"/>
      <c r="H44" s="122"/>
      <c r="I44" s="122"/>
      <c r="J44" s="17"/>
      <c r="K44" s="659">
        <f>0.022*E8</f>
        <v>0</v>
      </c>
      <c r="L44" s="660"/>
      <c r="M44" s="661"/>
      <c r="N44" s="662" t="s">
        <v>167</v>
      </c>
      <c r="O44" s="663" t="str">
        <f t="shared" si="3"/>
        <v>bag</v>
      </c>
      <c r="P44" s="664" t="str">
        <f t="shared" si="3"/>
        <v>bag</v>
      </c>
      <c r="Q44" s="647">
        <v>1800</v>
      </c>
      <c r="R44" s="648"/>
      <c r="S44" s="649"/>
      <c r="T44" s="635">
        <f t="shared" ref="T44:T45" si="5">K44*Q44</f>
        <v>0</v>
      </c>
      <c r="U44" s="636"/>
      <c r="V44" s="637"/>
      <c r="W44" s="132"/>
      <c r="X44" s="149"/>
      <c r="Y44" s="149"/>
      <c r="Z44" s="149"/>
      <c r="AA44" s="149"/>
      <c r="AB44" s="2"/>
    </row>
    <row r="45" spans="1:33" ht="16.5" customHeight="1" x14ac:dyDescent="0.3">
      <c r="B45" s="41"/>
      <c r="C45" s="19" t="s">
        <v>94</v>
      </c>
      <c r="D45" s="240" t="s">
        <v>164</v>
      </c>
      <c r="E45" s="121"/>
      <c r="F45" s="121"/>
      <c r="G45" s="122"/>
      <c r="H45" s="122"/>
      <c r="I45" s="122"/>
      <c r="J45" s="17"/>
      <c r="K45" s="659">
        <f>0.02*E8</f>
        <v>0</v>
      </c>
      <c r="L45" s="660"/>
      <c r="M45" s="661"/>
      <c r="N45" s="662" t="s">
        <v>166</v>
      </c>
      <c r="O45" s="663" t="str">
        <f t="shared" si="3"/>
        <v>bag</v>
      </c>
      <c r="P45" s="664" t="str">
        <f t="shared" si="3"/>
        <v>bag</v>
      </c>
      <c r="Q45" s="647">
        <v>160</v>
      </c>
      <c r="R45" s="648"/>
      <c r="S45" s="649"/>
      <c r="T45" s="635">
        <f t="shared" si="5"/>
        <v>0</v>
      </c>
      <c r="U45" s="636"/>
      <c r="V45" s="637"/>
      <c r="W45" s="18"/>
      <c r="X45" s="149"/>
      <c r="Y45" s="149"/>
      <c r="Z45" s="149"/>
      <c r="AA45" s="149"/>
      <c r="AB45" s="2"/>
    </row>
    <row r="46" spans="1:33" ht="16.5" customHeight="1" x14ac:dyDescent="0.3">
      <c r="B46" s="41"/>
      <c r="C46" s="19"/>
      <c r="D46" s="240" t="s">
        <v>165</v>
      </c>
      <c r="E46" s="121"/>
      <c r="F46" s="121"/>
      <c r="G46" s="122"/>
      <c r="H46" s="122"/>
      <c r="I46" s="122"/>
      <c r="J46" s="17"/>
      <c r="K46" s="659"/>
      <c r="L46" s="660"/>
      <c r="M46" s="661"/>
      <c r="N46" s="662"/>
      <c r="O46" s="663"/>
      <c r="P46" s="664"/>
      <c r="Q46" s="647"/>
      <c r="R46" s="648"/>
      <c r="S46" s="649"/>
      <c r="T46" s="635">
        <f>0.05*SUM(T42:V45)</f>
        <v>0</v>
      </c>
      <c r="U46" s="636"/>
      <c r="V46" s="637"/>
      <c r="W46" s="18"/>
      <c r="X46" s="149"/>
      <c r="Y46" s="149"/>
      <c r="Z46" s="149"/>
      <c r="AA46" s="149"/>
      <c r="AB46" s="2"/>
    </row>
    <row r="47" spans="1:33" ht="16.5" x14ac:dyDescent="0.3">
      <c r="B47" s="41"/>
      <c r="C47" s="19"/>
      <c r="D47" s="40"/>
      <c r="E47" s="245"/>
      <c r="F47" s="245"/>
      <c r="G47" s="122"/>
      <c r="H47" s="122"/>
      <c r="I47" s="122"/>
      <c r="J47" s="17"/>
      <c r="K47" s="659"/>
      <c r="L47" s="660"/>
      <c r="M47" s="661"/>
      <c r="N47" s="662"/>
      <c r="O47" s="663"/>
      <c r="P47" s="664"/>
      <c r="Q47" s="647"/>
      <c r="R47" s="648"/>
      <c r="S47" s="649"/>
      <c r="T47" s="635"/>
      <c r="U47" s="636"/>
      <c r="V47" s="637"/>
      <c r="W47" s="2"/>
      <c r="X47" s="149"/>
      <c r="Y47" s="149"/>
      <c r="Z47" s="149"/>
      <c r="AA47" s="149"/>
      <c r="AB47" s="2"/>
    </row>
    <row r="48" spans="1:33" ht="16.5" x14ac:dyDescent="0.3">
      <c r="B48" s="41"/>
      <c r="C48" s="19"/>
      <c r="D48" s="693" t="s">
        <v>168</v>
      </c>
      <c r="E48" s="693"/>
      <c r="F48" s="693"/>
      <c r="G48" s="693"/>
      <c r="H48" s="693"/>
      <c r="I48" s="693"/>
      <c r="J48" s="694"/>
      <c r="K48" s="659"/>
      <c r="L48" s="660"/>
      <c r="M48" s="661"/>
      <c r="N48" s="662"/>
      <c r="O48" s="663"/>
      <c r="P48" s="664"/>
      <c r="Q48" s="647"/>
      <c r="R48" s="648"/>
      <c r="S48" s="649"/>
      <c r="T48" s="635"/>
      <c r="U48" s="636"/>
      <c r="V48" s="637"/>
      <c r="W48" s="2"/>
      <c r="X48" s="149"/>
      <c r="Y48" s="149"/>
      <c r="Z48" s="149"/>
      <c r="AA48" s="149"/>
      <c r="AB48" s="2"/>
    </row>
    <row r="49" spans="1:31" ht="16.5" x14ac:dyDescent="0.3">
      <c r="B49" s="41"/>
      <c r="C49" s="19"/>
      <c r="D49" s="693"/>
      <c r="E49" s="693"/>
      <c r="F49" s="693"/>
      <c r="G49" s="693"/>
      <c r="H49" s="693"/>
      <c r="I49" s="693"/>
      <c r="J49" s="694"/>
      <c r="K49" s="659"/>
      <c r="L49" s="660"/>
      <c r="M49" s="661"/>
      <c r="N49" s="662"/>
      <c r="O49" s="663"/>
      <c r="P49" s="664"/>
      <c r="Q49" s="647"/>
      <c r="R49" s="648"/>
      <c r="S49" s="649"/>
      <c r="T49" s="635"/>
      <c r="U49" s="636"/>
      <c r="V49" s="637"/>
      <c r="W49" s="2"/>
      <c r="X49" s="149"/>
      <c r="Y49" s="149"/>
      <c r="Z49" s="149"/>
      <c r="AA49" s="149"/>
      <c r="AB49" s="2"/>
    </row>
    <row r="50" spans="1:31" ht="16.5" x14ac:dyDescent="0.3">
      <c r="B50" s="41"/>
      <c r="C50" s="19"/>
      <c r="D50" s="40"/>
      <c r="E50" s="121"/>
      <c r="F50" s="121"/>
      <c r="G50" s="206"/>
      <c r="H50" s="202"/>
      <c r="I50" s="202"/>
      <c r="J50" s="17"/>
      <c r="K50" s="123"/>
      <c r="L50" s="124"/>
      <c r="M50" s="125"/>
      <c r="N50" s="241"/>
      <c r="O50" s="242"/>
      <c r="P50" s="243"/>
      <c r="Q50" s="105"/>
      <c r="R50" s="106"/>
      <c r="S50" s="107"/>
      <c r="T50" s="213"/>
      <c r="U50" s="214"/>
      <c r="V50" s="215"/>
      <c r="W50" s="2"/>
      <c r="X50" s="149"/>
      <c r="Y50" s="149"/>
      <c r="Z50" s="149"/>
      <c r="AA50" s="149"/>
      <c r="AB50" s="2"/>
    </row>
    <row r="51" spans="1:31" ht="16.5" x14ac:dyDescent="0.3">
      <c r="B51" s="41"/>
      <c r="C51" s="40"/>
      <c r="D51" s="199"/>
      <c r="E51" s="121"/>
      <c r="F51" s="121"/>
      <c r="G51" s="206"/>
      <c r="H51" s="202"/>
      <c r="I51" s="202"/>
      <c r="J51" s="17"/>
      <c r="K51" s="207"/>
      <c r="L51" s="208"/>
      <c r="M51" s="209"/>
      <c r="N51" s="210"/>
      <c r="O51" s="211"/>
      <c r="P51" s="212"/>
      <c r="Q51" s="89"/>
      <c r="R51" s="90"/>
      <c r="S51" s="91"/>
      <c r="T51" s="213"/>
      <c r="U51" s="214"/>
      <c r="V51" s="215"/>
      <c r="W51" s="2"/>
      <c r="X51" s="149"/>
      <c r="Y51" s="149"/>
      <c r="Z51" s="2"/>
      <c r="AA51" s="2"/>
      <c r="AB51" s="2"/>
    </row>
    <row r="52" spans="1:31" ht="16.5" customHeight="1" x14ac:dyDescent="0.3">
      <c r="A52" s="45" t="s">
        <v>51</v>
      </c>
      <c r="B52" s="46"/>
      <c r="C52" s="564" t="s">
        <v>52</v>
      </c>
      <c r="D52" s="565"/>
      <c r="E52" s="565"/>
      <c r="F52" s="565"/>
      <c r="G52" s="565"/>
      <c r="H52" s="565"/>
      <c r="I52" s="565"/>
      <c r="J52" s="566"/>
      <c r="K52" s="47"/>
      <c r="L52" s="48"/>
      <c r="M52" s="49"/>
      <c r="N52" s="47"/>
      <c r="O52" s="48"/>
      <c r="P52" s="49"/>
      <c r="Q52" s="47"/>
      <c r="R52" s="48"/>
      <c r="S52" s="50" t="s">
        <v>28</v>
      </c>
      <c r="T52" s="561">
        <f>ROUND(SUM(T42:V51),2)</f>
        <v>0</v>
      </c>
      <c r="U52" s="562"/>
      <c r="V52" s="563"/>
      <c r="W52" s="2"/>
      <c r="X52" s="9"/>
      <c r="Y52" s="33"/>
      <c r="Z52" s="33"/>
      <c r="AA52" s="237"/>
      <c r="AB52" s="237"/>
      <c r="AC52" s="34"/>
      <c r="AD52" s="34"/>
      <c r="AE52" s="34"/>
    </row>
    <row r="53" spans="1:31" ht="16.5" x14ac:dyDescent="0.3">
      <c r="B53" s="47" t="s">
        <v>53</v>
      </c>
      <c r="C53" s="48" t="s">
        <v>54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61">
        <f>T37+T52</f>
        <v>0</v>
      </c>
      <c r="U53" s="562"/>
      <c r="V53" s="563"/>
      <c r="W53" s="2"/>
      <c r="X53" s="2"/>
      <c r="Y53" s="139"/>
      <c r="Z53" s="33"/>
      <c r="AA53" s="34"/>
      <c r="AB53" s="33"/>
      <c r="AC53" s="34"/>
      <c r="AD53" s="34"/>
      <c r="AE53" s="34"/>
    </row>
    <row r="54" spans="1:31" ht="16.5" x14ac:dyDescent="0.3">
      <c r="B54" s="47" t="s">
        <v>55</v>
      </c>
      <c r="C54" s="48" t="s">
        <v>56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130">
        <f>'INPUT DATA'!C62</f>
        <v>0.05</v>
      </c>
      <c r="O54" s="131"/>
      <c r="P54" s="48"/>
      <c r="Q54" s="48"/>
      <c r="R54" s="48"/>
      <c r="S54" s="49"/>
      <c r="T54" s="567">
        <f>T53*N54</f>
        <v>0</v>
      </c>
      <c r="U54" s="568"/>
      <c r="V54" s="569"/>
      <c r="W54" s="2"/>
      <c r="X54" s="2"/>
      <c r="Y54" s="33"/>
      <c r="Z54" s="34"/>
      <c r="AA54" s="34"/>
      <c r="AB54" s="34"/>
      <c r="AC54" s="34"/>
      <c r="AD54" s="34"/>
      <c r="AE54" s="33"/>
    </row>
    <row r="55" spans="1:31" ht="16.5" x14ac:dyDescent="0.3">
      <c r="B55" s="47" t="s">
        <v>57</v>
      </c>
      <c r="C55" s="48" t="s">
        <v>58</v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130">
        <f>'INPUT DATA'!C63</f>
        <v>0.1</v>
      </c>
      <c r="O55" s="131"/>
      <c r="P55" s="48"/>
      <c r="Q55" s="48"/>
      <c r="R55" s="48"/>
      <c r="S55" s="49"/>
      <c r="T55" s="567">
        <f>T53*N55</f>
        <v>0</v>
      </c>
      <c r="U55" s="568"/>
      <c r="V55" s="569"/>
      <c r="W55" s="2"/>
      <c r="X55" s="2"/>
      <c r="Y55" s="33"/>
      <c r="Z55" s="34"/>
      <c r="AA55" s="34"/>
      <c r="AB55" s="34"/>
      <c r="AC55" s="34"/>
      <c r="AD55" s="34"/>
      <c r="AE55" s="141"/>
    </row>
    <row r="56" spans="1:31" ht="16.5" x14ac:dyDescent="0.3">
      <c r="B56" s="47" t="s">
        <v>59</v>
      </c>
      <c r="C56" s="48" t="s">
        <v>60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130">
        <f>'INPUT DATA'!C64</f>
        <v>0</v>
      </c>
      <c r="O56" s="131"/>
      <c r="P56" s="48"/>
      <c r="Q56" s="48"/>
      <c r="R56" s="48"/>
      <c r="S56" s="49"/>
      <c r="T56" s="567">
        <f>(T53+T54+T55)*N56</f>
        <v>0</v>
      </c>
      <c r="U56" s="568"/>
      <c r="V56" s="569"/>
      <c r="W56" s="2"/>
      <c r="X56" s="2"/>
      <c r="Y56" s="244"/>
      <c r="Z56" s="33"/>
      <c r="AA56" s="34"/>
      <c r="AB56" s="33"/>
      <c r="AE56" s="33"/>
    </row>
    <row r="57" spans="1:31" ht="16.5" x14ac:dyDescent="0.3">
      <c r="A57" s="45" t="s">
        <v>61</v>
      </c>
      <c r="B57" s="47" t="s">
        <v>62</v>
      </c>
      <c r="C57" s="48" t="s">
        <v>63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130"/>
      <c r="O57" s="48"/>
      <c r="P57" s="48"/>
      <c r="Q57" s="48"/>
      <c r="R57" s="48"/>
      <c r="S57" s="49"/>
      <c r="T57" s="561">
        <f>SUM(T53:V56)</f>
        <v>0</v>
      </c>
      <c r="U57" s="562"/>
      <c r="V57" s="563"/>
      <c r="W57" s="2"/>
      <c r="X57" s="9"/>
      <c r="Y57" s="238"/>
      <c r="Z57" s="239"/>
      <c r="AA57" s="144"/>
      <c r="AB57" s="144"/>
      <c r="AC57" s="144"/>
      <c r="AD57" s="144"/>
      <c r="AE57" s="33"/>
    </row>
    <row r="58" spans="1:31" ht="16.5" x14ac:dyDescent="0.3">
      <c r="A58" s="45" t="s">
        <v>64</v>
      </c>
      <c r="B58" s="47" t="s">
        <v>65</v>
      </c>
      <c r="C58" s="48" t="s">
        <v>66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9"/>
      <c r="T58" s="561" t="e">
        <f>T57/E8</f>
        <v>#DIV/0!</v>
      </c>
      <c r="U58" s="562"/>
      <c r="V58" s="563"/>
      <c r="W58" s="132"/>
      <c r="X58" s="2"/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133"/>
      <c r="M59" s="133"/>
      <c r="N59" s="133"/>
      <c r="O59" s="2"/>
      <c r="P59" s="2"/>
      <c r="Q59" s="2"/>
      <c r="R59" s="2"/>
      <c r="S59" s="2"/>
      <c r="T59" s="134"/>
      <c r="U59" s="134"/>
      <c r="V59" s="134"/>
      <c r="W59" s="2"/>
      <c r="X59" s="2"/>
      <c r="Y59" s="244"/>
      <c r="Z59" s="273"/>
      <c r="AA59" s="144"/>
      <c r="AB59" s="144"/>
      <c r="AC59" s="144"/>
      <c r="AD59" s="144"/>
      <c r="AE59" s="33"/>
    </row>
    <row r="60" spans="1:31" ht="15" customHeight="1" x14ac:dyDescent="0.3">
      <c r="L60" s="2"/>
      <c r="M60" s="2"/>
      <c r="N60" s="2"/>
      <c r="Y60" s="244"/>
      <c r="Z60" s="239"/>
      <c r="AA60" s="144"/>
      <c r="AB60" s="144"/>
      <c r="AC60" s="144"/>
      <c r="AD60" s="144"/>
      <c r="AE60" s="33"/>
    </row>
    <row r="61" spans="1:31" ht="16.5" x14ac:dyDescent="0.3">
      <c r="Y61" s="238"/>
      <c r="Z61" s="239"/>
      <c r="AA61" s="144"/>
      <c r="AB61" s="144"/>
      <c r="AC61" s="144"/>
      <c r="AD61" s="144"/>
      <c r="AE61" s="33"/>
    </row>
    <row r="62" spans="1:31" ht="16.5" x14ac:dyDescent="0.3">
      <c r="Y62" s="244"/>
      <c r="Z62" s="273"/>
      <c r="AA62" s="144"/>
      <c r="AB62" s="144"/>
      <c r="AC62" s="143"/>
      <c r="AD62" s="144"/>
      <c r="AE62" s="141"/>
    </row>
    <row r="63" spans="1:31" ht="16.5" x14ac:dyDescent="0.3">
      <c r="Y63" s="238"/>
      <c r="Z63" s="239"/>
      <c r="AA63" s="144"/>
      <c r="AB63" s="144"/>
      <c r="AC63" s="144"/>
      <c r="AD63" s="144"/>
      <c r="AE63" s="33"/>
    </row>
    <row r="64" spans="1:31" ht="16.5" x14ac:dyDescent="0.3">
      <c r="Y64" s="274"/>
      <c r="Z64" s="239"/>
      <c r="AA64" s="144"/>
      <c r="AB64" s="144"/>
      <c r="AC64" s="144"/>
      <c r="AD64" s="144"/>
      <c r="AE64" s="33"/>
    </row>
    <row r="65" spans="25:31" ht="16.5" x14ac:dyDescent="0.3">
      <c r="Y65" s="244"/>
      <c r="Z65" s="254"/>
      <c r="AA65" s="144"/>
      <c r="AB65" s="144"/>
      <c r="AC65" s="144"/>
      <c r="AD65" s="144"/>
      <c r="AE65" s="33"/>
    </row>
    <row r="66" spans="25:31" ht="16.5" x14ac:dyDescent="0.3">
      <c r="Y66" s="238"/>
      <c r="Z66" s="239"/>
      <c r="AA66" s="144"/>
      <c r="AB66" s="144"/>
      <c r="AC66" s="144"/>
      <c r="AD66" s="144"/>
      <c r="AE66" s="33"/>
    </row>
    <row r="67" spans="25:31" ht="16.5" x14ac:dyDescent="0.3">
      <c r="Y67" s="139"/>
      <c r="Z67" s="239"/>
      <c r="AA67" s="34"/>
      <c r="AB67" s="33"/>
      <c r="AC67" s="144"/>
      <c r="AD67" s="144"/>
      <c r="AE67" s="33"/>
    </row>
    <row r="68" spans="25:31" ht="16.5" x14ac:dyDescent="0.25">
      <c r="Y68" s="142"/>
      <c r="Z68" s="143"/>
      <c r="AA68" s="144"/>
      <c r="AB68" s="144"/>
      <c r="AC68" s="143"/>
      <c r="AD68" s="144"/>
      <c r="AE68" s="33"/>
    </row>
    <row r="69" spans="25:31" ht="16.5" x14ac:dyDescent="0.25">
      <c r="Y69" s="139"/>
      <c r="Z69" s="33"/>
      <c r="AA69" s="140"/>
      <c r="AB69" s="141"/>
      <c r="AC69" s="144"/>
      <c r="AD69" s="144"/>
      <c r="AE69" s="33"/>
    </row>
    <row r="70" spans="25:31" ht="16.5" x14ac:dyDescent="0.25">
      <c r="Y70" s="142"/>
      <c r="Z70" s="143"/>
      <c r="AA70" s="144"/>
      <c r="AB70" s="144"/>
      <c r="AC70" s="34"/>
      <c r="AD70" s="144"/>
      <c r="AE70" s="33"/>
    </row>
    <row r="71" spans="25:31" ht="16.5" x14ac:dyDescent="0.25">
      <c r="Y71" s="139"/>
      <c r="Z71" s="33"/>
      <c r="AA71" s="140"/>
      <c r="AB71" s="141"/>
      <c r="AC71" s="144"/>
      <c r="AD71" s="144"/>
      <c r="AE71" s="33"/>
    </row>
    <row r="72" spans="25:31" ht="16.5" x14ac:dyDescent="0.25">
      <c r="Y72" s="142"/>
      <c r="Z72" s="143"/>
      <c r="AA72" s="144"/>
      <c r="AB72" s="144"/>
      <c r="AC72" s="34"/>
      <c r="AD72" s="34"/>
      <c r="AE72" s="33"/>
    </row>
    <row r="73" spans="25:31" ht="16.5" x14ac:dyDescent="0.25">
      <c r="Y73" s="139"/>
      <c r="Z73" s="33"/>
      <c r="AA73" s="140"/>
      <c r="AB73" s="141"/>
      <c r="AC73" s="144"/>
      <c r="AD73" s="144"/>
      <c r="AE73" s="33"/>
    </row>
    <row r="74" spans="25:31" ht="16.5" x14ac:dyDescent="0.25">
      <c r="Y74" s="142"/>
      <c r="Z74" s="143"/>
      <c r="AA74" s="144"/>
      <c r="AB74" s="144"/>
      <c r="AC74" s="34"/>
      <c r="AD74" s="34"/>
      <c r="AE74" s="34"/>
    </row>
    <row r="75" spans="25:31" ht="16.5" x14ac:dyDescent="0.25">
      <c r="Y75" s="275"/>
      <c r="Z75" s="276"/>
      <c r="AA75" s="277"/>
      <c r="AB75" s="277"/>
      <c r="AC75" s="278"/>
      <c r="AD75" s="144"/>
      <c r="AE75" s="33"/>
    </row>
    <row r="76" spans="25:31" ht="16.5" x14ac:dyDescent="0.25">
      <c r="Y76" s="279"/>
      <c r="Z76" s="280"/>
      <c r="AA76" s="278"/>
      <c r="AB76" s="278"/>
      <c r="AC76" s="276"/>
      <c r="AD76" s="276"/>
      <c r="AE76" s="33"/>
    </row>
    <row r="77" spans="25:31" ht="16.5" x14ac:dyDescent="0.25">
      <c r="Y77" s="142"/>
      <c r="Z77" s="143"/>
      <c r="AA77" s="144"/>
      <c r="AB77" s="278"/>
      <c r="AC77" s="34"/>
      <c r="AD77" s="34"/>
      <c r="AE77" s="34"/>
    </row>
    <row r="78" spans="25:31" ht="16.5" x14ac:dyDescent="0.25">
      <c r="Y78" s="33"/>
      <c r="Z78" s="34"/>
      <c r="AA78" s="140"/>
      <c r="AB78" s="140"/>
      <c r="AC78" s="140"/>
      <c r="AD78" s="140"/>
      <c r="AE78" s="34"/>
    </row>
    <row r="79" spans="25:31" ht="16.5" x14ac:dyDescent="0.25">
      <c r="Y79" s="142"/>
      <c r="Z79" s="142"/>
      <c r="AA79" s="143"/>
      <c r="AB79" s="144"/>
      <c r="AC79" s="144"/>
      <c r="AD79" s="144"/>
      <c r="AE79" s="34"/>
    </row>
    <row r="80" spans="25:31" ht="16.5" x14ac:dyDescent="0.25">
      <c r="Y80" s="142"/>
      <c r="Z80" s="142"/>
      <c r="AA80" s="143"/>
      <c r="AB80" s="144"/>
      <c r="AC80" s="144"/>
      <c r="AD80" s="144"/>
      <c r="AE80" s="34"/>
    </row>
    <row r="81" spans="25:31" ht="16.5" x14ac:dyDescent="0.25">
      <c r="Y81" s="33"/>
      <c r="Z81" s="33"/>
      <c r="AA81" s="34"/>
      <c r="AB81" s="33"/>
      <c r="AC81" s="34"/>
      <c r="AD81" s="34"/>
      <c r="AE81" s="34"/>
    </row>
    <row r="82" spans="25:31" ht="16.5" x14ac:dyDescent="0.25">
      <c r="Y82" s="33"/>
      <c r="Z82" s="33"/>
      <c r="AA82" s="34"/>
      <c r="AB82" s="33"/>
      <c r="AC82" s="34"/>
      <c r="AD82" s="34"/>
      <c r="AE82" s="34"/>
    </row>
    <row r="83" spans="25:31" ht="16.5" x14ac:dyDescent="0.25">
      <c r="Y83" s="139"/>
      <c r="Z83" s="33"/>
      <c r="AA83" s="34"/>
      <c r="AB83" s="33"/>
      <c r="AC83" s="34"/>
      <c r="AD83" s="34"/>
      <c r="AE83" s="34"/>
    </row>
    <row r="84" spans="25:31" ht="16.5" x14ac:dyDescent="0.25">
      <c r="Y84" s="33"/>
      <c r="Z84" s="34"/>
      <c r="AA84" s="34"/>
      <c r="AB84" s="34"/>
      <c r="AC84" s="34"/>
      <c r="AD84" s="34"/>
      <c r="AE84" s="34"/>
    </row>
    <row r="85" spans="25:31" ht="16.5" x14ac:dyDescent="0.25">
      <c r="Y85" s="139"/>
      <c r="Z85" s="33"/>
      <c r="AA85" s="34"/>
      <c r="AB85" s="33"/>
      <c r="AC85" s="34"/>
      <c r="AD85" s="34"/>
      <c r="AE85" s="34"/>
    </row>
    <row r="86" spans="25:31" ht="16.5" x14ac:dyDescent="0.25">
      <c r="Y86" s="142"/>
      <c r="Z86" s="143"/>
      <c r="AA86" s="144"/>
      <c r="AB86" s="144"/>
      <c r="AC86" s="34"/>
      <c r="AD86" s="34"/>
      <c r="AE86" s="34"/>
    </row>
    <row r="87" spans="25:31" ht="16.5" x14ac:dyDescent="0.25">
      <c r="Y87" s="139"/>
      <c r="Z87" s="33"/>
      <c r="AA87" s="140"/>
      <c r="AB87" s="141"/>
      <c r="AC87" s="34"/>
      <c r="AD87" s="34"/>
      <c r="AE87" s="34"/>
    </row>
    <row r="88" spans="25:31" ht="16.5" x14ac:dyDescent="0.25">
      <c r="Y88" s="142"/>
      <c r="Z88" s="143"/>
      <c r="AA88" s="144"/>
      <c r="AB88" s="144"/>
      <c r="AC88" s="34"/>
      <c r="AD88" s="34"/>
      <c r="AE88" s="34"/>
    </row>
    <row r="89" spans="25:31" ht="16.5" x14ac:dyDescent="0.25">
      <c r="Y89" s="33"/>
      <c r="Z89" s="34"/>
      <c r="AA89" s="140"/>
      <c r="AB89" s="140"/>
      <c r="AC89" s="34"/>
      <c r="AD89" s="34"/>
      <c r="AE89" s="34"/>
    </row>
    <row r="90" spans="25:31" ht="16.5" x14ac:dyDescent="0.25">
      <c r="Y90" s="142"/>
      <c r="Z90" s="142"/>
      <c r="AA90" s="143"/>
      <c r="AB90" s="144"/>
      <c r="AC90" s="34"/>
      <c r="AD90" s="34"/>
      <c r="AE90" s="34"/>
    </row>
    <row r="91" spans="25:31" ht="16.5" x14ac:dyDescent="0.25">
      <c r="Y91" s="33"/>
      <c r="Z91" s="33"/>
      <c r="AA91" s="34"/>
      <c r="AB91" s="33"/>
      <c r="AC91" s="34"/>
      <c r="AD91" s="34"/>
      <c r="AE91" s="34"/>
    </row>
    <row r="92" spans="25:31" ht="16.5" x14ac:dyDescent="0.25">
      <c r="Y92" s="33"/>
      <c r="Z92" s="33"/>
      <c r="AA92" s="34"/>
      <c r="AB92" s="33"/>
      <c r="AC92" s="34"/>
      <c r="AD92" s="34"/>
      <c r="AE92" s="34"/>
    </row>
    <row r="93" spans="25:31" ht="16.5" x14ac:dyDescent="0.25">
      <c r="Y93" s="33"/>
      <c r="Z93" s="33"/>
      <c r="AA93" s="34"/>
      <c r="AB93" s="33"/>
      <c r="AC93" s="34"/>
      <c r="AD93" s="34"/>
      <c r="AE93" s="34"/>
    </row>
    <row r="94" spans="25:31" ht="16.5" x14ac:dyDescent="0.25">
      <c r="Y94" s="33"/>
      <c r="Z94" s="33"/>
      <c r="AA94" s="34"/>
      <c r="AB94" s="33"/>
      <c r="AC94" s="34"/>
      <c r="AD94" s="34"/>
      <c r="AE94" s="34"/>
    </row>
    <row r="95" spans="25:31" ht="16.5" x14ac:dyDescent="0.25">
      <c r="Y95" s="33"/>
      <c r="Z95" s="33"/>
      <c r="AA95" s="34"/>
      <c r="AB95" s="33"/>
      <c r="AC95" s="34"/>
      <c r="AD95" s="34"/>
      <c r="AE95" s="34"/>
    </row>
  </sheetData>
  <mergeCells count="127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K26:M26"/>
    <mergeCell ref="N26:P26"/>
    <mergeCell ref="Q26:S26"/>
    <mergeCell ref="T26:V26"/>
    <mergeCell ref="C27:J27"/>
    <mergeCell ref="T27:V27"/>
    <mergeCell ref="K24:M24"/>
    <mergeCell ref="N24:P24"/>
    <mergeCell ref="Q24:S24"/>
    <mergeCell ref="T24:V24"/>
    <mergeCell ref="K25:M25"/>
    <mergeCell ref="N25:P25"/>
    <mergeCell ref="Q25:S25"/>
    <mergeCell ref="T25:V25"/>
    <mergeCell ref="B28:J29"/>
    <mergeCell ref="K28:M29"/>
    <mergeCell ref="N28:P29"/>
    <mergeCell ref="Q28:S29"/>
    <mergeCell ref="T28:V29"/>
    <mergeCell ref="K31:M31"/>
    <mergeCell ref="N31:P31"/>
    <mergeCell ref="Q31:S31"/>
    <mergeCell ref="T31:V31"/>
    <mergeCell ref="K34:M34"/>
    <mergeCell ref="N34:P34"/>
    <mergeCell ref="Q34:S34"/>
    <mergeCell ref="T34:V34"/>
    <mergeCell ref="K35:M35"/>
    <mergeCell ref="N35:P35"/>
    <mergeCell ref="Q35:S35"/>
    <mergeCell ref="T35:V35"/>
    <mergeCell ref="K32:M32"/>
    <mergeCell ref="N32:P32"/>
    <mergeCell ref="Q32:S32"/>
    <mergeCell ref="T32:V32"/>
    <mergeCell ref="K33:M33"/>
    <mergeCell ref="N33:P33"/>
    <mergeCell ref="Q33:S33"/>
    <mergeCell ref="T33:V33"/>
    <mergeCell ref="C36:J36"/>
    <mergeCell ref="T36:V36"/>
    <mergeCell ref="C37:J37"/>
    <mergeCell ref="T37:V37"/>
    <mergeCell ref="H38:I38"/>
    <mergeCell ref="B39:J40"/>
    <mergeCell ref="K39:M40"/>
    <mergeCell ref="N39:P40"/>
    <mergeCell ref="Q39:S40"/>
    <mergeCell ref="T39:V40"/>
    <mergeCell ref="K44:M44"/>
    <mergeCell ref="N44:P44"/>
    <mergeCell ref="Q44:S44"/>
    <mergeCell ref="T44:V44"/>
    <mergeCell ref="K45:M45"/>
    <mergeCell ref="N45:P45"/>
    <mergeCell ref="Q45:S45"/>
    <mergeCell ref="T45:V45"/>
    <mergeCell ref="K42:M42"/>
    <mergeCell ref="N42:P42"/>
    <mergeCell ref="Q42:S42"/>
    <mergeCell ref="T42:V42"/>
    <mergeCell ref="K43:M43"/>
    <mergeCell ref="N43:P43"/>
    <mergeCell ref="Q43:S43"/>
    <mergeCell ref="T43:V43"/>
    <mergeCell ref="T49:V49"/>
    <mergeCell ref="K46:M46"/>
    <mergeCell ref="N46:P46"/>
    <mergeCell ref="Q46:S46"/>
    <mergeCell ref="T46:V46"/>
    <mergeCell ref="K47:M47"/>
    <mergeCell ref="N47:P47"/>
    <mergeCell ref="Q47:S47"/>
    <mergeCell ref="T47:V47"/>
    <mergeCell ref="D48:J49"/>
    <mergeCell ref="T57:V57"/>
    <mergeCell ref="T58:V58"/>
    <mergeCell ref="K20:M20"/>
    <mergeCell ref="N20:P20"/>
    <mergeCell ref="Q20:S20"/>
    <mergeCell ref="T20:V20"/>
    <mergeCell ref="K21:M21"/>
    <mergeCell ref="N21:P21"/>
    <mergeCell ref="Q21:S21"/>
    <mergeCell ref="T21:V21"/>
    <mergeCell ref="C52:J52"/>
    <mergeCell ref="T52:V52"/>
    <mergeCell ref="T53:V53"/>
    <mergeCell ref="T54:V54"/>
    <mergeCell ref="T55:V55"/>
    <mergeCell ref="T56:V56"/>
    <mergeCell ref="K48:M48"/>
    <mergeCell ref="N48:P48"/>
    <mergeCell ref="Q48:S48"/>
    <mergeCell ref="T48:V48"/>
    <mergeCell ref="K49:M49"/>
    <mergeCell ref="N49:P49"/>
    <mergeCell ref="Q49:S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1D50-5AB8-F74D-9755-BBE4F0AC846E}">
  <sheetPr codeName="Sheet18">
    <tabColor rgb="FF92D050"/>
    <pageSetUpPr fitToPage="1"/>
  </sheetPr>
  <dimension ref="A1:AG87"/>
  <sheetViews>
    <sheetView view="pageBreakPreview" topLeftCell="A12" zoomScale="95" zoomScaleNormal="85" zoomScaleSheetLayoutView="95" workbookViewId="0">
      <selection activeCell="Q25" sqref="Q25:S25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353</v>
      </c>
      <c r="F5" s="578"/>
      <c r="G5" s="605" t="s">
        <v>354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73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91">
        <f>90.45*8</f>
        <v>723.6</v>
      </c>
      <c r="F7" s="591"/>
      <c r="G7" s="2" t="s">
        <v>74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DATA'!C24</f>
        <v>200</v>
      </c>
      <c r="F8" s="600"/>
      <c r="G8" s="602" t="str">
        <f>E6</f>
        <v>KGS.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E8/E7</f>
        <v>0.2763957987838585</v>
      </c>
      <c r="O14" s="581"/>
      <c r="P14" s="582"/>
      <c r="Q14" s="599">
        <v>800</v>
      </c>
      <c r="R14" s="600"/>
      <c r="S14" s="601"/>
      <c r="T14" s="583">
        <f t="shared" ref="T14:T16" si="0">K14*N14*Q14</f>
        <v>221.11663902708679</v>
      </c>
      <c r="U14" s="584"/>
      <c r="V14" s="585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96">
        <f>2*Y11</f>
        <v>2</v>
      </c>
      <c r="L15" s="597"/>
      <c r="M15" s="598"/>
      <c r="N15" s="580">
        <f>N14</f>
        <v>0.2763957987838585</v>
      </c>
      <c r="O15" s="581"/>
      <c r="P15" s="582"/>
      <c r="Q15" s="599">
        <v>600</v>
      </c>
      <c r="R15" s="600"/>
      <c r="S15" s="601"/>
      <c r="T15" s="583">
        <f t="shared" si="0"/>
        <v>331.6749585406302</v>
      </c>
      <c r="U15" s="584"/>
      <c r="V15" s="585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v>4</v>
      </c>
      <c r="L16" s="597"/>
      <c r="M16" s="598"/>
      <c r="N16" s="580">
        <f>N15</f>
        <v>0.2763957987838585</v>
      </c>
      <c r="O16" s="581"/>
      <c r="P16" s="582"/>
      <c r="Q16" s="599">
        <v>400</v>
      </c>
      <c r="R16" s="600"/>
      <c r="S16" s="601"/>
      <c r="T16" s="583">
        <f t="shared" si="0"/>
        <v>442.23327805417358</v>
      </c>
      <c r="U16" s="584"/>
      <c r="V16" s="585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80"/>
      <c r="O17" s="581"/>
      <c r="P17" s="58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41"/>
      <c r="C19" s="19"/>
      <c r="D19" s="40"/>
      <c r="E19" s="2"/>
      <c r="F19" s="2"/>
      <c r="G19" s="2"/>
      <c r="H19" s="2"/>
      <c r="I19" s="2"/>
      <c r="J19" s="17"/>
      <c r="K19" s="577"/>
      <c r="L19" s="578"/>
      <c r="M19" s="579"/>
      <c r="N19" s="590"/>
      <c r="O19" s="591"/>
      <c r="P19" s="592"/>
      <c r="Q19" s="593"/>
      <c r="R19" s="594"/>
      <c r="S19" s="595"/>
      <c r="T19" s="583"/>
      <c r="U19" s="584"/>
      <c r="V19" s="585"/>
      <c r="W19" s="9"/>
      <c r="X19" s="2"/>
      <c r="Y19" s="33"/>
      <c r="Z19" s="33"/>
      <c r="AA19" s="34"/>
      <c r="AB19" s="38"/>
      <c r="AC19" s="39"/>
      <c r="AD19" s="39"/>
      <c r="AE19" s="33"/>
      <c r="AF19" s="42"/>
      <c r="AG19" s="33"/>
    </row>
    <row r="20" spans="1:33" ht="16.5" x14ac:dyDescent="0.3">
      <c r="B20" s="41"/>
      <c r="C20" s="16"/>
      <c r="D20" s="2"/>
      <c r="E20" s="2"/>
      <c r="F20" s="2"/>
      <c r="G20" s="2"/>
      <c r="H20" s="2"/>
      <c r="I20" s="2"/>
      <c r="J20" s="17"/>
      <c r="K20" s="577"/>
      <c r="L20" s="578"/>
      <c r="M20" s="579"/>
      <c r="N20" s="580"/>
      <c r="O20" s="578"/>
      <c r="P20" s="579"/>
      <c r="Q20" s="589"/>
      <c r="R20" s="578"/>
      <c r="S20" s="579"/>
      <c r="T20" s="583"/>
      <c r="U20" s="584"/>
      <c r="V20" s="585"/>
      <c r="W20" s="2"/>
      <c r="X20" s="2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33" ht="16.5" x14ac:dyDescent="0.3">
      <c r="A21" s="45" t="s">
        <v>26</v>
      </c>
      <c r="B21" s="46"/>
      <c r="C21" s="564" t="s">
        <v>27</v>
      </c>
      <c r="D21" s="565"/>
      <c r="E21" s="565"/>
      <c r="F21" s="565"/>
      <c r="G21" s="565"/>
      <c r="H21" s="565"/>
      <c r="I21" s="565"/>
      <c r="J21" s="566"/>
      <c r="K21" s="47"/>
      <c r="L21" s="48"/>
      <c r="M21" s="49"/>
      <c r="N21" s="47"/>
      <c r="O21" s="48"/>
      <c r="P21" s="49"/>
      <c r="Q21" s="47"/>
      <c r="R21" s="48"/>
      <c r="S21" s="50" t="s">
        <v>28</v>
      </c>
      <c r="T21" s="561">
        <f>ROUND(SUM(T14:V19),2)</f>
        <v>995.02</v>
      </c>
      <c r="U21" s="562"/>
      <c r="V21" s="563"/>
      <c r="X21" s="51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25">
      <c r="B22" s="571" t="s">
        <v>29</v>
      </c>
      <c r="C22" s="572"/>
      <c r="D22" s="572"/>
      <c r="E22" s="572"/>
      <c r="F22" s="572"/>
      <c r="G22" s="572"/>
      <c r="H22" s="572"/>
      <c r="I22" s="572"/>
      <c r="J22" s="573"/>
      <c r="K22" s="571" t="s">
        <v>30</v>
      </c>
      <c r="L22" s="572"/>
      <c r="M22" s="573"/>
      <c r="N22" s="571" t="s">
        <v>15</v>
      </c>
      <c r="O22" s="572"/>
      <c r="P22" s="573"/>
      <c r="Q22" s="571" t="s">
        <v>16</v>
      </c>
      <c r="R22" s="572"/>
      <c r="S22" s="573"/>
      <c r="T22" s="571" t="s">
        <v>17</v>
      </c>
      <c r="U22" s="572"/>
      <c r="V22" s="573"/>
      <c r="X22" s="52"/>
      <c r="Y22" s="33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4"/>
      <c r="C23" s="575"/>
      <c r="D23" s="575"/>
      <c r="E23" s="575"/>
      <c r="F23" s="575"/>
      <c r="G23" s="575"/>
      <c r="H23" s="575"/>
      <c r="I23" s="575"/>
      <c r="J23" s="576"/>
      <c r="K23" s="574"/>
      <c r="L23" s="575"/>
      <c r="M23" s="576"/>
      <c r="N23" s="574"/>
      <c r="O23" s="575"/>
      <c r="P23" s="576"/>
      <c r="Q23" s="574"/>
      <c r="R23" s="575"/>
      <c r="S23" s="576"/>
      <c r="T23" s="574"/>
      <c r="U23" s="575"/>
      <c r="V23" s="576"/>
      <c r="Y23" s="33"/>
      <c r="Z23" s="33"/>
      <c r="AA23" s="34"/>
      <c r="AB23" s="33"/>
      <c r="AC23" s="33"/>
      <c r="AD23" s="33"/>
      <c r="AE23" s="33"/>
      <c r="AF23" s="33"/>
      <c r="AG23" s="33"/>
    </row>
    <row r="24" spans="1:33" ht="16.5" x14ac:dyDescent="0.3">
      <c r="B24" s="15" t="s">
        <v>31</v>
      </c>
      <c r="C24" s="16" t="s">
        <v>32</v>
      </c>
      <c r="D24" s="2"/>
      <c r="E24" s="2"/>
      <c r="F24" s="2"/>
      <c r="G24" s="2"/>
      <c r="H24" s="2"/>
      <c r="I24" s="2"/>
      <c r="J24" s="17"/>
      <c r="K24" s="16"/>
      <c r="L24" s="2"/>
      <c r="M24" s="17"/>
      <c r="N24" s="16"/>
      <c r="O24" s="2"/>
      <c r="P24" s="17"/>
      <c r="Q24" s="16"/>
      <c r="R24" s="2"/>
      <c r="S24" s="17"/>
      <c r="T24" s="16"/>
      <c r="U24" s="2"/>
      <c r="V24" s="17"/>
      <c r="W24" s="2"/>
      <c r="X24" s="2"/>
      <c r="Y24" s="34"/>
      <c r="Z24" s="34"/>
      <c r="AA24" s="34"/>
      <c r="AB24" s="34"/>
      <c r="AC24" s="34"/>
      <c r="AD24" s="34"/>
      <c r="AE24" s="34"/>
      <c r="AF24" s="34"/>
      <c r="AG24" s="34"/>
    </row>
    <row r="25" spans="1:33" ht="16.5" x14ac:dyDescent="0.3">
      <c r="B25" s="15"/>
      <c r="C25" s="19" t="s">
        <v>21</v>
      </c>
      <c r="D25" s="60" t="s">
        <v>158</v>
      </c>
      <c r="E25" s="2"/>
      <c r="F25" s="2"/>
      <c r="G25" s="2"/>
      <c r="H25" s="2"/>
      <c r="I25" s="2"/>
      <c r="J25" s="17"/>
      <c r="K25" s="577">
        <v>2</v>
      </c>
      <c r="L25" s="578"/>
      <c r="M25" s="579"/>
      <c r="N25" s="590">
        <f>0.75*N16</f>
        <v>0.20729684908789386</v>
      </c>
      <c r="O25" s="591"/>
      <c r="P25" s="592"/>
      <c r="Q25" s="580">
        <v>2160</v>
      </c>
      <c r="R25" s="581"/>
      <c r="S25" s="582"/>
      <c r="T25" s="583">
        <f>Q25*N25*K25</f>
        <v>895.52238805970148</v>
      </c>
      <c r="U25" s="584"/>
      <c r="V25" s="585"/>
      <c r="W25" s="18"/>
      <c r="X25" s="18"/>
      <c r="Y25" s="139"/>
      <c r="Z25" s="139"/>
      <c r="AA25" s="34"/>
      <c r="AB25" s="34"/>
      <c r="AC25" s="33"/>
      <c r="AD25" s="33"/>
      <c r="AE25" s="33"/>
      <c r="AF25" s="33"/>
      <c r="AG25" s="33"/>
    </row>
    <row r="26" spans="1:33" ht="16.5" x14ac:dyDescent="0.3">
      <c r="B26" s="41"/>
      <c r="C26" s="19"/>
      <c r="D26" s="40"/>
      <c r="E26" s="2"/>
      <c r="F26" s="2"/>
      <c r="G26" s="2"/>
      <c r="H26" s="2"/>
      <c r="I26" s="2"/>
      <c r="J26" s="17"/>
      <c r="K26" s="577"/>
      <c r="L26" s="578"/>
      <c r="M26" s="579"/>
      <c r="N26" s="590"/>
      <c r="O26" s="591"/>
      <c r="P26" s="592"/>
      <c r="Q26" s="580"/>
      <c r="R26" s="581"/>
      <c r="S26" s="582"/>
      <c r="T26" s="583"/>
      <c r="U26" s="584"/>
      <c r="V26" s="585"/>
      <c r="W26" s="18"/>
      <c r="X26" s="18"/>
      <c r="Y26" s="139"/>
      <c r="Z26" s="270"/>
      <c r="AA26" s="39"/>
      <c r="AB26" s="39"/>
      <c r="AC26" s="39"/>
      <c r="AD26" s="140"/>
      <c r="AE26" s="271"/>
      <c r="AF26" s="140"/>
      <c r="AG26" s="140"/>
    </row>
    <row r="27" spans="1:33" ht="16.5" x14ac:dyDescent="0.3">
      <c r="B27" s="41"/>
      <c r="C27" s="60"/>
      <c r="D27" s="40"/>
      <c r="E27" s="2"/>
      <c r="F27" s="2"/>
      <c r="G27" s="2"/>
      <c r="H27" s="2"/>
      <c r="I27" s="2"/>
      <c r="J27" s="17"/>
      <c r="K27" s="577"/>
      <c r="L27" s="578"/>
      <c r="M27" s="579"/>
      <c r="N27" s="659"/>
      <c r="O27" s="660"/>
      <c r="P27" s="661"/>
      <c r="Q27" s="580"/>
      <c r="R27" s="581"/>
      <c r="S27" s="582"/>
      <c r="T27" s="583"/>
      <c r="U27" s="584"/>
      <c r="V27" s="585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81"/>
      <c r="P28" s="582"/>
      <c r="Q28" s="580"/>
      <c r="R28" s="581"/>
      <c r="S28" s="582"/>
      <c r="T28" s="583"/>
      <c r="U28" s="584"/>
      <c r="V28" s="585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78"/>
      <c r="P29" s="579"/>
      <c r="Q29" s="580"/>
      <c r="R29" s="581"/>
      <c r="S29" s="582"/>
      <c r="T29" s="583"/>
      <c r="U29" s="584"/>
      <c r="V29" s="585"/>
      <c r="W29" s="2"/>
      <c r="X29" s="2"/>
      <c r="Y29" s="33"/>
      <c r="Z29" s="33"/>
      <c r="AA29" s="34"/>
      <c r="AB29" s="34"/>
      <c r="AC29" s="33"/>
      <c r="AD29" s="33"/>
      <c r="AE29" s="33"/>
      <c r="AF29" s="140"/>
      <c r="AG29" s="140"/>
    </row>
    <row r="30" spans="1:33" ht="16.5" x14ac:dyDescent="0.3">
      <c r="A30" s="61" t="s">
        <v>34</v>
      </c>
      <c r="B30" s="46"/>
      <c r="C30" s="564" t="s">
        <v>35</v>
      </c>
      <c r="D30" s="565"/>
      <c r="E30" s="565"/>
      <c r="F30" s="565"/>
      <c r="G30" s="565"/>
      <c r="H30" s="565"/>
      <c r="I30" s="565"/>
      <c r="J30" s="56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61">
        <f>ROUND(SUM(T25:V29),2)</f>
        <v>895.52</v>
      </c>
      <c r="U30" s="562"/>
      <c r="V30" s="563"/>
      <c r="W30" s="9"/>
      <c r="X30" s="2"/>
      <c r="Y30" s="257"/>
      <c r="Z30" s="257"/>
      <c r="AA30" s="272"/>
      <c r="AB30" s="272"/>
      <c r="AC30" s="257"/>
      <c r="AD30" s="257"/>
      <c r="AE30" s="272"/>
      <c r="AF30" s="140"/>
      <c r="AG30" s="140"/>
    </row>
    <row r="31" spans="1:33" ht="16.5" x14ac:dyDescent="0.3">
      <c r="B31" s="64" t="s">
        <v>36</v>
      </c>
      <c r="C31" s="564" t="s">
        <v>37</v>
      </c>
      <c r="D31" s="565"/>
      <c r="E31" s="565"/>
      <c r="F31" s="565"/>
      <c r="G31" s="565"/>
      <c r="H31" s="565"/>
      <c r="I31" s="565"/>
      <c r="J31" s="565"/>
      <c r="K31" s="48"/>
      <c r="L31" s="48"/>
      <c r="M31" s="48"/>
      <c r="N31" s="48"/>
      <c r="O31" s="48"/>
      <c r="P31" s="48"/>
      <c r="Q31" s="48"/>
      <c r="R31" s="48"/>
      <c r="S31" s="48"/>
      <c r="T31" s="562">
        <f>T21+T30</f>
        <v>1890.54</v>
      </c>
      <c r="U31" s="562"/>
      <c r="V31" s="563"/>
      <c r="W31" s="2"/>
      <c r="X31" s="2"/>
      <c r="Y31" s="33"/>
      <c r="Z31" s="33"/>
      <c r="AA31" s="271"/>
      <c r="AB31" s="271"/>
      <c r="AC31" s="33"/>
      <c r="AD31" s="33"/>
      <c r="AE31" s="271"/>
      <c r="AF31" s="271"/>
      <c r="AG31" s="271"/>
    </row>
    <row r="32" spans="1:33" ht="16.5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70">
        <f>E7</f>
        <v>723.6</v>
      </c>
      <c r="I32" s="565"/>
      <c r="J32" s="48" t="str">
        <f>G7</f>
        <v>KGS./DAY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"/>
      <c r="Y32" s="33"/>
      <c r="Z32" s="33"/>
      <c r="AA32" s="39"/>
      <c r="AB32" s="34"/>
      <c r="AC32" s="33"/>
      <c r="AD32" s="33"/>
      <c r="AE32" s="33"/>
      <c r="AF32" s="271"/>
      <c r="AG32" s="271"/>
    </row>
    <row r="33" spans="1:33" ht="16.5" x14ac:dyDescent="0.3">
      <c r="B33" s="571" t="s">
        <v>44</v>
      </c>
      <c r="C33" s="572"/>
      <c r="D33" s="572"/>
      <c r="E33" s="572"/>
      <c r="F33" s="572"/>
      <c r="G33" s="572"/>
      <c r="H33" s="572"/>
      <c r="I33" s="572"/>
      <c r="J33" s="573"/>
      <c r="K33" s="571" t="s">
        <v>45</v>
      </c>
      <c r="L33" s="572"/>
      <c r="M33" s="573"/>
      <c r="N33" s="571" t="s">
        <v>46</v>
      </c>
      <c r="O33" s="572"/>
      <c r="P33" s="573"/>
      <c r="Q33" s="571" t="s">
        <v>47</v>
      </c>
      <c r="R33" s="572"/>
      <c r="S33" s="573"/>
      <c r="T33" s="571" t="s">
        <v>17</v>
      </c>
      <c r="U33" s="572"/>
      <c r="V33" s="573"/>
      <c r="W33" s="2"/>
      <c r="X33" s="2"/>
      <c r="Y33" s="33"/>
      <c r="Z33" s="33"/>
      <c r="AA33" s="34"/>
      <c r="AB33" s="34"/>
      <c r="AC33" s="33"/>
      <c r="AD33" s="33"/>
      <c r="AE33" s="33"/>
      <c r="AF33" s="33"/>
      <c r="AG33" s="33"/>
    </row>
    <row r="34" spans="1:33" ht="16.5" x14ac:dyDescent="0.3">
      <c r="B34" s="574"/>
      <c r="C34" s="575"/>
      <c r="D34" s="575"/>
      <c r="E34" s="575"/>
      <c r="F34" s="575"/>
      <c r="G34" s="575"/>
      <c r="H34" s="575"/>
      <c r="I34" s="575"/>
      <c r="J34" s="576"/>
      <c r="K34" s="574"/>
      <c r="L34" s="575"/>
      <c r="M34" s="576"/>
      <c r="N34" s="574"/>
      <c r="O34" s="575"/>
      <c r="P34" s="576"/>
      <c r="Q34" s="574"/>
      <c r="R34" s="575"/>
      <c r="S34" s="576"/>
      <c r="T34" s="574"/>
      <c r="U34" s="575"/>
      <c r="V34" s="576"/>
      <c r="W34" s="2"/>
      <c r="X34" s="2"/>
      <c r="Y34" s="2"/>
      <c r="Z34" s="2"/>
      <c r="AA34" s="7"/>
      <c r="AB34" s="7"/>
      <c r="AC34" s="192"/>
      <c r="AD34" s="192"/>
      <c r="AE34" s="192"/>
      <c r="AF34" s="192"/>
      <c r="AG34" s="192"/>
    </row>
    <row r="35" spans="1:33" ht="16.5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2"/>
      <c r="Y35" s="2"/>
      <c r="Z35" s="2"/>
      <c r="AA35" s="7"/>
      <c r="AB35" s="7"/>
      <c r="AC35" s="193"/>
      <c r="AD35" s="193"/>
      <c r="AE35" s="192"/>
      <c r="AF35" s="192"/>
      <c r="AG35" s="193"/>
    </row>
    <row r="36" spans="1:33" ht="16.5" customHeight="1" x14ac:dyDescent="0.3">
      <c r="B36" s="41"/>
      <c r="C36" s="60" t="s">
        <v>21</v>
      </c>
      <c r="D36" s="60" t="s">
        <v>241</v>
      </c>
      <c r="F36" s="121"/>
      <c r="G36" s="122"/>
      <c r="H36" s="122"/>
      <c r="I36" s="122"/>
      <c r="J36" s="17"/>
      <c r="K36" s="659">
        <f>E8*1.05</f>
        <v>210</v>
      </c>
      <c r="L36" s="660"/>
      <c r="M36" s="661"/>
      <c r="N36" s="662" t="s">
        <v>166</v>
      </c>
      <c r="O36" s="663" t="str">
        <f t="shared" ref="O36:P37" si="1">IF(L36&gt;1,"bags","bag")</f>
        <v>bag</v>
      </c>
      <c r="P36" s="664" t="str">
        <f t="shared" si="1"/>
        <v>bag</v>
      </c>
      <c r="Q36" s="647">
        <v>70</v>
      </c>
      <c r="R36" s="648"/>
      <c r="S36" s="649"/>
      <c r="T36" s="635">
        <f>K36*Q36</f>
        <v>14700</v>
      </c>
      <c r="U36" s="636"/>
      <c r="V36" s="637"/>
      <c r="W36" s="18"/>
      <c r="X36" s="149"/>
      <c r="Y36" s="149"/>
      <c r="Z36" s="149"/>
      <c r="AA36" s="149"/>
      <c r="AB36" s="2"/>
    </row>
    <row r="37" spans="1:33" ht="16.5" customHeight="1" x14ac:dyDescent="0.3">
      <c r="B37" s="41"/>
      <c r="C37" s="19" t="s">
        <v>23</v>
      </c>
      <c r="D37" s="240" t="s">
        <v>164</v>
      </c>
      <c r="E37" s="121"/>
      <c r="F37" s="121"/>
      <c r="G37" s="122"/>
      <c r="H37" s="122"/>
      <c r="I37" s="122"/>
      <c r="J37" s="17"/>
      <c r="K37" s="659">
        <f>0.02*E8</f>
        <v>4</v>
      </c>
      <c r="L37" s="660"/>
      <c r="M37" s="661"/>
      <c r="N37" s="662" t="s">
        <v>166</v>
      </c>
      <c r="O37" s="663" t="str">
        <f t="shared" si="1"/>
        <v>bag</v>
      </c>
      <c r="P37" s="664" t="str">
        <f t="shared" si="1"/>
        <v>bag</v>
      </c>
      <c r="Q37" s="647">
        <v>160</v>
      </c>
      <c r="R37" s="648"/>
      <c r="S37" s="649"/>
      <c r="T37" s="635">
        <f t="shared" ref="T37" si="2">K37*Q37</f>
        <v>640</v>
      </c>
      <c r="U37" s="636"/>
      <c r="V37" s="637"/>
      <c r="W37" s="18"/>
      <c r="X37" s="149"/>
      <c r="Y37" s="149"/>
      <c r="Z37" s="149"/>
      <c r="AA37" s="149"/>
      <c r="AB37" s="2"/>
    </row>
    <row r="38" spans="1:33" ht="16.5" customHeight="1" x14ac:dyDescent="0.3">
      <c r="B38" s="41"/>
      <c r="C38" s="19" t="s">
        <v>78</v>
      </c>
      <c r="D38" s="240" t="s">
        <v>165</v>
      </c>
      <c r="E38" s="121"/>
      <c r="F38" s="121"/>
      <c r="G38" s="122"/>
      <c r="H38" s="122"/>
      <c r="I38" s="122"/>
      <c r="J38" s="17"/>
      <c r="K38" s="659"/>
      <c r="L38" s="660"/>
      <c r="M38" s="661"/>
      <c r="N38" s="662"/>
      <c r="O38" s="663"/>
      <c r="P38" s="664"/>
      <c r="Q38" s="647"/>
      <c r="R38" s="648"/>
      <c r="S38" s="649"/>
      <c r="T38" s="635">
        <f>0.05*SUM(T36:V37)</f>
        <v>767</v>
      </c>
      <c r="U38" s="636"/>
      <c r="V38" s="637"/>
      <c r="W38" s="18"/>
      <c r="X38" s="149"/>
      <c r="Y38" s="149"/>
      <c r="Z38" s="149"/>
      <c r="AA38" s="149"/>
      <c r="AB38" s="2"/>
    </row>
    <row r="39" spans="1:33" ht="16.5" x14ac:dyDescent="0.3">
      <c r="B39" s="41"/>
      <c r="C39" s="19"/>
      <c r="D39" s="40"/>
      <c r="E39" s="245"/>
      <c r="F39" s="245"/>
      <c r="G39" s="122"/>
      <c r="H39" s="122"/>
      <c r="I39" s="122"/>
      <c r="J39" s="17"/>
      <c r="K39" s="659"/>
      <c r="L39" s="660"/>
      <c r="M39" s="661"/>
      <c r="N39" s="662"/>
      <c r="O39" s="663"/>
      <c r="P39" s="664"/>
      <c r="Q39" s="647"/>
      <c r="R39" s="648"/>
      <c r="S39" s="649"/>
      <c r="T39" s="635"/>
      <c r="U39" s="636"/>
      <c r="V39" s="637"/>
      <c r="W39" s="2"/>
      <c r="X39" s="149"/>
      <c r="Y39" s="149"/>
      <c r="Z39" s="149"/>
      <c r="AA39" s="149"/>
      <c r="AB39" s="2"/>
    </row>
    <row r="40" spans="1:33" ht="16.5" x14ac:dyDescent="0.3">
      <c r="B40" s="41"/>
      <c r="C40" s="19"/>
      <c r="D40" s="693" t="s">
        <v>168</v>
      </c>
      <c r="E40" s="693"/>
      <c r="F40" s="693"/>
      <c r="G40" s="693"/>
      <c r="H40" s="693"/>
      <c r="I40" s="693"/>
      <c r="J40" s="694"/>
      <c r="K40" s="659"/>
      <c r="L40" s="660"/>
      <c r="M40" s="661"/>
      <c r="N40" s="662"/>
      <c r="O40" s="663"/>
      <c r="P40" s="664"/>
      <c r="Q40" s="647"/>
      <c r="R40" s="648"/>
      <c r="S40" s="649"/>
      <c r="T40" s="635"/>
      <c r="U40" s="636"/>
      <c r="V40" s="637"/>
      <c r="W40" s="2"/>
      <c r="X40" s="149"/>
      <c r="Y40" s="149"/>
      <c r="Z40" s="149"/>
      <c r="AA40" s="149"/>
      <c r="AB40" s="2"/>
    </row>
    <row r="41" spans="1:33" ht="16.5" x14ac:dyDescent="0.3">
      <c r="B41" s="41"/>
      <c r="C41" s="19"/>
      <c r="D41" s="693"/>
      <c r="E41" s="693"/>
      <c r="F41" s="693"/>
      <c r="G41" s="693"/>
      <c r="H41" s="693"/>
      <c r="I41" s="693"/>
      <c r="J41" s="694"/>
      <c r="K41" s="659"/>
      <c r="L41" s="660"/>
      <c r="M41" s="661"/>
      <c r="N41" s="662"/>
      <c r="O41" s="663"/>
      <c r="P41" s="664"/>
      <c r="Q41" s="647"/>
      <c r="R41" s="648"/>
      <c r="S41" s="649"/>
      <c r="T41" s="635"/>
      <c r="U41" s="636"/>
      <c r="V41" s="637"/>
      <c r="W41" s="2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121"/>
      <c r="F42" s="121"/>
      <c r="G42" s="206"/>
      <c r="H42" s="202"/>
      <c r="I42" s="202"/>
      <c r="J42" s="17"/>
      <c r="K42" s="123"/>
      <c r="L42" s="124"/>
      <c r="M42" s="125"/>
      <c r="N42" s="241"/>
      <c r="O42" s="242"/>
      <c r="P42" s="243"/>
      <c r="Q42" s="105"/>
      <c r="R42" s="106"/>
      <c r="S42" s="107"/>
      <c r="T42" s="213"/>
      <c r="U42" s="214"/>
      <c r="V42" s="215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40"/>
      <c r="D43" s="199"/>
      <c r="E43" s="121"/>
      <c r="F43" s="121"/>
      <c r="G43" s="206"/>
      <c r="H43" s="202"/>
      <c r="I43" s="202"/>
      <c r="J43" s="17"/>
      <c r="K43" s="207"/>
      <c r="L43" s="208"/>
      <c r="M43" s="209"/>
      <c r="N43" s="210"/>
      <c r="O43" s="211"/>
      <c r="P43" s="212"/>
      <c r="Q43" s="89"/>
      <c r="R43" s="90"/>
      <c r="S43" s="91"/>
      <c r="T43" s="213"/>
      <c r="U43" s="214"/>
      <c r="V43" s="215"/>
      <c r="W43" s="2"/>
      <c r="X43" s="149"/>
      <c r="Y43" s="149"/>
      <c r="Z43" s="2"/>
      <c r="AA43" s="2"/>
      <c r="AB43" s="2"/>
    </row>
    <row r="44" spans="1:33" ht="16.5" customHeight="1" x14ac:dyDescent="0.3">
      <c r="A44" s="45" t="s">
        <v>51</v>
      </c>
      <c r="B44" s="46"/>
      <c r="C44" s="564" t="s">
        <v>52</v>
      </c>
      <c r="D44" s="565"/>
      <c r="E44" s="565"/>
      <c r="F44" s="565"/>
      <c r="G44" s="565"/>
      <c r="H44" s="565"/>
      <c r="I44" s="565"/>
      <c r="J44" s="566"/>
      <c r="K44" s="47"/>
      <c r="L44" s="48"/>
      <c r="M44" s="49"/>
      <c r="N44" s="47"/>
      <c r="O44" s="48"/>
      <c r="P44" s="49"/>
      <c r="Q44" s="47"/>
      <c r="R44" s="48"/>
      <c r="S44" s="50" t="s">
        <v>28</v>
      </c>
      <c r="T44" s="561">
        <f>ROUND(SUM(T36:V43),2)</f>
        <v>16107</v>
      </c>
      <c r="U44" s="562"/>
      <c r="V44" s="563"/>
      <c r="W44" s="2"/>
      <c r="X44" s="9"/>
      <c r="Y44" s="33"/>
      <c r="Z44" s="33"/>
      <c r="AA44" s="237"/>
      <c r="AB44" s="237"/>
      <c r="AC44" s="34"/>
      <c r="AD44" s="34"/>
      <c r="AE44" s="34"/>
    </row>
    <row r="45" spans="1:33" ht="16.5" x14ac:dyDescent="0.3">
      <c r="B45" s="47" t="s">
        <v>53</v>
      </c>
      <c r="C45" s="48" t="s">
        <v>54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9"/>
      <c r="T45" s="561">
        <f>T31+T44</f>
        <v>17997.54</v>
      </c>
      <c r="U45" s="562"/>
      <c r="V45" s="563"/>
      <c r="W45" s="2"/>
      <c r="X45" s="2"/>
      <c r="Y45" s="139"/>
      <c r="Z45" s="33"/>
      <c r="AA45" s="34"/>
      <c r="AB45" s="33"/>
      <c r="AC45" s="34"/>
      <c r="AD45" s="34"/>
      <c r="AE45" s="34"/>
    </row>
    <row r="46" spans="1:33" ht="16.5" x14ac:dyDescent="0.3">
      <c r="B46" s="47" t="s">
        <v>55</v>
      </c>
      <c r="C46" s="48" t="s">
        <v>56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130">
        <f>'INPUT DATA'!C62</f>
        <v>0.05</v>
      </c>
      <c r="O46" s="131"/>
      <c r="P46" s="48"/>
      <c r="Q46" s="48"/>
      <c r="R46" s="48"/>
      <c r="S46" s="49"/>
      <c r="T46" s="567">
        <f>T45*N46</f>
        <v>899.87700000000007</v>
      </c>
      <c r="U46" s="568"/>
      <c r="V46" s="569"/>
      <c r="W46" s="2"/>
      <c r="X46" s="2"/>
      <c r="Y46" s="33"/>
      <c r="Z46" s="34"/>
      <c r="AA46" s="34"/>
      <c r="AB46" s="34"/>
      <c r="AC46" s="34"/>
      <c r="AD46" s="34"/>
      <c r="AE46" s="33"/>
    </row>
    <row r="47" spans="1:33" ht="16.5" x14ac:dyDescent="0.3">
      <c r="B47" s="47" t="s">
        <v>57</v>
      </c>
      <c r="C47" s="48" t="s">
        <v>58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DATA'!C63</f>
        <v>0.1</v>
      </c>
      <c r="O47" s="131"/>
      <c r="P47" s="48"/>
      <c r="Q47" s="48"/>
      <c r="R47" s="48"/>
      <c r="S47" s="49"/>
      <c r="T47" s="567">
        <f>T45*N47</f>
        <v>1799.7540000000001</v>
      </c>
      <c r="U47" s="568"/>
      <c r="V47" s="569"/>
      <c r="W47" s="2"/>
      <c r="X47" s="2"/>
      <c r="Y47" s="33"/>
      <c r="Z47" s="34"/>
      <c r="AA47" s="34"/>
      <c r="AB47" s="34"/>
      <c r="AC47" s="34"/>
      <c r="AD47" s="34"/>
      <c r="AE47" s="141"/>
    </row>
    <row r="48" spans="1:33" ht="16.5" x14ac:dyDescent="0.3">
      <c r="B48" s="47" t="s">
        <v>59</v>
      </c>
      <c r="C48" s="48" t="s">
        <v>60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DATA'!C64</f>
        <v>0</v>
      </c>
      <c r="O48" s="131"/>
      <c r="P48" s="48"/>
      <c r="Q48" s="48"/>
      <c r="R48" s="48"/>
      <c r="S48" s="49"/>
      <c r="T48" s="567">
        <f>(T45+T46+T47)*N48</f>
        <v>0</v>
      </c>
      <c r="U48" s="568"/>
      <c r="V48" s="569"/>
      <c r="W48" s="2"/>
      <c r="X48" s="2"/>
      <c r="Y48" s="244"/>
      <c r="Z48" s="33"/>
      <c r="AA48" s="34"/>
      <c r="AB48" s="33"/>
      <c r="AE48" s="33"/>
    </row>
    <row r="49" spans="1:31" ht="16.5" x14ac:dyDescent="0.3">
      <c r="A49" s="45" t="s">
        <v>61</v>
      </c>
      <c r="B49" s="47" t="s">
        <v>62</v>
      </c>
      <c r="C49" s="48" t="s">
        <v>63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/>
      <c r="O49" s="48"/>
      <c r="P49" s="48"/>
      <c r="Q49" s="48"/>
      <c r="R49" s="48"/>
      <c r="S49" s="49"/>
      <c r="T49" s="561">
        <f>SUM(T45:V48)</f>
        <v>20697.171000000002</v>
      </c>
      <c r="U49" s="562"/>
      <c r="V49" s="563"/>
      <c r="W49" s="2"/>
      <c r="X49" s="9"/>
      <c r="Y49" s="238"/>
      <c r="Z49" s="239"/>
      <c r="AA49" s="144"/>
      <c r="AB49" s="144"/>
      <c r="AC49" s="144"/>
      <c r="AD49" s="144"/>
      <c r="AE49" s="33"/>
    </row>
    <row r="50" spans="1:31" ht="16.5" x14ac:dyDescent="0.3">
      <c r="A50" s="45" t="s">
        <v>64</v>
      </c>
      <c r="B50" s="47" t="s">
        <v>65</v>
      </c>
      <c r="C50" s="48" t="s">
        <v>66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9"/>
      <c r="T50" s="561">
        <f>T49/E8</f>
        <v>103.48585500000002</v>
      </c>
      <c r="U50" s="562"/>
      <c r="V50" s="563"/>
      <c r="W50" s="132"/>
      <c r="X50" s="2"/>
      <c r="Y50" s="238"/>
      <c r="Z50" s="239"/>
      <c r="AA50" s="144"/>
      <c r="AB50" s="144"/>
      <c r="AC50" s="144"/>
      <c r="AD50" s="144"/>
      <c r="AE50" s="33"/>
    </row>
    <row r="51" spans="1:31" ht="16.5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133"/>
      <c r="M51" s="133"/>
      <c r="N51" s="133"/>
      <c r="O51" s="2"/>
      <c r="P51" s="2"/>
      <c r="Q51" s="2"/>
      <c r="R51" s="2"/>
      <c r="S51" s="2"/>
      <c r="T51" s="134"/>
      <c r="U51" s="134"/>
      <c r="V51" s="134"/>
      <c r="W51" s="2"/>
      <c r="X51" s="2"/>
      <c r="Y51" s="244"/>
      <c r="Z51" s="273"/>
      <c r="AA51" s="144"/>
      <c r="AB51" s="144"/>
      <c r="AC51" s="144"/>
      <c r="AD51" s="144"/>
      <c r="AE51" s="33"/>
    </row>
    <row r="52" spans="1:31" ht="15" customHeight="1" x14ac:dyDescent="0.3">
      <c r="L52" s="2"/>
      <c r="M52" s="2"/>
      <c r="N52" s="2"/>
      <c r="Y52" s="244"/>
      <c r="Z52" s="239"/>
      <c r="AA52" s="144"/>
      <c r="AB52" s="144"/>
      <c r="AC52" s="144"/>
      <c r="AD52" s="144"/>
      <c r="AE52" s="33"/>
    </row>
    <row r="53" spans="1:31" ht="16.5" x14ac:dyDescent="0.3"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Y54" s="244"/>
      <c r="Z54" s="273"/>
      <c r="AA54" s="144"/>
      <c r="AB54" s="144"/>
      <c r="AC54" s="143"/>
      <c r="AD54" s="144"/>
      <c r="AE54" s="141"/>
    </row>
    <row r="55" spans="1:31" ht="16.5" x14ac:dyDescent="0.3">
      <c r="Y55" s="238"/>
      <c r="Z55" s="239"/>
      <c r="AA55" s="144"/>
      <c r="AB55" s="144"/>
      <c r="AC55" s="144"/>
      <c r="AD55" s="144"/>
      <c r="AE55" s="33"/>
    </row>
    <row r="56" spans="1:31" ht="16.5" x14ac:dyDescent="0.3">
      <c r="Y56" s="274"/>
      <c r="Z56" s="239"/>
      <c r="AA56" s="144"/>
      <c r="AB56" s="144"/>
      <c r="AC56" s="144"/>
      <c r="AD56" s="144"/>
      <c r="AE56" s="33"/>
    </row>
    <row r="57" spans="1:31" ht="16.5" x14ac:dyDescent="0.3">
      <c r="Y57" s="244"/>
      <c r="Z57" s="254"/>
      <c r="AA57" s="144"/>
      <c r="AB57" s="144"/>
      <c r="AC57" s="144"/>
      <c r="AD57" s="144"/>
      <c r="AE57" s="33"/>
    </row>
    <row r="58" spans="1:31" ht="16.5" x14ac:dyDescent="0.3"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Y59" s="139"/>
      <c r="Z59" s="239"/>
      <c r="AA59" s="34"/>
      <c r="AB59" s="33"/>
      <c r="AC59" s="144"/>
      <c r="AD59" s="144"/>
      <c r="AE59" s="33"/>
    </row>
    <row r="60" spans="1:31" ht="16.5" x14ac:dyDescent="0.25">
      <c r="Y60" s="142"/>
      <c r="Z60" s="143"/>
      <c r="AA60" s="144"/>
      <c r="AB60" s="144"/>
      <c r="AC60" s="143"/>
      <c r="AD60" s="144"/>
      <c r="AE60" s="33"/>
    </row>
    <row r="61" spans="1:31" ht="16.5" x14ac:dyDescent="0.25">
      <c r="Y61" s="139"/>
      <c r="Z61" s="33"/>
      <c r="AA61" s="140"/>
      <c r="AB61" s="141"/>
      <c r="AC61" s="144"/>
      <c r="AD61" s="144"/>
      <c r="AE61" s="33"/>
    </row>
    <row r="62" spans="1:31" ht="16.5" x14ac:dyDescent="0.25">
      <c r="Y62" s="142"/>
      <c r="Z62" s="143"/>
      <c r="AA62" s="144"/>
      <c r="AB62" s="144"/>
      <c r="AC62" s="34"/>
      <c r="AD62" s="144"/>
      <c r="AE62" s="33"/>
    </row>
    <row r="63" spans="1:31" ht="16.5" x14ac:dyDescent="0.25">
      <c r="Y63" s="139"/>
      <c r="Z63" s="33"/>
      <c r="AA63" s="140"/>
      <c r="AB63" s="141"/>
      <c r="AC63" s="144"/>
      <c r="AD63" s="144"/>
      <c r="AE63" s="33"/>
    </row>
    <row r="64" spans="1:31" ht="16.5" x14ac:dyDescent="0.25">
      <c r="Y64" s="142"/>
      <c r="Z64" s="143"/>
      <c r="AA64" s="144"/>
      <c r="AB64" s="144"/>
      <c r="AC64" s="34"/>
      <c r="AD64" s="34"/>
      <c r="AE64" s="33"/>
    </row>
    <row r="65" spans="25:31" ht="16.5" x14ac:dyDescent="0.25">
      <c r="Y65" s="139"/>
      <c r="Z65" s="33"/>
      <c r="AA65" s="140"/>
      <c r="AB65" s="141"/>
      <c r="AC65" s="144"/>
      <c r="AD65" s="144"/>
      <c r="AE65" s="33"/>
    </row>
    <row r="66" spans="25:31" ht="16.5" x14ac:dyDescent="0.25">
      <c r="Y66" s="142"/>
      <c r="Z66" s="143"/>
      <c r="AA66" s="144"/>
      <c r="AB66" s="144"/>
      <c r="AC66" s="34"/>
      <c r="AD66" s="34"/>
      <c r="AE66" s="34"/>
    </row>
    <row r="67" spans="25:31" ht="16.5" x14ac:dyDescent="0.25">
      <c r="Y67" s="275"/>
      <c r="Z67" s="276"/>
      <c r="AA67" s="277"/>
      <c r="AB67" s="277"/>
      <c r="AC67" s="278"/>
      <c r="AD67" s="144"/>
      <c r="AE67" s="33"/>
    </row>
    <row r="68" spans="25:31" ht="16.5" x14ac:dyDescent="0.25">
      <c r="Y68" s="279"/>
      <c r="Z68" s="280"/>
      <c r="AA68" s="278"/>
      <c r="AB68" s="278"/>
      <c r="AC68" s="276"/>
      <c r="AD68" s="276"/>
      <c r="AE68" s="33"/>
    </row>
    <row r="69" spans="25:31" ht="16.5" x14ac:dyDescent="0.25">
      <c r="Y69" s="142"/>
      <c r="Z69" s="143"/>
      <c r="AA69" s="144"/>
      <c r="AB69" s="278"/>
      <c r="AC69" s="34"/>
      <c r="AD69" s="34"/>
      <c r="AE69" s="34"/>
    </row>
    <row r="70" spans="25:31" ht="16.5" x14ac:dyDescent="0.25">
      <c r="Y70" s="33"/>
      <c r="Z70" s="34"/>
      <c r="AA70" s="140"/>
      <c r="AB70" s="140"/>
      <c r="AC70" s="140"/>
      <c r="AD70" s="140"/>
      <c r="AE70" s="34"/>
    </row>
    <row r="71" spans="25:31" ht="16.5" x14ac:dyDescent="0.25">
      <c r="Y71" s="142"/>
      <c r="Z71" s="142"/>
      <c r="AA71" s="143"/>
      <c r="AB71" s="144"/>
      <c r="AC71" s="144"/>
      <c r="AD71" s="144"/>
      <c r="AE71" s="34"/>
    </row>
    <row r="72" spans="25:31" ht="16.5" x14ac:dyDescent="0.25">
      <c r="Y72" s="142"/>
      <c r="Z72" s="142"/>
      <c r="AA72" s="143"/>
      <c r="AB72" s="144"/>
      <c r="AC72" s="144"/>
      <c r="AD72" s="144"/>
      <c r="AE72" s="34"/>
    </row>
    <row r="73" spans="25:31" ht="16.5" x14ac:dyDescent="0.25">
      <c r="Y73" s="33"/>
      <c r="Z73" s="33"/>
      <c r="AA73" s="34"/>
      <c r="AB73" s="33"/>
      <c r="AC73" s="34"/>
      <c r="AD73" s="34"/>
      <c r="AE73" s="34"/>
    </row>
    <row r="74" spans="25:31" ht="16.5" x14ac:dyDescent="0.25">
      <c r="Y74" s="33"/>
      <c r="Z74" s="33"/>
      <c r="AA74" s="34"/>
      <c r="AB74" s="33"/>
      <c r="AC74" s="34"/>
      <c r="AD74" s="34"/>
      <c r="AE74" s="34"/>
    </row>
    <row r="75" spans="25:31" ht="16.5" x14ac:dyDescent="0.25">
      <c r="Y75" s="139"/>
      <c r="Z75" s="33"/>
      <c r="AA75" s="34"/>
      <c r="AB75" s="33"/>
      <c r="AC75" s="34"/>
      <c r="AD75" s="34"/>
      <c r="AE75" s="34"/>
    </row>
    <row r="76" spans="25:31" ht="16.5" x14ac:dyDescent="0.25">
      <c r="Y76" s="33"/>
      <c r="Z76" s="34"/>
      <c r="AA76" s="34"/>
      <c r="AB76" s="34"/>
      <c r="AC76" s="34"/>
      <c r="AD76" s="34"/>
      <c r="AE76" s="34"/>
    </row>
    <row r="77" spans="25:31" ht="16.5" x14ac:dyDescent="0.25">
      <c r="Y77" s="139"/>
      <c r="Z77" s="33"/>
      <c r="AA77" s="34"/>
      <c r="AB77" s="33"/>
      <c r="AC77" s="34"/>
      <c r="AD77" s="34"/>
      <c r="AE77" s="34"/>
    </row>
    <row r="78" spans="25:31" ht="16.5" x14ac:dyDescent="0.25">
      <c r="Y78" s="142"/>
      <c r="Z78" s="143"/>
      <c r="AA78" s="144"/>
      <c r="AB78" s="144"/>
      <c r="AC78" s="34"/>
      <c r="AD78" s="34"/>
      <c r="AE78" s="34"/>
    </row>
    <row r="79" spans="25:31" ht="16.5" x14ac:dyDescent="0.25">
      <c r="Y79" s="139"/>
      <c r="Z79" s="33"/>
      <c r="AA79" s="140"/>
      <c r="AB79" s="141"/>
      <c r="AC79" s="34"/>
      <c r="AD79" s="34"/>
      <c r="AE79" s="34"/>
    </row>
    <row r="80" spans="25:31" ht="16.5" x14ac:dyDescent="0.25">
      <c r="Y80" s="142"/>
      <c r="Z80" s="143"/>
      <c r="AA80" s="144"/>
      <c r="AB80" s="144"/>
      <c r="AC80" s="34"/>
      <c r="AD80" s="34"/>
      <c r="AE80" s="34"/>
    </row>
    <row r="81" spans="25:31" ht="16.5" x14ac:dyDescent="0.25">
      <c r="Y81" s="33"/>
      <c r="Z81" s="34"/>
      <c r="AA81" s="140"/>
      <c r="AB81" s="140"/>
      <c r="AC81" s="34"/>
      <c r="AD81" s="34"/>
      <c r="AE81" s="34"/>
    </row>
    <row r="82" spans="25:31" ht="16.5" x14ac:dyDescent="0.25">
      <c r="Y82" s="142"/>
      <c r="Z82" s="142"/>
      <c r="AA82" s="143"/>
      <c r="AB82" s="144"/>
      <c r="AC82" s="34"/>
      <c r="AD82" s="34"/>
      <c r="AE82" s="34"/>
    </row>
    <row r="83" spans="25:31" ht="16.5" x14ac:dyDescent="0.25">
      <c r="Y83" s="33"/>
      <c r="Z83" s="33"/>
      <c r="AA83" s="34"/>
      <c r="AB83" s="33"/>
      <c r="AC83" s="34"/>
      <c r="AD83" s="34"/>
      <c r="AE83" s="34"/>
    </row>
    <row r="84" spans="25:31" ht="16.5" x14ac:dyDescent="0.25">
      <c r="Y84" s="33"/>
      <c r="Z84" s="33"/>
      <c r="AA84" s="34"/>
      <c r="AB84" s="33"/>
      <c r="AC84" s="34"/>
      <c r="AD84" s="34"/>
      <c r="AE84" s="34"/>
    </row>
    <row r="85" spans="25:31" ht="16.5" x14ac:dyDescent="0.25">
      <c r="Y85" s="33"/>
      <c r="Z85" s="33"/>
      <c r="AA85" s="34"/>
      <c r="AB85" s="33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</sheetData>
  <mergeCells count="107">
    <mergeCell ref="T49:V49"/>
    <mergeCell ref="T50:V50"/>
    <mergeCell ref="C44:J44"/>
    <mergeCell ref="T44:V44"/>
    <mergeCell ref="T45:V45"/>
    <mergeCell ref="T46:V46"/>
    <mergeCell ref="T47:V47"/>
    <mergeCell ref="T48:V48"/>
    <mergeCell ref="D40:J41"/>
    <mergeCell ref="K40:M40"/>
    <mergeCell ref="N40:P40"/>
    <mergeCell ref="Q40:S40"/>
    <mergeCell ref="T40:V40"/>
    <mergeCell ref="K41:M41"/>
    <mergeCell ref="N41:P41"/>
    <mergeCell ref="Q41:S41"/>
    <mergeCell ref="T41:V41"/>
    <mergeCell ref="K38:M38"/>
    <mergeCell ref="N38:P38"/>
    <mergeCell ref="Q38:S38"/>
    <mergeCell ref="T38:V38"/>
    <mergeCell ref="K39:M39"/>
    <mergeCell ref="N39:P39"/>
    <mergeCell ref="Q39:S39"/>
    <mergeCell ref="T39:V39"/>
    <mergeCell ref="K37:M37"/>
    <mergeCell ref="N37:P37"/>
    <mergeCell ref="Q37:S37"/>
    <mergeCell ref="T37:V37"/>
    <mergeCell ref="K36:M36"/>
    <mergeCell ref="N36:P36"/>
    <mergeCell ref="Q36:S36"/>
    <mergeCell ref="T36:V36"/>
    <mergeCell ref="C30:J30"/>
    <mergeCell ref="T30:V30"/>
    <mergeCell ref="C31:J31"/>
    <mergeCell ref="T31:V31"/>
    <mergeCell ref="H32:I32"/>
    <mergeCell ref="B33:J34"/>
    <mergeCell ref="K33:M34"/>
    <mergeCell ref="N33:P34"/>
    <mergeCell ref="Q33:S34"/>
    <mergeCell ref="T33:V34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B22:J23"/>
    <mergeCell ref="K22:M23"/>
    <mergeCell ref="N22:P23"/>
    <mergeCell ref="Q22:S23"/>
    <mergeCell ref="T22:V23"/>
    <mergeCell ref="K25:M25"/>
    <mergeCell ref="N25:P25"/>
    <mergeCell ref="Q25:S25"/>
    <mergeCell ref="T25:V25"/>
    <mergeCell ref="K20:M20"/>
    <mergeCell ref="N20:P20"/>
    <mergeCell ref="Q20:S20"/>
    <mergeCell ref="T20:V20"/>
    <mergeCell ref="C21:J21"/>
    <mergeCell ref="T21:V21"/>
    <mergeCell ref="K19:M19"/>
    <mergeCell ref="N19:P19"/>
    <mergeCell ref="Q19:S19"/>
    <mergeCell ref="T19:V19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D5AF-0092-594F-AC98-919FD69702C3}">
  <sheetPr codeName="Sheet19">
    <tabColor rgb="FF92D050"/>
    <pageSetUpPr fitToPage="1"/>
  </sheetPr>
  <dimension ref="A1:AG90"/>
  <sheetViews>
    <sheetView view="pageBreakPreview" topLeftCell="A7" zoomScale="88" zoomScaleNormal="85" zoomScaleSheetLayoutView="88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204</v>
      </c>
      <c r="F5" s="578"/>
      <c r="G5" s="605" t="s">
        <v>205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91">
        <f>2.076*8</f>
        <v>16.608000000000001</v>
      </c>
      <c r="F7" s="59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DATA'!C25</f>
        <v>0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E8/E7</f>
        <v>0</v>
      </c>
      <c r="O14" s="581"/>
      <c r="P14" s="582"/>
      <c r="Q14" s="599">
        <v>800</v>
      </c>
      <c r="R14" s="600"/>
      <c r="S14" s="601"/>
      <c r="T14" s="583">
        <f t="shared" ref="T14:T16" si="0">K14*N14*Q14</f>
        <v>0</v>
      </c>
      <c r="U14" s="584"/>
      <c r="V14" s="585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</v>
      </c>
      <c r="O15" s="581"/>
      <c r="P15" s="582"/>
      <c r="Q15" s="599">
        <v>600</v>
      </c>
      <c r="R15" s="600"/>
      <c r="S15" s="601"/>
      <c r="T15" s="583">
        <f t="shared" si="0"/>
        <v>0</v>
      </c>
      <c r="U15" s="584"/>
      <c r="V15" s="585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v>2</v>
      </c>
      <c r="L16" s="597"/>
      <c r="M16" s="598"/>
      <c r="N16" s="580">
        <f>N15</f>
        <v>0</v>
      </c>
      <c r="O16" s="581"/>
      <c r="P16" s="582"/>
      <c r="Q16" s="599">
        <v>400</v>
      </c>
      <c r="R16" s="600"/>
      <c r="S16" s="601"/>
      <c r="T16" s="583">
        <f t="shared" si="0"/>
        <v>0</v>
      </c>
      <c r="U16" s="584"/>
      <c r="V16" s="585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80"/>
      <c r="O17" s="581"/>
      <c r="P17" s="58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/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/>
      <c r="D20" s="35"/>
      <c r="E20" s="2"/>
      <c r="F20" s="2"/>
      <c r="G20" s="2"/>
      <c r="H20" s="2"/>
      <c r="I20" s="2"/>
      <c r="J20" s="17"/>
      <c r="K20" s="596"/>
      <c r="L20" s="597"/>
      <c r="M20" s="598"/>
      <c r="N20" s="580"/>
      <c r="O20" s="581"/>
      <c r="P20" s="582"/>
      <c r="Q20" s="599"/>
      <c r="R20" s="600"/>
      <c r="S20" s="601"/>
      <c r="T20" s="583"/>
      <c r="U20" s="584"/>
      <c r="V20" s="585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7"/>
      <c r="L21" s="578"/>
      <c r="M21" s="579"/>
      <c r="N21" s="580"/>
      <c r="O21" s="578"/>
      <c r="P21" s="579"/>
      <c r="Q21" s="589"/>
      <c r="R21" s="578"/>
      <c r="S21" s="579"/>
      <c r="T21" s="583"/>
      <c r="U21" s="584"/>
      <c r="V21" s="585"/>
      <c r="W21" s="2"/>
      <c r="X21" s="2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3">
      <c r="A22" s="45" t="s">
        <v>26</v>
      </c>
      <c r="B22" s="46"/>
      <c r="C22" s="564" t="s">
        <v>27</v>
      </c>
      <c r="D22" s="565"/>
      <c r="E22" s="565"/>
      <c r="F22" s="565"/>
      <c r="G22" s="565"/>
      <c r="H22" s="565"/>
      <c r="I22" s="565"/>
      <c r="J22" s="56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61">
        <f>ROUND(SUM(T14:V20),2)</f>
        <v>0</v>
      </c>
      <c r="U22" s="562"/>
      <c r="V22" s="563"/>
      <c r="X22" s="51"/>
      <c r="Y22" s="39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1" t="s">
        <v>29</v>
      </c>
      <c r="C23" s="572"/>
      <c r="D23" s="572"/>
      <c r="E23" s="572"/>
      <c r="F23" s="572"/>
      <c r="G23" s="572"/>
      <c r="H23" s="572"/>
      <c r="I23" s="572"/>
      <c r="J23" s="573"/>
      <c r="K23" s="571" t="s">
        <v>30</v>
      </c>
      <c r="L23" s="572"/>
      <c r="M23" s="573"/>
      <c r="N23" s="571" t="s">
        <v>15</v>
      </c>
      <c r="O23" s="572"/>
      <c r="P23" s="573"/>
      <c r="Q23" s="571" t="s">
        <v>16</v>
      </c>
      <c r="R23" s="572"/>
      <c r="S23" s="573"/>
      <c r="T23" s="571" t="s">
        <v>17</v>
      </c>
      <c r="U23" s="572"/>
      <c r="V23" s="573"/>
      <c r="X23" s="52"/>
      <c r="Y23" s="33"/>
      <c r="Z23" s="33"/>
      <c r="AA23" s="34"/>
      <c r="AB23" s="38"/>
      <c r="AC23" s="34"/>
      <c r="AD23" s="34"/>
      <c r="AE23" s="33"/>
      <c r="AF23" s="42"/>
      <c r="AG23" s="33"/>
    </row>
    <row r="24" spans="1:33" ht="16.5" x14ac:dyDescent="0.25">
      <c r="B24" s="574"/>
      <c r="C24" s="575"/>
      <c r="D24" s="575"/>
      <c r="E24" s="575"/>
      <c r="F24" s="575"/>
      <c r="G24" s="575"/>
      <c r="H24" s="575"/>
      <c r="I24" s="575"/>
      <c r="J24" s="576"/>
      <c r="K24" s="574"/>
      <c r="L24" s="575"/>
      <c r="M24" s="576"/>
      <c r="N24" s="574"/>
      <c r="O24" s="575"/>
      <c r="P24" s="576"/>
      <c r="Q24" s="574"/>
      <c r="R24" s="575"/>
      <c r="S24" s="576"/>
      <c r="T24" s="574"/>
      <c r="U24" s="575"/>
      <c r="V24" s="576"/>
      <c r="Y24" s="33"/>
      <c r="Z24" s="33"/>
      <c r="AA24" s="34"/>
      <c r="AB24" s="33"/>
      <c r="AC24" s="33"/>
      <c r="AD24" s="33"/>
      <c r="AE24" s="33"/>
      <c r="AF24" s="33"/>
      <c r="AG24" s="33"/>
    </row>
    <row r="25" spans="1:33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3" ht="16.5" x14ac:dyDescent="0.3">
      <c r="B26" s="15"/>
      <c r="C26" s="19"/>
      <c r="D26" s="2" t="s">
        <v>104</v>
      </c>
      <c r="E26" s="2"/>
      <c r="F26" s="2"/>
      <c r="G26" s="2"/>
      <c r="H26" s="2"/>
      <c r="I26" s="2"/>
      <c r="J26" s="17"/>
      <c r="K26" s="577"/>
      <c r="L26" s="578"/>
      <c r="M26" s="579"/>
      <c r="N26" s="590"/>
      <c r="O26" s="591"/>
      <c r="P26" s="592"/>
      <c r="Q26" s="580"/>
      <c r="R26" s="581"/>
      <c r="S26" s="582"/>
      <c r="T26" s="583">
        <f>0.1*T22</f>
        <v>0</v>
      </c>
      <c r="U26" s="584"/>
      <c r="V26" s="585"/>
      <c r="W26" s="18"/>
      <c r="X26" s="18"/>
      <c r="Y26" s="139"/>
      <c r="Z26" s="139"/>
      <c r="AA26" s="34"/>
      <c r="AB26" s="34"/>
      <c r="AC26" s="33"/>
      <c r="AD26" s="33"/>
      <c r="AE26" s="33"/>
      <c r="AF26" s="33"/>
      <c r="AG26" s="33"/>
    </row>
    <row r="27" spans="1:33" ht="16.5" x14ac:dyDescent="0.3">
      <c r="B27" s="41"/>
      <c r="C27" s="19"/>
      <c r="D27" s="40"/>
      <c r="E27" s="2"/>
      <c r="F27" s="2"/>
      <c r="G27" s="2"/>
      <c r="H27" s="2"/>
      <c r="I27" s="2"/>
      <c r="J27" s="17"/>
      <c r="K27" s="577"/>
      <c r="L27" s="578"/>
      <c r="M27" s="579"/>
      <c r="N27" s="590"/>
      <c r="O27" s="591"/>
      <c r="P27" s="592"/>
      <c r="Q27" s="580"/>
      <c r="R27" s="581"/>
      <c r="S27" s="582"/>
      <c r="T27" s="583"/>
      <c r="U27" s="584"/>
      <c r="V27" s="585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7"/>
      <c r="L28" s="578"/>
      <c r="M28" s="579"/>
      <c r="N28" s="659"/>
      <c r="O28" s="660"/>
      <c r="P28" s="661"/>
      <c r="Q28" s="580"/>
      <c r="R28" s="581"/>
      <c r="S28" s="582"/>
      <c r="T28" s="583"/>
      <c r="U28" s="584"/>
      <c r="V28" s="585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81"/>
      <c r="P29" s="582"/>
      <c r="Q29" s="580"/>
      <c r="R29" s="581"/>
      <c r="S29" s="582"/>
      <c r="T29" s="583"/>
      <c r="U29" s="584"/>
      <c r="V29" s="585"/>
      <c r="W29" s="18"/>
      <c r="X29" s="18"/>
      <c r="Y29" s="139"/>
      <c r="Z29" s="270"/>
      <c r="AA29" s="39"/>
      <c r="AB29" s="39"/>
      <c r="AC29" s="39"/>
      <c r="AD29" s="140"/>
      <c r="AE29" s="271"/>
      <c r="AF29" s="140"/>
      <c r="AG29" s="140"/>
    </row>
    <row r="30" spans="1:33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7"/>
      <c r="L30" s="578"/>
      <c r="M30" s="579"/>
      <c r="N30" s="580"/>
      <c r="O30" s="578"/>
      <c r="P30" s="579"/>
      <c r="Q30" s="580"/>
      <c r="R30" s="581"/>
      <c r="S30" s="582"/>
      <c r="T30" s="583"/>
      <c r="U30" s="584"/>
      <c r="V30" s="585"/>
      <c r="W30" s="2"/>
      <c r="X30" s="2"/>
      <c r="Y30" s="33"/>
      <c r="Z30" s="33"/>
      <c r="AA30" s="34"/>
      <c r="AB30" s="34"/>
      <c r="AC30" s="33"/>
      <c r="AD30" s="33"/>
      <c r="AE30" s="33"/>
      <c r="AF30" s="140"/>
      <c r="AG30" s="140"/>
    </row>
    <row r="31" spans="1:33" ht="16.5" x14ac:dyDescent="0.3">
      <c r="A31" s="61" t="s">
        <v>34</v>
      </c>
      <c r="B31" s="46"/>
      <c r="C31" s="564" t="s">
        <v>35</v>
      </c>
      <c r="D31" s="565"/>
      <c r="E31" s="565"/>
      <c r="F31" s="565"/>
      <c r="G31" s="565"/>
      <c r="H31" s="565"/>
      <c r="I31" s="565"/>
      <c r="J31" s="56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61">
        <f>ROUND(SUM(T26:V30),2)</f>
        <v>0</v>
      </c>
      <c r="U31" s="562"/>
      <c r="V31" s="563"/>
      <c r="W31" s="9"/>
      <c r="X31" s="2"/>
      <c r="Y31" s="257"/>
      <c r="Z31" s="257"/>
      <c r="AA31" s="272"/>
      <c r="AB31" s="272"/>
      <c r="AC31" s="257"/>
      <c r="AD31" s="257"/>
      <c r="AE31" s="272"/>
      <c r="AF31" s="140"/>
      <c r="AG31" s="140"/>
    </row>
    <row r="32" spans="1:33" ht="16.5" x14ac:dyDescent="0.3">
      <c r="B32" s="64" t="s">
        <v>36</v>
      </c>
      <c r="C32" s="564" t="s">
        <v>37</v>
      </c>
      <c r="D32" s="565"/>
      <c r="E32" s="565"/>
      <c r="F32" s="565"/>
      <c r="G32" s="565"/>
      <c r="H32" s="565"/>
      <c r="I32" s="565"/>
      <c r="J32" s="565"/>
      <c r="K32" s="48"/>
      <c r="L32" s="48"/>
      <c r="M32" s="48"/>
      <c r="N32" s="48"/>
      <c r="O32" s="48"/>
      <c r="P32" s="48"/>
      <c r="Q32" s="48"/>
      <c r="R32" s="48"/>
      <c r="S32" s="48"/>
      <c r="T32" s="562">
        <f>T22+T31</f>
        <v>0</v>
      </c>
      <c r="U32" s="562"/>
      <c r="V32" s="563"/>
      <c r="W32" s="2"/>
      <c r="X32" s="2"/>
      <c r="Y32" s="33"/>
      <c r="Z32" s="33"/>
      <c r="AA32" s="271"/>
      <c r="AB32" s="271"/>
      <c r="AC32" s="33"/>
      <c r="AD32" s="33"/>
      <c r="AE32" s="271"/>
      <c r="AF32" s="271"/>
      <c r="AG32" s="271"/>
    </row>
    <row r="33" spans="1:33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70">
        <f>E7</f>
        <v>16.608000000000001</v>
      </c>
      <c r="I33" s="565"/>
      <c r="J33" s="48" t="str">
        <f>G7</f>
        <v>SQ.M./DAY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33"/>
      <c r="Z33" s="33"/>
      <c r="AA33" s="39"/>
      <c r="AB33" s="34"/>
      <c r="AC33" s="33"/>
      <c r="AD33" s="33"/>
      <c r="AE33" s="33"/>
      <c r="AF33" s="271"/>
      <c r="AG33" s="271"/>
    </row>
    <row r="34" spans="1:33" ht="16.5" x14ac:dyDescent="0.3">
      <c r="B34" s="571" t="s">
        <v>44</v>
      </c>
      <c r="C34" s="572"/>
      <c r="D34" s="572"/>
      <c r="E34" s="572"/>
      <c r="F34" s="572"/>
      <c r="G34" s="572"/>
      <c r="H34" s="572"/>
      <c r="I34" s="572"/>
      <c r="J34" s="573"/>
      <c r="K34" s="571" t="s">
        <v>45</v>
      </c>
      <c r="L34" s="572"/>
      <c r="M34" s="573"/>
      <c r="N34" s="571" t="s">
        <v>46</v>
      </c>
      <c r="O34" s="572"/>
      <c r="P34" s="573"/>
      <c r="Q34" s="571" t="s">
        <v>47</v>
      </c>
      <c r="R34" s="572"/>
      <c r="S34" s="573"/>
      <c r="T34" s="571" t="s">
        <v>17</v>
      </c>
      <c r="U34" s="572"/>
      <c r="V34" s="573"/>
      <c r="W34" s="2"/>
      <c r="X34" s="2"/>
      <c r="Y34" s="33"/>
      <c r="Z34" s="33"/>
      <c r="AA34" s="34"/>
      <c r="AB34" s="34"/>
      <c r="AC34" s="33"/>
      <c r="AD34" s="33"/>
      <c r="AE34" s="33"/>
      <c r="AF34" s="33"/>
      <c r="AG34" s="33"/>
    </row>
    <row r="35" spans="1:33" ht="16.5" x14ac:dyDescent="0.3">
      <c r="B35" s="574"/>
      <c r="C35" s="575"/>
      <c r="D35" s="575"/>
      <c r="E35" s="575"/>
      <c r="F35" s="575"/>
      <c r="G35" s="575"/>
      <c r="H35" s="575"/>
      <c r="I35" s="575"/>
      <c r="J35" s="576"/>
      <c r="K35" s="574"/>
      <c r="L35" s="575"/>
      <c r="M35" s="576"/>
      <c r="N35" s="574"/>
      <c r="O35" s="575"/>
      <c r="P35" s="576"/>
      <c r="Q35" s="574"/>
      <c r="R35" s="575"/>
      <c r="S35" s="576"/>
      <c r="T35" s="574"/>
      <c r="U35" s="575"/>
      <c r="V35" s="576"/>
      <c r="W35" s="2"/>
      <c r="X35" s="2"/>
      <c r="Y35" s="2"/>
      <c r="Z35" s="2"/>
      <c r="AA35" s="7"/>
      <c r="AB35" s="7"/>
      <c r="AC35" s="192"/>
      <c r="AD35" s="192"/>
      <c r="AE35" s="192"/>
      <c r="AF35" s="192"/>
      <c r="AG35" s="192"/>
    </row>
    <row r="36" spans="1:33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"/>
      <c r="Z36" s="2"/>
      <c r="AA36" s="7"/>
      <c r="AB36" s="7"/>
      <c r="AC36" s="193"/>
      <c r="AD36" s="193"/>
      <c r="AE36" s="192"/>
      <c r="AF36" s="192"/>
      <c r="AG36" s="193"/>
    </row>
    <row r="37" spans="1:33" ht="16.5" customHeight="1" x14ac:dyDescent="0.3">
      <c r="B37" s="41"/>
      <c r="C37" s="60" t="s">
        <v>21</v>
      </c>
      <c r="D37" s="60" t="s">
        <v>206</v>
      </c>
      <c r="F37" s="121"/>
      <c r="G37" s="122"/>
      <c r="H37" s="122"/>
      <c r="I37" s="122"/>
      <c r="J37" s="17"/>
      <c r="K37" s="659">
        <f>E8</f>
        <v>0</v>
      </c>
      <c r="L37" s="660"/>
      <c r="M37" s="661"/>
      <c r="N37" s="662" t="s">
        <v>153</v>
      </c>
      <c r="O37" s="663" t="str">
        <f>IF(L37&gt;1,"bags","bag")</f>
        <v>bag</v>
      </c>
      <c r="P37" s="664" t="str">
        <f>IF(M37&gt;1,"bags","bag")</f>
        <v>bag</v>
      </c>
      <c r="Q37" s="647">
        <v>400</v>
      </c>
      <c r="R37" s="648"/>
      <c r="S37" s="649"/>
      <c r="T37" s="635">
        <f>K37*Q37</f>
        <v>0</v>
      </c>
      <c r="U37" s="636"/>
      <c r="V37" s="637"/>
      <c r="W37" s="18"/>
      <c r="X37" s="149"/>
      <c r="Y37" s="149"/>
      <c r="Z37" s="149"/>
      <c r="AA37" s="149"/>
      <c r="AB37" s="2"/>
    </row>
    <row r="38" spans="1:33" ht="16.5" customHeight="1" x14ac:dyDescent="0.3">
      <c r="B38" s="41"/>
      <c r="C38" s="19" t="s">
        <v>23</v>
      </c>
      <c r="D38" s="60" t="s">
        <v>207</v>
      </c>
      <c r="F38" s="121"/>
      <c r="G38" s="122"/>
      <c r="H38" s="122"/>
      <c r="I38" s="122"/>
      <c r="J38" s="17"/>
      <c r="K38" s="659">
        <f>0.011*E8</f>
        <v>0</v>
      </c>
      <c r="L38" s="660"/>
      <c r="M38" s="661"/>
      <c r="N38" s="662" t="s">
        <v>209</v>
      </c>
      <c r="O38" s="663" t="str">
        <f>IF(L38&gt;1,"bags","bag")</f>
        <v>bag</v>
      </c>
      <c r="P38" s="664" t="str">
        <f>IF(M38&gt;1,"bags","bag")</f>
        <v>bag</v>
      </c>
      <c r="Q38" s="647">
        <v>1.5</v>
      </c>
      <c r="R38" s="648"/>
      <c r="S38" s="649"/>
      <c r="T38" s="635">
        <f t="shared" ref="T38" si="1">K38*Q38</f>
        <v>0</v>
      </c>
      <c r="U38" s="636"/>
      <c r="V38" s="637"/>
      <c r="W38" s="132"/>
      <c r="X38" s="149"/>
      <c r="Y38" s="149"/>
      <c r="Z38" s="149"/>
      <c r="AA38" s="149"/>
      <c r="AB38" s="2"/>
    </row>
    <row r="39" spans="1:33" ht="16.5" customHeight="1" x14ac:dyDescent="0.3">
      <c r="B39" s="41"/>
      <c r="C39" s="19" t="s">
        <v>78</v>
      </c>
      <c r="D39" s="40" t="s">
        <v>208</v>
      </c>
      <c r="E39" s="121"/>
      <c r="F39" s="121"/>
      <c r="G39" s="122"/>
      <c r="H39" s="122"/>
      <c r="I39" s="122"/>
      <c r="J39" s="17"/>
      <c r="K39" s="659"/>
      <c r="L39" s="660"/>
      <c r="M39" s="661"/>
      <c r="N39" s="662"/>
      <c r="O39" s="663"/>
      <c r="P39" s="664"/>
      <c r="Q39" s="647"/>
      <c r="R39" s="648"/>
      <c r="S39" s="649"/>
      <c r="T39" s="635">
        <f>0.03*SUM(T37:V38)</f>
        <v>0</v>
      </c>
      <c r="U39" s="636"/>
      <c r="V39" s="637"/>
      <c r="W39" s="132"/>
      <c r="X39" s="149"/>
      <c r="Y39" s="149"/>
      <c r="Z39" s="149"/>
      <c r="AA39" s="149"/>
      <c r="AB39" s="2"/>
    </row>
    <row r="40" spans="1:33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659"/>
      <c r="L40" s="660"/>
      <c r="M40" s="661"/>
      <c r="N40" s="662"/>
      <c r="O40" s="663"/>
      <c r="P40" s="664"/>
      <c r="Q40" s="647"/>
      <c r="R40" s="648"/>
      <c r="S40" s="649"/>
      <c r="T40" s="635"/>
      <c r="U40" s="636"/>
      <c r="V40" s="637"/>
      <c r="W40" s="18"/>
      <c r="X40" s="149"/>
      <c r="Y40" s="149"/>
      <c r="Z40" s="149"/>
      <c r="AA40" s="149"/>
      <c r="AB40" s="2"/>
    </row>
    <row r="41" spans="1:33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9"/>
      <c r="L41" s="660"/>
      <c r="M41" s="661"/>
      <c r="N41" s="662"/>
      <c r="O41" s="663"/>
      <c r="P41" s="664"/>
      <c r="Q41" s="647"/>
      <c r="R41" s="648"/>
      <c r="S41" s="649"/>
      <c r="T41" s="635"/>
      <c r="U41" s="636"/>
      <c r="V41" s="637"/>
      <c r="W41" s="18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245"/>
      <c r="F42" s="245"/>
      <c r="G42" s="122"/>
      <c r="H42" s="122"/>
      <c r="I42" s="122"/>
      <c r="J42" s="17"/>
      <c r="K42" s="659"/>
      <c r="L42" s="660"/>
      <c r="M42" s="661"/>
      <c r="N42" s="662"/>
      <c r="O42" s="663"/>
      <c r="P42" s="664"/>
      <c r="Q42" s="647"/>
      <c r="R42" s="648"/>
      <c r="S42" s="649"/>
      <c r="T42" s="635"/>
      <c r="U42" s="636"/>
      <c r="V42" s="637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693" t="s">
        <v>219</v>
      </c>
      <c r="E43" s="693"/>
      <c r="F43" s="693"/>
      <c r="G43" s="693"/>
      <c r="H43" s="693"/>
      <c r="I43" s="693"/>
      <c r="J43" s="694"/>
      <c r="K43" s="659"/>
      <c r="L43" s="660"/>
      <c r="M43" s="661"/>
      <c r="N43" s="662"/>
      <c r="O43" s="663"/>
      <c r="P43" s="664"/>
      <c r="Q43" s="647"/>
      <c r="R43" s="648"/>
      <c r="S43" s="649"/>
      <c r="T43" s="635"/>
      <c r="U43" s="636"/>
      <c r="V43" s="637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19"/>
      <c r="D44" s="693"/>
      <c r="E44" s="693"/>
      <c r="F44" s="693"/>
      <c r="G44" s="693"/>
      <c r="H44" s="693"/>
      <c r="I44" s="693"/>
      <c r="J44" s="694"/>
      <c r="K44" s="659"/>
      <c r="L44" s="660"/>
      <c r="M44" s="661"/>
      <c r="N44" s="662"/>
      <c r="O44" s="663"/>
      <c r="P44" s="664"/>
      <c r="Q44" s="647"/>
      <c r="R44" s="648"/>
      <c r="S44" s="649"/>
      <c r="T44" s="635"/>
      <c r="U44" s="636"/>
      <c r="V44" s="637"/>
      <c r="W44" s="2"/>
      <c r="X44" s="149"/>
      <c r="Y44" s="149"/>
      <c r="Z44" s="149"/>
      <c r="AA44" s="149"/>
      <c r="AB44" s="2"/>
    </row>
    <row r="45" spans="1:33" ht="16.5" x14ac:dyDescent="0.3">
      <c r="B45" s="41"/>
      <c r="C45" s="19"/>
      <c r="D45" s="40"/>
      <c r="E45" s="121"/>
      <c r="F45" s="121"/>
      <c r="G45" s="206"/>
      <c r="H45" s="202"/>
      <c r="I45" s="202"/>
      <c r="J45" s="17"/>
      <c r="K45" s="123"/>
      <c r="L45" s="124"/>
      <c r="M45" s="125"/>
      <c r="N45" s="241"/>
      <c r="O45" s="242"/>
      <c r="P45" s="243"/>
      <c r="Q45" s="105"/>
      <c r="R45" s="106"/>
      <c r="S45" s="107"/>
      <c r="T45" s="213"/>
      <c r="U45" s="214"/>
      <c r="V45" s="215"/>
      <c r="W45" s="2"/>
      <c r="X45" s="149"/>
      <c r="Y45" s="149"/>
      <c r="Z45" s="149"/>
      <c r="AA45" s="149"/>
      <c r="AB45" s="2"/>
    </row>
    <row r="46" spans="1:33" ht="16.5" x14ac:dyDescent="0.3">
      <c r="B46" s="41"/>
      <c r="C46" s="40"/>
      <c r="D46" s="199"/>
      <c r="E46" s="121"/>
      <c r="F46" s="121"/>
      <c r="G46" s="206"/>
      <c r="H46" s="202"/>
      <c r="I46" s="202"/>
      <c r="J46" s="17"/>
      <c r="K46" s="207"/>
      <c r="L46" s="208"/>
      <c r="M46" s="209"/>
      <c r="N46" s="210"/>
      <c r="O46" s="211"/>
      <c r="P46" s="212"/>
      <c r="Q46" s="89"/>
      <c r="R46" s="90"/>
      <c r="S46" s="91"/>
      <c r="T46" s="213"/>
      <c r="U46" s="214"/>
      <c r="V46" s="215"/>
      <c r="W46" s="2"/>
      <c r="X46" s="149"/>
      <c r="Y46" s="149"/>
      <c r="Z46" s="2"/>
      <c r="AA46" s="2"/>
      <c r="AB46" s="2"/>
    </row>
    <row r="47" spans="1:33" ht="16.5" customHeight="1" x14ac:dyDescent="0.3">
      <c r="A47" s="45" t="s">
        <v>51</v>
      </c>
      <c r="B47" s="46"/>
      <c r="C47" s="564" t="s">
        <v>52</v>
      </c>
      <c r="D47" s="565"/>
      <c r="E47" s="565"/>
      <c r="F47" s="565"/>
      <c r="G47" s="565"/>
      <c r="H47" s="565"/>
      <c r="I47" s="565"/>
      <c r="J47" s="56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61">
        <f>ROUND(SUM(T37:V46),2)</f>
        <v>0</v>
      </c>
      <c r="U47" s="562"/>
      <c r="V47" s="563"/>
      <c r="W47" s="2"/>
      <c r="X47" s="9"/>
      <c r="Y47" s="33"/>
      <c r="Z47" s="33"/>
      <c r="AA47" s="237"/>
      <c r="AB47" s="237"/>
      <c r="AC47" s="34"/>
      <c r="AD47" s="34"/>
      <c r="AE47" s="34"/>
    </row>
    <row r="48" spans="1:33" ht="16.5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61">
        <f>T32+T47</f>
        <v>0</v>
      </c>
      <c r="U48" s="562"/>
      <c r="V48" s="563"/>
      <c r="W48" s="2"/>
      <c r="X48" s="2"/>
      <c r="Y48" s="139"/>
      <c r="Z48" s="33"/>
      <c r="AA48" s="34"/>
      <c r="AB48" s="33"/>
      <c r="AC48" s="34"/>
      <c r="AD48" s="34"/>
      <c r="AE48" s="34"/>
    </row>
    <row r="49" spans="1:31" ht="16.5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67">
        <f>T48*N49</f>
        <v>0</v>
      </c>
      <c r="U49" s="568"/>
      <c r="V49" s="569"/>
      <c r="W49" s="2"/>
      <c r="X49" s="2"/>
      <c r="Y49" s="33"/>
      <c r="Z49" s="34"/>
      <c r="AA49" s="34"/>
      <c r="AB49" s="34"/>
      <c r="AC49" s="34"/>
      <c r="AD49" s="34"/>
      <c r="AE49" s="33"/>
    </row>
    <row r="50" spans="1:31" ht="16.5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67">
        <f>T48*N50</f>
        <v>0</v>
      </c>
      <c r="U50" s="568"/>
      <c r="V50" s="569"/>
      <c r="W50" s="2"/>
      <c r="X50" s="2"/>
      <c r="Y50" s="33"/>
      <c r="Z50" s="34"/>
      <c r="AA50" s="34"/>
      <c r="AB50" s="34"/>
      <c r="AC50" s="34"/>
      <c r="AD50" s="34"/>
      <c r="AE50" s="141"/>
    </row>
    <row r="51" spans="1:31" ht="16.5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67">
        <f>(T48+T49+T50)*N51</f>
        <v>0</v>
      </c>
      <c r="U51" s="568"/>
      <c r="V51" s="569"/>
      <c r="W51" s="2"/>
      <c r="X51" s="2"/>
      <c r="Y51" s="244"/>
      <c r="Z51" s="33"/>
      <c r="AA51" s="34"/>
      <c r="AB51" s="33"/>
      <c r="AE51" s="33"/>
    </row>
    <row r="52" spans="1:31" ht="16.5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61">
        <f>SUM(T48:V51)</f>
        <v>0</v>
      </c>
      <c r="U52" s="562"/>
      <c r="V52" s="563"/>
      <c r="W52" s="2"/>
      <c r="X52" s="9"/>
      <c r="Y52" s="238"/>
      <c r="Z52" s="239"/>
      <c r="AA52" s="144"/>
      <c r="AB52" s="144"/>
      <c r="AC52" s="144"/>
      <c r="AD52" s="144"/>
      <c r="AE52" s="33"/>
    </row>
    <row r="53" spans="1:31" ht="16.5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61" t="e">
        <f>T52/E8</f>
        <v>#DIV/0!</v>
      </c>
      <c r="U53" s="562"/>
      <c r="V53" s="563"/>
      <c r="W53" s="132"/>
      <c r="X53" s="2"/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244"/>
      <c r="Z54" s="273"/>
      <c r="AA54" s="144"/>
      <c r="AB54" s="144"/>
      <c r="AC54" s="144"/>
      <c r="AD54" s="144"/>
      <c r="AE54" s="33"/>
    </row>
    <row r="55" spans="1:31" ht="15" customHeight="1" x14ac:dyDescent="0.3">
      <c r="L55" s="2"/>
      <c r="M55" s="2"/>
      <c r="N55" s="2"/>
      <c r="Y55" s="244"/>
      <c r="Z55" s="239"/>
      <c r="AA55" s="144"/>
      <c r="AB55" s="144"/>
      <c r="AC55" s="144"/>
      <c r="AD55" s="144"/>
      <c r="AE55" s="33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44"/>
      <c r="Z57" s="273"/>
      <c r="AA57" s="144"/>
      <c r="AB57" s="144"/>
      <c r="AC57" s="143"/>
      <c r="AD57" s="144"/>
      <c r="AE57" s="141"/>
    </row>
    <row r="58" spans="1:31" ht="16.5" x14ac:dyDescent="0.3"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Y59" s="274"/>
      <c r="Z59" s="239"/>
      <c r="AA59" s="144"/>
      <c r="AB59" s="144"/>
      <c r="AC59" s="144"/>
      <c r="AD59" s="144"/>
      <c r="AE59" s="33"/>
    </row>
    <row r="60" spans="1:31" ht="16.5" x14ac:dyDescent="0.3">
      <c r="Y60" s="244"/>
      <c r="Z60" s="254"/>
      <c r="AA60" s="144"/>
      <c r="AB60" s="144"/>
      <c r="AC60" s="144"/>
      <c r="AD60" s="144"/>
      <c r="AE60" s="33"/>
    </row>
    <row r="61" spans="1:31" ht="16.5" x14ac:dyDescent="0.3">
      <c r="Y61" s="238"/>
      <c r="Z61" s="239"/>
      <c r="AA61" s="144"/>
      <c r="AB61" s="144"/>
      <c r="AC61" s="144"/>
      <c r="AD61" s="144"/>
      <c r="AE61" s="33"/>
    </row>
    <row r="62" spans="1:31" ht="16.5" x14ac:dyDescent="0.3">
      <c r="Y62" s="139"/>
      <c r="Z62" s="239"/>
      <c r="AA62" s="34"/>
      <c r="AB62" s="33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143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14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3"/>
    </row>
    <row r="68" spans="25:31" ht="16.5" x14ac:dyDescent="0.25">
      <c r="Y68" s="139"/>
      <c r="Z68" s="33"/>
      <c r="AA68" s="140"/>
      <c r="AB68" s="141"/>
      <c r="AC68" s="144"/>
      <c r="AD68" s="144"/>
      <c r="AE68" s="33"/>
    </row>
    <row r="69" spans="25:31" ht="16.5" x14ac:dyDescent="0.25">
      <c r="Y69" s="142"/>
      <c r="Z69" s="143"/>
      <c r="AA69" s="144"/>
      <c r="AB69" s="144"/>
      <c r="AC69" s="34"/>
      <c r="AD69" s="34"/>
      <c r="AE69" s="34"/>
    </row>
    <row r="70" spans="25:31" ht="16.5" x14ac:dyDescent="0.25">
      <c r="Y70" s="275"/>
      <c r="Z70" s="276"/>
      <c r="AA70" s="277"/>
      <c r="AB70" s="277"/>
      <c r="AC70" s="278"/>
      <c r="AD70" s="144"/>
      <c r="AE70" s="33"/>
    </row>
    <row r="71" spans="25:31" ht="16.5" x14ac:dyDescent="0.25">
      <c r="Y71" s="279"/>
      <c r="Z71" s="280"/>
      <c r="AA71" s="278"/>
      <c r="AB71" s="278"/>
      <c r="AC71" s="276"/>
      <c r="AD71" s="276"/>
      <c r="AE71" s="33"/>
    </row>
    <row r="72" spans="25:31" ht="16.5" x14ac:dyDescent="0.25">
      <c r="Y72" s="142"/>
      <c r="Z72" s="143"/>
      <c r="AA72" s="144"/>
      <c r="AB72" s="278"/>
      <c r="AC72" s="34"/>
      <c r="AD72" s="34"/>
      <c r="AE72" s="34"/>
    </row>
    <row r="73" spans="25:31" ht="16.5" x14ac:dyDescent="0.25">
      <c r="Y73" s="33"/>
      <c r="Z73" s="34"/>
      <c r="AA73" s="140"/>
      <c r="AB73" s="140"/>
      <c r="AC73" s="140"/>
      <c r="AD73" s="140"/>
      <c r="AE73" s="34"/>
    </row>
    <row r="74" spans="25:31" ht="16.5" x14ac:dyDescent="0.25">
      <c r="Y74" s="142"/>
      <c r="Z74" s="142"/>
      <c r="AA74" s="143"/>
      <c r="AB74" s="144"/>
      <c r="AC74" s="144"/>
      <c r="AD74" s="144"/>
      <c r="AE74" s="34"/>
    </row>
    <row r="75" spans="25:31" ht="16.5" x14ac:dyDescent="0.25">
      <c r="Y75" s="142"/>
      <c r="Z75" s="142"/>
      <c r="AA75" s="143"/>
      <c r="AB75" s="144"/>
      <c r="AC75" s="144"/>
      <c r="AD75" s="144"/>
      <c r="AE75" s="34"/>
    </row>
    <row r="76" spans="25:31" ht="16.5" x14ac:dyDescent="0.25">
      <c r="Y76" s="33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3"/>
      <c r="AA77" s="34"/>
      <c r="AB77" s="33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33"/>
      <c r="Z79" s="34"/>
      <c r="AA79" s="34"/>
      <c r="AB79" s="34"/>
      <c r="AC79" s="34"/>
      <c r="AD79" s="34"/>
      <c r="AE79" s="34"/>
    </row>
    <row r="80" spans="25:31" ht="16.5" x14ac:dyDescent="0.25">
      <c r="Y80" s="139"/>
      <c r="Z80" s="33"/>
      <c r="AA80" s="34"/>
      <c r="AB80" s="33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139"/>
      <c r="Z82" s="33"/>
      <c r="AA82" s="140"/>
      <c r="AB82" s="141"/>
      <c r="AC82" s="34"/>
      <c r="AD82" s="34"/>
      <c r="AE82" s="34"/>
    </row>
    <row r="83" spans="25:31" ht="16.5" x14ac:dyDescent="0.25">
      <c r="Y83" s="142"/>
      <c r="Z83" s="143"/>
      <c r="AA83" s="144"/>
      <c r="AB83" s="144"/>
      <c r="AC83" s="34"/>
      <c r="AD83" s="34"/>
      <c r="AE83" s="34"/>
    </row>
    <row r="84" spans="25:31" ht="16.5" x14ac:dyDescent="0.25">
      <c r="Y84" s="33"/>
      <c r="Z84" s="34"/>
      <c r="AA84" s="140"/>
      <c r="AB84" s="140"/>
      <c r="AC84" s="34"/>
      <c r="AD84" s="34"/>
      <c r="AE84" s="34"/>
    </row>
    <row r="85" spans="25:31" ht="16.5" x14ac:dyDescent="0.25">
      <c r="Y85" s="142"/>
      <c r="Z85" s="142"/>
      <c r="AA85" s="143"/>
      <c r="AB85" s="144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  <row r="89" spans="25:31" ht="16.5" x14ac:dyDescent="0.25">
      <c r="Y89" s="33"/>
      <c r="Z89" s="33"/>
      <c r="AA89" s="34"/>
      <c r="AB89" s="33"/>
      <c r="AC89" s="34"/>
      <c r="AD89" s="34"/>
      <c r="AE89" s="34"/>
    </row>
    <row r="90" spans="25:31" ht="16.5" x14ac:dyDescent="0.25">
      <c r="Y90" s="33"/>
      <c r="Z90" s="33"/>
      <c r="AA90" s="34"/>
      <c r="AB90" s="33"/>
      <c r="AC90" s="34"/>
      <c r="AD90" s="34"/>
      <c r="AE90" s="34"/>
    </row>
  </sheetData>
  <mergeCells count="115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K21:M21"/>
    <mergeCell ref="N21:P21"/>
    <mergeCell ref="Q21:S21"/>
    <mergeCell ref="T21:V21"/>
    <mergeCell ref="C22:J22"/>
    <mergeCell ref="T22:V22"/>
    <mergeCell ref="K20:M20"/>
    <mergeCell ref="N20:P20"/>
    <mergeCell ref="Q20:S20"/>
    <mergeCell ref="T20:V20"/>
    <mergeCell ref="B23:J24"/>
    <mergeCell ref="K23:M24"/>
    <mergeCell ref="N23:P24"/>
    <mergeCell ref="Q23:S24"/>
    <mergeCell ref="T23:V24"/>
    <mergeCell ref="K26:M26"/>
    <mergeCell ref="N26:P26"/>
    <mergeCell ref="Q26:S26"/>
    <mergeCell ref="T26:V26"/>
    <mergeCell ref="K29:M29"/>
    <mergeCell ref="N29:P29"/>
    <mergeCell ref="Q29:S29"/>
    <mergeCell ref="T29:V29"/>
    <mergeCell ref="K30:M30"/>
    <mergeCell ref="N30:P30"/>
    <mergeCell ref="Q30:S30"/>
    <mergeCell ref="T30:V30"/>
    <mergeCell ref="K27:M27"/>
    <mergeCell ref="N27:P27"/>
    <mergeCell ref="Q27:S27"/>
    <mergeCell ref="T27:V27"/>
    <mergeCell ref="K28:M28"/>
    <mergeCell ref="N28:P28"/>
    <mergeCell ref="Q28:S28"/>
    <mergeCell ref="T28:V28"/>
    <mergeCell ref="K37:M37"/>
    <mergeCell ref="N37:P37"/>
    <mergeCell ref="Q37:S37"/>
    <mergeCell ref="T37:V37"/>
    <mergeCell ref="K38:M38"/>
    <mergeCell ref="N38:P38"/>
    <mergeCell ref="Q38:S38"/>
    <mergeCell ref="T38:V38"/>
    <mergeCell ref="C31:J31"/>
    <mergeCell ref="T31:V31"/>
    <mergeCell ref="C32:J32"/>
    <mergeCell ref="T32:V32"/>
    <mergeCell ref="H33:I33"/>
    <mergeCell ref="B34:J35"/>
    <mergeCell ref="K34:M35"/>
    <mergeCell ref="N34:P35"/>
    <mergeCell ref="Q34:S35"/>
    <mergeCell ref="T34:V35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T52:V52"/>
    <mergeCell ref="T53:V53"/>
    <mergeCell ref="C47:J47"/>
    <mergeCell ref="T47:V47"/>
    <mergeCell ref="T48:V48"/>
    <mergeCell ref="T49:V49"/>
    <mergeCell ref="T50:V50"/>
    <mergeCell ref="T51:V51"/>
    <mergeCell ref="D43:J44"/>
    <mergeCell ref="K43:M43"/>
    <mergeCell ref="N43:P43"/>
    <mergeCell ref="Q43:S43"/>
    <mergeCell ref="T43:V43"/>
    <mergeCell ref="K44:M44"/>
    <mergeCell ref="N44:P44"/>
    <mergeCell ref="Q44:S44"/>
    <mergeCell ref="T44:V44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B6E1-4167-C340-9277-A64EFD7D4AC0}">
  <sheetPr codeName="Sheet20">
    <tabColor rgb="FF92D050"/>
    <pageSetUpPr fitToPage="1"/>
  </sheetPr>
  <dimension ref="A1:AG90"/>
  <sheetViews>
    <sheetView view="pageBreakPreview" topLeftCell="A23" zoomScale="88" zoomScaleNormal="85" zoomScaleSheetLayoutView="88" workbookViewId="0">
      <selection activeCell="Q37" sqref="Q37:S3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30.95" customHeight="1" x14ac:dyDescent="0.3">
      <c r="A5" s="6" t="s">
        <v>2</v>
      </c>
      <c r="B5" s="5" t="s">
        <v>3</v>
      </c>
      <c r="C5" s="5"/>
      <c r="D5" s="5"/>
      <c r="E5" s="578" t="s">
        <v>220</v>
      </c>
      <c r="F5" s="578"/>
      <c r="G5" s="605" t="s">
        <v>227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221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91">
        <f>10*8</f>
        <v>80</v>
      </c>
      <c r="F7" s="591"/>
      <c r="G7" s="2" t="s">
        <v>222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DATA'!C26</f>
        <v>38</v>
      </c>
      <c r="F8" s="600"/>
      <c r="G8" s="602" t="str">
        <f>E6</f>
        <v>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E8/E7</f>
        <v>0.47499999999999998</v>
      </c>
      <c r="O14" s="581"/>
      <c r="P14" s="582"/>
      <c r="Q14" s="599">
        <v>800</v>
      </c>
      <c r="R14" s="600"/>
      <c r="S14" s="601"/>
      <c r="T14" s="583">
        <f t="shared" ref="T14:T16" si="0">K14*N14*Q14</f>
        <v>380</v>
      </c>
      <c r="U14" s="584"/>
      <c r="V14" s="585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0.47499999999999998</v>
      </c>
      <c r="O15" s="581"/>
      <c r="P15" s="582"/>
      <c r="Q15" s="599">
        <v>600</v>
      </c>
      <c r="R15" s="600"/>
      <c r="S15" s="601"/>
      <c r="T15" s="583">
        <f t="shared" si="0"/>
        <v>285</v>
      </c>
      <c r="U15" s="584"/>
      <c r="V15" s="585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v>1</v>
      </c>
      <c r="L16" s="597"/>
      <c r="M16" s="598"/>
      <c r="N16" s="580">
        <f>N15</f>
        <v>0.47499999999999998</v>
      </c>
      <c r="O16" s="581"/>
      <c r="P16" s="582"/>
      <c r="Q16" s="599">
        <v>400</v>
      </c>
      <c r="R16" s="600"/>
      <c r="S16" s="601"/>
      <c r="T16" s="583">
        <f t="shared" si="0"/>
        <v>190</v>
      </c>
      <c r="U16" s="584"/>
      <c r="V16" s="585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80"/>
      <c r="O17" s="581"/>
      <c r="P17" s="58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/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/>
      <c r="D20" s="35"/>
      <c r="E20" s="2"/>
      <c r="F20" s="2"/>
      <c r="G20" s="2"/>
      <c r="H20" s="2"/>
      <c r="I20" s="2"/>
      <c r="J20" s="17"/>
      <c r="K20" s="596"/>
      <c r="L20" s="597"/>
      <c r="M20" s="598"/>
      <c r="N20" s="580"/>
      <c r="O20" s="581"/>
      <c r="P20" s="582"/>
      <c r="Q20" s="599"/>
      <c r="R20" s="600"/>
      <c r="S20" s="601"/>
      <c r="T20" s="583"/>
      <c r="U20" s="584"/>
      <c r="V20" s="585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7"/>
      <c r="L21" s="578"/>
      <c r="M21" s="579"/>
      <c r="N21" s="580"/>
      <c r="O21" s="578"/>
      <c r="P21" s="579"/>
      <c r="Q21" s="589"/>
      <c r="R21" s="578"/>
      <c r="S21" s="579"/>
      <c r="T21" s="583"/>
      <c r="U21" s="584"/>
      <c r="V21" s="585"/>
      <c r="W21" s="2"/>
      <c r="X21" s="2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3">
      <c r="A22" s="45" t="s">
        <v>26</v>
      </c>
      <c r="B22" s="46"/>
      <c r="C22" s="564" t="s">
        <v>27</v>
      </c>
      <c r="D22" s="565"/>
      <c r="E22" s="565"/>
      <c r="F22" s="565"/>
      <c r="G22" s="565"/>
      <c r="H22" s="565"/>
      <c r="I22" s="565"/>
      <c r="J22" s="56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61">
        <f>ROUND(SUM(T14:V20),2)</f>
        <v>855</v>
      </c>
      <c r="U22" s="562"/>
      <c r="V22" s="563"/>
      <c r="X22" s="51"/>
      <c r="Y22" s="39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1" t="s">
        <v>29</v>
      </c>
      <c r="C23" s="572"/>
      <c r="D23" s="572"/>
      <c r="E23" s="572"/>
      <c r="F23" s="572"/>
      <c r="G23" s="572"/>
      <c r="H23" s="572"/>
      <c r="I23" s="572"/>
      <c r="J23" s="573"/>
      <c r="K23" s="571" t="s">
        <v>30</v>
      </c>
      <c r="L23" s="572"/>
      <c r="M23" s="573"/>
      <c r="N23" s="571" t="s">
        <v>15</v>
      </c>
      <c r="O23" s="572"/>
      <c r="P23" s="573"/>
      <c r="Q23" s="571" t="s">
        <v>16</v>
      </c>
      <c r="R23" s="572"/>
      <c r="S23" s="573"/>
      <c r="T23" s="571" t="s">
        <v>17</v>
      </c>
      <c r="U23" s="572"/>
      <c r="V23" s="573"/>
      <c r="X23" s="52"/>
      <c r="Y23" s="33"/>
      <c r="Z23" s="33"/>
      <c r="AA23" s="34"/>
      <c r="AB23" s="38"/>
      <c r="AC23" s="34"/>
      <c r="AD23" s="34"/>
      <c r="AE23" s="33"/>
      <c r="AF23" s="42"/>
      <c r="AG23" s="33"/>
    </row>
    <row r="24" spans="1:33" ht="16.5" x14ac:dyDescent="0.25">
      <c r="B24" s="574"/>
      <c r="C24" s="575"/>
      <c r="D24" s="575"/>
      <c r="E24" s="575"/>
      <c r="F24" s="575"/>
      <c r="G24" s="575"/>
      <c r="H24" s="575"/>
      <c r="I24" s="575"/>
      <c r="J24" s="576"/>
      <c r="K24" s="574"/>
      <c r="L24" s="575"/>
      <c r="M24" s="576"/>
      <c r="N24" s="574"/>
      <c r="O24" s="575"/>
      <c r="P24" s="576"/>
      <c r="Q24" s="574"/>
      <c r="R24" s="575"/>
      <c r="S24" s="576"/>
      <c r="T24" s="574"/>
      <c r="U24" s="575"/>
      <c r="V24" s="576"/>
      <c r="Y24" s="33"/>
      <c r="Z24" s="33"/>
      <c r="AA24" s="34"/>
      <c r="AB24" s="33"/>
      <c r="AC24" s="33"/>
      <c r="AD24" s="33"/>
      <c r="AE24" s="33"/>
      <c r="AF24" s="33"/>
      <c r="AG24" s="33"/>
    </row>
    <row r="25" spans="1:33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3" ht="16.5" x14ac:dyDescent="0.3">
      <c r="B26" s="15"/>
      <c r="C26" s="19"/>
      <c r="D26" s="2" t="s">
        <v>104</v>
      </c>
      <c r="E26" s="2"/>
      <c r="F26" s="2"/>
      <c r="G26" s="2"/>
      <c r="H26" s="2"/>
      <c r="I26" s="2"/>
      <c r="J26" s="17"/>
      <c r="K26" s="577"/>
      <c r="L26" s="578"/>
      <c r="M26" s="579"/>
      <c r="N26" s="590"/>
      <c r="O26" s="591"/>
      <c r="P26" s="592"/>
      <c r="Q26" s="580"/>
      <c r="R26" s="581"/>
      <c r="S26" s="582"/>
      <c r="T26" s="583">
        <f>0.1*T22</f>
        <v>85.5</v>
      </c>
      <c r="U26" s="584"/>
      <c r="V26" s="585"/>
      <c r="W26" s="18"/>
      <c r="X26" s="18"/>
      <c r="Y26" s="139"/>
      <c r="Z26" s="139"/>
      <c r="AA26" s="34"/>
      <c r="AB26" s="34"/>
      <c r="AC26" s="33"/>
      <c r="AD26" s="33"/>
      <c r="AE26" s="33"/>
      <c r="AF26" s="33"/>
      <c r="AG26" s="33"/>
    </row>
    <row r="27" spans="1:33" ht="16.5" x14ac:dyDescent="0.3">
      <c r="B27" s="41"/>
      <c r="C27" s="19"/>
      <c r="D27" s="40"/>
      <c r="E27" s="2"/>
      <c r="F27" s="2"/>
      <c r="G27" s="2"/>
      <c r="H27" s="2"/>
      <c r="I27" s="2"/>
      <c r="J27" s="17"/>
      <c r="K27" s="577"/>
      <c r="L27" s="578"/>
      <c r="M27" s="579"/>
      <c r="N27" s="590"/>
      <c r="O27" s="591"/>
      <c r="P27" s="592"/>
      <c r="Q27" s="580"/>
      <c r="R27" s="581"/>
      <c r="S27" s="582"/>
      <c r="T27" s="583"/>
      <c r="U27" s="584"/>
      <c r="V27" s="585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7"/>
      <c r="L28" s="578"/>
      <c r="M28" s="579"/>
      <c r="N28" s="659"/>
      <c r="O28" s="660"/>
      <c r="P28" s="661"/>
      <c r="Q28" s="580"/>
      <c r="R28" s="581"/>
      <c r="S28" s="582"/>
      <c r="T28" s="583"/>
      <c r="U28" s="584"/>
      <c r="V28" s="585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81"/>
      <c r="P29" s="582"/>
      <c r="Q29" s="580"/>
      <c r="R29" s="581"/>
      <c r="S29" s="582"/>
      <c r="T29" s="583"/>
      <c r="U29" s="584"/>
      <c r="V29" s="585"/>
      <c r="W29" s="18"/>
      <c r="X29" s="18"/>
      <c r="Y29" s="139"/>
      <c r="Z29" s="270"/>
      <c r="AA29" s="39"/>
      <c r="AB29" s="39"/>
      <c r="AC29" s="39"/>
      <c r="AD29" s="140"/>
      <c r="AE29" s="271"/>
      <c r="AF29" s="140"/>
      <c r="AG29" s="140"/>
    </row>
    <row r="30" spans="1:33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7"/>
      <c r="L30" s="578"/>
      <c r="M30" s="579"/>
      <c r="N30" s="580"/>
      <c r="O30" s="578"/>
      <c r="P30" s="579"/>
      <c r="Q30" s="580"/>
      <c r="R30" s="581"/>
      <c r="S30" s="582"/>
      <c r="T30" s="583"/>
      <c r="U30" s="584"/>
      <c r="V30" s="585"/>
      <c r="W30" s="2"/>
      <c r="X30" s="2"/>
      <c r="Y30" s="33"/>
      <c r="Z30" s="33"/>
      <c r="AA30" s="34"/>
      <c r="AB30" s="34"/>
      <c r="AC30" s="33"/>
      <c r="AD30" s="33"/>
      <c r="AE30" s="33"/>
      <c r="AF30" s="140"/>
      <c r="AG30" s="140"/>
    </row>
    <row r="31" spans="1:33" ht="16.5" x14ac:dyDescent="0.3">
      <c r="A31" s="61" t="s">
        <v>34</v>
      </c>
      <c r="B31" s="46"/>
      <c r="C31" s="564" t="s">
        <v>35</v>
      </c>
      <c r="D31" s="565"/>
      <c r="E31" s="565"/>
      <c r="F31" s="565"/>
      <c r="G31" s="565"/>
      <c r="H31" s="565"/>
      <c r="I31" s="565"/>
      <c r="J31" s="56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61">
        <f>ROUND(SUM(T26:V30),2)</f>
        <v>85.5</v>
      </c>
      <c r="U31" s="562"/>
      <c r="V31" s="563"/>
      <c r="W31" s="9"/>
      <c r="X31" s="2"/>
      <c r="Y31" s="257"/>
      <c r="Z31" s="257"/>
      <c r="AA31" s="272"/>
      <c r="AB31" s="272"/>
      <c r="AC31" s="257"/>
      <c r="AD31" s="257"/>
      <c r="AE31" s="272"/>
      <c r="AF31" s="140"/>
      <c r="AG31" s="140"/>
    </row>
    <row r="32" spans="1:33" ht="16.5" x14ac:dyDescent="0.3">
      <c r="B32" s="64" t="s">
        <v>36</v>
      </c>
      <c r="C32" s="564" t="s">
        <v>37</v>
      </c>
      <c r="D32" s="565"/>
      <c r="E32" s="565"/>
      <c r="F32" s="565"/>
      <c r="G32" s="565"/>
      <c r="H32" s="565"/>
      <c r="I32" s="565"/>
      <c r="J32" s="565"/>
      <c r="K32" s="48"/>
      <c r="L32" s="48"/>
      <c r="M32" s="48"/>
      <c r="N32" s="48"/>
      <c r="O32" s="48"/>
      <c r="P32" s="48"/>
      <c r="Q32" s="48"/>
      <c r="R32" s="48"/>
      <c r="S32" s="48"/>
      <c r="T32" s="562">
        <f>T22+T31</f>
        <v>940.5</v>
      </c>
      <c r="U32" s="562"/>
      <c r="V32" s="563"/>
      <c r="W32" s="2"/>
      <c r="X32" s="2"/>
      <c r="Y32" s="33"/>
      <c r="Z32" s="33"/>
      <c r="AA32" s="271"/>
      <c r="AB32" s="271"/>
      <c r="AC32" s="33"/>
      <c r="AD32" s="33"/>
      <c r="AE32" s="271"/>
      <c r="AF32" s="271"/>
      <c r="AG32" s="271"/>
    </row>
    <row r="33" spans="1:33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70">
        <f>E7</f>
        <v>80</v>
      </c>
      <c r="I33" s="565"/>
      <c r="J33" s="48" t="str">
        <f>G7</f>
        <v>M./DAY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33"/>
      <c r="Z33" s="33"/>
      <c r="AA33" s="39"/>
      <c r="AB33" s="34"/>
      <c r="AC33" s="33"/>
      <c r="AD33" s="33"/>
      <c r="AE33" s="33"/>
      <c r="AF33" s="271"/>
      <c r="AG33" s="271"/>
    </row>
    <row r="34" spans="1:33" ht="16.5" x14ac:dyDescent="0.3">
      <c r="B34" s="571" t="s">
        <v>44</v>
      </c>
      <c r="C34" s="572"/>
      <c r="D34" s="572"/>
      <c r="E34" s="572"/>
      <c r="F34" s="572"/>
      <c r="G34" s="572"/>
      <c r="H34" s="572"/>
      <c r="I34" s="572"/>
      <c r="J34" s="573"/>
      <c r="K34" s="571" t="s">
        <v>45</v>
      </c>
      <c r="L34" s="572"/>
      <c r="M34" s="573"/>
      <c r="N34" s="571" t="s">
        <v>46</v>
      </c>
      <c r="O34" s="572"/>
      <c r="P34" s="573"/>
      <c r="Q34" s="571" t="s">
        <v>47</v>
      </c>
      <c r="R34" s="572"/>
      <c r="S34" s="573"/>
      <c r="T34" s="571" t="s">
        <v>17</v>
      </c>
      <c r="U34" s="572"/>
      <c r="V34" s="573"/>
      <c r="W34" s="2"/>
      <c r="X34" s="2"/>
      <c r="Y34" s="33"/>
      <c r="Z34" s="33"/>
      <c r="AA34" s="34"/>
      <c r="AB34" s="34"/>
      <c r="AC34" s="33"/>
      <c r="AD34" s="33"/>
      <c r="AE34" s="33"/>
      <c r="AF34" s="33"/>
      <c r="AG34" s="33"/>
    </row>
    <row r="35" spans="1:33" ht="16.5" x14ac:dyDescent="0.3">
      <c r="B35" s="574"/>
      <c r="C35" s="575"/>
      <c r="D35" s="575"/>
      <c r="E35" s="575"/>
      <c r="F35" s="575"/>
      <c r="G35" s="575"/>
      <c r="H35" s="575"/>
      <c r="I35" s="575"/>
      <c r="J35" s="576"/>
      <c r="K35" s="574"/>
      <c r="L35" s="575"/>
      <c r="M35" s="576"/>
      <c r="N35" s="574"/>
      <c r="O35" s="575"/>
      <c r="P35" s="576"/>
      <c r="Q35" s="574"/>
      <c r="R35" s="575"/>
      <c r="S35" s="576"/>
      <c r="T35" s="574"/>
      <c r="U35" s="575"/>
      <c r="V35" s="576"/>
      <c r="W35" s="2"/>
      <c r="X35" s="2"/>
      <c r="Y35" s="2"/>
      <c r="Z35" s="2"/>
      <c r="AA35" s="7"/>
      <c r="AB35" s="7"/>
      <c r="AC35" s="192"/>
      <c r="AD35" s="192"/>
      <c r="AE35" s="192"/>
      <c r="AF35" s="192"/>
      <c r="AG35" s="192"/>
    </row>
    <row r="36" spans="1:33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"/>
      <c r="Z36" s="2"/>
      <c r="AA36" s="7"/>
      <c r="AB36" s="7"/>
      <c r="AC36" s="193"/>
      <c r="AD36" s="193"/>
      <c r="AE36" s="192"/>
      <c r="AF36" s="192"/>
      <c r="AG36" s="193"/>
    </row>
    <row r="37" spans="1:33" ht="32.1" customHeight="1" x14ac:dyDescent="0.3">
      <c r="B37" s="41"/>
      <c r="C37" s="60" t="s">
        <v>21</v>
      </c>
      <c r="D37" s="695" t="s">
        <v>223</v>
      </c>
      <c r="E37" s="695"/>
      <c r="F37" s="695"/>
      <c r="G37" s="695"/>
      <c r="H37" s="695"/>
      <c r="I37" s="695"/>
      <c r="J37" s="696"/>
      <c r="K37" s="659">
        <f>E8</f>
        <v>38</v>
      </c>
      <c r="L37" s="660"/>
      <c r="M37" s="661"/>
      <c r="N37" s="662" t="s">
        <v>224</v>
      </c>
      <c r="O37" s="663" t="str">
        <f>IF(L37&gt;1,"bags","bag")</f>
        <v>bag</v>
      </c>
      <c r="P37" s="664" t="str">
        <f>IF(M37&gt;1,"bags","bag")</f>
        <v>bag</v>
      </c>
      <c r="Q37" s="647">
        <f>440/2.4</f>
        <v>183.33333333333334</v>
      </c>
      <c r="R37" s="648"/>
      <c r="S37" s="649"/>
      <c r="T37" s="635">
        <f>K37*Q37</f>
        <v>6966.666666666667</v>
      </c>
      <c r="U37" s="636"/>
      <c r="V37" s="637"/>
      <c r="W37" s="18"/>
      <c r="X37" s="149"/>
      <c r="Y37" s="149"/>
      <c r="Z37" s="149"/>
      <c r="AA37" s="149"/>
      <c r="AB37" s="2"/>
    </row>
    <row r="38" spans="1:33" ht="16.5" customHeight="1" x14ac:dyDescent="0.3">
      <c r="B38" s="41"/>
      <c r="C38" s="19" t="s">
        <v>23</v>
      </c>
      <c r="D38" s="60" t="s">
        <v>225</v>
      </c>
      <c r="F38" s="121"/>
      <c r="G38" s="122"/>
      <c r="H38" s="122"/>
      <c r="I38" s="122"/>
      <c r="J38" s="17"/>
      <c r="K38" s="659">
        <f>19*E8</f>
        <v>722</v>
      </c>
      <c r="L38" s="660"/>
      <c r="M38" s="661"/>
      <c r="N38" s="662" t="s">
        <v>209</v>
      </c>
      <c r="O38" s="663" t="str">
        <f>IF(L38&gt;1,"bags","bag")</f>
        <v>bag</v>
      </c>
      <c r="P38" s="664" t="str">
        <f>IF(M38&gt;1,"bags","bag")</f>
        <v>bag</v>
      </c>
      <c r="Q38" s="647">
        <f>400/300</f>
        <v>1.3333333333333333</v>
      </c>
      <c r="R38" s="648"/>
      <c r="S38" s="649"/>
      <c r="T38" s="635">
        <f t="shared" ref="T38" si="1">K38*Q38</f>
        <v>962.66666666666663</v>
      </c>
      <c r="U38" s="636"/>
      <c r="V38" s="637"/>
      <c r="W38" s="132"/>
      <c r="X38" s="149"/>
      <c r="Y38" s="149"/>
      <c r="Z38" s="149"/>
      <c r="AA38" s="149"/>
      <c r="AB38" s="2"/>
    </row>
    <row r="39" spans="1:33" ht="16.5" customHeight="1" x14ac:dyDescent="0.3">
      <c r="B39" s="41"/>
      <c r="C39" s="19" t="s">
        <v>78</v>
      </c>
      <c r="D39" s="40" t="s">
        <v>208</v>
      </c>
      <c r="E39" s="121"/>
      <c r="F39" s="121"/>
      <c r="G39" s="122"/>
      <c r="H39" s="122"/>
      <c r="I39" s="122"/>
      <c r="J39" s="17"/>
      <c r="K39" s="659"/>
      <c r="L39" s="660"/>
      <c r="M39" s="661"/>
      <c r="N39" s="662"/>
      <c r="O39" s="663"/>
      <c r="P39" s="664"/>
      <c r="Q39" s="647"/>
      <c r="R39" s="648"/>
      <c r="S39" s="649"/>
      <c r="T39" s="635">
        <f>0.03*SUM(T37:V38)</f>
        <v>237.88</v>
      </c>
      <c r="U39" s="636"/>
      <c r="V39" s="637"/>
      <c r="W39" s="132"/>
      <c r="X39" s="149"/>
      <c r="Y39" s="149"/>
      <c r="Z39" s="149"/>
      <c r="AA39" s="149"/>
      <c r="AB39" s="2"/>
    </row>
    <row r="40" spans="1:33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659"/>
      <c r="L40" s="660"/>
      <c r="M40" s="661"/>
      <c r="N40" s="662"/>
      <c r="O40" s="663"/>
      <c r="P40" s="664"/>
      <c r="Q40" s="647"/>
      <c r="R40" s="648"/>
      <c r="S40" s="649"/>
      <c r="T40" s="635"/>
      <c r="U40" s="636"/>
      <c r="V40" s="637"/>
      <c r="W40" s="18"/>
      <c r="X40" s="149"/>
      <c r="Y40" s="149"/>
      <c r="Z40" s="149"/>
      <c r="AA40" s="149"/>
      <c r="AB40" s="2"/>
    </row>
    <row r="41" spans="1:33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9"/>
      <c r="L41" s="660"/>
      <c r="M41" s="661"/>
      <c r="N41" s="662"/>
      <c r="O41" s="663"/>
      <c r="P41" s="664"/>
      <c r="Q41" s="647"/>
      <c r="R41" s="648"/>
      <c r="S41" s="649"/>
      <c r="T41" s="635"/>
      <c r="U41" s="636"/>
      <c r="V41" s="637"/>
      <c r="W41" s="18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245"/>
      <c r="F42" s="245"/>
      <c r="G42" s="122"/>
      <c r="H42" s="122"/>
      <c r="I42" s="122"/>
      <c r="J42" s="17"/>
      <c r="K42" s="659"/>
      <c r="L42" s="660"/>
      <c r="M42" s="661"/>
      <c r="N42" s="662"/>
      <c r="O42" s="663"/>
      <c r="P42" s="664"/>
      <c r="Q42" s="647"/>
      <c r="R42" s="648"/>
      <c r="S42" s="649"/>
      <c r="T42" s="635"/>
      <c r="U42" s="636"/>
      <c r="V42" s="637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40"/>
      <c r="F43" s="40"/>
      <c r="G43" s="40"/>
      <c r="H43" s="40"/>
      <c r="I43" s="40"/>
      <c r="J43" s="324"/>
      <c r="K43" s="659"/>
      <c r="L43" s="660"/>
      <c r="M43" s="661"/>
      <c r="N43" s="662"/>
      <c r="O43" s="663"/>
      <c r="P43" s="664"/>
      <c r="Q43" s="647"/>
      <c r="R43" s="648"/>
      <c r="S43" s="649"/>
      <c r="T43" s="635"/>
      <c r="U43" s="636"/>
      <c r="V43" s="637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19"/>
      <c r="D44" s="40"/>
      <c r="E44" s="40"/>
      <c r="F44" s="40"/>
      <c r="G44" s="40"/>
      <c r="H44" s="40"/>
      <c r="I44" s="40"/>
      <c r="J44" s="324"/>
      <c r="K44" s="659"/>
      <c r="L44" s="660"/>
      <c r="M44" s="661"/>
      <c r="N44" s="662"/>
      <c r="O44" s="663"/>
      <c r="P44" s="664"/>
      <c r="Q44" s="647"/>
      <c r="R44" s="648"/>
      <c r="S44" s="649"/>
      <c r="T44" s="635"/>
      <c r="U44" s="636"/>
      <c r="V44" s="637"/>
      <c r="W44" s="2"/>
      <c r="X44" s="149"/>
      <c r="Y44" s="149"/>
      <c r="Z44" s="149"/>
      <c r="AA44" s="149"/>
      <c r="AB44" s="2"/>
    </row>
    <row r="45" spans="1:33" ht="16.5" x14ac:dyDescent="0.3">
      <c r="B45" s="41"/>
      <c r="C45" s="19"/>
      <c r="D45" s="40"/>
      <c r="E45" s="121"/>
      <c r="F45" s="121"/>
      <c r="G45" s="206"/>
      <c r="H45" s="202"/>
      <c r="I45" s="202"/>
      <c r="J45" s="17"/>
      <c r="K45" s="123"/>
      <c r="L45" s="124"/>
      <c r="M45" s="125"/>
      <c r="N45" s="241"/>
      <c r="O45" s="242"/>
      <c r="P45" s="243"/>
      <c r="Q45" s="105"/>
      <c r="R45" s="106"/>
      <c r="S45" s="107"/>
      <c r="T45" s="213"/>
      <c r="U45" s="214"/>
      <c r="V45" s="215"/>
      <c r="W45" s="2"/>
      <c r="X45" s="149"/>
      <c r="Y45" s="149"/>
      <c r="Z45" s="149"/>
      <c r="AA45" s="149"/>
      <c r="AB45" s="2"/>
    </row>
    <row r="46" spans="1:33" ht="16.5" x14ac:dyDescent="0.3">
      <c r="B46" s="41"/>
      <c r="C46" s="40"/>
      <c r="D46" s="199"/>
      <c r="E46" s="121"/>
      <c r="F46" s="121"/>
      <c r="G46" s="206"/>
      <c r="H46" s="202"/>
      <c r="I46" s="202"/>
      <c r="J46" s="17"/>
      <c r="K46" s="207"/>
      <c r="L46" s="208"/>
      <c r="M46" s="209"/>
      <c r="N46" s="210"/>
      <c r="O46" s="211"/>
      <c r="P46" s="212"/>
      <c r="Q46" s="89"/>
      <c r="R46" s="90"/>
      <c r="S46" s="91"/>
      <c r="T46" s="213"/>
      <c r="U46" s="214"/>
      <c r="V46" s="215"/>
      <c r="W46" s="2"/>
      <c r="X46" s="149"/>
      <c r="Y46" s="149"/>
      <c r="Z46" s="2"/>
      <c r="AA46" s="2"/>
      <c r="AB46" s="2"/>
    </row>
    <row r="47" spans="1:33" ht="16.5" customHeight="1" x14ac:dyDescent="0.3">
      <c r="A47" s="45" t="s">
        <v>51</v>
      </c>
      <c r="B47" s="46"/>
      <c r="C47" s="564" t="s">
        <v>52</v>
      </c>
      <c r="D47" s="565"/>
      <c r="E47" s="565"/>
      <c r="F47" s="565"/>
      <c r="G47" s="565"/>
      <c r="H47" s="565"/>
      <c r="I47" s="565"/>
      <c r="J47" s="56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61">
        <f>ROUND(SUM(T37:V46),2)</f>
        <v>8167.21</v>
      </c>
      <c r="U47" s="562"/>
      <c r="V47" s="563"/>
      <c r="W47" s="2"/>
      <c r="X47" s="9"/>
      <c r="Y47" s="33"/>
      <c r="Z47" s="33"/>
      <c r="AA47" s="237"/>
      <c r="AB47" s="237"/>
      <c r="AC47" s="34"/>
      <c r="AD47" s="34"/>
      <c r="AE47" s="34"/>
    </row>
    <row r="48" spans="1:33" ht="16.5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61">
        <f>T32+T47</f>
        <v>9107.7099999999991</v>
      </c>
      <c r="U48" s="562"/>
      <c r="V48" s="563"/>
      <c r="W48" s="2"/>
      <c r="X48" s="2"/>
      <c r="Y48" s="139"/>
      <c r="Z48" s="33"/>
      <c r="AA48" s="34"/>
      <c r="AB48" s="33"/>
      <c r="AC48" s="34"/>
      <c r="AD48" s="34"/>
      <c r="AE48" s="34"/>
    </row>
    <row r="49" spans="1:31" ht="16.5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67">
        <f>T48*N49</f>
        <v>455.38549999999998</v>
      </c>
      <c r="U49" s="568"/>
      <c r="V49" s="569"/>
      <c r="W49" s="2"/>
      <c r="X49" s="2"/>
      <c r="Y49" s="33"/>
      <c r="Z49" s="34"/>
      <c r="AA49" s="34"/>
      <c r="AB49" s="34"/>
      <c r="AC49" s="34"/>
      <c r="AD49" s="34"/>
      <c r="AE49" s="33"/>
    </row>
    <row r="50" spans="1:31" ht="16.5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67">
        <f>T48*N50</f>
        <v>910.77099999999996</v>
      </c>
      <c r="U50" s="568"/>
      <c r="V50" s="569"/>
      <c r="W50" s="2"/>
      <c r="X50" s="2"/>
      <c r="Y50" s="33"/>
      <c r="Z50" s="34"/>
      <c r="AA50" s="34"/>
      <c r="AB50" s="34"/>
      <c r="AC50" s="34"/>
      <c r="AD50" s="34"/>
      <c r="AE50" s="141"/>
    </row>
    <row r="51" spans="1:31" ht="16.5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67">
        <f>(T48+T49+T50)*N51</f>
        <v>0</v>
      </c>
      <c r="U51" s="568"/>
      <c r="V51" s="569"/>
      <c r="W51" s="2"/>
      <c r="X51" s="2"/>
      <c r="Y51" s="244"/>
      <c r="Z51" s="33"/>
      <c r="AA51" s="34"/>
      <c r="AB51" s="33"/>
      <c r="AE51" s="33"/>
    </row>
    <row r="52" spans="1:31" ht="16.5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61">
        <f>SUM(T48:V51)</f>
        <v>10473.8665</v>
      </c>
      <c r="U52" s="562"/>
      <c r="V52" s="563"/>
      <c r="W52" s="2"/>
      <c r="X52" s="9"/>
      <c r="Y52" s="238"/>
      <c r="Z52" s="239"/>
      <c r="AA52" s="144"/>
      <c r="AB52" s="144"/>
      <c r="AC52" s="144"/>
      <c r="AD52" s="144"/>
      <c r="AE52" s="33"/>
    </row>
    <row r="53" spans="1:31" ht="16.5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61">
        <f>T52/E8</f>
        <v>275.62806578947368</v>
      </c>
      <c r="U53" s="562"/>
      <c r="V53" s="563"/>
      <c r="W53" s="132"/>
      <c r="X53" s="2"/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244"/>
      <c r="Z54" s="273"/>
      <c r="AA54" s="144"/>
      <c r="AB54" s="144"/>
      <c r="AC54" s="144"/>
      <c r="AD54" s="144"/>
      <c r="AE54" s="33"/>
    </row>
    <row r="55" spans="1:31" ht="15" customHeight="1" x14ac:dyDescent="0.3">
      <c r="L55" s="2"/>
      <c r="M55" s="2"/>
      <c r="N55" s="2"/>
      <c r="Y55" s="244"/>
      <c r="Z55" s="239"/>
      <c r="AA55" s="144"/>
      <c r="AB55" s="144"/>
      <c r="AC55" s="144"/>
      <c r="AD55" s="144"/>
      <c r="AE55" s="33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44"/>
      <c r="Z57" s="273"/>
      <c r="AA57" s="144"/>
      <c r="AB57" s="144"/>
      <c r="AC57" s="143"/>
      <c r="AD57" s="144"/>
      <c r="AE57" s="141"/>
    </row>
    <row r="58" spans="1:31" ht="16.5" x14ac:dyDescent="0.3"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Y59" s="274"/>
      <c r="Z59" s="239"/>
      <c r="AA59" s="144"/>
      <c r="AB59" s="144"/>
      <c r="AC59" s="144"/>
      <c r="AD59" s="144"/>
      <c r="AE59" s="33"/>
    </row>
    <row r="60" spans="1:31" ht="16.5" x14ac:dyDescent="0.3">
      <c r="Y60" s="244"/>
      <c r="Z60" s="254"/>
      <c r="AA60" s="144"/>
      <c r="AB60" s="144"/>
      <c r="AC60" s="144"/>
      <c r="AD60" s="144"/>
      <c r="AE60" s="33"/>
    </row>
    <row r="61" spans="1:31" ht="16.5" x14ac:dyDescent="0.3">
      <c r="Y61" s="238"/>
      <c r="Z61" s="239"/>
      <c r="AA61" s="144"/>
      <c r="AB61" s="144"/>
      <c r="AC61" s="144"/>
      <c r="AD61" s="144"/>
      <c r="AE61" s="33"/>
    </row>
    <row r="62" spans="1:31" ht="16.5" x14ac:dyDescent="0.3">
      <c r="Y62" s="139"/>
      <c r="Z62" s="239"/>
      <c r="AA62" s="34"/>
      <c r="AB62" s="33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143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14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3"/>
    </row>
    <row r="68" spans="25:31" ht="16.5" x14ac:dyDescent="0.25">
      <c r="Y68" s="139"/>
      <c r="Z68" s="33"/>
      <c r="AA68" s="140"/>
      <c r="AB68" s="141"/>
      <c r="AC68" s="144"/>
      <c r="AD68" s="144"/>
      <c r="AE68" s="33"/>
    </row>
    <row r="69" spans="25:31" ht="16.5" x14ac:dyDescent="0.25">
      <c r="Y69" s="142"/>
      <c r="Z69" s="143"/>
      <c r="AA69" s="144"/>
      <c r="AB69" s="144"/>
      <c r="AC69" s="34"/>
      <c r="AD69" s="34"/>
      <c r="AE69" s="34"/>
    </row>
    <row r="70" spans="25:31" ht="16.5" x14ac:dyDescent="0.25">
      <c r="Y70" s="275"/>
      <c r="Z70" s="276"/>
      <c r="AA70" s="277"/>
      <c r="AB70" s="277"/>
      <c r="AC70" s="278"/>
      <c r="AD70" s="144"/>
      <c r="AE70" s="33"/>
    </row>
    <row r="71" spans="25:31" ht="16.5" x14ac:dyDescent="0.25">
      <c r="Y71" s="279"/>
      <c r="Z71" s="280"/>
      <c r="AA71" s="278"/>
      <c r="AB71" s="278"/>
      <c r="AC71" s="276"/>
      <c r="AD71" s="276"/>
      <c r="AE71" s="33"/>
    </row>
    <row r="72" spans="25:31" ht="16.5" x14ac:dyDescent="0.25">
      <c r="Y72" s="142"/>
      <c r="Z72" s="143"/>
      <c r="AA72" s="144"/>
      <c r="AB72" s="278"/>
      <c r="AC72" s="34"/>
      <c r="AD72" s="34"/>
      <c r="AE72" s="34"/>
    </row>
    <row r="73" spans="25:31" ht="16.5" x14ac:dyDescent="0.25">
      <c r="Y73" s="33"/>
      <c r="Z73" s="34"/>
      <c r="AA73" s="140"/>
      <c r="AB73" s="140"/>
      <c r="AC73" s="140"/>
      <c r="AD73" s="140"/>
      <c r="AE73" s="34"/>
    </row>
    <row r="74" spans="25:31" ht="16.5" x14ac:dyDescent="0.25">
      <c r="Y74" s="142"/>
      <c r="Z74" s="142"/>
      <c r="AA74" s="143"/>
      <c r="AB74" s="144"/>
      <c r="AC74" s="144"/>
      <c r="AD74" s="144"/>
      <c r="AE74" s="34"/>
    </row>
    <row r="75" spans="25:31" ht="16.5" x14ac:dyDescent="0.25">
      <c r="Y75" s="142"/>
      <c r="Z75" s="142"/>
      <c r="AA75" s="143"/>
      <c r="AB75" s="144"/>
      <c r="AC75" s="144"/>
      <c r="AD75" s="144"/>
      <c r="AE75" s="34"/>
    </row>
    <row r="76" spans="25:31" ht="16.5" x14ac:dyDescent="0.25">
      <c r="Y76" s="33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3"/>
      <c r="AA77" s="34"/>
      <c r="AB77" s="33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33"/>
      <c r="Z79" s="34"/>
      <c r="AA79" s="34"/>
      <c r="AB79" s="34"/>
      <c r="AC79" s="34"/>
      <c r="AD79" s="34"/>
      <c r="AE79" s="34"/>
    </row>
    <row r="80" spans="25:31" ht="16.5" x14ac:dyDescent="0.25">
      <c r="Y80" s="139"/>
      <c r="Z80" s="33"/>
      <c r="AA80" s="34"/>
      <c r="AB80" s="33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139"/>
      <c r="Z82" s="33"/>
      <c r="AA82" s="140"/>
      <c r="AB82" s="141"/>
      <c r="AC82" s="34"/>
      <c r="AD82" s="34"/>
      <c r="AE82" s="34"/>
    </row>
    <row r="83" spans="25:31" ht="16.5" x14ac:dyDescent="0.25">
      <c r="Y83" s="142"/>
      <c r="Z83" s="143"/>
      <c r="AA83" s="144"/>
      <c r="AB83" s="144"/>
      <c r="AC83" s="34"/>
      <c r="AD83" s="34"/>
      <c r="AE83" s="34"/>
    </row>
    <row r="84" spans="25:31" ht="16.5" x14ac:dyDescent="0.25">
      <c r="Y84" s="33"/>
      <c r="Z84" s="34"/>
      <c r="AA84" s="140"/>
      <c r="AB84" s="140"/>
      <c r="AC84" s="34"/>
      <c r="AD84" s="34"/>
      <c r="AE84" s="34"/>
    </row>
    <row r="85" spans="25:31" ht="16.5" x14ac:dyDescent="0.25">
      <c r="Y85" s="142"/>
      <c r="Z85" s="142"/>
      <c r="AA85" s="143"/>
      <c r="AB85" s="144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  <row r="89" spans="25:31" ht="16.5" x14ac:dyDescent="0.25">
      <c r="Y89" s="33"/>
      <c r="Z89" s="33"/>
      <c r="AA89" s="34"/>
      <c r="AB89" s="33"/>
      <c r="AC89" s="34"/>
      <c r="AD89" s="34"/>
      <c r="AE89" s="34"/>
    </row>
    <row r="90" spans="25:31" ht="16.5" x14ac:dyDescent="0.25">
      <c r="Y90" s="33"/>
      <c r="Z90" s="33"/>
      <c r="AA90" s="34"/>
      <c r="AB90" s="33"/>
      <c r="AC90" s="34"/>
      <c r="AD90" s="34"/>
      <c r="AE90" s="34"/>
    </row>
  </sheetData>
  <mergeCells count="115">
    <mergeCell ref="T52:V52"/>
    <mergeCell ref="T53:V53"/>
    <mergeCell ref="D37:J37"/>
    <mergeCell ref="C47:J47"/>
    <mergeCell ref="T47:V47"/>
    <mergeCell ref="T48:V48"/>
    <mergeCell ref="T49:V49"/>
    <mergeCell ref="T50:V50"/>
    <mergeCell ref="T51:V51"/>
    <mergeCell ref="K43:M43"/>
    <mergeCell ref="N43:P43"/>
    <mergeCell ref="Q43:S43"/>
    <mergeCell ref="T43:V43"/>
    <mergeCell ref="K44:M44"/>
    <mergeCell ref="N44:P44"/>
    <mergeCell ref="Q44:S44"/>
    <mergeCell ref="T44:V44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C32:J32"/>
    <mergeCell ref="T32:V32"/>
    <mergeCell ref="H33:I33"/>
    <mergeCell ref="B34:J35"/>
    <mergeCell ref="K34:M35"/>
    <mergeCell ref="N34:P35"/>
    <mergeCell ref="Q34:S35"/>
    <mergeCell ref="T34:V35"/>
    <mergeCell ref="K30:M30"/>
    <mergeCell ref="N30:P30"/>
    <mergeCell ref="Q30:S30"/>
    <mergeCell ref="T30:V30"/>
    <mergeCell ref="C31:J31"/>
    <mergeCell ref="T31:V3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C22:J22"/>
    <mergeCell ref="T22:V22"/>
    <mergeCell ref="B23:J24"/>
    <mergeCell ref="K23:M24"/>
    <mergeCell ref="N23:P24"/>
    <mergeCell ref="Q23:S24"/>
    <mergeCell ref="T23:V24"/>
    <mergeCell ref="K21:M21"/>
    <mergeCell ref="N21:P21"/>
    <mergeCell ref="Q21:S21"/>
    <mergeCell ref="T21:V21"/>
    <mergeCell ref="K16:M16"/>
    <mergeCell ref="N16:P16"/>
    <mergeCell ref="Q16:S16"/>
    <mergeCell ref="T16:V16"/>
    <mergeCell ref="K17:M17"/>
    <mergeCell ref="N17:P17"/>
    <mergeCell ref="Q17:S17"/>
    <mergeCell ref="T17:V17"/>
    <mergeCell ref="K14:M14"/>
    <mergeCell ref="N14:P14"/>
    <mergeCell ref="Q14:S14"/>
    <mergeCell ref="T14:V14"/>
    <mergeCell ref="K15:M15"/>
    <mergeCell ref="N15:P15"/>
    <mergeCell ref="Q15:S15"/>
    <mergeCell ref="T15:V15"/>
    <mergeCell ref="K20:M20"/>
    <mergeCell ref="N20:P20"/>
    <mergeCell ref="Q20:S20"/>
    <mergeCell ref="T20:V20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T10:V1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4D19-9B84-B440-B5FE-A0DAFC3A1083}">
  <sheetPr codeName="Sheet21">
    <tabColor rgb="FF92D050"/>
    <pageSetUpPr fitToPage="1"/>
  </sheetPr>
  <dimension ref="A1:AG91"/>
  <sheetViews>
    <sheetView view="pageBreakPreview" topLeftCell="A18" zoomScale="88" zoomScaleNormal="85" zoomScaleSheetLayoutView="88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20.100000000000001" customHeight="1" x14ac:dyDescent="0.3">
      <c r="A5" s="6" t="s">
        <v>2</v>
      </c>
      <c r="B5" s="5" t="s">
        <v>3</v>
      </c>
      <c r="C5" s="5"/>
      <c r="D5" s="5"/>
      <c r="E5" s="578" t="s">
        <v>220</v>
      </c>
      <c r="F5" s="578"/>
      <c r="G5" s="605" t="s">
        <v>226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221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91">
        <f>11.8*8</f>
        <v>94.4</v>
      </c>
      <c r="F7" s="591"/>
      <c r="G7" s="2" t="s">
        <v>222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DATA'!C27</f>
        <v>13</v>
      </c>
      <c r="F8" s="600"/>
      <c r="G8" s="602" t="str">
        <f>E6</f>
        <v>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E8/E7</f>
        <v>0.13771186440677965</v>
      </c>
      <c r="O14" s="581"/>
      <c r="P14" s="582"/>
      <c r="Q14" s="599">
        <v>800</v>
      </c>
      <c r="R14" s="600"/>
      <c r="S14" s="601"/>
      <c r="T14" s="583">
        <f t="shared" ref="T14:T16" si="0">K14*N14*Q14</f>
        <v>110.16949152542372</v>
      </c>
      <c r="U14" s="584"/>
      <c r="V14" s="585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0.13771186440677965</v>
      </c>
      <c r="O15" s="581"/>
      <c r="P15" s="582"/>
      <c r="Q15" s="599">
        <v>600</v>
      </c>
      <c r="R15" s="600"/>
      <c r="S15" s="601"/>
      <c r="T15" s="583">
        <f t="shared" si="0"/>
        <v>82.627118644067792</v>
      </c>
      <c r="U15" s="584"/>
      <c r="V15" s="585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v>1</v>
      </c>
      <c r="L16" s="597"/>
      <c r="M16" s="598"/>
      <c r="N16" s="580">
        <f>N15</f>
        <v>0.13771186440677965</v>
      </c>
      <c r="O16" s="581"/>
      <c r="P16" s="582"/>
      <c r="Q16" s="599">
        <v>400</v>
      </c>
      <c r="R16" s="600"/>
      <c r="S16" s="601"/>
      <c r="T16" s="583">
        <f t="shared" si="0"/>
        <v>55.084745762711862</v>
      </c>
      <c r="U16" s="584"/>
      <c r="V16" s="585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80"/>
      <c r="O17" s="581"/>
      <c r="P17" s="58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/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/>
      <c r="D20" s="35"/>
      <c r="E20" s="2"/>
      <c r="F20" s="2"/>
      <c r="G20" s="2"/>
      <c r="H20" s="2"/>
      <c r="I20" s="2"/>
      <c r="J20" s="17"/>
      <c r="K20" s="596"/>
      <c r="L20" s="597"/>
      <c r="M20" s="598"/>
      <c r="N20" s="580"/>
      <c r="O20" s="581"/>
      <c r="P20" s="582"/>
      <c r="Q20" s="599"/>
      <c r="R20" s="600"/>
      <c r="S20" s="601"/>
      <c r="T20" s="583"/>
      <c r="U20" s="584"/>
      <c r="V20" s="585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7"/>
      <c r="L21" s="578"/>
      <c r="M21" s="579"/>
      <c r="N21" s="580"/>
      <c r="O21" s="578"/>
      <c r="P21" s="579"/>
      <c r="Q21" s="589"/>
      <c r="R21" s="578"/>
      <c r="S21" s="579"/>
      <c r="T21" s="583"/>
      <c r="U21" s="584"/>
      <c r="V21" s="585"/>
      <c r="W21" s="2"/>
      <c r="X21" s="2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3">
      <c r="A22" s="45" t="s">
        <v>26</v>
      </c>
      <c r="B22" s="46"/>
      <c r="C22" s="564" t="s">
        <v>27</v>
      </c>
      <c r="D22" s="565"/>
      <c r="E22" s="565"/>
      <c r="F22" s="565"/>
      <c r="G22" s="565"/>
      <c r="H22" s="565"/>
      <c r="I22" s="565"/>
      <c r="J22" s="56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61">
        <f>ROUND(SUM(T14:V20),2)</f>
        <v>247.88</v>
      </c>
      <c r="U22" s="562"/>
      <c r="V22" s="563"/>
      <c r="X22" s="51"/>
      <c r="Y22" s="39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1" t="s">
        <v>29</v>
      </c>
      <c r="C23" s="572"/>
      <c r="D23" s="572"/>
      <c r="E23" s="572"/>
      <c r="F23" s="572"/>
      <c r="G23" s="572"/>
      <c r="H23" s="572"/>
      <c r="I23" s="572"/>
      <c r="J23" s="573"/>
      <c r="K23" s="571" t="s">
        <v>30</v>
      </c>
      <c r="L23" s="572"/>
      <c r="M23" s="573"/>
      <c r="N23" s="571" t="s">
        <v>15</v>
      </c>
      <c r="O23" s="572"/>
      <c r="P23" s="573"/>
      <c r="Q23" s="571" t="s">
        <v>16</v>
      </c>
      <c r="R23" s="572"/>
      <c r="S23" s="573"/>
      <c r="T23" s="571" t="s">
        <v>17</v>
      </c>
      <c r="U23" s="572"/>
      <c r="V23" s="573"/>
      <c r="X23" s="52"/>
      <c r="Y23" s="33"/>
      <c r="Z23" s="33"/>
      <c r="AA23" s="34"/>
      <c r="AB23" s="38"/>
      <c r="AC23" s="34"/>
      <c r="AD23" s="34"/>
      <c r="AE23" s="33"/>
      <c r="AF23" s="42"/>
      <c r="AG23" s="33"/>
    </row>
    <row r="24" spans="1:33" ht="16.5" x14ac:dyDescent="0.25">
      <c r="B24" s="574"/>
      <c r="C24" s="575"/>
      <c r="D24" s="575"/>
      <c r="E24" s="575"/>
      <c r="F24" s="575"/>
      <c r="G24" s="575"/>
      <c r="H24" s="575"/>
      <c r="I24" s="575"/>
      <c r="J24" s="576"/>
      <c r="K24" s="574"/>
      <c r="L24" s="575"/>
      <c r="M24" s="576"/>
      <c r="N24" s="574"/>
      <c r="O24" s="575"/>
      <c r="P24" s="576"/>
      <c r="Q24" s="574"/>
      <c r="R24" s="575"/>
      <c r="S24" s="576"/>
      <c r="T24" s="574"/>
      <c r="U24" s="575"/>
      <c r="V24" s="576"/>
      <c r="Y24" s="33"/>
      <c r="Z24" s="33"/>
      <c r="AA24" s="34"/>
      <c r="AB24" s="33"/>
      <c r="AC24" s="33"/>
      <c r="AD24" s="33"/>
      <c r="AE24" s="33"/>
      <c r="AF24" s="33"/>
      <c r="AG24" s="33"/>
    </row>
    <row r="25" spans="1:33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3" ht="16.5" x14ac:dyDescent="0.3">
      <c r="B26" s="15"/>
      <c r="C26" s="19"/>
      <c r="D26" s="2" t="s">
        <v>104</v>
      </c>
      <c r="E26" s="2"/>
      <c r="F26" s="2"/>
      <c r="G26" s="2"/>
      <c r="H26" s="2"/>
      <c r="I26" s="2"/>
      <c r="J26" s="17"/>
      <c r="K26" s="577"/>
      <c r="L26" s="578"/>
      <c r="M26" s="579"/>
      <c r="N26" s="590"/>
      <c r="O26" s="591"/>
      <c r="P26" s="592"/>
      <c r="Q26" s="580"/>
      <c r="R26" s="581"/>
      <c r="S26" s="582"/>
      <c r="T26" s="583">
        <f>0.1*T22</f>
        <v>24.788</v>
      </c>
      <c r="U26" s="584"/>
      <c r="V26" s="585"/>
      <c r="W26" s="18"/>
      <c r="X26" s="18"/>
      <c r="Y26" s="139"/>
      <c r="Z26" s="139"/>
      <c r="AA26" s="34"/>
      <c r="AB26" s="34"/>
      <c r="AC26" s="33"/>
      <c r="AD26" s="33"/>
      <c r="AE26" s="33"/>
      <c r="AF26" s="33"/>
      <c r="AG26" s="33"/>
    </row>
    <row r="27" spans="1:33" ht="16.5" x14ac:dyDescent="0.3">
      <c r="B27" s="41"/>
      <c r="C27" s="19"/>
      <c r="D27" s="40"/>
      <c r="E27" s="2"/>
      <c r="F27" s="2"/>
      <c r="G27" s="2"/>
      <c r="H27" s="2"/>
      <c r="I27" s="2"/>
      <c r="J27" s="17"/>
      <c r="K27" s="577"/>
      <c r="L27" s="578"/>
      <c r="M27" s="579"/>
      <c r="N27" s="590"/>
      <c r="O27" s="591"/>
      <c r="P27" s="592"/>
      <c r="Q27" s="580"/>
      <c r="R27" s="581"/>
      <c r="S27" s="582"/>
      <c r="T27" s="583"/>
      <c r="U27" s="584"/>
      <c r="V27" s="585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7"/>
      <c r="L28" s="578"/>
      <c r="M28" s="579"/>
      <c r="N28" s="659"/>
      <c r="O28" s="660"/>
      <c r="P28" s="661"/>
      <c r="Q28" s="580"/>
      <c r="R28" s="581"/>
      <c r="S28" s="582"/>
      <c r="T28" s="583"/>
      <c r="U28" s="584"/>
      <c r="V28" s="585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81"/>
      <c r="P29" s="582"/>
      <c r="Q29" s="580"/>
      <c r="R29" s="581"/>
      <c r="S29" s="582"/>
      <c r="T29" s="583"/>
      <c r="U29" s="584"/>
      <c r="V29" s="585"/>
      <c r="W29" s="18"/>
      <c r="X29" s="18"/>
      <c r="Y29" s="139"/>
      <c r="Z29" s="270"/>
      <c r="AA29" s="39"/>
      <c r="AB29" s="39"/>
      <c r="AC29" s="39"/>
      <c r="AD29" s="140"/>
      <c r="AE29" s="271"/>
      <c r="AF29" s="140"/>
      <c r="AG29" s="140"/>
    </row>
    <row r="30" spans="1:33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7"/>
      <c r="L30" s="578"/>
      <c r="M30" s="579"/>
      <c r="N30" s="580"/>
      <c r="O30" s="578"/>
      <c r="P30" s="579"/>
      <c r="Q30" s="580"/>
      <c r="R30" s="581"/>
      <c r="S30" s="582"/>
      <c r="T30" s="583"/>
      <c r="U30" s="584"/>
      <c r="V30" s="585"/>
      <c r="W30" s="2"/>
      <c r="X30" s="2"/>
      <c r="Y30" s="33"/>
      <c r="Z30" s="33"/>
      <c r="AA30" s="34"/>
      <c r="AB30" s="34"/>
      <c r="AC30" s="33"/>
      <c r="AD30" s="33"/>
      <c r="AE30" s="33"/>
      <c r="AF30" s="140"/>
      <c r="AG30" s="140"/>
    </row>
    <row r="31" spans="1:33" ht="16.5" x14ac:dyDescent="0.3">
      <c r="A31" s="61" t="s">
        <v>34</v>
      </c>
      <c r="B31" s="46"/>
      <c r="C31" s="564" t="s">
        <v>35</v>
      </c>
      <c r="D31" s="565"/>
      <c r="E31" s="565"/>
      <c r="F31" s="565"/>
      <c r="G31" s="565"/>
      <c r="H31" s="565"/>
      <c r="I31" s="565"/>
      <c r="J31" s="56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61">
        <f>ROUND(SUM(T26:V30),2)</f>
        <v>24.79</v>
      </c>
      <c r="U31" s="562"/>
      <c r="V31" s="563"/>
      <c r="W31" s="9"/>
      <c r="X31" s="2"/>
      <c r="Y31" s="257"/>
      <c r="Z31" s="257"/>
      <c r="AA31" s="272"/>
      <c r="AB31" s="272"/>
      <c r="AC31" s="257"/>
      <c r="AD31" s="257"/>
      <c r="AE31" s="272"/>
      <c r="AF31" s="140"/>
      <c r="AG31" s="140"/>
    </row>
    <row r="32" spans="1:33" ht="16.5" x14ac:dyDescent="0.3">
      <c r="B32" s="64" t="s">
        <v>36</v>
      </c>
      <c r="C32" s="564" t="s">
        <v>37</v>
      </c>
      <c r="D32" s="565"/>
      <c r="E32" s="565"/>
      <c r="F32" s="565"/>
      <c r="G32" s="565"/>
      <c r="H32" s="565"/>
      <c r="I32" s="565"/>
      <c r="J32" s="565"/>
      <c r="K32" s="48"/>
      <c r="L32" s="48"/>
      <c r="M32" s="48"/>
      <c r="N32" s="48"/>
      <c r="O32" s="48"/>
      <c r="P32" s="48"/>
      <c r="Q32" s="48"/>
      <c r="R32" s="48"/>
      <c r="S32" s="48"/>
      <c r="T32" s="562">
        <f>T22+T31</f>
        <v>272.67</v>
      </c>
      <c r="U32" s="562"/>
      <c r="V32" s="563"/>
      <c r="W32" s="2"/>
      <c r="X32" s="2"/>
      <c r="Y32" s="33"/>
      <c r="Z32" s="33"/>
      <c r="AA32" s="271"/>
      <c r="AB32" s="271"/>
      <c r="AC32" s="33"/>
      <c r="AD32" s="33"/>
      <c r="AE32" s="271"/>
      <c r="AF32" s="271"/>
      <c r="AG32" s="271"/>
    </row>
    <row r="33" spans="1:33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70">
        <f>E7</f>
        <v>94.4</v>
      </c>
      <c r="I33" s="565"/>
      <c r="J33" s="48" t="str">
        <f>G7</f>
        <v>M./DAY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33"/>
      <c r="Z33" s="33"/>
      <c r="AA33" s="39"/>
      <c r="AB33" s="34"/>
      <c r="AC33" s="33"/>
      <c r="AD33" s="33"/>
      <c r="AE33" s="33"/>
      <c r="AF33" s="271"/>
      <c r="AG33" s="271"/>
    </row>
    <row r="34" spans="1:33" ht="16.5" x14ac:dyDescent="0.3">
      <c r="B34" s="571" t="s">
        <v>44</v>
      </c>
      <c r="C34" s="572"/>
      <c r="D34" s="572"/>
      <c r="E34" s="572"/>
      <c r="F34" s="572"/>
      <c r="G34" s="572"/>
      <c r="H34" s="572"/>
      <c r="I34" s="572"/>
      <c r="J34" s="573"/>
      <c r="K34" s="571" t="s">
        <v>45</v>
      </c>
      <c r="L34" s="572"/>
      <c r="M34" s="573"/>
      <c r="N34" s="571" t="s">
        <v>46</v>
      </c>
      <c r="O34" s="572"/>
      <c r="P34" s="573"/>
      <c r="Q34" s="571" t="s">
        <v>47</v>
      </c>
      <c r="R34" s="572"/>
      <c r="S34" s="573"/>
      <c r="T34" s="571" t="s">
        <v>17</v>
      </c>
      <c r="U34" s="572"/>
      <c r="V34" s="573"/>
      <c r="W34" s="2"/>
      <c r="X34" s="2"/>
      <c r="Y34" s="33"/>
      <c r="Z34" s="33"/>
      <c r="AA34" s="34"/>
      <c r="AB34" s="34"/>
      <c r="AC34" s="33"/>
      <c r="AD34" s="33"/>
      <c r="AE34" s="33"/>
      <c r="AF34" s="33"/>
      <c r="AG34" s="33"/>
    </row>
    <row r="35" spans="1:33" ht="16.5" x14ac:dyDescent="0.3">
      <c r="B35" s="574"/>
      <c r="C35" s="575"/>
      <c r="D35" s="575"/>
      <c r="E35" s="575"/>
      <c r="F35" s="575"/>
      <c r="G35" s="575"/>
      <c r="H35" s="575"/>
      <c r="I35" s="575"/>
      <c r="J35" s="576"/>
      <c r="K35" s="574"/>
      <c r="L35" s="575"/>
      <c r="M35" s="576"/>
      <c r="N35" s="574"/>
      <c r="O35" s="575"/>
      <c r="P35" s="576"/>
      <c r="Q35" s="574"/>
      <c r="R35" s="575"/>
      <c r="S35" s="576"/>
      <c r="T35" s="574"/>
      <c r="U35" s="575"/>
      <c r="V35" s="576"/>
      <c r="W35" s="2"/>
      <c r="X35" s="2"/>
      <c r="Y35" s="2"/>
      <c r="Z35" s="2"/>
      <c r="AA35" s="7"/>
      <c r="AB35" s="7"/>
      <c r="AC35" s="192"/>
      <c r="AD35" s="192"/>
      <c r="AE35" s="192"/>
      <c r="AF35" s="192"/>
      <c r="AG35" s="192"/>
    </row>
    <row r="36" spans="1:33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"/>
      <c r="Z36" s="2"/>
      <c r="AA36" s="7"/>
      <c r="AB36" s="7"/>
      <c r="AC36" s="193"/>
      <c r="AD36" s="193"/>
      <c r="AE36" s="192"/>
      <c r="AF36" s="192"/>
      <c r="AG36" s="193"/>
    </row>
    <row r="37" spans="1:33" ht="32.1" customHeight="1" x14ac:dyDescent="0.3">
      <c r="B37" s="41"/>
      <c r="C37" s="60" t="s">
        <v>21</v>
      </c>
      <c r="D37" s="695" t="s">
        <v>223</v>
      </c>
      <c r="E37" s="695"/>
      <c r="F37" s="695"/>
      <c r="G37" s="695"/>
      <c r="H37" s="695"/>
      <c r="I37" s="695"/>
      <c r="J37" s="696"/>
      <c r="K37" s="659">
        <f>E8</f>
        <v>13</v>
      </c>
      <c r="L37" s="660"/>
      <c r="M37" s="661"/>
      <c r="N37" s="662" t="s">
        <v>224</v>
      </c>
      <c r="O37" s="663" t="str">
        <f t="shared" ref="O37:P39" si="1">IF(L37&gt;1,"bags","bag")</f>
        <v>bag</v>
      </c>
      <c r="P37" s="664" t="str">
        <f t="shared" si="1"/>
        <v>bag</v>
      </c>
      <c r="Q37" s="647">
        <f>440/2.4</f>
        <v>183.33333333333334</v>
      </c>
      <c r="R37" s="648"/>
      <c r="S37" s="649"/>
      <c r="T37" s="635">
        <f>K37*Q37</f>
        <v>2383.3333333333335</v>
      </c>
      <c r="U37" s="636"/>
      <c r="V37" s="637"/>
      <c r="W37" s="18"/>
      <c r="X37" s="149"/>
      <c r="Y37" s="149"/>
      <c r="Z37" s="149"/>
      <c r="AA37" s="149"/>
      <c r="AB37" s="2"/>
    </row>
    <row r="38" spans="1:33" ht="17.100000000000001" customHeight="1" x14ac:dyDescent="0.3">
      <c r="B38" s="41"/>
      <c r="C38" s="60" t="s">
        <v>23</v>
      </c>
      <c r="D38" s="695" t="s">
        <v>228</v>
      </c>
      <c r="E38" s="695"/>
      <c r="F38" s="695"/>
      <c r="G38" s="695"/>
      <c r="H38" s="695"/>
      <c r="I38" s="695"/>
      <c r="J38" s="696"/>
      <c r="K38" s="659">
        <f>3*E8</f>
        <v>39</v>
      </c>
      <c r="L38" s="660"/>
      <c r="M38" s="661"/>
      <c r="N38" s="662" t="s">
        <v>209</v>
      </c>
      <c r="O38" s="663" t="str">
        <f t="shared" si="1"/>
        <v>bag</v>
      </c>
      <c r="P38" s="664" t="str">
        <f t="shared" si="1"/>
        <v>bag</v>
      </c>
      <c r="Q38" s="647">
        <v>5</v>
      </c>
      <c r="R38" s="648"/>
      <c r="S38" s="649"/>
      <c r="T38" s="635">
        <f>K38*Q38</f>
        <v>195</v>
      </c>
      <c r="U38" s="636"/>
      <c r="V38" s="637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 t="s">
        <v>78</v>
      </c>
      <c r="D39" s="60" t="s">
        <v>225</v>
      </c>
      <c r="F39" s="121"/>
      <c r="G39" s="122"/>
      <c r="H39" s="122"/>
      <c r="I39" s="122"/>
      <c r="J39" s="17"/>
      <c r="K39" s="659">
        <f>16*E8</f>
        <v>208</v>
      </c>
      <c r="L39" s="660"/>
      <c r="M39" s="661"/>
      <c r="N39" s="662" t="s">
        <v>209</v>
      </c>
      <c r="O39" s="663" t="str">
        <f t="shared" si="1"/>
        <v>bag</v>
      </c>
      <c r="P39" s="664" t="str">
        <f t="shared" si="1"/>
        <v>bag</v>
      </c>
      <c r="Q39" s="647">
        <f>400/300</f>
        <v>1.3333333333333333</v>
      </c>
      <c r="R39" s="648"/>
      <c r="S39" s="649"/>
      <c r="T39" s="635">
        <f t="shared" ref="T39" si="2">K39*Q39</f>
        <v>277.33333333333331</v>
      </c>
      <c r="U39" s="636"/>
      <c r="V39" s="637"/>
      <c r="W39" s="132"/>
      <c r="X39" s="149"/>
      <c r="Y39" s="149"/>
      <c r="Z39" s="149"/>
      <c r="AA39" s="149"/>
      <c r="AB39" s="2"/>
    </row>
    <row r="40" spans="1:33" ht="16.5" customHeight="1" x14ac:dyDescent="0.3">
      <c r="B40" s="41"/>
      <c r="C40" s="19" t="s">
        <v>94</v>
      </c>
      <c r="D40" s="40" t="s">
        <v>208</v>
      </c>
      <c r="E40" s="121"/>
      <c r="F40" s="121"/>
      <c r="G40" s="122"/>
      <c r="H40" s="122"/>
      <c r="I40" s="122"/>
      <c r="J40" s="17"/>
      <c r="K40" s="659"/>
      <c r="L40" s="660"/>
      <c r="M40" s="661"/>
      <c r="N40" s="662"/>
      <c r="O40" s="663"/>
      <c r="P40" s="664"/>
      <c r="Q40" s="647"/>
      <c r="R40" s="648"/>
      <c r="S40" s="649"/>
      <c r="T40" s="635">
        <f>0.03*SUM(T37:V39)</f>
        <v>85.67</v>
      </c>
      <c r="U40" s="636"/>
      <c r="V40" s="637"/>
      <c r="W40" s="132"/>
      <c r="X40" s="149"/>
      <c r="Y40" s="149"/>
      <c r="Z40" s="149"/>
      <c r="AA40" s="149"/>
      <c r="AB40" s="2"/>
    </row>
    <row r="41" spans="1:33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9"/>
      <c r="L41" s="660"/>
      <c r="M41" s="661"/>
      <c r="N41" s="662"/>
      <c r="O41" s="663"/>
      <c r="P41" s="664"/>
      <c r="Q41" s="647"/>
      <c r="R41" s="648"/>
      <c r="S41" s="649"/>
      <c r="T41" s="635"/>
      <c r="U41" s="636"/>
      <c r="V41" s="637"/>
      <c r="W41" s="18"/>
      <c r="X41" s="149"/>
      <c r="Y41" s="149"/>
      <c r="Z41" s="149"/>
      <c r="AA41" s="149"/>
      <c r="AB41" s="2"/>
    </row>
    <row r="42" spans="1:33" ht="16.5" customHeight="1" x14ac:dyDescent="0.3">
      <c r="B42" s="41"/>
      <c r="C42" s="19"/>
      <c r="D42" s="240"/>
      <c r="E42" s="121"/>
      <c r="F42" s="121"/>
      <c r="G42" s="122"/>
      <c r="H42" s="122"/>
      <c r="I42" s="122"/>
      <c r="J42" s="17"/>
      <c r="K42" s="659"/>
      <c r="L42" s="660"/>
      <c r="M42" s="661"/>
      <c r="N42" s="662"/>
      <c r="O42" s="663"/>
      <c r="P42" s="664"/>
      <c r="Q42" s="647"/>
      <c r="R42" s="648"/>
      <c r="S42" s="649"/>
      <c r="T42" s="635"/>
      <c r="U42" s="636"/>
      <c r="V42" s="637"/>
      <c r="W42" s="18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245"/>
      <c r="F43" s="245"/>
      <c r="G43" s="122"/>
      <c r="H43" s="122"/>
      <c r="I43" s="122"/>
      <c r="J43" s="17"/>
      <c r="K43" s="659"/>
      <c r="L43" s="660"/>
      <c r="M43" s="661"/>
      <c r="N43" s="662"/>
      <c r="O43" s="663"/>
      <c r="P43" s="664"/>
      <c r="Q43" s="647"/>
      <c r="R43" s="648"/>
      <c r="S43" s="649"/>
      <c r="T43" s="635"/>
      <c r="U43" s="636"/>
      <c r="V43" s="637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19"/>
      <c r="D44" s="40"/>
      <c r="E44" s="40"/>
      <c r="F44" s="40"/>
      <c r="G44" s="40"/>
      <c r="H44" s="40"/>
      <c r="I44" s="40"/>
      <c r="J44" s="324"/>
      <c r="K44" s="659"/>
      <c r="L44" s="660"/>
      <c r="M44" s="661"/>
      <c r="N44" s="662"/>
      <c r="O44" s="663"/>
      <c r="P44" s="664"/>
      <c r="Q44" s="647"/>
      <c r="R44" s="648"/>
      <c r="S44" s="649"/>
      <c r="T44" s="635"/>
      <c r="U44" s="636"/>
      <c r="V44" s="637"/>
      <c r="W44" s="2"/>
      <c r="X44" s="149"/>
      <c r="Y44" s="149"/>
      <c r="Z44" s="149"/>
      <c r="AA44" s="149"/>
      <c r="AB44" s="2"/>
    </row>
    <row r="45" spans="1:33" ht="16.5" x14ac:dyDescent="0.3">
      <c r="B45" s="41"/>
      <c r="C45" s="19"/>
      <c r="D45" s="40"/>
      <c r="E45" s="40"/>
      <c r="F45" s="40"/>
      <c r="G45" s="40"/>
      <c r="H45" s="40"/>
      <c r="I45" s="40"/>
      <c r="J45" s="324"/>
      <c r="K45" s="659"/>
      <c r="L45" s="660"/>
      <c r="M45" s="661"/>
      <c r="N45" s="662"/>
      <c r="O45" s="663"/>
      <c r="P45" s="664"/>
      <c r="Q45" s="647"/>
      <c r="R45" s="648"/>
      <c r="S45" s="649"/>
      <c r="T45" s="635"/>
      <c r="U45" s="636"/>
      <c r="V45" s="637"/>
      <c r="W45" s="2"/>
      <c r="X45" s="149"/>
      <c r="Y45" s="149"/>
      <c r="Z45" s="149"/>
      <c r="AA45" s="149"/>
      <c r="AB45" s="2"/>
    </row>
    <row r="46" spans="1:33" ht="16.5" x14ac:dyDescent="0.3">
      <c r="B46" s="41"/>
      <c r="C46" s="19"/>
      <c r="D46" s="40"/>
      <c r="E46" s="121"/>
      <c r="F46" s="121"/>
      <c r="G46" s="206"/>
      <c r="H46" s="202"/>
      <c r="I46" s="202"/>
      <c r="J46" s="17"/>
      <c r="K46" s="123"/>
      <c r="L46" s="124"/>
      <c r="M46" s="125"/>
      <c r="N46" s="241"/>
      <c r="O46" s="242"/>
      <c r="P46" s="243"/>
      <c r="Q46" s="105"/>
      <c r="R46" s="106"/>
      <c r="S46" s="107"/>
      <c r="T46" s="213"/>
      <c r="U46" s="214"/>
      <c r="V46" s="215"/>
      <c r="W46" s="2"/>
      <c r="X46" s="149"/>
      <c r="Y46" s="149"/>
      <c r="Z46" s="149"/>
      <c r="AA46" s="149"/>
      <c r="AB46" s="2"/>
    </row>
    <row r="47" spans="1:33" ht="16.5" x14ac:dyDescent="0.3">
      <c r="B47" s="41"/>
      <c r="C47" s="40"/>
      <c r="D47" s="199"/>
      <c r="E47" s="121"/>
      <c r="F47" s="121"/>
      <c r="G47" s="206"/>
      <c r="H47" s="202"/>
      <c r="I47" s="202"/>
      <c r="J47" s="17"/>
      <c r="K47" s="207"/>
      <c r="L47" s="208"/>
      <c r="M47" s="209"/>
      <c r="N47" s="210"/>
      <c r="O47" s="211"/>
      <c r="P47" s="212"/>
      <c r="Q47" s="89"/>
      <c r="R47" s="90"/>
      <c r="S47" s="91"/>
      <c r="T47" s="213"/>
      <c r="U47" s="214"/>
      <c r="V47" s="215"/>
      <c r="W47" s="2"/>
      <c r="X47" s="149"/>
      <c r="Y47" s="149"/>
      <c r="Z47" s="2"/>
      <c r="AA47" s="2"/>
      <c r="AB47" s="2"/>
    </row>
    <row r="48" spans="1:33" ht="16.5" customHeight="1" x14ac:dyDescent="0.3">
      <c r="A48" s="45" t="s">
        <v>51</v>
      </c>
      <c r="B48" s="46"/>
      <c r="C48" s="564" t="s">
        <v>52</v>
      </c>
      <c r="D48" s="565"/>
      <c r="E48" s="565"/>
      <c r="F48" s="565"/>
      <c r="G48" s="565"/>
      <c r="H48" s="565"/>
      <c r="I48" s="565"/>
      <c r="J48" s="566"/>
      <c r="K48" s="47"/>
      <c r="L48" s="48"/>
      <c r="M48" s="49"/>
      <c r="N48" s="47"/>
      <c r="O48" s="48"/>
      <c r="P48" s="49"/>
      <c r="Q48" s="47"/>
      <c r="R48" s="48"/>
      <c r="S48" s="50" t="s">
        <v>28</v>
      </c>
      <c r="T48" s="561">
        <f>ROUND(SUM(T37:V47),2)</f>
        <v>2941.34</v>
      </c>
      <c r="U48" s="562"/>
      <c r="V48" s="563"/>
      <c r="W48" s="2"/>
      <c r="X48" s="9"/>
      <c r="Y48" s="33"/>
      <c r="Z48" s="33"/>
      <c r="AA48" s="237"/>
      <c r="AB48" s="237"/>
      <c r="AC48" s="34"/>
      <c r="AD48" s="34"/>
      <c r="AE48" s="34"/>
    </row>
    <row r="49" spans="1:31" ht="16.5" x14ac:dyDescent="0.3">
      <c r="B49" s="47" t="s">
        <v>53</v>
      </c>
      <c r="C49" s="48" t="s">
        <v>54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9"/>
      <c r="T49" s="561">
        <f>T32+T48</f>
        <v>3214.01</v>
      </c>
      <c r="U49" s="562"/>
      <c r="V49" s="563"/>
      <c r="W49" s="2"/>
      <c r="X49" s="2"/>
      <c r="Y49" s="139"/>
      <c r="Z49" s="33"/>
      <c r="AA49" s="34"/>
      <c r="AB49" s="33"/>
      <c r="AC49" s="34"/>
      <c r="AD49" s="34"/>
      <c r="AE49" s="34"/>
    </row>
    <row r="50" spans="1:31" ht="16.5" x14ac:dyDescent="0.3">
      <c r="B50" s="47" t="s">
        <v>55</v>
      </c>
      <c r="C50" s="48" t="s">
        <v>56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DATA'!C62</f>
        <v>0.05</v>
      </c>
      <c r="O50" s="131"/>
      <c r="P50" s="48"/>
      <c r="Q50" s="48"/>
      <c r="R50" s="48"/>
      <c r="S50" s="49"/>
      <c r="T50" s="567">
        <f>T49*N50</f>
        <v>160.70050000000003</v>
      </c>
      <c r="U50" s="568"/>
      <c r="V50" s="569"/>
      <c r="W50" s="2"/>
      <c r="X50" s="2"/>
      <c r="Y50" s="33"/>
      <c r="Z50" s="34"/>
      <c r="AA50" s="34"/>
      <c r="AB50" s="34"/>
      <c r="AC50" s="34"/>
      <c r="AD50" s="34"/>
      <c r="AE50" s="33"/>
    </row>
    <row r="51" spans="1:31" ht="16.5" x14ac:dyDescent="0.3">
      <c r="B51" s="47" t="s">
        <v>57</v>
      </c>
      <c r="C51" s="48" t="s">
        <v>58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DATA'!C63</f>
        <v>0.1</v>
      </c>
      <c r="O51" s="131"/>
      <c r="P51" s="48"/>
      <c r="Q51" s="48"/>
      <c r="R51" s="48"/>
      <c r="S51" s="49"/>
      <c r="T51" s="567">
        <f>T49*N51</f>
        <v>321.40100000000007</v>
      </c>
      <c r="U51" s="568"/>
      <c r="V51" s="569"/>
      <c r="W51" s="2"/>
      <c r="X51" s="2"/>
      <c r="Y51" s="33"/>
      <c r="Z51" s="34"/>
      <c r="AA51" s="34"/>
      <c r="AB51" s="34"/>
      <c r="AC51" s="34"/>
      <c r="AD51" s="34"/>
      <c r="AE51" s="141"/>
    </row>
    <row r="52" spans="1:31" ht="16.5" x14ac:dyDescent="0.3">
      <c r="B52" s="47" t="s">
        <v>59</v>
      </c>
      <c r="C52" s="48" t="s">
        <v>60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>
        <f>'INPUT DATA'!C64</f>
        <v>0</v>
      </c>
      <c r="O52" s="131"/>
      <c r="P52" s="48"/>
      <c r="Q52" s="48"/>
      <c r="R52" s="48"/>
      <c r="S52" s="49"/>
      <c r="T52" s="567">
        <f>(T49+T50+T51)*N52</f>
        <v>0</v>
      </c>
      <c r="U52" s="568"/>
      <c r="V52" s="569"/>
      <c r="W52" s="2"/>
      <c r="X52" s="2"/>
      <c r="Y52" s="244"/>
      <c r="Z52" s="33"/>
      <c r="AA52" s="34"/>
      <c r="AB52" s="33"/>
      <c r="AE52" s="33"/>
    </row>
    <row r="53" spans="1:31" ht="16.5" x14ac:dyDescent="0.3">
      <c r="A53" s="45" t="s">
        <v>61</v>
      </c>
      <c r="B53" s="47" t="s">
        <v>62</v>
      </c>
      <c r="C53" s="48" t="s">
        <v>63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130"/>
      <c r="O53" s="48"/>
      <c r="P53" s="48"/>
      <c r="Q53" s="48"/>
      <c r="R53" s="48"/>
      <c r="S53" s="49"/>
      <c r="T53" s="561">
        <f>SUM(T49:V52)</f>
        <v>3696.1115</v>
      </c>
      <c r="U53" s="562"/>
      <c r="V53" s="563"/>
      <c r="W53" s="2"/>
      <c r="X53" s="9"/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A54" s="45" t="s">
        <v>64</v>
      </c>
      <c r="B54" s="47" t="s">
        <v>65</v>
      </c>
      <c r="C54" s="48" t="s">
        <v>66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9"/>
      <c r="T54" s="561">
        <f>T53/E8</f>
        <v>284.31626923076925</v>
      </c>
      <c r="U54" s="562"/>
      <c r="V54" s="563"/>
      <c r="W54" s="132"/>
      <c r="X54" s="2"/>
      <c r="Y54" s="238"/>
      <c r="Z54" s="239"/>
      <c r="AA54" s="144"/>
      <c r="AB54" s="144"/>
      <c r="AC54" s="144"/>
      <c r="AD54" s="144"/>
      <c r="AE54" s="33"/>
    </row>
    <row r="55" spans="1:31" ht="16.5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133"/>
      <c r="M55" s="133"/>
      <c r="N55" s="133"/>
      <c r="O55" s="2"/>
      <c r="P55" s="2"/>
      <c r="Q55" s="2"/>
      <c r="R55" s="2"/>
      <c r="S55" s="2"/>
      <c r="T55" s="134"/>
      <c r="U55" s="134"/>
      <c r="V55" s="134"/>
      <c r="W55" s="2"/>
      <c r="X55" s="2"/>
      <c r="Y55" s="244"/>
      <c r="Z55" s="273"/>
      <c r="AA55" s="144"/>
      <c r="AB55" s="144"/>
      <c r="AC55" s="144"/>
      <c r="AD55" s="144"/>
      <c r="AE55" s="33"/>
    </row>
    <row r="56" spans="1:31" ht="15" customHeight="1" x14ac:dyDescent="0.3">
      <c r="L56" s="2"/>
      <c r="M56" s="2"/>
      <c r="N56" s="2"/>
      <c r="Y56" s="244"/>
      <c r="Z56" s="239"/>
      <c r="AA56" s="144"/>
      <c r="AB56" s="144"/>
      <c r="AC56" s="144"/>
      <c r="AD56" s="144"/>
      <c r="AE56" s="33"/>
    </row>
    <row r="57" spans="1:31" ht="16.5" x14ac:dyDescent="0.3">
      <c r="Y57" s="238"/>
      <c r="Z57" s="239"/>
      <c r="AA57" s="144"/>
      <c r="AB57" s="144"/>
      <c r="AC57" s="144"/>
      <c r="AD57" s="144"/>
      <c r="AE57" s="33"/>
    </row>
    <row r="58" spans="1:31" ht="16.5" x14ac:dyDescent="0.3">
      <c r="Y58" s="244"/>
      <c r="Z58" s="273"/>
      <c r="AA58" s="144"/>
      <c r="AB58" s="144"/>
      <c r="AC58" s="143"/>
      <c r="AD58" s="144"/>
      <c r="AE58" s="141"/>
    </row>
    <row r="59" spans="1:31" ht="16.5" x14ac:dyDescent="0.3">
      <c r="Y59" s="238"/>
      <c r="Z59" s="239"/>
      <c r="AA59" s="144"/>
      <c r="AB59" s="144"/>
      <c r="AC59" s="144"/>
      <c r="AD59" s="144"/>
      <c r="AE59" s="33"/>
    </row>
    <row r="60" spans="1:31" ht="16.5" x14ac:dyDescent="0.3">
      <c r="Y60" s="274"/>
      <c r="Z60" s="239"/>
      <c r="AA60" s="144"/>
      <c r="AB60" s="144"/>
      <c r="AC60" s="144"/>
      <c r="AD60" s="144"/>
      <c r="AE60" s="33"/>
    </row>
    <row r="61" spans="1:31" ht="16.5" x14ac:dyDescent="0.3">
      <c r="Y61" s="244"/>
      <c r="Z61" s="254"/>
      <c r="AA61" s="144"/>
      <c r="AB61" s="144"/>
      <c r="AC61" s="144"/>
      <c r="AD61" s="144"/>
      <c r="AE61" s="33"/>
    </row>
    <row r="62" spans="1:31" ht="16.5" x14ac:dyDescent="0.3">
      <c r="Y62" s="238"/>
      <c r="Z62" s="239"/>
      <c r="AA62" s="144"/>
      <c r="AB62" s="144"/>
      <c r="AC62" s="144"/>
      <c r="AD62" s="144"/>
      <c r="AE62" s="33"/>
    </row>
    <row r="63" spans="1:31" ht="16.5" x14ac:dyDescent="0.3">
      <c r="Y63" s="139"/>
      <c r="Z63" s="239"/>
      <c r="AA63" s="34"/>
      <c r="AB63" s="33"/>
      <c r="AC63" s="144"/>
      <c r="AD63" s="144"/>
      <c r="AE63" s="33"/>
    </row>
    <row r="64" spans="1:31" ht="16.5" x14ac:dyDescent="0.25">
      <c r="Y64" s="142"/>
      <c r="Z64" s="143"/>
      <c r="AA64" s="144"/>
      <c r="AB64" s="144"/>
      <c r="AC64" s="143"/>
      <c r="AD64" s="144"/>
      <c r="AE64" s="33"/>
    </row>
    <row r="65" spans="25:31" ht="16.5" x14ac:dyDescent="0.25">
      <c r="Y65" s="139"/>
      <c r="Z65" s="33"/>
      <c r="AA65" s="140"/>
      <c r="AB65" s="141"/>
      <c r="AC65" s="144"/>
      <c r="AD65" s="144"/>
      <c r="AE65" s="33"/>
    </row>
    <row r="66" spans="25:31" ht="16.5" x14ac:dyDescent="0.25">
      <c r="Y66" s="142"/>
      <c r="Z66" s="143"/>
      <c r="AA66" s="144"/>
      <c r="AB66" s="144"/>
      <c r="AC66" s="34"/>
      <c r="AD66" s="144"/>
      <c r="AE66" s="33"/>
    </row>
    <row r="67" spans="25:31" ht="16.5" x14ac:dyDescent="0.25">
      <c r="Y67" s="139"/>
      <c r="Z67" s="33"/>
      <c r="AA67" s="140"/>
      <c r="AB67" s="141"/>
      <c r="AC67" s="144"/>
      <c r="AD67" s="144"/>
      <c r="AE67" s="33"/>
    </row>
    <row r="68" spans="25:31" ht="16.5" x14ac:dyDescent="0.25">
      <c r="Y68" s="142"/>
      <c r="Z68" s="143"/>
      <c r="AA68" s="144"/>
      <c r="AB68" s="144"/>
      <c r="AC68" s="34"/>
      <c r="AD68" s="34"/>
      <c r="AE68" s="33"/>
    </row>
    <row r="69" spans="25:31" ht="16.5" x14ac:dyDescent="0.25">
      <c r="Y69" s="139"/>
      <c r="Z69" s="33"/>
      <c r="AA69" s="140"/>
      <c r="AB69" s="141"/>
      <c r="AC69" s="144"/>
      <c r="AD69" s="144"/>
      <c r="AE69" s="33"/>
    </row>
    <row r="70" spans="25:31" ht="16.5" x14ac:dyDescent="0.25">
      <c r="Y70" s="142"/>
      <c r="Z70" s="143"/>
      <c r="AA70" s="144"/>
      <c r="AB70" s="144"/>
      <c r="AC70" s="34"/>
      <c r="AD70" s="34"/>
      <c r="AE70" s="34"/>
    </row>
    <row r="71" spans="25:31" ht="16.5" x14ac:dyDescent="0.25">
      <c r="Y71" s="275"/>
      <c r="Z71" s="276"/>
      <c r="AA71" s="277"/>
      <c r="AB71" s="277"/>
      <c r="AC71" s="278"/>
      <c r="AD71" s="144"/>
      <c r="AE71" s="33"/>
    </row>
    <row r="72" spans="25:31" ht="16.5" x14ac:dyDescent="0.25">
      <c r="Y72" s="279"/>
      <c r="Z72" s="280"/>
      <c r="AA72" s="278"/>
      <c r="AB72" s="278"/>
      <c r="AC72" s="276"/>
      <c r="AD72" s="276"/>
      <c r="AE72" s="33"/>
    </row>
    <row r="73" spans="25:31" ht="16.5" x14ac:dyDescent="0.25">
      <c r="Y73" s="142"/>
      <c r="Z73" s="143"/>
      <c r="AA73" s="144"/>
      <c r="AB73" s="278"/>
      <c r="AC73" s="34"/>
      <c r="AD73" s="34"/>
      <c r="AE73" s="34"/>
    </row>
    <row r="74" spans="25:31" ht="16.5" x14ac:dyDescent="0.25">
      <c r="Y74" s="33"/>
      <c r="Z74" s="34"/>
      <c r="AA74" s="140"/>
      <c r="AB74" s="140"/>
      <c r="AC74" s="140"/>
      <c r="AD74" s="140"/>
      <c r="AE74" s="34"/>
    </row>
    <row r="75" spans="25:31" ht="16.5" x14ac:dyDescent="0.25">
      <c r="Y75" s="142"/>
      <c r="Z75" s="142"/>
      <c r="AA75" s="143"/>
      <c r="AB75" s="144"/>
      <c r="AC75" s="144"/>
      <c r="AD75" s="144"/>
      <c r="AE75" s="34"/>
    </row>
    <row r="76" spans="25:31" ht="16.5" x14ac:dyDescent="0.25">
      <c r="Y76" s="142"/>
      <c r="Z76" s="142"/>
      <c r="AA76" s="143"/>
      <c r="AB76" s="144"/>
      <c r="AC76" s="144"/>
      <c r="AD76" s="144"/>
      <c r="AE76" s="34"/>
    </row>
    <row r="77" spans="25:31" ht="16.5" x14ac:dyDescent="0.25">
      <c r="Y77" s="33"/>
      <c r="Z77" s="33"/>
      <c r="AA77" s="34"/>
      <c r="AB77" s="33"/>
      <c r="AC77" s="34"/>
      <c r="AD77" s="34"/>
      <c r="AE77" s="34"/>
    </row>
    <row r="78" spans="25:31" ht="16.5" x14ac:dyDescent="0.25">
      <c r="Y78" s="33"/>
      <c r="Z78" s="33"/>
      <c r="AA78" s="34"/>
      <c r="AB78" s="33"/>
      <c r="AC78" s="34"/>
      <c r="AD78" s="34"/>
      <c r="AE78" s="34"/>
    </row>
    <row r="79" spans="25:31" ht="16.5" x14ac:dyDescent="0.25">
      <c r="Y79" s="139"/>
      <c r="Z79" s="33"/>
      <c r="AA79" s="34"/>
      <c r="AB79" s="33"/>
      <c r="AC79" s="34"/>
      <c r="AD79" s="34"/>
      <c r="AE79" s="34"/>
    </row>
    <row r="80" spans="25:31" ht="16.5" x14ac:dyDescent="0.25">
      <c r="Y80" s="33"/>
      <c r="Z80" s="34"/>
      <c r="AA80" s="34"/>
      <c r="AB80" s="34"/>
      <c r="AC80" s="34"/>
      <c r="AD80" s="34"/>
      <c r="AE80" s="34"/>
    </row>
    <row r="81" spans="25:31" ht="16.5" x14ac:dyDescent="0.25">
      <c r="Y81" s="139"/>
      <c r="Z81" s="33"/>
      <c r="AA81" s="34"/>
      <c r="AB81" s="33"/>
      <c r="AC81" s="34"/>
      <c r="AD81" s="34"/>
      <c r="AE81" s="34"/>
    </row>
    <row r="82" spans="25:31" ht="16.5" x14ac:dyDescent="0.25">
      <c r="Y82" s="142"/>
      <c r="Z82" s="143"/>
      <c r="AA82" s="144"/>
      <c r="AB82" s="144"/>
      <c r="AC82" s="34"/>
      <c r="AD82" s="34"/>
      <c r="AE82" s="34"/>
    </row>
    <row r="83" spans="25:31" ht="16.5" x14ac:dyDescent="0.25">
      <c r="Y83" s="139"/>
      <c r="Z83" s="33"/>
      <c r="AA83" s="140"/>
      <c r="AB83" s="141"/>
      <c r="AC83" s="34"/>
      <c r="AD83" s="34"/>
      <c r="AE83" s="34"/>
    </row>
    <row r="84" spans="25:31" ht="16.5" x14ac:dyDescent="0.25">
      <c r="Y84" s="142"/>
      <c r="Z84" s="143"/>
      <c r="AA84" s="144"/>
      <c r="AB84" s="144"/>
      <c r="AC84" s="34"/>
      <c r="AD84" s="34"/>
      <c r="AE84" s="34"/>
    </row>
    <row r="85" spans="25:31" ht="16.5" x14ac:dyDescent="0.25">
      <c r="Y85" s="33"/>
      <c r="Z85" s="34"/>
      <c r="AA85" s="140"/>
      <c r="AB85" s="140"/>
      <c r="AC85" s="34"/>
      <c r="AD85" s="34"/>
      <c r="AE85" s="34"/>
    </row>
    <row r="86" spans="25:31" ht="16.5" x14ac:dyDescent="0.25">
      <c r="Y86" s="142"/>
      <c r="Z86" s="142"/>
      <c r="AA86" s="143"/>
      <c r="AB86" s="144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  <row r="89" spans="25:31" ht="16.5" x14ac:dyDescent="0.25">
      <c r="Y89" s="33"/>
      <c r="Z89" s="33"/>
      <c r="AA89" s="34"/>
      <c r="AB89" s="33"/>
      <c r="AC89" s="34"/>
      <c r="AD89" s="34"/>
      <c r="AE89" s="34"/>
    </row>
    <row r="90" spans="25:31" ht="16.5" x14ac:dyDescent="0.25">
      <c r="Y90" s="33"/>
      <c r="Z90" s="33"/>
      <c r="AA90" s="34"/>
      <c r="AB90" s="33"/>
      <c r="AC90" s="34"/>
      <c r="AD90" s="34"/>
      <c r="AE90" s="34"/>
    </row>
    <row r="91" spans="25:31" ht="16.5" x14ac:dyDescent="0.25">
      <c r="Y91" s="33"/>
      <c r="Z91" s="33"/>
      <c r="AA91" s="34"/>
      <c r="AB91" s="33"/>
      <c r="AC91" s="34"/>
      <c r="AD91" s="34"/>
      <c r="AE91" s="34"/>
    </row>
  </sheetData>
  <mergeCells count="120">
    <mergeCell ref="T53:V53"/>
    <mergeCell ref="T54:V54"/>
    <mergeCell ref="K38:M38"/>
    <mergeCell ref="N38:P38"/>
    <mergeCell ref="Q38:S38"/>
    <mergeCell ref="T38:V38"/>
    <mergeCell ref="C48:J48"/>
    <mergeCell ref="T48:V48"/>
    <mergeCell ref="T49:V49"/>
    <mergeCell ref="T50:V50"/>
    <mergeCell ref="T51:V51"/>
    <mergeCell ref="T52:V52"/>
    <mergeCell ref="K44:M44"/>
    <mergeCell ref="N44:P44"/>
    <mergeCell ref="Q44:S44"/>
    <mergeCell ref="T44:V44"/>
    <mergeCell ref="K45:M45"/>
    <mergeCell ref="N45:P45"/>
    <mergeCell ref="Q45:S45"/>
    <mergeCell ref="T45:V45"/>
    <mergeCell ref="K42:M42"/>
    <mergeCell ref="N42:P42"/>
    <mergeCell ref="Q42:S42"/>
    <mergeCell ref="T42:V42"/>
    <mergeCell ref="K43:M43"/>
    <mergeCell ref="N43:P43"/>
    <mergeCell ref="Q43:S43"/>
    <mergeCell ref="T43:V43"/>
    <mergeCell ref="K40:M40"/>
    <mergeCell ref="N40:P40"/>
    <mergeCell ref="Q40:S40"/>
    <mergeCell ref="T40:V40"/>
    <mergeCell ref="K41:M41"/>
    <mergeCell ref="N41:P41"/>
    <mergeCell ref="Q41:S41"/>
    <mergeCell ref="T41:V41"/>
    <mergeCell ref="D37:J37"/>
    <mergeCell ref="K37:M37"/>
    <mergeCell ref="N37:P37"/>
    <mergeCell ref="Q37:S37"/>
    <mergeCell ref="T37:V37"/>
    <mergeCell ref="K39:M39"/>
    <mergeCell ref="N39:P39"/>
    <mergeCell ref="Q39:S39"/>
    <mergeCell ref="T39:V39"/>
    <mergeCell ref="D38:J38"/>
    <mergeCell ref="C32:J32"/>
    <mergeCell ref="T32:V32"/>
    <mergeCell ref="H33:I33"/>
    <mergeCell ref="B34:J35"/>
    <mergeCell ref="K34:M35"/>
    <mergeCell ref="N34:P35"/>
    <mergeCell ref="Q34:S35"/>
    <mergeCell ref="T34:V35"/>
    <mergeCell ref="K30:M30"/>
    <mergeCell ref="N30:P30"/>
    <mergeCell ref="Q30:S30"/>
    <mergeCell ref="T30:V30"/>
    <mergeCell ref="C31:J31"/>
    <mergeCell ref="T31:V3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C22:J22"/>
    <mergeCell ref="T22:V22"/>
    <mergeCell ref="B23:J24"/>
    <mergeCell ref="K23:M24"/>
    <mergeCell ref="N23:P24"/>
    <mergeCell ref="Q23:S24"/>
    <mergeCell ref="T23:V24"/>
    <mergeCell ref="K20:M20"/>
    <mergeCell ref="N20:P20"/>
    <mergeCell ref="Q20:S20"/>
    <mergeCell ref="T20:V20"/>
    <mergeCell ref="K21:M21"/>
    <mergeCell ref="N21:P21"/>
    <mergeCell ref="Q21:S21"/>
    <mergeCell ref="T21:V21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4B9D-EF3A-9D43-B9D8-306C472B9805}">
  <sheetPr codeName="Sheet22">
    <tabColor rgb="FF92D050"/>
    <pageSetUpPr fitToPage="1"/>
  </sheetPr>
  <dimension ref="A1:AG90"/>
  <sheetViews>
    <sheetView view="pageBreakPreview" topLeftCell="A19" zoomScale="88" zoomScaleNormal="85" zoomScaleSheetLayoutView="88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ht="20.100000000000001" customHeight="1" x14ac:dyDescent="0.3">
      <c r="A5" s="8" t="s">
        <v>2</v>
      </c>
      <c r="B5" s="2" t="s">
        <v>3</v>
      </c>
      <c r="C5" s="2"/>
      <c r="D5" s="2"/>
      <c r="E5" s="578">
        <v>1014</v>
      </c>
      <c r="F5" s="578"/>
      <c r="G5" s="697" t="s">
        <v>229</v>
      </c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2"/>
      <c r="X5" s="2"/>
      <c r="Z5" s="2"/>
      <c r="AA5" s="2"/>
      <c r="AB5" s="2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91">
        <f>2.076*8</f>
        <v>16.608000000000001</v>
      </c>
      <c r="F7" s="59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DATA'!C28</f>
        <v>0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E8/E7</f>
        <v>0</v>
      </c>
      <c r="O14" s="581"/>
      <c r="P14" s="582"/>
      <c r="Q14" s="599">
        <v>800</v>
      </c>
      <c r="R14" s="600"/>
      <c r="S14" s="601"/>
      <c r="T14" s="583">
        <f t="shared" ref="T14:T16" si="0">K14*N14*Q14</f>
        <v>0</v>
      </c>
      <c r="U14" s="584"/>
      <c r="V14" s="585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</v>
      </c>
      <c r="O15" s="581"/>
      <c r="P15" s="582"/>
      <c r="Q15" s="599">
        <v>600</v>
      </c>
      <c r="R15" s="600"/>
      <c r="S15" s="601"/>
      <c r="T15" s="583">
        <f t="shared" si="0"/>
        <v>0</v>
      </c>
      <c r="U15" s="584"/>
      <c r="V15" s="585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v>2</v>
      </c>
      <c r="L16" s="597"/>
      <c r="M16" s="598"/>
      <c r="N16" s="580">
        <f>N15</f>
        <v>0</v>
      </c>
      <c r="O16" s="581"/>
      <c r="P16" s="582"/>
      <c r="Q16" s="599">
        <v>400</v>
      </c>
      <c r="R16" s="600"/>
      <c r="S16" s="601"/>
      <c r="T16" s="583">
        <f t="shared" si="0"/>
        <v>0</v>
      </c>
      <c r="U16" s="584"/>
      <c r="V16" s="585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80"/>
      <c r="O17" s="581"/>
      <c r="P17" s="58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/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/>
      <c r="D20" s="35"/>
      <c r="E20" s="2"/>
      <c r="F20" s="2"/>
      <c r="G20" s="2"/>
      <c r="H20" s="2"/>
      <c r="I20" s="2"/>
      <c r="J20" s="17"/>
      <c r="K20" s="596"/>
      <c r="L20" s="597"/>
      <c r="M20" s="598"/>
      <c r="N20" s="580"/>
      <c r="O20" s="581"/>
      <c r="P20" s="582"/>
      <c r="Q20" s="599"/>
      <c r="R20" s="600"/>
      <c r="S20" s="601"/>
      <c r="T20" s="583"/>
      <c r="U20" s="584"/>
      <c r="V20" s="585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7"/>
      <c r="L21" s="578"/>
      <c r="M21" s="579"/>
      <c r="N21" s="580"/>
      <c r="O21" s="578"/>
      <c r="P21" s="579"/>
      <c r="Q21" s="589"/>
      <c r="R21" s="578"/>
      <c r="S21" s="579"/>
      <c r="T21" s="583"/>
      <c r="U21" s="584"/>
      <c r="V21" s="585"/>
      <c r="W21" s="2"/>
      <c r="X21" s="2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3">
      <c r="A22" s="45" t="s">
        <v>26</v>
      </c>
      <c r="B22" s="46"/>
      <c r="C22" s="564" t="s">
        <v>27</v>
      </c>
      <c r="D22" s="565"/>
      <c r="E22" s="565"/>
      <c r="F22" s="565"/>
      <c r="G22" s="565"/>
      <c r="H22" s="565"/>
      <c r="I22" s="565"/>
      <c r="J22" s="56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61">
        <f>ROUND(SUM(T14:V20),2)</f>
        <v>0</v>
      </c>
      <c r="U22" s="562"/>
      <c r="V22" s="563"/>
      <c r="X22" s="51"/>
      <c r="Y22" s="39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1" t="s">
        <v>29</v>
      </c>
      <c r="C23" s="572"/>
      <c r="D23" s="572"/>
      <c r="E23" s="572"/>
      <c r="F23" s="572"/>
      <c r="G23" s="572"/>
      <c r="H23" s="572"/>
      <c r="I23" s="572"/>
      <c r="J23" s="573"/>
      <c r="K23" s="571" t="s">
        <v>30</v>
      </c>
      <c r="L23" s="572"/>
      <c r="M23" s="573"/>
      <c r="N23" s="571" t="s">
        <v>15</v>
      </c>
      <c r="O23" s="572"/>
      <c r="P23" s="573"/>
      <c r="Q23" s="571" t="s">
        <v>16</v>
      </c>
      <c r="R23" s="572"/>
      <c r="S23" s="573"/>
      <c r="T23" s="571" t="s">
        <v>17</v>
      </c>
      <c r="U23" s="572"/>
      <c r="V23" s="573"/>
      <c r="X23" s="52"/>
      <c r="Y23" s="33"/>
      <c r="Z23" s="33"/>
      <c r="AA23" s="34"/>
      <c r="AB23" s="38"/>
      <c r="AC23" s="34"/>
      <c r="AD23" s="34"/>
      <c r="AE23" s="33"/>
      <c r="AF23" s="42"/>
      <c r="AG23" s="33"/>
    </row>
    <row r="24" spans="1:33" ht="16.5" x14ac:dyDescent="0.25">
      <c r="B24" s="574"/>
      <c r="C24" s="575"/>
      <c r="D24" s="575"/>
      <c r="E24" s="575"/>
      <c r="F24" s="575"/>
      <c r="G24" s="575"/>
      <c r="H24" s="575"/>
      <c r="I24" s="575"/>
      <c r="J24" s="576"/>
      <c r="K24" s="574"/>
      <c r="L24" s="575"/>
      <c r="M24" s="576"/>
      <c r="N24" s="574"/>
      <c r="O24" s="575"/>
      <c r="P24" s="576"/>
      <c r="Q24" s="574"/>
      <c r="R24" s="575"/>
      <c r="S24" s="576"/>
      <c r="T24" s="574"/>
      <c r="U24" s="575"/>
      <c r="V24" s="576"/>
      <c r="Y24" s="33"/>
      <c r="Z24" s="33"/>
      <c r="AA24" s="34"/>
      <c r="AB24" s="33"/>
      <c r="AC24" s="33"/>
      <c r="AD24" s="33"/>
      <c r="AE24" s="33"/>
      <c r="AF24" s="33"/>
      <c r="AG24" s="33"/>
    </row>
    <row r="25" spans="1:33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3" ht="16.5" x14ac:dyDescent="0.3">
      <c r="B26" s="15"/>
      <c r="C26" s="19"/>
      <c r="D26" s="2" t="s">
        <v>104</v>
      </c>
      <c r="E26" s="2"/>
      <c r="F26" s="2"/>
      <c r="G26" s="2"/>
      <c r="H26" s="2" t="s">
        <v>232</v>
      </c>
      <c r="I26" s="2"/>
      <c r="J26" s="17"/>
      <c r="K26" s="577"/>
      <c r="L26" s="578"/>
      <c r="M26" s="579"/>
      <c r="N26" s="590"/>
      <c r="O26" s="591"/>
      <c r="P26" s="592"/>
      <c r="Q26" s="580"/>
      <c r="R26" s="581"/>
      <c r="S26" s="582"/>
      <c r="T26" s="583">
        <f>0.1*T22</f>
        <v>0</v>
      </c>
      <c r="U26" s="584"/>
      <c r="V26" s="585"/>
      <c r="W26" s="18"/>
      <c r="X26" s="18"/>
      <c r="Y26" s="139"/>
      <c r="Z26" s="139"/>
      <c r="AA26" s="34"/>
      <c r="AB26" s="34"/>
      <c r="AC26" s="33"/>
      <c r="AD26" s="33"/>
      <c r="AE26" s="33"/>
      <c r="AF26" s="33"/>
      <c r="AG26" s="33"/>
    </row>
    <row r="27" spans="1:33" ht="16.5" x14ac:dyDescent="0.3">
      <c r="B27" s="41"/>
      <c r="C27" s="19"/>
      <c r="D27" s="40"/>
      <c r="E27" s="2"/>
      <c r="F27" s="2"/>
      <c r="G27" s="2"/>
      <c r="H27" s="2"/>
      <c r="I27" s="2"/>
      <c r="J27" s="17"/>
      <c r="K27" s="577"/>
      <c r="L27" s="578"/>
      <c r="M27" s="579"/>
      <c r="N27" s="590"/>
      <c r="O27" s="591"/>
      <c r="P27" s="592"/>
      <c r="Q27" s="580"/>
      <c r="R27" s="581"/>
      <c r="S27" s="582"/>
      <c r="T27" s="583"/>
      <c r="U27" s="584"/>
      <c r="V27" s="585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7"/>
      <c r="L28" s="578"/>
      <c r="M28" s="579"/>
      <c r="N28" s="659"/>
      <c r="O28" s="660"/>
      <c r="P28" s="661"/>
      <c r="Q28" s="580"/>
      <c r="R28" s="581"/>
      <c r="S28" s="582"/>
      <c r="T28" s="583"/>
      <c r="U28" s="584"/>
      <c r="V28" s="585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81"/>
      <c r="P29" s="582"/>
      <c r="Q29" s="580"/>
      <c r="R29" s="581"/>
      <c r="S29" s="582"/>
      <c r="T29" s="583"/>
      <c r="U29" s="584"/>
      <c r="V29" s="585"/>
      <c r="W29" s="18"/>
      <c r="X29" s="18"/>
      <c r="Y29" s="139"/>
      <c r="Z29" s="270"/>
      <c r="AA29" s="39"/>
      <c r="AB29" s="39"/>
      <c r="AC29" s="39"/>
      <c r="AD29" s="140"/>
      <c r="AE29" s="271"/>
      <c r="AF29" s="140"/>
      <c r="AG29" s="140"/>
    </row>
    <row r="30" spans="1:33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7"/>
      <c r="L30" s="578"/>
      <c r="M30" s="579"/>
      <c r="N30" s="580"/>
      <c r="O30" s="578"/>
      <c r="P30" s="579"/>
      <c r="Q30" s="580"/>
      <c r="R30" s="581"/>
      <c r="S30" s="582"/>
      <c r="T30" s="583"/>
      <c r="U30" s="584"/>
      <c r="V30" s="585"/>
      <c r="W30" s="2"/>
      <c r="X30" s="2"/>
      <c r="Y30" s="33"/>
      <c r="Z30" s="33"/>
      <c r="AA30" s="34"/>
      <c r="AB30" s="34"/>
      <c r="AC30" s="33"/>
      <c r="AD30" s="33"/>
      <c r="AE30" s="33"/>
      <c r="AF30" s="140"/>
      <c r="AG30" s="140"/>
    </row>
    <row r="31" spans="1:33" ht="16.5" x14ac:dyDescent="0.3">
      <c r="A31" s="61" t="s">
        <v>34</v>
      </c>
      <c r="B31" s="46"/>
      <c r="C31" s="564" t="s">
        <v>35</v>
      </c>
      <c r="D31" s="565"/>
      <c r="E31" s="565"/>
      <c r="F31" s="565"/>
      <c r="G31" s="565"/>
      <c r="H31" s="565"/>
      <c r="I31" s="565"/>
      <c r="J31" s="56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61">
        <f>ROUND(SUM(T26:V30),2)</f>
        <v>0</v>
      </c>
      <c r="U31" s="562"/>
      <c r="V31" s="563"/>
      <c r="W31" s="9"/>
      <c r="X31" s="2"/>
      <c r="Y31" s="257"/>
      <c r="Z31" s="257"/>
      <c r="AA31" s="272"/>
      <c r="AB31" s="272"/>
      <c r="AC31" s="257"/>
      <c r="AD31" s="257"/>
      <c r="AE31" s="272"/>
      <c r="AF31" s="140"/>
      <c r="AG31" s="140"/>
    </row>
    <row r="32" spans="1:33" ht="16.5" x14ac:dyDescent="0.3">
      <c r="B32" s="64" t="s">
        <v>36</v>
      </c>
      <c r="C32" s="564" t="s">
        <v>37</v>
      </c>
      <c r="D32" s="565"/>
      <c r="E32" s="565"/>
      <c r="F32" s="565"/>
      <c r="G32" s="565"/>
      <c r="H32" s="565"/>
      <c r="I32" s="565"/>
      <c r="J32" s="565"/>
      <c r="K32" s="48"/>
      <c r="L32" s="48"/>
      <c r="M32" s="48"/>
      <c r="N32" s="48"/>
      <c r="O32" s="48"/>
      <c r="P32" s="48"/>
      <c r="Q32" s="48"/>
      <c r="R32" s="48"/>
      <c r="S32" s="48"/>
      <c r="T32" s="562">
        <f>T22+T31</f>
        <v>0</v>
      </c>
      <c r="U32" s="562"/>
      <c r="V32" s="563"/>
      <c r="W32" s="2"/>
      <c r="X32" s="2"/>
      <c r="Y32" s="33"/>
      <c r="Z32" s="33"/>
      <c r="AA32" s="271"/>
      <c r="AB32" s="271"/>
      <c r="AC32" s="33"/>
      <c r="AD32" s="33"/>
      <c r="AE32" s="271"/>
      <c r="AF32" s="271"/>
      <c r="AG32" s="271"/>
    </row>
    <row r="33" spans="1:33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70">
        <f>E7</f>
        <v>16.608000000000001</v>
      </c>
      <c r="I33" s="565"/>
      <c r="J33" s="48" t="str">
        <f>G7</f>
        <v>SQ.M./DAY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33"/>
      <c r="Z33" s="33"/>
      <c r="AA33" s="39"/>
      <c r="AB33" s="34"/>
      <c r="AC33" s="33"/>
      <c r="AD33" s="33"/>
      <c r="AE33" s="33"/>
      <c r="AF33" s="271"/>
      <c r="AG33" s="271"/>
    </row>
    <row r="34" spans="1:33" ht="16.5" x14ac:dyDescent="0.3">
      <c r="B34" s="571" t="s">
        <v>44</v>
      </c>
      <c r="C34" s="572"/>
      <c r="D34" s="572"/>
      <c r="E34" s="572"/>
      <c r="F34" s="572"/>
      <c r="G34" s="572"/>
      <c r="H34" s="572"/>
      <c r="I34" s="572"/>
      <c r="J34" s="573"/>
      <c r="K34" s="571" t="s">
        <v>45</v>
      </c>
      <c r="L34" s="572"/>
      <c r="M34" s="573"/>
      <c r="N34" s="571" t="s">
        <v>46</v>
      </c>
      <c r="O34" s="572"/>
      <c r="P34" s="573"/>
      <c r="Q34" s="571" t="s">
        <v>47</v>
      </c>
      <c r="R34" s="572"/>
      <c r="S34" s="573"/>
      <c r="T34" s="571" t="s">
        <v>17</v>
      </c>
      <c r="U34" s="572"/>
      <c r="V34" s="573"/>
      <c r="W34" s="2"/>
      <c r="X34" s="2"/>
      <c r="Y34" s="33"/>
      <c r="Z34" s="33"/>
      <c r="AA34" s="34"/>
      <c r="AB34" s="34"/>
      <c r="AC34" s="33"/>
      <c r="AD34" s="33"/>
      <c r="AE34" s="33"/>
      <c r="AF34" s="33"/>
      <c r="AG34" s="33"/>
    </row>
    <row r="35" spans="1:33" ht="16.5" x14ac:dyDescent="0.3">
      <c r="B35" s="574"/>
      <c r="C35" s="575"/>
      <c r="D35" s="575"/>
      <c r="E35" s="575"/>
      <c r="F35" s="575"/>
      <c r="G35" s="575"/>
      <c r="H35" s="575"/>
      <c r="I35" s="575"/>
      <c r="J35" s="576"/>
      <c r="K35" s="574"/>
      <c r="L35" s="575"/>
      <c r="M35" s="576"/>
      <c r="N35" s="574"/>
      <c r="O35" s="575"/>
      <c r="P35" s="576"/>
      <c r="Q35" s="574"/>
      <c r="R35" s="575"/>
      <c r="S35" s="576"/>
      <c r="T35" s="574"/>
      <c r="U35" s="575"/>
      <c r="V35" s="576"/>
      <c r="W35" s="2"/>
      <c r="X35" s="2"/>
      <c r="Y35" s="2"/>
      <c r="Z35" s="2"/>
      <c r="AA35" s="7"/>
      <c r="AB35" s="7"/>
      <c r="AC35" s="192"/>
      <c r="AD35" s="192"/>
      <c r="AE35" s="192"/>
      <c r="AF35" s="192"/>
      <c r="AG35" s="192"/>
    </row>
    <row r="36" spans="1:33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"/>
      <c r="Z36" s="2"/>
      <c r="AA36" s="7"/>
      <c r="AB36" s="7"/>
      <c r="AC36" s="193"/>
      <c r="AD36" s="193"/>
      <c r="AE36" s="192"/>
      <c r="AF36" s="192"/>
      <c r="AG36" s="193"/>
    </row>
    <row r="37" spans="1:33" ht="18.95" customHeight="1" x14ac:dyDescent="0.3">
      <c r="B37" s="41"/>
      <c r="C37" s="60" t="s">
        <v>21</v>
      </c>
      <c r="D37" s="695" t="s">
        <v>230</v>
      </c>
      <c r="E37" s="695"/>
      <c r="F37" s="695"/>
      <c r="G37" s="695"/>
      <c r="H37" s="695"/>
      <c r="I37" s="695"/>
      <c r="J37" s="696"/>
      <c r="K37" s="656">
        <f>E8*1.05</f>
        <v>0</v>
      </c>
      <c r="L37" s="698"/>
      <c r="M37" s="699"/>
      <c r="N37" s="700" t="s">
        <v>153</v>
      </c>
      <c r="O37" s="701" t="str">
        <f>IF(L37&gt;1,"bags","bag")</f>
        <v>bag</v>
      </c>
      <c r="P37" s="702" t="str">
        <f>IF(M37&gt;1,"bags","bag")</f>
        <v>bag</v>
      </c>
      <c r="Q37" s="599">
        <f>320/1</f>
        <v>320</v>
      </c>
      <c r="R37" s="600"/>
      <c r="S37" s="601"/>
      <c r="T37" s="583">
        <f>K37*Q37</f>
        <v>0</v>
      </c>
      <c r="U37" s="584"/>
      <c r="V37" s="585"/>
      <c r="W37" s="18"/>
      <c r="X37" s="149"/>
      <c r="Y37" s="149"/>
      <c r="Z37" s="149"/>
      <c r="AA37" s="149"/>
      <c r="AB37" s="2"/>
    </row>
    <row r="38" spans="1:33" ht="17.100000000000001" customHeight="1" x14ac:dyDescent="0.3">
      <c r="B38" s="41"/>
      <c r="C38" s="60" t="s">
        <v>23</v>
      </c>
      <c r="D38" s="695" t="s">
        <v>231</v>
      </c>
      <c r="E38" s="695"/>
      <c r="F38" s="695"/>
      <c r="G38" s="695"/>
      <c r="H38" s="695"/>
      <c r="I38" s="695"/>
      <c r="J38" s="696"/>
      <c r="K38" s="656">
        <f>10*E8</f>
        <v>0</v>
      </c>
      <c r="L38" s="698"/>
      <c r="M38" s="699"/>
      <c r="N38" s="700" t="s">
        <v>209</v>
      </c>
      <c r="O38" s="701" t="str">
        <f>IF(L38&gt;1,"bags","bag")</f>
        <v>bag</v>
      </c>
      <c r="P38" s="702" t="str">
        <f>IF(M38&gt;1,"bags","bag")</f>
        <v>bag</v>
      </c>
      <c r="Q38" s="599">
        <v>5</v>
      </c>
      <c r="R38" s="600"/>
      <c r="S38" s="601"/>
      <c r="T38" s="583">
        <f>K38*Q38</f>
        <v>0</v>
      </c>
      <c r="U38" s="584"/>
      <c r="V38" s="585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 t="s">
        <v>78</v>
      </c>
      <c r="D39" s="40" t="s">
        <v>208</v>
      </c>
      <c r="E39" s="121"/>
      <c r="F39" s="121"/>
      <c r="G39" s="122"/>
      <c r="H39" s="122"/>
      <c r="I39" s="122"/>
      <c r="J39" s="17"/>
      <c r="K39" s="656"/>
      <c r="L39" s="698"/>
      <c r="M39" s="699"/>
      <c r="N39" s="700"/>
      <c r="O39" s="701"/>
      <c r="P39" s="702"/>
      <c r="Q39" s="599"/>
      <c r="R39" s="600"/>
      <c r="S39" s="601"/>
      <c r="T39" s="583">
        <f>0.03*SUM(T37:V38)</f>
        <v>0</v>
      </c>
      <c r="U39" s="584"/>
      <c r="V39" s="585"/>
      <c r="W39" s="132"/>
      <c r="X39" s="149"/>
      <c r="Y39" s="149"/>
      <c r="Z39" s="149"/>
      <c r="AA39" s="149"/>
      <c r="AB39" s="2"/>
    </row>
    <row r="40" spans="1:33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659"/>
      <c r="L40" s="660"/>
      <c r="M40" s="661"/>
      <c r="N40" s="662"/>
      <c r="O40" s="663"/>
      <c r="P40" s="664"/>
      <c r="Q40" s="647"/>
      <c r="R40" s="648"/>
      <c r="S40" s="649"/>
      <c r="T40" s="635"/>
      <c r="U40" s="636"/>
      <c r="V40" s="637"/>
      <c r="W40" s="18"/>
      <c r="X40" s="149"/>
      <c r="Y40" s="149"/>
      <c r="Z40" s="149"/>
      <c r="AA40" s="149"/>
      <c r="AB40" s="2"/>
    </row>
    <row r="41" spans="1:33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9"/>
      <c r="L41" s="660"/>
      <c r="M41" s="661"/>
      <c r="N41" s="662"/>
      <c r="O41" s="663"/>
      <c r="P41" s="664"/>
      <c r="Q41" s="647"/>
      <c r="R41" s="648"/>
      <c r="S41" s="649"/>
      <c r="T41" s="635"/>
      <c r="U41" s="636"/>
      <c r="V41" s="637"/>
      <c r="W41" s="18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245"/>
      <c r="F42" s="245"/>
      <c r="G42" s="122"/>
      <c r="H42" s="122"/>
      <c r="I42" s="122"/>
      <c r="J42" s="17"/>
      <c r="K42" s="659"/>
      <c r="L42" s="660"/>
      <c r="M42" s="661"/>
      <c r="N42" s="662"/>
      <c r="O42" s="663"/>
      <c r="P42" s="664"/>
      <c r="Q42" s="647"/>
      <c r="R42" s="648"/>
      <c r="S42" s="649"/>
      <c r="T42" s="635"/>
      <c r="U42" s="636"/>
      <c r="V42" s="637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40"/>
      <c r="F43" s="40"/>
      <c r="G43" s="40"/>
      <c r="H43" s="40"/>
      <c r="I43" s="40"/>
      <c r="J43" s="324"/>
      <c r="K43" s="659"/>
      <c r="L43" s="660"/>
      <c r="M43" s="661"/>
      <c r="N43" s="662"/>
      <c r="O43" s="663"/>
      <c r="P43" s="664"/>
      <c r="Q43" s="647"/>
      <c r="R43" s="648"/>
      <c r="S43" s="649"/>
      <c r="T43" s="635"/>
      <c r="U43" s="636"/>
      <c r="V43" s="637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19"/>
      <c r="D44" s="40"/>
      <c r="E44" s="40"/>
      <c r="F44" s="40"/>
      <c r="G44" s="40"/>
      <c r="H44" s="40"/>
      <c r="I44" s="40"/>
      <c r="J44" s="324"/>
      <c r="K44" s="659"/>
      <c r="L44" s="660"/>
      <c r="M44" s="661"/>
      <c r="N44" s="662"/>
      <c r="O44" s="663"/>
      <c r="P44" s="664"/>
      <c r="Q44" s="647"/>
      <c r="R44" s="648"/>
      <c r="S44" s="649"/>
      <c r="T44" s="635"/>
      <c r="U44" s="636"/>
      <c r="V44" s="637"/>
      <c r="W44" s="2"/>
      <c r="X44" s="149"/>
      <c r="Y44" s="149"/>
      <c r="Z44" s="149"/>
      <c r="AA44" s="149"/>
      <c r="AB44" s="2"/>
    </row>
    <row r="45" spans="1:33" ht="16.5" x14ac:dyDescent="0.3">
      <c r="B45" s="41"/>
      <c r="C45" s="19"/>
      <c r="D45" s="40"/>
      <c r="E45" s="121"/>
      <c r="F45" s="121"/>
      <c r="G45" s="206"/>
      <c r="H45" s="202"/>
      <c r="I45" s="202"/>
      <c r="J45" s="17"/>
      <c r="K45" s="123"/>
      <c r="L45" s="124"/>
      <c r="M45" s="125"/>
      <c r="N45" s="241"/>
      <c r="O45" s="242"/>
      <c r="P45" s="243"/>
      <c r="Q45" s="105"/>
      <c r="R45" s="106"/>
      <c r="S45" s="107"/>
      <c r="T45" s="213"/>
      <c r="U45" s="214"/>
      <c r="V45" s="215"/>
      <c r="W45" s="2"/>
      <c r="X45" s="149"/>
      <c r="Y45" s="149"/>
      <c r="Z45" s="149"/>
      <c r="AA45" s="149"/>
      <c r="AB45" s="2"/>
    </row>
    <row r="46" spans="1:33" ht="16.5" x14ac:dyDescent="0.3">
      <c r="B46" s="41"/>
      <c r="C46" s="40"/>
      <c r="D46" s="199"/>
      <c r="E46" s="121"/>
      <c r="F46" s="121"/>
      <c r="G46" s="206"/>
      <c r="H46" s="202"/>
      <c r="I46" s="202"/>
      <c r="J46" s="17"/>
      <c r="K46" s="207"/>
      <c r="L46" s="208"/>
      <c r="M46" s="209"/>
      <c r="N46" s="210"/>
      <c r="O46" s="211"/>
      <c r="P46" s="212"/>
      <c r="Q46" s="89"/>
      <c r="R46" s="90"/>
      <c r="S46" s="91"/>
      <c r="T46" s="213"/>
      <c r="U46" s="214"/>
      <c r="V46" s="215"/>
      <c r="W46" s="2"/>
      <c r="X46" s="149"/>
      <c r="Y46" s="149"/>
      <c r="Z46" s="2"/>
      <c r="AA46" s="2"/>
      <c r="AB46" s="2"/>
    </row>
    <row r="47" spans="1:33" ht="16.5" customHeight="1" x14ac:dyDescent="0.3">
      <c r="A47" s="45" t="s">
        <v>51</v>
      </c>
      <c r="B47" s="46"/>
      <c r="C47" s="564" t="s">
        <v>52</v>
      </c>
      <c r="D47" s="565"/>
      <c r="E47" s="565"/>
      <c r="F47" s="565"/>
      <c r="G47" s="565"/>
      <c r="H47" s="565"/>
      <c r="I47" s="565"/>
      <c r="J47" s="56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61">
        <f>ROUND(SUM(T37:V46),2)</f>
        <v>0</v>
      </c>
      <c r="U47" s="562"/>
      <c r="V47" s="563"/>
      <c r="W47" s="2"/>
      <c r="X47" s="9"/>
      <c r="Y47" s="33"/>
      <c r="Z47" s="33"/>
      <c r="AA47" s="237"/>
      <c r="AB47" s="237"/>
      <c r="AC47" s="34"/>
      <c r="AD47" s="34"/>
      <c r="AE47" s="34"/>
    </row>
    <row r="48" spans="1:33" ht="16.5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61">
        <f>T32+T47</f>
        <v>0</v>
      </c>
      <c r="U48" s="562"/>
      <c r="V48" s="563"/>
      <c r="W48" s="2"/>
      <c r="X48" s="2"/>
      <c r="Y48" s="139"/>
      <c r="Z48" s="33"/>
      <c r="AA48" s="34"/>
      <c r="AB48" s="33"/>
      <c r="AC48" s="34"/>
      <c r="AD48" s="34"/>
      <c r="AE48" s="34"/>
    </row>
    <row r="49" spans="1:31" ht="16.5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67">
        <f>T48*N49</f>
        <v>0</v>
      </c>
      <c r="U49" s="568"/>
      <c r="V49" s="569"/>
      <c r="W49" s="2"/>
      <c r="X49" s="2"/>
      <c r="Y49" s="33"/>
      <c r="Z49" s="34"/>
      <c r="AA49" s="34"/>
      <c r="AB49" s="34"/>
      <c r="AC49" s="34"/>
      <c r="AD49" s="34"/>
      <c r="AE49" s="33"/>
    </row>
    <row r="50" spans="1:31" ht="16.5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67">
        <f>T48*N50</f>
        <v>0</v>
      </c>
      <c r="U50" s="568"/>
      <c r="V50" s="569"/>
      <c r="W50" s="2"/>
      <c r="X50" s="2"/>
      <c r="Y50" s="33"/>
      <c r="Z50" s="34"/>
      <c r="AA50" s="34"/>
      <c r="AB50" s="34"/>
      <c r="AC50" s="34"/>
      <c r="AD50" s="34"/>
      <c r="AE50" s="141"/>
    </row>
    <row r="51" spans="1:31" ht="16.5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67">
        <f>(T48+T49+T50)*N51</f>
        <v>0</v>
      </c>
      <c r="U51" s="568"/>
      <c r="V51" s="569"/>
      <c r="W51" s="2"/>
      <c r="X51" s="2"/>
      <c r="Y51" s="244"/>
      <c r="Z51" s="33"/>
      <c r="AA51" s="34"/>
      <c r="AB51" s="33"/>
      <c r="AE51" s="33"/>
    </row>
    <row r="52" spans="1:31" ht="16.5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61">
        <f>SUM(T48:V51)</f>
        <v>0</v>
      </c>
      <c r="U52" s="562"/>
      <c r="V52" s="563"/>
      <c r="W52" s="2"/>
      <c r="X52" s="9"/>
      <c r="Y52" s="238"/>
      <c r="Z52" s="239"/>
      <c r="AA52" s="144"/>
      <c r="AB52" s="144"/>
      <c r="AC52" s="144"/>
      <c r="AD52" s="144"/>
      <c r="AE52" s="33"/>
    </row>
    <row r="53" spans="1:31" ht="16.5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61" t="e">
        <f>T52/E8</f>
        <v>#DIV/0!</v>
      </c>
      <c r="U53" s="562"/>
      <c r="V53" s="563"/>
      <c r="W53" s="132"/>
      <c r="X53" s="2"/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244"/>
      <c r="Z54" s="273"/>
      <c r="AA54" s="144"/>
      <c r="AB54" s="144"/>
      <c r="AC54" s="144"/>
      <c r="AD54" s="144"/>
      <c r="AE54" s="33"/>
    </row>
    <row r="55" spans="1:31" ht="15" customHeight="1" x14ac:dyDescent="0.3">
      <c r="L55" s="2"/>
      <c r="M55" s="2"/>
      <c r="N55" s="2"/>
      <c r="Y55" s="244"/>
      <c r="Z55" s="239"/>
      <c r="AA55" s="144"/>
      <c r="AB55" s="144"/>
      <c r="AC55" s="144"/>
      <c r="AD55" s="144"/>
      <c r="AE55" s="33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44"/>
      <c r="Z57" s="273"/>
      <c r="AA57" s="144"/>
      <c r="AB57" s="144"/>
      <c r="AC57" s="143"/>
      <c r="AD57" s="144"/>
      <c r="AE57" s="141"/>
    </row>
    <row r="58" spans="1:31" ht="16.5" x14ac:dyDescent="0.3"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Y59" s="274"/>
      <c r="Z59" s="239"/>
      <c r="AA59" s="144"/>
      <c r="AB59" s="144"/>
      <c r="AC59" s="144"/>
      <c r="AD59" s="144"/>
      <c r="AE59" s="33"/>
    </row>
    <row r="60" spans="1:31" ht="16.5" x14ac:dyDescent="0.3">
      <c r="Y60" s="244"/>
      <c r="Z60" s="254"/>
      <c r="AA60" s="144"/>
      <c r="AB60" s="144"/>
      <c r="AC60" s="144"/>
      <c r="AD60" s="144"/>
      <c r="AE60" s="33"/>
    </row>
    <row r="61" spans="1:31" ht="16.5" x14ac:dyDescent="0.3">
      <c r="Y61" s="238"/>
      <c r="Z61" s="239"/>
      <c r="AA61" s="144"/>
      <c r="AB61" s="144"/>
      <c r="AC61" s="144"/>
      <c r="AD61" s="144"/>
      <c r="AE61" s="33"/>
    </row>
    <row r="62" spans="1:31" ht="16.5" x14ac:dyDescent="0.3">
      <c r="Y62" s="139"/>
      <c r="Z62" s="239"/>
      <c r="AA62" s="34"/>
      <c r="AB62" s="33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143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14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3"/>
    </row>
    <row r="68" spans="25:31" ht="16.5" x14ac:dyDescent="0.25">
      <c r="Y68" s="139"/>
      <c r="Z68" s="33"/>
      <c r="AA68" s="140"/>
      <c r="AB68" s="141"/>
      <c r="AC68" s="144"/>
      <c r="AD68" s="144"/>
      <c r="AE68" s="33"/>
    </row>
    <row r="69" spans="25:31" ht="16.5" x14ac:dyDescent="0.25">
      <c r="Y69" s="142"/>
      <c r="Z69" s="143"/>
      <c r="AA69" s="144"/>
      <c r="AB69" s="144"/>
      <c r="AC69" s="34"/>
      <c r="AD69" s="34"/>
      <c r="AE69" s="34"/>
    </row>
    <row r="70" spans="25:31" ht="16.5" x14ac:dyDescent="0.25">
      <c r="Y70" s="275"/>
      <c r="Z70" s="276"/>
      <c r="AA70" s="277"/>
      <c r="AB70" s="277"/>
      <c r="AC70" s="278"/>
      <c r="AD70" s="144"/>
      <c r="AE70" s="33"/>
    </row>
    <row r="71" spans="25:31" ht="16.5" x14ac:dyDescent="0.25">
      <c r="Y71" s="279"/>
      <c r="Z71" s="280"/>
      <c r="AA71" s="278"/>
      <c r="AB71" s="278"/>
      <c r="AC71" s="276"/>
      <c r="AD71" s="276"/>
      <c r="AE71" s="33"/>
    </row>
    <row r="72" spans="25:31" ht="16.5" x14ac:dyDescent="0.25">
      <c r="Y72" s="142"/>
      <c r="Z72" s="143"/>
      <c r="AA72" s="144"/>
      <c r="AB72" s="278"/>
      <c r="AC72" s="34"/>
      <c r="AD72" s="34"/>
      <c r="AE72" s="34"/>
    </row>
    <row r="73" spans="25:31" ht="16.5" x14ac:dyDescent="0.25">
      <c r="Y73" s="33"/>
      <c r="Z73" s="34"/>
      <c r="AA73" s="140"/>
      <c r="AB73" s="140"/>
      <c r="AC73" s="140"/>
      <c r="AD73" s="140"/>
      <c r="AE73" s="34"/>
    </row>
    <row r="74" spans="25:31" ht="16.5" x14ac:dyDescent="0.25">
      <c r="Y74" s="142"/>
      <c r="Z74" s="142"/>
      <c r="AA74" s="143"/>
      <c r="AB74" s="144"/>
      <c r="AC74" s="144"/>
      <c r="AD74" s="144"/>
      <c r="AE74" s="34"/>
    </row>
    <row r="75" spans="25:31" ht="16.5" x14ac:dyDescent="0.25">
      <c r="Y75" s="142"/>
      <c r="Z75" s="142"/>
      <c r="AA75" s="143"/>
      <c r="AB75" s="144"/>
      <c r="AC75" s="144"/>
      <c r="AD75" s="144"/>
      <c r="AE75" s="34"/>
    </row>
    <row r="76" spans="25:31" ht="16.5" x14ac:dyDescent="0.25">
      <c r="Y76" s="33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3"/>
      <c r="AA77" s="34"/>
      <c r="AB77" s="33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33"/>
      <c r="Z79" s="34"/>
      <c r="AA79" s="34"/>
      <c r="AB79" s="34"/>
      <c r="AC79" s="34"/>
      <c r="AD79" s="34"/>
      <c r="AE79" s="34"/>
    </row>
    <row r="80" spans="25:31" ht="16.5" x14ac:dyDescent="0.25">
      <c r="Y80" s="139"/>
      <c r="Z80" s="33"/>
      <c r="AA80" s="34"/>
      <c r="AB80" s="33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139"/>
      <c r="Z82" s="33"/>
      <c r="AA82" s="140"/>
      <c r="AB82" s="141"/>
      <c r="AC82" s="34"/>
      <c r="AD82" s="34"/>
      <c r="AE82" s="34"/>
    </row>
    <row r="83" spans="25:31" ht="16.5" x14ac:dyDescent="0.25">
      <c r="Y83" s="142"/>
      <c r="Z83" s="143"/>
      <c r="AA83" s="144"/>
      <c r="AB83" s="144"/>
      <c r="AC83" s="34"/>
      <c r="AD83" s="34"/>
      <c r="AE83" s="34"/>
    </row>
    <row r="84" spans="25:31" ht="16.5" x14ac:dyDescent="0.25">
      <c r="Y84" s="33"/>
      <c r="Z84" s="34"/>
      <c r="AA84" s="140"/>
      <c r="AB84" s="140"/>
      <c r="AC84" s="34"/>
      <c r="AD84" s="34"/>
      <c r="AE84" s="34"/>
    </row>
    <row r="85" spans="25:31" ht="16.5" x14ac:dyDescent="0.25">
      <c r="Y85" s="142"/>
      <c r="Z85" s="142"/>
      <c r="AA85" s="143"/>
      <c r="AB85" s="144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  <row r="89" spans="25:31" ht="16.5" x14ac:dyDescent="0.25">
      <c r="Y89" s="33"/>
      <c r="Z89" s="33"/>
      <c r="AA89" s="34"/>
      <c r="AB89" s="33"/>
      <c r="AC89" s="34"/>
      <c r="AD89" s="34"/>
      <c r="AE89" s="34"/>
    </row>
    <row r="90" spans="25:31" ht="16.5" x14ac:dyDescent="0.25">
      <c r="Y90" s="33"/>
      <c r="Z90" s="33"/>
      <c r="AA90" s="34"/>
      <c r="AB90" s="33"/>
      <c r="AC90" s="34"/>
      <c r="AD90" s="34"/>
      <c r="AE90" s="34"/>
    </row>
  </sheetData>
  <mergeCells count="116">
    <mergeCell ref="T48:V48"/>
    <mergeCell ref="T49:V49"/>
    <mergeCell ref="T50:V50"/>
    <mergeCell ref="T51:V51"/>
    <mergeCell ref="T52:V52"/>
    <mergeCell ref="T53:V53"/>
    <mergeCell ref="K44:M44"/>
    <mergeCell ref="N44:P44"/>
    <mergeCell ref="Q44:S44"/>
    <mergeCell ref="T44:V44"/>
    <mergeCell ref="C47:J47"/>
    <mergeCell ref="T47:V47"/>
    <mergeCell ref="K42:M42"/>
    <mergeCell ref="N42:P42"/>
    <mergeCell ref="Q42:S42"/>
    <mergeCell ref="T42:V42"/>
    <mergeCell ref="K43:M43"/>
    <mergeCell ref="N43:P43"/>
    <mergeCell ref="Q43:S43"/>
    <mergeCell ref="T43:V43"/>
    <mergeCell ref="K40:M40"/>
    <mergeCell ref="N40:P40"/>
    <mergeCell ref="Q40:S40"/>
    <mergeCell ref="T40:V40"/>
    <mergeCell ref="K41:M41"/>
    <mergeCell ref="N41:P41"/>
    <mergeCell ref="Q41:S41"/>
    <mergeCell ref="T41:V41"/>
    <mergeCell ref="K39:M39"/>
    <mergeCell ref="N39:P39"/>
    <mergeCell ref="Q39:S39"/>
    <mergeCell ref="T39:V39"/>
    <mergeCell ref="D37:J37"/>
    <mergeCell ref="K37:M37"/>
    <mergeCell ref="N37:P37"/>
    <mergeCell ref="Q37:S37"/>
    <mergeCell ref="T37:V37"/>
    <mergeCell ref="D38:J38"/>
    <mergeCell ref="K38:M38"/>
    <mergeCell ref="N38:P38"/>
    <mergeCell ref="Q38:S38"/>
    <mergeCell ref="T38:V38"/>
    <mergeCell ref="C32:J32"/>
    <mergeCell ref="T32:V32"/>
    <mergeCell ref="H33:I33"/>
    <mergeCell ref="B34:J35"/>
    <mergeCell ref="K34:M35"/>
    <mergeCell ref="N34:P35"/>
    <mergeCell ref="Q34:S35"/>
    <mergeCell ref="T34:V35"/>
    <mergeCell ref="K30:M30"/>
    <mergeCell ref="N30:P30"/>
    <mergeCell ref="Q30:S30"/>
    <mergeCell ref="T30:V30"/>
    <mergeCell ref="C31:J31"/>
    <mergeCell ref="T31:V3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C22:J22"/>
    <mergeCell ref="T22:V22"/>
    <mergeCell ref="B23:J24"/>
    <mergeCell ref="K23:M24"/>
    <mergeCell ref="N23:P24"/>
    <mergeCell ref="Q23:S24"/>
    <mergeCell ref="T23:V24"/>
    <mergeCell ref="K20:M20"/>
    <mergeCell ref="N20:P20"/>
    <mergeCell ref="Q20:S20"/>
    <mergeCell ref="T20:V20"/>
    <mergeCell ref="K21:M21"/>
    <mergeCell ref="N21:P21"/>
    <mergeCell ref="Q21:S21"/>
    <mergeCell ref="T21:V21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5736-9AC9-EC4B-8C7B-2E2B5D227D03}">
  <sheetPr codeName="Sheet23">
    <tabColor rgb="FF92D050"/>
    <pageSetUpPr fitToPage="1"/>
  </sheetPr>
  <dimension ref="A1:AG90"/>
  <sheetViews>
    <sheetView view="pageBreakPreview" topLeftCell="A7" zoomScale="88" zoomScaleNormal="85" zoomScaleSheetLayoutView="88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ht="20.100000000000001" customHeight="1" x14ac:dyDescent="0.3">
      <c r="A5" s="8" t="s">
        <v>2</v>
      </c>
      <c r="B5" s="2" t="s">
        <v>3</v>
      </c>
      <c r="C5" s="2"/>
      <c r="D5" s="2"/>
      <c r="E5" s="578">
        <v>1014</v>
      </c>
      <c r="F5" s="578"/>
      <c r="G5" s="697" t="s">
        <v>362</v>
      </c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2"/>
      <c r="X5" s="2"/>
      <c r="Z5" s="2"/>
      <c r="AA5" s="2"/>
      <c r="AB5" s="2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91">
        <f>2.769*8</f>
        <v>22.152000000000001</v>
      </c>
      <c r="F7" s="59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DATA'!C29</f>
        <v>140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E8/E7</f>
        <v>6.3199711087035029</v>
      </c>
      <c r="O14" s="581"/>
      <c r="P14" s="582"/>
      <c r="Q14" s="599">
        <v>800</v>
      </c>
      <c r="R14" s="600"/>
      <c r="S14" s="601"/>
      <c r="T14" s="583">
        <f t="shared" ref="T14:T16" si="0">K14*N14*Q14</f>
        <v>5055.9768869628024</v>
      </c>
      <c r="U14" s="584"/>
      <c r="V14" s="585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6.3199711087035029</v>
      </c>
      <c r="O15" s="581"/>
      <c r="P15" s="582"/>
      <c r="Q15" s="599">
        <v>600</v>
      </c>
      <c r="R15" s="600"/>
      <c r="S15" s="601"/>
      <c r="T15" s="583">
        <f t="shared" si="0"/>
        <v>3791.9826652221018</v>
      </c>
      <c r="U15" s="584"/>
      <c r="V15" s="585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96">
        <v>2</v>
      </c>
      <c r="L16" s="597"/>
      <c r="M16" s="598"/>
      <c r="N16" s="580">
        <f>N15</f>
        <v>6.3199711087035029</v>
      </c>
      <c r="O16" s="581"/>
      <c r="P16" s="582"/>
      <c r="Q16" s="599">
        <v>400</v>
      </c>
      <c r="R16" s="600"/>
      <c r="S16" s="601"/>
      <c r="T16" s="583">
        <f t="shared" si="0"/>
        <v>5055.9768869628024</v>
      </c>
      <c r="U16" s="584"/>
      <c r="V16" s="585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7"/>
      <c r="L17" s="578"/>
      <c r="M17" s="579"/>
      <c r="N17" s="580"/>
      <c r="O17" s="581"/>
      <c r="P17" s="58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/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/>
      <c r="D20" s="35"/>
      <c r="E20" s="2"/>
      <c r="F20" s="2"/>
      <c r="G20" s="2"/>
      <c r="H20" s="2"/>
      <c r="I20" s="2"/>
      <c r="J20" s="17"/>
      <c r="K20" s="596"/>
      <c r="L20" s="597"/>
      <c r="M20" s="598"/>
      <c r="N20" s="580"/>
      <c r="O20" s="581"/>
      <c r="P20" s="582"/>
      <c r="Q20" s="599"/>
      <c r="R20" s="600"/>
      <c r="S20" s="601"/>
      <c r="T20" s="583"/>
      <c r="U20" s="584"/>
      <c r="V20" s="585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7"/>
      <c r="L21" s="578"/>
      <c r="M21" s="579"/>
      <c r="N21" s="580"/>
      <c r="O21" s="578"/>
      <c r="P21" s="579"/>
      <c r="Q21" s="589"/>
      <c r="R21" s="578"/>
      <c r="S21" s="579"/>
      <c r="T21" s="583"/>
      <c r="U21" s="584"/>
      <c r="V21" s="585"/>
      <c r="W21" s="2"/>
      <c r="X21" s="2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3">
      <c r="A22" s="45" t="s">
        <v>26</v>
      </c>
      <c r="B22" s="46"/>
      <c r="C22" s="564" t="s">
        <v>27</v>
      </c>
      <c r="D22" s="565"/>
      <c r="E22" s="565"/>
      <c r="F22" s="565"/>
      <c r="G22" s="565"/>
      <c r="H22" s="565"/>
      <c r="I22" s="565"/>
      <c r="J22" s="56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61">
        <f>ROUND(SUM(T14:V20),2)</f>
        <v>13903.94</v>
      </c>
      <c r="U22" s="562"/>
      <c r="V22" s="563"/>
      <c r="X22" s="51"/>
      <c r="Y22" s="39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1" t="s">
        <v>29</v>
      </c>
      <c r="C23" s="572"/>
      <c r="D23" s="572"/>
      <c r="E23" s="572"/>
      <c r="F23" s="572"/>
      <c r="G23" s="572"/>
      <c r="H23" s="572"/>
      <c r="I23" s="572"/>
      <c r="J23" s="573"/>
      <c r="K23" s="571" t="s">
        <v>30</v>
      </c>
      <c r="L23" s="572"/>
      <c r="M23" s="573"/>
      <c r="N23" s="571" t="s">
        <v>15</v>
      </c>
      <c r="O23" s="572"/>
      <c r="P23" s="573"/>
      <c r="Q23" s="571" t="s">
        <v>16</v>
      </c>
      <c r="R23" s="572"/>
      <c r="S23" s="573"/>
      <c r="T23" s="571" t="s">
        <v>17</v>
      </c>
      <c r="U23" s="572"/>
      <c r="V23" s="573"/>
      <c r="X23" s="52"/>
      <c r="Y23" s="33"/>
      <c r="Z23" s="33"/>
      <c r="AA23" s="34"/>
      <c r="AB23" s="38"/>
      <c r="AC23" s="34"/>
      <c r="AD23" s="34"/>
      <c r="AE23" s="33"/>
      <c r="AF23" s="42"/>
      <c r="AG23" s="33"/>
    </row>
    <row r="24" spans="1:33" ht="16.5" x14ac:dyDescent="0.25">
      <c r="B24" s="574"/>
      <c r="C24" s="575"/>
      <c r="D24" s="575"/>
      <c r="E24" s="575"/>
      <c r="F24" s="575"/>
      <c r="G24" s="575"/>
      <c r="H24" s="575"/>
      <c r="I24" s="575"/>
      <c r="J24" s="576"/>
      <c r="K24" s="574"/>
      <c r="L24" s="575"/>
      <c r="M24" s="576"/>
      <c r="N24" s="574"/>
      <c r="O24" s="575"/>
      <c r="P24" s="576"/>
      <c r="Q24" s="574"/>
      <c r="R24" s="575"/>
      <c r="S24" s="576"/>
      <c r="T24" s="574"/>
      <c r="U24" s="575"/>
      <c r="V24" s="576"/>
      <c r="Y24" s="33"/>
      <c r="Z24" s="33"/>
      <c r="AA24" s="34"/>
      <c r="AB24" s="33"/>
      <c r="AC24" s="33"/>
      <c r="AD24" s="33"/>
      <c r="AE24" s="33"/>
      <c r="AF24" s="33"/>
      <c r="AG24" s="33"/>
    </row>
    <row r="25" spans="1:33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3" ht="16.5" x14ac:dyDescent="0.3">
      <c r="B26" s="15"/>
      <c r="C26" s="19"/>
      <c r="D26" s="2" t="s">
        <v>104</v>
      </c>
      <c r="E26" s="2"/>
      <c r="F26" s="2"/>
      <c r="G26" s="2"/>
      <c r="H26" s="2" t="s">
        <v>232</v>
      </c>
      <c r="I26" s="2"/>
      <c r="J26" s="17"/>
      <c r="K26" s="577"/>
      <c r="L26" s="578"/>
      <c r="M26" s="579"/>
      <c r="N26" s="590"/>
      <c r="O26" s="591"/>
      <c r="P26" s="592"/>
      <c r="Q26" s="580"/>
      <c r="R26" s="581"/>
      <c r="S26" s="582"/>
      <c r="T26" s="583">
        <f>0.1*T22</f>
        <v>1390.3940000000002</v>
      </c>
      <c r="U26" s="584"/>
      <c r="V26" s="585"/>
      <c r="W26" s="18"/>
      <c r="X26" s="18"/>
      <c r="Y26" s="139"/>
      <c r="Z26" s="139"/>
      <c r="AA26" s="34"/>
      <c r="AB26" s="34"/>
      <c r="AC26" s="33"/>
      <c r="AD26" s="33"/>
      <c r="AE26" s="33"/>
      <c r="AF26" s="33"/>
      <c r="AG26" s="33"/>
    </row>
    <row r="27" spans="1:33" ht="16.5" x14ac:dyDescent="0.3">
      <c r="B27" s="41"/>
      <c r="C27" s="19"/>
      <c r="D27" s="40"/>
      <c r="E27" s="2"/>
      <c r="F27" s="2"/>
      <c r="G27" s="2"/>
      <c r="H27" s="2"/>
      <c r="I27" s="2"/>
      <c r="J27" s="17"/>
      <c r="K27" s="577"/>
      <c r="L27" s="578"/>
      <c r="M27" s="579"/>
      <c r="N27" s="590"/>
      <c r="O27" s="591"/>
      <c r="P27" s="592"/>
      <c r="Q27" s="580"/>
      <c r="R27" s="581"/>
      <c r="S27" s="582"/>
      <c r="T27" s="583"/>
      <c r="U27" s="584"/>
      <c r="V27" s="585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7"/>
      <c r="L28" s="578"/>
      <c r="M28" s="579"/>
      <c r="N28" s="659"/>
      <c r="O28" s="660"/>
      <c r="P28" s="661"/>
      <c r="Q28" s="580"/>
      <c r="R28" s="581"/>
      <c r="S28" s="582"/>
      <c r="T28" s="583"/>
      <c r="U28" s="584"/>
      <c r="V28" s="585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E29" s="2"/>
      <c r="F29" s="2"/>
      <c r="G29" s="2"/>
      <c r="H29" s="2"/>
      <c r="I29" s="2"/>
      <c r="J29" s="17"/>
      <c r="K29" s="577"/>
      <c r="L29" s="578"/>
      <c r="M29" s="579"/>
      <c r="N29" s="580"/>
      <c r="O29" s="581"/>
      <c r="P29" s="582"/>
      <c r="Q29" s="580"/>
      <c r="R29" s="581"/>
      <c r="S29" s="582"/>
      <c r="T29" s="583"/>
      <c r="U29" s="584"/>
      <c r="V29" s="585"/>
      <c r="W29" s="18"/>
      <c r="X29" s="18"/>
      <c r="Y29" s="139"/>
      <c r="Z29" s="270"/>
      <c r="AA29" s="39"/>
      <c r="AB29" s="39"/>
      <c r="AC29" s="39"/>
      <c r="AD29" s="140"/>
      <c r="AE29" s="271"/>
      <c r="AF29" s="140"/>
      <c r="AG29" s="140"/>
    </row>
    <row r="30" spans="1:33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7"/>
      <c r="L30" s="578"/>
      <c r="M30" s="579"/>
      <c r="N30" s="580"/>
      <c r="O30" s="578"/>
      <c r="P30" s="579"/>
      <c r="Q30" s="580"/>
      <c r="R30" s="581"/>
      <c r="S30" s="582"/>
      <c r="T30" s="583"/>
      <c r="U30" s="584"/>
      <c r="V30" s="585"/>
      <c r="W30" s="2"/>
      <c r="X30" s="2"/>
      <c r="Y30" s="33"/>
      <c r="Z30" s="33"/>
      <c r="AA30" s="34"/>
      <c r="AB30" s="34"/>
      <c r="AC30" s="33"/>
      <c r="AD30" s="33"/>
      <c r="AE30" s="33"/>
      <c r="AF30" s="140"/>
      <c r="AG30" s="140"/>
    </row>
    <row r="31" spans="1:33" ht="16.5" x14ac:dyDescent="0.3">
      <c r="A31" s="61" t="s">
        <v>34</v>
      </c>
      <c r="B31" s="46"/>
      <c r="C31" s="564" t="s">
        <v>35</v>
      </c>
      <c r="D31" s="565"/>
      <c r="E31" s="565"/>
      <c r="F31" s="565"/>
      <c r="G31" s="565"/>
      <c r="H31" s="565"/>
      <c r="I31" s="565"/>
      <c r="J31" s="56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61">
        <f>ROUND(SUM(T26:V30),2)</f>
        <v>1390.39</v>
      </c>
      <c r="U31" s="562"/>
      <c r="V31" s="563"/>
      <c r="W31" s="9"/>
      <c r="X31" s="2"/>
      <c r="Y31" s="257"/>
      <c r="Z31" s="257"/>
      <c r="AA31" s="272"/>
      <c r="AB31" s="272"/>
      <c r="AC31" s="257"/>
      <c r="AD31" s="257"/>
      <c r="AE31" s="272"/>
      <c r="AF31" s="140"/>
      <c r="AG31" s="140"/>
    </row>
    <row r="32" spans="1:33" ht="16.5" x14ac:dyDescent="0.3">
      <c r="B32" s="64" t="s">
        <v>36</v>
      </c>
      <c r="C32" s="564" t="s">
        <v>37</v>
      </c>
      <c r="D32" s="565"/>
      <c r="E32" s="565"/>
      <c r="F32" s="565"/>
      <c r="G32" s="565"/>
      <c r="H32" s="565"/>
      <c r="I32" s="565"/>
      <c r="J32" s="565"/>
      <c r="K32" s="48"/>
      <c r="L32" s="48"/>
      <c r="M32" s="48"/>
      <c r="N32" s="48"/>
      <c r="O32" s="48"/>
      <c r="P32" s="48"/>
      <c r="Q32" s="48"/>
      <c r="R32" s="48"/>
      <c r="S32" s="48"/>
      <c r="T32" s="562">
        <f>T22+T31</f>
        <v>15294.33</v>
      </c>
      <c r="U32" s="562"/>
      <c r="V32" s="563"/>
      <c r="W32" s="2"/>
      <c r="X32" s="2"/>
      <c r="Y32" s="33"/>
      <c r="Z32" s="33"/>
      <c r="AA32" s="271"/>
      <c r="AB32" s="271"/>
      <c r="AC32" s="33"/>
      <c r="AD32" s="33"/>
      <c r="AE32" s="271"/>
      <c r="AF32" s="271"/>
      <c r="AG32" s="271"/>
    </row>
    <row r="33" spans="1:33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70">
        <f>E7</f>
        <v>22.152000000000001</v>
      </c>
      <c r="I33" s="565"/>
      <c r="J33" s="48" t="str">
        <f>G7</f>
        <v>SQ.M./DAY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33"/>
      <c r="Z33" s="33"/>
      <c r="AA33" s="39"/>
      <c r="AB33" s="34"/>
      <c r="AC33" s="33"/>
      <c r="AD33" s="33"/>
      <c r="AE33" s="33"/>
      <c r="AF33" s="271"/>
      <c r="AG33" s="271"/>
    </row>
    <row r="34" spans="1:33" ht="16.5" x14ac:dyDescent="0.3">
      <c r="B34" s="571" t="s">
        <v>44</v>
      </c>
      <c r="C34" s="572"/>
      <c r="D34" s="572"/>
      <c r="E34" s="572"/>
      <c r="F34" s="572"/>
      <c r="G34" s="572"/>
      <c r="H34" s="572"/>
      <c r="I34" s="572"/>
      <c r="J34" s="573"/>
      <c r="K34" s="571" t="s">
        <v>45</v>
      </c>
      <c r="L34" s="572"/>
      <c r="M34" s="573"/>
      <c r="N34" s="571" t="s">
        <v>46</v>
      </c>
      <c r="O34" s="572"/>
      <c r="P34" s="573"/>
      <c r="Q34" s="571" t="s">
        <v>47</v>
      </c>
      <c r="R34" s="572"/>
      <c r="S34" s="573"/>
      <c r="T34" s="571" t="s">
        <v>17</v>
      </c>
      <c r="U34" s="572"/>
      <c r="V34" s="573"/>
      <c r="W34" s="2"/>
      <c r="X34" s="2"/>
      <c r="Y34" s="33"/>
      <c r="Z34" s="33"/>
      <c r="AA34" s="34"/>
      <c r="AB34" s="34"/>
      <c r="AC34" s="33"/>
      <c r="AD34" s="33"/>
      <c r="AE34" s="33"/>
      <c r="AF34" s="33"/>
      <c r="AG34" s="33"/>
    </row>
    <row r="35" spans="1:33" ht="16.5" x14ac:dyDescent="0.3">
      <c r="B35" s="574"/>
      <c r="C35" s="575"/>
      <c r="D35" s="575"/>
      <c r="E35" s="575"/>
      <c r="F35" s="575"/>
      <c r="G35" s="575"/>
      <c r="H35" s="575"/>
      <c r="I35" s="575"/>
      <c r="J35" s="576"/>
      <c r="K35" s="574"/>
      <c r="L35" s="575"/>
      <c r="M35" s="576"/>
      <c r="N35" s="574"/>
      <c r="O35" s="575"/>
      <c r="P35" s="576"/>
      <c r="Q35" s="574"/>
      <c r="R35" s="575"/>
      <c r="S35" s="576"/>
      <c r="T35" s="574"/>
      <c r="U35" s="575"/>
      <c r="V35" s="576"/>
      <c r="W35" s="2"/>
      <c r="X35" s="2"/>
      <c r="Y35" s="2"/>
      <c r="Z35" s="2"/>
      <c r="AA35" s="7"/>
      <c r="AB35" s="7"/>
      <c r="AC35" s="192"/>
      <c r="AD35" s="192"/>
      <c r="AE35" s="192"/>
      <c r="AF35" s="192"/>
      <c r="AG35" s="192"/>
    </row>
    <row r="36" spans="1:33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"/>
      <c r="Z36" s="2"/>
      <c r="AA36" s="7"/>
      <c r="AB36" s="7"/>
      <c r="AC36" s="193"/>
      <c r="AD36" s="193"/>
      <c r="AE36" s="192"/>
      <c r="AF36" s="192"/>
      <c r="AG36" s="193"/>
    </row>
    <row r="37" spans="1:33" ht="18.95" customHeight="1" x14ac:dyDescent="0.3">
      <c r="B37" s="41"/>
      <c r="C37" s="60" t="s">
        <v>21</v>
      </c>
      <c r="D37" s="695" t="s">
        <v>233</v>
      </c>
      <c r="E37" s="695"/>
      <c r="F37" s="695"/>
      <c r="G37" s="695"/>
      <c r="H37" s="695"/>
      <c r="I37" s="695"/>
      <c r="J37" s="696"/>
      <c r="K37" s="656">
        <f>E8*1</f>
        <v>140</v>
      </c>
      <c r="L37" s="698"/>
      <c r="M37" s="699"/>
      <c r="N37" s="700" t="s">
        <v>224</v>
      </c>
      <c r="O37" s="701" t="str">
        <f>IF(L37&gt;1,"bags","bag")</f>
        <v>bag</v>
      </c>
      <c r="P37" s="702" t="str">
        <f>IF(M37&gt;1,"bags","bag")</f>
        <v>bag</v>
      </c>
      <c r="Q37" s="599">
        <v>320</v>
      </c>
      <c r="R37" s="600"/>
      <c r="S37" s="601"/>
      <c r="T37" s="583">
        <f>K37*Q37</f>
        <v>44800</v>
      </c>
      <c r="U37" s="584"/>
      <c r="V37" s="585"/>
      <c r="W37" s="18"/>
      <c r="X37" s="149"/>
      <c r="Y37" s="149"/>
      <c r="Z37" s="149"/>
      <c r="AA37" s="149"/>
      <c r="AB37" s="2"/>
    </row>
    <row r="38" spans="1:33" ht="17.100000000000001" customHeight="1" x14ac:dyDescent="0.3">
      <c r="B38" s="41"/>
      <c r="C38" s="60" t="s">
        <v>23</v>
      </c>
      <c r="D38" s="695" t="s">
        <v>231</v>
      </c>
      <c r="E38" s="695"/>
      <c r="F38" s="695"/>
      <c r="G38" s="695"/>
      <c r="H38" s="695"/>
      <c r="I38" s="695"/>
      <c r="J38" s="696"/>
      <c r="K38" s="656">
        <f>10*E8</f>
        <v>1400</v>
      </c>
      <c r="L38" s="698"/>
      <c r="M38" s="699"/>
      <c r="N38" s="700" t="s">
        <v>209</v>
      </c>
      <c r="O38" s="701" t="str">
        <f>IF(L38&gt;1,"bags","bag")</f>
        <v>bag</v>
      </c>
      <c r="P38" s="702" t="str">
        <f>IF(M38&gt;1,"bags","bag")</f>
        <v>bag</v>
      </c>
      <c r="Q38" s="599">
        <v>5</v>
      </c>
      <c r="R38" s="600"/>
      <c r="S38" s="601"/>
      <c r="T38" s="583">
        <f>K38*Q38</f>
        <v>7000</v>
      </c>
      <c r="U38" s="584"/>
      <c r="V38" s="585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 t="s">
        <v>78</v>
      </c>
      <c r="D39" s="40" t="s">
        <v>208</v>
      </c>
      <c r="E39" s="121"/>
      <c r="F39" s="121"/>
      <c r="G39" s="122"/>
      <c r="H39" s="122"/>
      <c r="I39" s="122"/>
      <c r="J39" s="17"/>
      <c r="K39" s="656"/>
      <c r="L39" s="698"/>
      <c r="M39" s="699"/>
      <c r="N39" s="700"/>
      <c r="O39" s="701"/>
      <c r="P39" s="702"/>
      <c r="Q39" s="599"/>
      <c r="R39" s="600"/>
      <c r="S39" s="601"/>
      <c r="T39" s="583">
        <f>0.03*SUM(T37:V38)</f>
        <v>1554</v>
      </c>
      <c r="U39" s="584"/>
      <c r="V39" s="585"/>
      <c r="W39" s="132"/>
      <c r="X39" s="149"/>
      <c r="Y39" s="149"/>
      <c r="Z39" s="149"/>
      <c r="AA39" s="149"/>
      <c r="AB39" s="2"/>
    </row>
    <row r="40" spans="1:33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659"/>
      <c r="L40" s="660"/>
      <c r="M40" s="661"/>
      <c r="N40" s="662"/>
      <c r="O40" s="663"/>
      <c r="P40" s="664"/>
      <c r="Q40" s="647"/>
      <c r="R40" s="648"/>
      <c r="S40" s="649"/>
      <c r="T40" s="635"/>
      <c r="U40" s="636"/>
      <c r="V40" s="637"/>
      <c r="W40" s="18"/>
      <c r="X40" s="149"/>
      <c r="Y40" s="149"/>
      <c r="Z40" s="149"/>
      <c r="AA40" s="149"/>
      <c r="AB40" s="2"/>
    </row>
    <row r="41" spans="1:33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9"/>
      <c r="L41" s="660"/>
      <c r="M41" s="661"/>
      <c r="N41" s="662"/>
      <c r="O41" s="663"/>
      <c r="P41" s="664"/>
      <c r="Q41" s="647"/>
      <c r="R41" s="648"/>
      <c r="S41" s="649"/>
      <c r="T41" s="635"/>
      <c r="U41" s="636"/>
      <c r="V41" s="637"/>
      <c r="W41" s="18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245"/>
      <c r="F42" s="245"/>
      <c r="G42" s="122"/>
      <c r="H42" s="122"/>
      <c r="I42" s="122"/>
      <c r="J42" s="17"/>
      <c r="K42" s="659"/>
      <c r="L42" s="660"/>
      <c r="M42" s="661"/>
      <c r="N42" s="662"/>
      <c r="O42" s="663"/>
      <c r="P42" s="664"/>
      <c r="Q42" s="647"/>
      <c r="R42" s="648"/>
      <c r="S42" s="649"/>
      <c r="T42" s="635"/>
      <c r="U42" s="636"/>
      <c r="V42" s="637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40"/>
      <c r="F43" s="40"/>
      <c r="G43" s="40"/>
      <c r="H43" s="40"/>
      <c r="I43" s="40"/>
      <c r="J43" s="324"/>
      <c r="K43" s="659"/>
      <c r="L43" s="660"/>
      <c r="M43" s="661"/>
      <c r="N43" s="662"/>
      <c r="O43" s="663"/>
      <c r="P43" s="664"/>
      <c r="Q43" s="647"/>
      <c r="R43" s="648"/>
      <c r="S43" s="649"/>
      <c r="T43" s="635"/>
      <c r="U43" s="636"/>
      <c r="V43" s="637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19"/>
      <c r="D44" s="40"/>
      <c r="E44" s="40"/>
      <c r="F44" s="40"/>
      <c r="G44" s="40"/>
      <c r="H44" s="40"/>
      <c r="I44" s="40"/>
      <c r="J44" s="324"/>
      <c r="K44" s="659"/>
      <c r="L44" s="660"/>
      <c r="M44" s="661"/>
      <c r="N44" s="662"/>
      <c r="O44" s="663"/>
      <c r="P44" s="664"/>
      <c r="Q44" s="647"/>
      <c r="R44" s="648"/>
      <c r="S44" s="649"/>
      <c r="T44" s="635"/>
      <c r="U44" s="636"/>
      <c r="V44" s="637"/>
      <c r="W44" s="2"/>
      <c r="X44" s="149"/>
      <c r="Y44" s="149"/>
      <c r="Z44" s="149"/>
      <c r="AA44" s="149"/>
      <c r="AB44" s="2"/>
    </row>
    <row r="45" spans="1:33" ht="16.5" x14ac:dyDescent="0.3">
      <c r="B45" s="41"/>
      <c r="C45" s="19"/>
      <c r="D45" s="40"/>
      <c r="E45" s="121"/>
      <c r="F45" s="121"/>
      <c r="G45" s="206"/>
      <c r="H45" s="202"/>
      <c r="I45" s="202"/>
      <c r="J45" s="17"/>
      <c r="K45" s="123"/>
      <c r="L45" s="124"/>
      <c r="M45" s="125"/>
      <c r="N45" s="241"/>
      <c r="O45" s="242"/>
      <c r="P45" s="243"/>
      <c r="Q45" s="105"/>
      <c r="R45" s="106"/>
      <c r="S45" s="107"/>
      <c r="T45" s="213"/>
      <c r="U45" s="214"/>
      <c r="V45" s="215"/>
      <c r="W45" s="2"/>
      <c r="X45" s="149"/>
      <c r="Y45" s="149"/>
      <c r="Z45" s="149"/>
      <c r="AA45" s="149"/>
      <c r="AB45" s="2"/>
    </row>
    <row r="46" spans="1:33" ht="16.5" x14ac:dyDescent="0.3">
      <c r="B46" s="41"/>
      <c r="C46" s="40"/>
      <c r="D46" s="199"/>
      <c r="E46" s="121"/>
      <c r="F46" s="121"/>
      <c r="G46" s="206"/>
      <c r="H46" s="202"/>
      <c r="I46" s="202"/>
      <c r="J46" s="17"/>
      <c r="K46" s="207"/>
      <c r="L46" s="208"/>
      <c r="M46" s="209"/>
      <c r="N46" s="210"/>
      <c r="O46" s="211"/>
      <c r="P46" s="212"/>
      <c r="Q46" s="89"/>
      <c r="R46" s="90"/>
      <c r="S46" s="91"/>
      <c r="T46" s="213"/>
      <c r="U46" s="214"/>
      <c r="V46" s="215"/>
      <c r="W46" s="2"/>
      <c r="X46" s="149"/>
      <c r="Y46" s="149"/>
      <c r="Z46" s="2"/>
      <c r="AA46" s="2"/>
      <c r="AB46" s="2"/>
    </row>
    <row r="47" spans="1:33" ht="16.5" customHeight="1" x14ac:dyDescent="0.3">
      <c r="A47" s="45" t="s">
        <v>51</v>
      </c>
      <c r="B47" s="46"/>
      <c r="C47" s="564" t="s">
        <v>52</v>
      </c>
      <c r="D47" s="565"/>
      <c r="E47" s="565"/>
      <c r="F47" s="565"/>
      <c r="G47" s="565"/>
      <c r="H47" s="565"/>
      <c r="I47" s="565"/>
      <c r="J47" s="56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61">
        <f>ROUND(SUM(T37:V46),2)</f>
        <v>53354</v>
      </c>
      <c r="U47" s="562"/>
      <c r="V47" s="563"/>
      <c r="W47" s="2"/>
      <c r="X47" s="9"/>
      <c r="Y47" s="33"/>
      <c r="Z47" s="33"/>
      <c r="AA47" s="237"/>
      <c r="AB47" s="237"/>
      <c r="AC47" s="34"/>
      <c r="AD47" s="34"/>
      <c r="AE47" s="34"/>
    </row>
    <row r="48" spans="1:33" ht="16.5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61">
        <f>T32+T47</f>
        <v>68648.33</v>
      </c>
      <c r="U48" s="562"/>
      <c r="V48" s="563"/>
      <c r="W48" s="2"/>
      <c r="X48" s="2"/>
      <c r="Y48" s="139"/>
      <c r="Z48" s="33"/>
      <c r="AA48" s="34"/>
      <c r="AB48" s="33"/>
      <c r="AC48" s="34"/>
      <c r="AD48" s="34"/>
      <c r="AE48" s="34"/>
    </row>
    <row r="49" spans="1:31" ht="16.5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67">
        <f>T48*N49</f>
        <v>3432.4165000000003</v>
      </c>
      <c r="U49" s="568"/>
      <c r="V49" s="569"/>
      <c r="W49" s="2"/>
      <c r="X49" s="2"/>
      <c r="Y49" s="33"/>
      <c r="Z49" s="34"/>
      <c r="AA49" s="34"/>
      <c r="AB49" s="34"/>
      <c r="AC49" s="34"/>
      <c r="AD49" s="34"/>
      <c r="AE49" s="33"/>
    </row>
    <row r="50" spans="1:31" ht="16.5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67">
        <f>T48*N50</f>
        <v>6864.8330000000005</v>
      </c>
      <c r="U50" s="568"/>
      <c r="V50" s="569"/>
      <c r="W50" s="2"/>
      <c r="X50" s="2"/>
      <c r="Y50" s="33"/>
      <c r="Z50" s="34"/>
      <c r="AA50" s="34"/>
      <c r="AB50" s="34"/>
      <c r="AC50" s="34"/>
      <c r="AD50" s="34"/>
      <c r="AE50" s="141"/>
    </row>
    <row r="51" spans="1:31" ht="16.5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67">
        <f>(T48+T49+T50)*N51</f>
        <v>0</v>
      </c>
      <c r="U51" s="568"/>
      <c r="V51" s="569"/>
      <c r="W51" s="2"/>
      <c r="X51" s="2"/>
      <c r="Y51" s="244"/>
      <c r="Z51" s="33"/>
      <c r="AA51" s="34"/>
      <c r="AB51" s="33"/>
      <c r="AE51" s="33"/>
    </row>
    <row r="52" spans="1:31" ht="16.5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61">
        <f>SUM(T48:V51)</f>
        <v>78945.579500000007</v>
      </c>
      <c r="U52" s="562"/>
      <c r="V52" s="563"/>
      <c r="W52" s="2"/>
      <c r="X52" s="9"/>
      <c r="Y52" s="238"/>
      <c r="Z52" s="239"/>
      <c r="AA52" s="144"/>
      <c r="AB52" s="144"/>
      <c r="AC52" s="144"/>
      <c r="AD52" s="144"/>
      <c r="AE52" s="33"/>
    </row>
    <row r="53" spans="1:31" ht="16.5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61">
        <f>T52/E8</f>
        <v>563.89699642857147</v>
      </c>
      <c r="U53" s="562"/>
      <c r="V53" s="563"/>
      <c r="W53" s="132"/>
      <c r="X53" s="2"/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244"/>
      <c r="Z54" s="273"/>
      <c r="AA54" s="144"/>
      <c r="AB54" s="144"/>
      <c r="AC54" s="144"/>
      <c r="AD54" s="144"/>
      <c r="AE54" s="33"/>
    </row>
    <row r="55" spans="1:31" ht="15" customHeight="1" x14ac:dyDescent="0.3">
      <c r="L55" s="2"/>
      <c r="M55" s="2"/>
      <c r="N55" s="2"/>
      <c r="Y55" s="244"/>
      <c r="Z55" s="239"/>
      <c r="AA55" s="144"/>
      <c r="AB55" s="144"/>
      <c r="AC55" s="144"/>
      <c r="AD55" s="144"/>
      <c r="AE55" s="33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44"/>
      <c r="Z57" s="273"/>
      <c r="AA57" s="144"/>
      <c r="AB57" s="144"/>
      <c r="AC57" s="143"/>
      <c r="AD57" s="144"/>
      <c r="AE57" s="141"/>
    </row>
    <row r="58" spans="1:31" ht="16.5" x14ac:dyDescent="0.3"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Y59" s="274"/>
      <c r="Z59" s="239"/>
      <c r="AA59" s="144"/>
      <c r="AB59" s="144"/>
      <c r="AC59" s="144"/>
      <c r="AD59" s="144"/>
      <c r="AE59" s="33"/>
    </row>
    <row r="60" spans="1:31" ht="16.5" x14ac:dyDescent="0.3">
      <c r="Y60" s="244"/>
      <c r="Z60" s="254"/>
      <c r="AA60" s="144"/>
      <c r="AB60" s="144"/>
      <c r="AC60" s="144"/>
      <c r="AD60" s="144"/>
      <c r="AE60" s="33"/>
    </row>
    <row r="61" spans="1:31" ht="16.5" x14ac:dyDescent="0.3">
      <c r="Y61" s="238"/>
      <c r="Z61" s="239"/>
      <c r="AA61" s="144"/>
      <c r="AB61" s="144"/>
      <c r="AC61" s="144"/>
      <c r="AD61" s="144"/>
      <c r="AE61" s="33"/>
    </row>
    <row r="62" spans="1:31" ht="16.5" x14ac:dyDescent="0.3">
      <c r="Y62" s="139"/>
      <c r="Z62" s="239"/>
      <c r="AA62" s="34"/>
      <c r="AB62" s="33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143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14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3"/>
    </row>
    <row r="68" spans="25:31" ht="16.5" x14ac:dyDescent="0.25">
      <c r="Y68" s="139"/>
      <c r="Z68" s="33"/>
      <c r="AA68" s="140"/>
      <c r="AB68" s="141"/>
      <c r="AC68" s="144"/>
      <c r="AD68" s="144"/>
      <c r="AE68" s="33"/>
    </row>
    <row r="69" spans="25:31" ht="16.5" x14ac:dyDescent="0.25">
      <c r="Y69" s="142"/>
      <c r="Z69" s="143"/>
      <c r="AA69" s="144"/>
      <c r="AB69" s="144"/>
      <c r="AC69" s="34"/>
      <c r="AD69" s="34"/>
      <c r="AE69" s="34"/>
    </row>
    <row r="70" spans="25:31" ht="16.5" x14ac:dyDescent="0.25">
      <c r="Y70" s="275"/>
      <c r="Z70" s="276"/>
      <c r="AA70" s="277"/>
      <c r="AB70" s="277"/>
      <c r="AC70" s="278"/>
      <c r="AD70" s="144"/>
      <c r="AE70" s="33"/>
    </row>
    <row r="71" spans="25:31" ht="16.5" x14ac:dyDescent="0.25">
      <c r="Y71" s="279"/>
      <c r="Z71" s="280"/>
      <c r="AA71" s="278"/>
      <c r="AB71" s="278"/>
      <c r="AC71" s="276"/>
      <c r="AD71" s="276"/>
      <c r="AE71" s="33"/>
    </row>
    <row r="72" spans="25:31" ht="16.5" x14ac:dyDescent="0.25">
      <c r="Y72" s="142"/>
      <c r="Z72" s="143"/>
      <c r="AA72" s="144"/>
      <c r="AB72" s="278"/>
      <c r="AC72" s="34"/>
      <c r="AD72" s="34"/>
      <c r="AE72" s="34"/>
    </row>
    <row r="73" spans="25:31" ht="16.5" x14ac:dyDescent="0.25">
      <c r="Y73" s="33"/>
      <c r="Z73" s="34"/>
      <c r="AA73" s="140"/>
      <c r="AB73" s="140"/>
      <c r="AC73" s="140"/>
      <c r="AD73" s="140"/>
      <c r="AE73" s="34"/>
    </row>
    <row r="74" spans="25:31" ht="16.5" x14ac:dyDescent="0.25">
      <c r="Y74" s="142"/>
      <c r="Z74" s="142"/>
      <c r="AA74" s="143"/>
      <c r="AB74" s="144"/>
      <c r="AC74" s="144"/>
      <c r="AD74" s="144"/>
      <c r="AE74" s="34"/>
    </row>
    <row r="75" spans="25:31" ht="16.5" x14ac:dyDescent="0.25">
      <c r="Y75" s="142"/>
      <c r="Z75" s="142"/>
      <c r="AA75" s="143"/>
      <c r="AB75" s="144"/>
      <c r="AC75" s="144"/>
      <c r="AD75" s="144"/>
      <c r="AE75" s="34"/>
    </row>
    <row r="76" spans="25:31" ht="16.5" x14ac:dyDescent="0.25">
      <c r="Y76" s="33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3"/>
      <c r="AA77" s="34"/>
      <c r="AB77" s="33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33"/>
      <c r="Z79" s="34"/>
      <c r="AA79" s="34"/>
      <c r="AB79" s="34"/>
      <c r="AC79" s="34"/>
      <c r="AD79" s="34"/>
      <c r="AE79" s="34"/>
    </row>
    <row r="80" spans="25:31" ht="16.5" x14ac:dyDescent="0.25">
      <c r="Y80" s="139"/>
      <c r="Z80" s="33"/>
      <c r="AA80" s="34"/>
      <c r="AB80" s="33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139"/>
      <c r="Z82" s="33"/>
      <c r="AA82" s="140"/>
      <c r="AB82" s="141"/>
      <c r="AC82" s="34"/>
      <c r="AD82" s="34"/>
      <c r="AE82" s="34"/>
    </row>
    <row r="83" spans="25:31" ht="16.5" x14ac:dyDescent="0.25">
      <c r="Y83" s="142"/>
      <c r="Z83" s="143"/>
      <c r="AA83" s="144"/>
      <c r="AB83" s="144"/>
      <c r="AC83" s="34"/>
      <c r="AD83" s="34"/>
      <c r="AE83" s="34"/>
    </row>
    <row r="84" spans="25:31" ht="16.5" x14ac:dyDescent="0.25">
      <c r="Y84" s="33"/>
      <c r="Z84" s="34"/>
      <c r="AA84" s="140"/>
      <c r="AB84" s="140"/>
      <c r="AC84" s="34"/>
      <c r="AD84" s="34"/>
      <c r="AE84" s="34"/>
    </row>
    <row r="85" spans="25:31" ht="16.5" x14ac:dyDescent="0.25">
      <c r="Y85" s="142"/>
      <c r="Z85" s="142"/>
      <c r="AA85" s="143"/>
      <c r="AB85" s="144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  <row r="89" spans="25:31" ht="16.5" x14ac:dyDescent="0.25">
      <c r="Y89" s="33"/>
      <c r="Z89" s="33"/>
      <c r="AA89" s="34"/>
      <c r="AB89" s="33"/>
      <c r="AC89" s="34"/>
      <c r="AD89" s="34"/>
      <c r="AE89" s="34"/>
    </row>
    <row r="90" spans="25:31" ht="16.5" x14ac:dyDescent="0.25">
      <c r="Y90" s="33"/>
      <c r="Z90" s="33"/>
      <c r="AA90" s="34"/>
      <c r="AB90" s="33"/>
      <c r="AC90" s="34"/>
      <c r="AD90" s="34"/>
      <c r="AE90" s="34"/>
    </row>
  </sheetData>
  <mergeCells count="116">
    <mergeCell ref="T52:V52"/>
    <mergeCell ref="T53:V53"/>
    <mergeCell ref="C47:J47"/>
    <mergeCell ref="T47:V47"/>
    <mergeCell ref="T48:V48"/>
    <mergeCell ref="T49:V49"/>
    <mergeCell ref="T50:V50"/>
    <mergeCell ref="T51:V51"/>
    <mergeCell ref="K43:M43"/>
    <mergeCell ref="N43:P43"/>
    <mergeCell ref="Q43:S43"/>
    <mergeCell ref="T43:V43"/>
    <mergeCell ref="K44:M44"/>
    <mergeCell ref="N44:P44"/>
    <mergeCell ref="Q44:S44"/>
    <mergeCell ref="T44:V44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D37:J37"/>
    <mergeCell ref="K37:M37"/>
    <mergeCell ref="N37:P37"/>
    <mergeCell ref="Q37:S37"/>
    <mergeCell ref="T37:V37"/>
    <mergeCell ref="D38:J38"/>
    <mergeCell ref="K38:M38"/>
    <mergeCell ref="N38:P38"/>
    <mergeCell ref="Q38:S38"/>
    <mergeCell ref="T38:V38"/>
    <mergeCell ref="C32:J32"/>
    <mergeCell ref="T32:V32"/>
    <mergeCell ref="H33:I33"/>
    <mergeCell ref="B34:J35"/>
    <mergeCell ref="K34:M35"/>
    <mergeCell ref="N34:P35"/>
    <mergeCell ref="Q34:S35"/>
    <mergeCell ref="T34:V35"/>
    <mergeCell ref="K30:M30"/>
    <mergeCell ref="N30:P30"/>
    <mergeCell ref="Q30:S30"/>
    <mergeCell ref="T30:V30"/>
    <mergeCell ref="C31:J31"/>
    <mergeCell ref="T31:V3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C22:J22"/>
    <mergeCell ref="T22:V22"/>
    <mergeCell ref="B23:J24"/>
    <mergeCell ref="K23:M24"/>
    <mergeCell ref="N23:P24"/>
    <mergeCell ref="Q23:S24"/>
    <mergeCell ref="T23:V24"/>
    <mergeCell ref="K20:M20"/>
    <mergeCell ref="N20:P20"/>
    <mergeCell ref="Q20:S20"/>
    <mergeCell ref="T20:V20"/>
    <mergeCell ref="K21:M21"/>
    <mergeCell ref="N21:P21"/>
    <mergeCell ref="Q21:S21"/>
    <mergeCell ref="T21:V21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D4D3-0291-6E49-BDC2-D5925D98C78D}">
  <sheetPr codeName="Sheet24">
    <tabColor rgb="FF92D050"/>
    <pageSetUpPr fitToPage="1"/>
  </sheetPr>
  <dimension ref="A1:AO78"/>
  <sheetViews>
    <sheetView view="pageBreakPreview" topLeftCell="A6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45.28515625" style="1" customWidth="1"/>
    <col min="27" max="27" width="18.425781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41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4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1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41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</row>
    <row r="5" spans="1:41" s="4" customFormat="1" ht="16.5" customHeight="1" x14ac:dyDescent="0.3">
      <c r="A5" s="6" t="s">
        <v>2</v>
      </c>
      <c r="B5" s="5" t="s">
        <v>3</v>
      </c>
      <c r="C5" s="5"/>
      <c r="D5" s="5"/>
      <c r="E5" s="725" t="s">
        <v>147</v>
      </c>
      <c r="F5" s="725"/>
      <c r="G5" s="605" t="s">
        <v>148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1"/>
      <c r="AA5" s="14"/>
      <c r="AB5" s="301"/>
      <c r="AC5" s="192"/>
      <c r="AD5" s="191"/>
      <c r="AE5" s="191"/>
      <c r="AF5" s="192"/>
      <c r="AG5" s="1"/>
      <c r="AH5" s="1"/>
      <c r="AI5" s="1"/>
      <c r="AJ5" s="1"/>
      <c r="AK5" s="1"/>
      <c r="AL5" s="1"/>
      <c r="AM5" s="1"/>
      <c r="AN5" s="1"/>
      <c r="AO5" s="1"/>
    </row>
    <row r="6" spans="1:41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14"/>
      <c r="AA6" s="14"/>
      <c r="AB6" s="14"/>
      <c r="AC6" s="14"/>
      <c r="AD6" s="14"/>
      <c r="AE6" s="192"/>
      <c r="AF6" s="14"/>
      <c r="AG6" s="1">
        <f>AE6/2</f>
        <v>0</v>
      </c>
    </row>
    <row r="7" spans="1:41" ht="16.5" x14ac:dyDescent="0.3">
      <c r="B7" s="2" t="s">
        <v>9</v>
      </c>
      <c r="C7" s="2"/>
      <c r="D7" s="2"/>
      <c r="E7" s="581">
        <f>1.875*8*Y11</f>
        <v>15</v>
      </c>
      <c r="F7" s="58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4"/>
      <c r="AA7" s="14"/>
      <c r="AB7" s="14"/>
      <c r="AC7" s="14"/>
      <c r="AD7" s="14"/>
      <c r="AE7" s="302"/>
      <c r="AF7" s="303"/>
      <c r="AG7" s="1">
        <f>AE7/2</f>
        <v>0</v>
      </c>
    </row>
    <row r="8" spans="1:41" ht="16.5" x14ac:dyDescent="0.3">
      <c r="A8" s="8" t="s">
        <v>11</v>
      </c>
      <c r="B8" s="2" t="s">
        <v>12</v>
      </c>
      <c r="C8" s="2"/>
      <c r="D8" s="2"/>
      <c r="E8" s="600">
        <f>'INPUT DATA'!C30</f>
        <v>66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AA8" s="14"/>
      <c r="AB8" s="14"/>
      <c r="AC8" s="14"/>
      <c r="AD8" s="303"/>
      <c r="AE8" s="304"/>
      <c r="AF8" s="303"/>
    </row>
    <row r="9" spans="1:4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AA9" s="14"/>
      <c r="AB9" s="14"/>
      <c r="AC9" s="14"/>
      <c r="AD9" s="303"/>
      <c r="AE9" s="146"/>
      <c r="AF9" s="303"/>
    </row>
    <row r="10" spans="1:41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14"/>
      <c r="AA10" s="14"/>
      <c r="AB10" s="14"/>
      <c r="AC10" s="14"/>
      <c r="AD10" s="303"/>
      <c r="AE10" s="146"/>
      <c r="AF10" s="303"/>
    </row>
    <row r="11" spans="1:41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4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41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4.4000000000000004</v>
      </c>
      <c r="O13" s="581"/>
      <c r="P13" s="582"/>
      <c r="Q13" s="599">
        <v>800</v>
      </c>
      <c r="R13" s="600"/>
      <c r="S13" s="601"/>
      <c r="T13" s="583">
        <f t="shared" ref="T13:T15" si="0">K13*N13*Q13</f>
        <v>3520.0000000000005</v>
      </c>
      <c r="U13" s="584"/>
      <c r="V13" s="585"/>
      <c r="W13" s="2"/>
      <c r="X13" s="26"/>
      <c r="Y13" s="27"/>
      <c r="Z13" s="28"/>
      <c r="AA13" s="29"/>
      <c r="AB13" s="29"/>
    </row>
    <row r="14" spans="1:41" ht="16.5" x14ac:dyDescent="0.3">
      <c r="B14" s="15"/>
      <c r="C14" s="19" t="s">
        <v>23</v>
      </c>
      <c r="D14" s="20" t="s">
        <v>149</v>
      </c>
      <c r="E14" s="2"/>
      <c r="F14" s="2"/>
      <c r="G14" s="2"/>
      <c r="H14" s="2"/>
      <c r="I14" s="2"/>
      <c r="J14" s="17"/>
      <c r="K14" s="596">
        <f>1*Y11</f>
        <v>1</v>
      </c>
      <c r="L14" s="597"/>
      <c r="M14" s="598"/>
      <c r="N14" s="580">
        <f t="shared" ref="N14:N15" si="1">N13</f>
        <v>4.4000000000000004</v>
      </c>
      <c r="O14" s="581"/>
      <c r="P14" s="582"/>
      <c r="Q14" s="599">
        <v>600</v>
      </c>
      <c r="R14" s="600"/>
      <c r="S14" s="601"/>
      <c r="T14" s="583">
        <f t="shared" si="0"/>
        <v>2640</v>
      </c>
      <c r="U14" s="584"/>
      <c r="V14" s="585"/>
      <c r="W14" s="2"/>
      <c r="X14" s="26"/>
      <c r="Y14" s="27"/>
      <c r="Z14" s="28"/>
      <c r="AA14" s="13"/>
      <c r="AB14" s="13"/>
    </row>
    <row r="15" spans="1:41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f>1*Y11</f>
        <v>1</v>
      </c>
      <c r="L15" s="597"/>
      <c r="M15" s="598"/>
      <c r="N15" s="580">
        <f t="shared" si="1"/>
        <v>4.4000000000000004</v>
      </c>
      <c r="O15" s="581"/>
      <c r="P15" s="582"/>
      <c r="Q15" s="599">
        <v>400</v>
      </c>
      <c r="R15" s="600"/>
      <c r="S15" s="601"/>
      <c r="T15" s="583">
        <f t="shared" si="0"/>
        <v>1760.0000000000002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41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05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9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7920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792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792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8712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s="4" customFormat="1" ht="16.5" x14ac:dyDescent="0.25">
      <c r="B35" s="246"/>
      <c r="C35" s="306" t="s">
        <v>21</v>
      </c>
      <c r="D35" s="720" t="s">
        <v>150</v>
      </c>
      <c r="E35" s="720"/>
      <c r="F35" s="720"/>
      <c r="G35" s="720"/>
      <c r="H35" s="720"/>
      <c r="I35" s="720"/>
      <c r="J35" s="721"/>
      <c r="K35" s="670">
        <f>(E8*3)/56</f>
        <v>3.5357142857142856</v>
      </c>
      <c r="L35" s="671"/>
      <c r="M35" s="672"/>
      <c r="N35" s="708" t="str">
        <f>IF(K35&gt;1,"gals.","gal.")</f>
        <v>gals.</v>
      </c>
      <c r="O35" s="709"/>
      <c r="P35" s="710"/>
      <c r="Q35" s="647">
        <v>950</v>
      </c>
      <c r="R35" s="648"/>
      <c r="S35" s="649"/>
      <c r="T35" s="714">
        <f t="shared" ref="T35:T36" si="2">K35*Q35</f>
        <v>3358.9285714285711</v>
      </c>
      <c r="U35" s="715"/>
      <c r="V35" s="716"/>
      <c r="W35" s="307"/>
      <c r="X35" s="5"/>
      <c r="Y35" s="308"/>
      <c r="Z35" s="309"/>
      <c r="AA35" s="310"/>
      <c r="AB35" s="308"/>
      <c r="AC35" s="308"/>
      <c r="AD35" s="308"/>
      <c r="AE35" s="308"/>
      <c r="AF35" s="308"/>
      <c r="AG35" s="308"/>
      <c r="AH35" s="308"/>
      <c r="AI35" s="308"/>
      <c r="AJ35" s="308"/>
      <c r="AK35" s="311"/>
      <c r="AL35" s="312"/>
      <c r="AM35" s="312">
        <v>4</v>
      </c>
      <c r="AN35" s="5"/>
    </row>
    <row r="36" spans="1:40" ht="16.5" customHeight="1" x14ac:dyDescent="0.3">
      <c r="B36" s="41"/>
      <c r="C36" s="313" t="s">
        <v>23</v>
      </c>
      <c r="D36" s="314" t="s">
        <v>97</v>
      </c>
      <c r="E36" s="296"/>
      <c r="F36" s="296"/>
      <c r="G36" s="296"/>
      <c r="H36" s="296"/>
      <c r="I36" s="296"/>
      <c r="J36" s="297"/>
      <c r="K36" s="703">
        <f>K35*7.5/50</f>
        <v>0.53035714285714286</v>
      </c>
      <c r="L36" s="704"/>
      <c r="M36" s="705"/>
      <c r="N36" s="703" t="str">
        <f>IF(K36&gt;1,"bags","bag")</f>
        <v>bag</v>
      </c>
      <c r="O36" s="704"/>
      <c r="P36" s="705"/>
      <c r="Q36" s="647">
        <v>265</v>
      </c>
      <c r="R36" s="648"/>
      <c r="S36" s="649"/>
      <c r="T36" s="722">
        <f t="shared" si="2"/>
        <v>140.54464285714286</v>
      </c>
      <c r="U36" s="723"/>
      <c r="V36" s="724"/>
      <c r="W36" s="18"/>
      <c r="X36" s="2"/>
      <c r="Y36" s="62"/>
      <c r="Z36" s="281"/>
      <c r="AA36" s="28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313"/>
      <c r="D37" s="315"/>
      <c r="E37" s="298"/>
      <c r="F37" s="298"/>
      <c r="G37" s="298"/>
      <c r="H37" s="298"/>
      <c r="I37" s="298"/>
      <c r="J37" s="299"/>
      <c r="K37" s="662"/>
      <c r="L37" s="663"/>
      <c r="M37" s="664"/>
      <c r="N37" s="708"/>
      <c r="O37" s="709"/>
      <c r="P37" s="710"/>
      <c r="Q37" s="647"/>
      <c r="R37" s="648"/>
      <c r="S37" s="649"/>
      <c r="T37" s="714"/>
      <c r="U37" s="715"/>
      <c r="V37" s="716"/>
      <c r="W37" s="18"/>
      <c r="X37" s="2"/>
      <c r="Y37" s="95"/>
      <c r="Z37" s="284"/>
      <c r="AA37" s="285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313"/>
      <c r="D38" s="315"/>
      <c r="E38" s="298"/>
      <c r="F38" s="298"/>
      <c r="G38" s="298"/>
      <c r="H38" s="298"/>
      <c r="I38" s="298"/>
      <c r="J38" s="299"/>
      <c r="K38" s="662"/>
      <c r="L38" s="663"/>
      <c r="M38" s="664"/>
      <c r="N38" s="708"/>
      <c r="O38" s="709"/>
      <c r="P38" s="710"/>
      <c r="Q38" s="647"/>
      <c r="R38" s="648"/>
      <c r="S38" s="649"/>
      <c r="T38" s="717"/>
      <c r="U38" s="718"/>
      <c r="V38" s="719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313"/>
      <c r="D39" s="315"/>
      <c r="E39" s="245"/>
      <c r="F39" s="245"/>
      <c r="G39" s="122"/>
      <c r="H39" s="122"/>
      <c r="I39" s="122"/>
      <c r="J39" s="17"/>
      <c r="K39" s="662"/>
      <c r="L39" s="663"/>
      <c r="M39" s="664"/>
      <c r="N39" s="708"/>
      <c r="O39" s="709"/>
      <c r="P39" s="710"/>
      <c r="Q39" s="647"/>
      <c r="R39" s="648"/>
      <c r="S39" s="649"/>
      <c r="T39" s="635"/>
      <c r="U39" s="636"/>
      <c r="V39" s="637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313"/>
      <c r="D40" s="315"/>
      <c r="E40" s="245"/>
      <c r="F40" s="245"/>
      <c r="G40" s="122"/>
      <c r="H40" s="122"/>
      <c r="I40" s="122"/>
      <c r="J40" s="17"/>
      <c r="K40" s="662"/>
      <c r="L40" s="663"/>
      <c r="M40" s="664"/>
      <c r="N40" s="703"/>
      <c r="O40" s="704"/>
      <c r="P40" s="705"/>
      <c r="Q40" s="647"/>
      <c r="R40" s="648"/>
      <c r="S40" s="649"/>
      <c r="T40" s="711"/>
      <c r="U40" s="712"/>
      <c r="V40" s="713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316"/>
      <c r="D41" s="283"/>
      <c r="E41" s="245"/>
      <c r="F41" s="245"/>
      <c r="G41" s="122"/>
      <c r="H41" s="122"/>
      <c r="I41" s="122"/>
      <c r="J41" s="17"/>
      <c r="K41" s="662"/>
      <c r="L41" s="663"/>
      <c r="M41" s="664"/>
      <c r="N41" s="703"/>
      <c r="O41" s="704"/>
      <c r="P41" s="705"/>
      <c r="Q41" s="647"/>
      <c r="R41" s="648"/>
      <c r="S41" s="649"/>
      <c r="T41" s="635"/>
      <c r="U41" s="636"/>
      <c r="V41" s="637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customHeight="1" x14ac:dyDescent="0.3">
      <c r="B42" s="41"/>
      <c r="C42" s="316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317"/>
      <c r="D43" s="93"/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108"/>
      <c r="U43" s="109"/>
      <c r="V43" s="110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706"/>
      <c r="E44" s="706"/>
      <c r="F44" s="706"/>
      <c r="G44" s="706"/>
      <c r="H44" s="706"/>
      <c r="I44" s="706"/>
      <c r="J44" s="707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 t="s">
        <v>51</v>
      </c>
      <c r="B46" s="46"/>
      <c r="C46" s="564" t="s">
        <v>52</v>
      </c>
      <c r="D46" s="565"/>
      <c r="E46" s="565"/>
      <c r="F46" s="565"/>
      <c r="G46" s="565"/>
      <c r="H46" s="565"/>
      <c r="I46" s="565"/>
      <c r="J46" s="56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ROUND(SUM(T35:V45),2)</f>
        <v>3499.47</v>
      </c>
      <c r="U46" s="562"/>
      <c r="V46" s="563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T30+T46</f>
        <v>12211.47</v>
      </c>
      <c r="U47" s="562"/>
      <c r="V47" s="563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610.57349999999997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1221.1469999999999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14043.190500000001</v>
      </c>
      <c r="U51" s="562"/>
      <c r="V51" s="563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212.77561363636366</v>
      </c>
      <c r="U52" s="562"/>
      <c r="V52" s="563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J57" s="318"/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116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D44:J44"/>
    <mergeCell ref="C46:J46"/>
    <mergeCell ref="T46:V46"/>
    <mergeCell ref="K39:M39"/>
    <mergeCell ref="N39:P39"/>
    <mergeCell ref="Q39:S39"/>
    <mergeCell ref="T39:V39"/>
    <mergeCell ref="K40:M40"/>
    <mergeCell ref="N40:P40"/>
    <mergeCell ref="Q40:S40"/>
    <mergeCell ref="T40:V40"/>
    <mergeCell ref="T47:V47"/>
    <mergeCell ref="T48:V48"/>
    <mergeCell ref="T49:V49"/>
    <mergeCell ref="T50:V50"/>
    <mergeCell ref="T51:V51"/>
    <mergeCell ref="T52:V52"/>
    <mergeCell ref="K41:M41"/>
    <mergeCell ref="N41:P41"/>
    <mergeCell ref="Q41:S41"/>
    <mergeCell ref="T41:V4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C280-794D-AC43-8766-DCFDB22F432F}">
  <sheetPr codeName="Sheet25">
    <tabColor rgb="FF92D050"/>
    <pageSetUpPr fitToPage="1"/>
  </sheetPr>
  <dimension ref="A1:AO78"/>
  <sheetViews>
    <sheetView view="pageBreakPreview" topLeftCell="A11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45.28515625" style="1" customWidth="1"/>
    <col min="27" max="27" width="18.425781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41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4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1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41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</row>
    <row r="5" spans="1:41" s="4" customFormat="1" ht="16.5" customHeight="1" x14ac:dyDescent="0.3">
      <c r="A5" s="6" t="s">
        <v>2</v>
      </c>
      <c r="B5" s="5" t="s">
        <v>3</v>
      </c>
      <c r="C5" s="5"/>
      <c r="D5" s="5"/>
      <c r="E5" s="725">
        <v>1018</v>
      </c>
      <c r="F5" s="725"/>
      <c r="G5" s="605" t="s">
        <v>234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1"/>
      <c r="AA5" s="14"/>
      <c r="AB5" s="301"/>
      <c r="AC5" s="192"/>
      <c r="AD5" s="191"/>
      <c r="AE5" s="191"/>
      <c r="AF5" s="192"/>
      <c r="AG5" s="1"/>
      <c r="AH5" s="1"/>
      <c r="AI5" s="1"/>
      <c r="AJ5" s="1"/>
      <c r="AK5" s="1"/>
      <c r="AL5" s="1"/>
      <c r="AM5" s="1"/>
      <c r="AN5" s="1"/>
      <c r="AO5" s="1"/>
    </row>
    <row r="6" spans="1:41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14"/>
      <c r="AA6" s="14"/>
      <c r="AB6" s="14"/>
      <c r="AC6" s="14"/>
      <c r="AD6" s="14"/>
      <c r="AE6" s="192"/>
      <c r="AF6" s="14"/>
      <c r="AG6" s="1">
        <f>AE6/2</f>
        <v>0</v>
      </c>
    </row>
    <row r="7" spans="1:41" ht="16.5" x14ac:dyDescent="0.3">
      <c r="B7" s="2" t="s">
        <v>9</v>
      </c>
      <c r="C7" s="2"/>
      <c r="D7" s="2"/>
      <c r="E7" s="581">
        <f>1.95*8*Y11</f>
        <v>15.6</v>
      </c>
      <c r="F7" s="58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4"/>
      <c r="AA7" s="14"/>
      <c r="AB7" s="14"/>
      <c r="AC7" s="14"/>
      <c r="AD7" s="14"/>
      <c r="AE7" s="302"/>
      <c r="AF7" s="303"/>
      <c r="AG7" s="1">
        <f>AE7/2</f>
        <v>0</v>
      </c>
    </row>
    <row r="8" spans="1:41" ht="16.5" x14ac:dyDescent="0.3">
      <c r="A8" s="8" t="s">
        <v>11</v>
      </c>
      <c r="B8" s="2" t="s">
        <v>12</v>
      </c>
      <c r="C8" s="2"/>
      <c r="D8" s="2"/>
      <c r="E8" s="600">
        <f>'INPUT DATA'!C31</f>
        <v>80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AA8" s="14"/>
      <c r="AB8" s="14"/>
      <c r="AC8" s="14"/>
      <c r="AD8" s="303"/>
      <c r="AE8" s="304"/>
      <c r="AF8" s="303"/>
    </row>
    <row r="9" spans="1:4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AA9" s="14"/>
      <c r="AB9" s="14"/>
      <c r="AC9" s="14"/>
      <c r="AD9" s="303"/>
      <c r="AE9" s="146"/>
      <c r="AF9" s="303"/>
    </row>
    <row r="10" spans="1:41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14"/>
      <c r="AA10" s="14"/>
      <c r="AB10" s="14"/>
      <c r="AC10" s="14"/>
      <c r="AD10" s="303"/>
      <c r="AE10" s="146"/>
      <c r="AF10" s="303"/>
    </row>
    <row r="11" spans="1:41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4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41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5.1282051282051286</v>
      </c>
      <c r="O13" s="581"/>
      <c r="P13" s="582"/>
      <c r="Q13" s="599">
        <v>800</v>
      </c>
      <c r="R13" s="600"/>
      <c r="S13" s="601"/>
      <c r="T13" s="583">
        <f t="shared" ref="T13:T15" si="0">K13*N13*Q13</f>
        <v>4102.5641025641025</v>
      </c>
      <c r="U13" s="584"/>
      <c r="V13" s="585"/>
      <c r="W13" s="2"/>
      <c r="X13" s="26"/>
      <c r="Y13" s="27"/>
      <c r="Z13" s="28"/>
      <c r="AA13" s="29"/>
      <c r="AB13" s="29"/>
    </row>
    <row r="14" spans="1:41" ht="16.5" x14ac:dyDescent="0.3">
      <c r="B14" s="15"/>
      <c r="C14" s="19" t="s">
        <v>23</v>
      </c>
      <c r="D14" s="20" t="s">
        <v>149</v>
      </c>
      <c r="E14" s="2"/>
      <c r="F14" s="2"/>
      <c r="G14" s="2"/>
      <c r="H14" s="2"/>
      <c r="I14" s="2"/>
      <c r="J14" s="17"/>
      <c r="K14" s="596">
        <v>5</v>
      </c>
      <c r="L14" s="597"/>
      <c r="M14" s="598"/>
      <c r="N14" s="580">
        <f t="shared" ref="N14:N15" si="1">N13</f>
        <v>5.1282051282051286</v>
      </c>
      <c r="O14" s="581"/>
      <c r="P14" s="582"/>
      <c r="Q14" s="599">
        <v>600</v>
      </c>
      <c r="R14" s="600"/>
      <c r="S14" s="601"/>
      <c r="T14" s="583">
        <f t="shared" si="0"/>
        <v>15384.615384615385</v>
      </c>
      <c r="U14" s="584"/>
      <c r="V14" s="585"/>
      <c r="W14" s="2"/>
      <c r="X14" s="26"/>
      <c r="Y14" s="27"/>
      <c r="Z14" s="28"/>
      <c r="AA14" s="13"/>
      <c r="AB14" s="13"/>
    </row>
    <row r="15" spans="1:41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5</v>
      </c>
      <c r="L15" s="597"/>
      <c r="M15" s="598"/>
      <c r="N15" s="580">
        <f t="shared" si="1"/>
        <v>5.1282051282051286</v>
      </c>
      <c r="O15" s="581"/>
      <c r="P15" s="582"/>
      <c r="Q15" s="599">
        <v>400</v>
      </c>
      <c r="R15" s="600"/>
      <c r="S15" s="601"/>
      <c r="T15" s="583">
        <f t="shared" si="0"/>
        <v>10256.410256410258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41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05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9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29743.59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2974.3590000000004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2974.3590000000004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32717.949000000001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s="4" customFormat="1" ht="16.5" x14ac:dyDescent="0.25">
      <c r="B35" s="246"/>
      <c r="C35" s="306" t="s">
        <v>21</v>
      </c>
      <c r="D35" s="720" t="s">
        <v>235</v>
      </c>
      <c r="E35" s="720"/>
      <c r="F35" s="720"/>
      <c r="G35" s="720"/>
      <c r="H35" s="720"/>
      <c r="I35" s="720"/>
      <c r="J35" s="721"/>
      <c r="K35" s="670">
        <f>E8</f>
        <v>80</v>
      </c>
      <c r="L35" s="671"/>
      <c r="M35" s="672"/>
      <c r="N35" s="708" t="s">
        <v>153</v>
      </c>
      <c r="O35" s="709"/>
      <c r="P35" s="710"/>
      <c r="Q35" s="647">
        <f>270/(0.6*0.6)</f>
        <v>750</v>
      </c>
      <c r="R35" s="648"/>
      <c r="S35" s="649"/>
      <c r="T35" s="714">
        <f t="shared" ref="T35:T36" si="2">K35*Q35</f>
        <v>60000</v>
      </c>
      <c r="U35" s="715"/>
      <c r="V35" s="716"/>
      <c r="W35" s="307"/>
      <c r="X35" s="5"/>
      <c r="Y35" s="308"/>
      <c r="Z35" s="309"/>
      <c r="AA35" s="310"/>
      <c r="AB35" s="308"/>
      <c r="AC35" s="308"/>
      <c r="AD35" s="308"/>
      <c r="AE35" s="308"/>
      <c r="AF35" s="308"/>
      <c r="AG35" s="308"/>
      <c r="AH35" s="308"/>
      <c r="AI35" s="308"/>
      <c r="AJ35" s="308"/>
      <c r="AK35" s="311"/>
      <c r="AL35" s="312"/>
      <c r="AM35" s="312">
        <v>4</v>
      </c>
      <c r="AN35" s="5"/>
    </row>
    <row r="36" spans="1:40" ht="16.5" customHeight="1" x14ac:dyDescent="0.3">
      <c r="B36" s="41"/>
      <c r="C36" s="313" t="s">
        <v>23</v>
      </c>
      <c r="D36" s="314" t="s">
        <v>97</v>
      </c>
      <c r="E36" s="296"/>
      <c r="F36" s="296"/>
      <c r="G36" s="296"/>
      <c r="H36" s="296"/>
      <c r="I36" s="296"/>
      <c r="J36" s="297"/>
      <c r="K36" s="703">
        <f>0.325*E8</f>
        <v>26</v>
      </c>
      <c r="L36" s="704"/>
      <c r="M36" s="705"/>
      <c r="N36" s="703" t="str">
        <f>IF(K36&gt;1,"bags","bag")</f>
        <v>bags</v>
      </c>
      <c r="O36" s="704"/>
      <c r="P36" s="705"/>
      <c r="Q36" s="647">
        <v>265</v>
      </c>
      <c r="R36" s="648"/>
      <c r="S36" s="649"/>
      <c r="T36" s="722">
        <f t="shared" si="2"/>
        <v>6890</v>
      </c>
      <c r="U36" s="723"/>
      <c r="V36" s="724"/>
      <c r="W36" s="18"/>
      <c r="X36" s="2"/>
      <c r="Y36" s="62"/>
      <c r="Z36" s="281"/>
      <c r="AA36" s="28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313" t="s">
        <v>78</v>
      </c>
      <c r="D37" s="315" t="s">
        <v>99</v>
      </c>
      <c r="E37" s="298"/>
      <c r="F37" s="298"/>
      <c r="G37" s="298"/>
      <c r="H37" s="298"/>
      <c r="I37" s="298"/>
      <c r="J37" s="299"/>
      <c r="K37" s="662">
        <f>0.026*E8</f>
        <v>2.08</v>
      </c>
      <c r="L37" s="663"/>
      <c r="M37" s="664"/>
      <c r="N37" s="708" t="s">
        <v>185</v>
      </c>
      <c r="O37" s="709"/>
      <c r="P37" s="710"/>
      <c r="Q37" s="647">
        <v>1400</v>
      </c>
      <c r="R37" s="648"/>
      <c r="S37" s="649"/>
      <c r="T37" s="722">
        <f t="shared" ref="T37:T38" si="3">K37*Q37</f>
        <v>2912</v>
      </c>
      <c r="U37" s="723"/>
      <c r="V37" s="724"/>
      <c r="W37" s="18"/>
      <c r="X37" s="2"/>
      <c r="Y37" s="95"/>
      <c r="Z37" s="284"/>
      <c r="AA37" s="285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313" t="s">
        <v>94</v>
      </c>
      <c r="D38" s="315" t="s">
        <v>236</v>
      </c>
      <c r="E38" s="298"/>
      <c r="F38" s="298"/>
      <c r="G38" s="298"/>
      <c r="H38" s="298"/>
      <c r="I38" s="298"/>
      <c r="J38" s="299"/>
      <c r="K38" s="662">
        <f>0.125*E8</f>
        <v>10</v>
      </c>
      <c r="L38" s="663"/>
      <c r="M38" s="664"/>
      <c r="N38" s="708" t="s">
        <v>237</v>
      </c>
      <c r="O38" s="709"/>
      <c r="P38" s="710"/>
      <c r="Q38" s="647">
        <v>70</v>
      </c>
      <c r="R38" s="648"/>
      <c r="S38" s="649"/>
      <c r="T38" s="722">
        <f t="shared" si="3"/>
        <v>700</v>
      </c>
      <c r="U38" s="723"/>
      <c r="V38" s="724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313"/>
      <c r="D39" s="315"/>
      <c r="E39" s="245"/>
      <c r="F39" s="245"/>
      <c r="G39" s="122"/>
      <c r="H39" s="122"/>
      <c r="I39" s="122"/>
      <c r="J39" s="17"/>
      <c r="K39" s="662"/>
      <c r="L39" s="663"/>
      <c r="M39" s="664"/>
      <c r="N39" s="708"/>
      <c r="O39" s="709"/>
      <c r="P39" s="710"/>
      <c r="Q39" s="647"/>
      <c r="R39" s="648"/>
      <c r="S39" s="649"/>
      <c r="T39" s="635"/>
      <c r="U39" s="636"/>
      <c r="V39" s="637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313"/>
      <c r="D40" s="315"/>
      <c r="E40" s="245"/>
      <c r="F40" s="245"/>
      <c r="G40" s="122"/>
      <c r="H40" s="122"/>
      <c r="I40" s="122"/>
      <c r="J40" s="17"/>
      <c r="K40" s="662"/>
      <c r="L40" s="663"/>
      <c r="M40" s="664"/>
      <c r="N40" s="703"/>
      <c r="O40" s="704"/>
      <c r="P40" s="705"/>
      <c r="Q40" s="647"/>
      <c r="R40" s="648"/>
      <c r="S40" s="649"/>
      <c r="T40" s="711"/>
      <c r="U40" s="712"/>
      <c r="V40" s="713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316"/>
      <c r="D41" s="283"/>
      <c r="E41" s="245"/>
      <c r="F41" s="245"/>
      <c r="G41" s="122"/>
      <c r="H41" s="122"/>
      <c r="I41" s="122"/>
      <c r="J41" s="17"/>
      <c r="K41" s="662"/>
      <c r="L41" s="663"/>
      <c r="M41" s="664"/>
      <c r="N41" s="703"/>
      <c r="O41" s="704"/>
      <c r="P41" s="705"/>
      <c r="Q41" s="647"/>
      <c r="R41" s="648"/>
      <c r="S41" s="649"/>
      <c r="T41" s="635"/>
      <c r="U41" s="636"/>
      <c r="V41" s="637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customHeight="1" x14ac:dyDescent="0.3">
      <c r="B42" s="41"/>
      <c r="C42" s="316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317"/>
      <c r="D43" s="93"/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108"/>
      <c r="U43" s="109"/>
      <c r="V43" s="110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706"/>
      <c r="E44" s="706"/>
      <c r="F44" s="706"/>
      <c r="G44" s="706"/>
      <c r="H44" s="706"/>
      <c r="I44" s="706"/>
      <c r="J44" s="707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 t="s">
        <v>51</v>
      </c>
      <c r="B46" s="46"/>
      <c r="C46" s="564" t="s">
        <v>52</v>
      </c>
      <c r="D46" s="565"/>
      <c r="E46" s="565"/>
      <c r="F46" s="565"/>
      <c r="G46" s="565"/>
      <c r="H46" s="565"/>
      <c r="I46" s="565"/>
      <c r="J46" s="56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ROUND(SUM(T35:V45),2)</f>
        <v>70502</v>
      </c>
      <c r="U46" s="562"/>
      <c r="V46" s="563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T30+T46</f>
        <v>103219.94899999999</v>
      </c>
      <c r="U47" s="562"/>
      <c r="V47" s="563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5160.9974499999998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10321.9949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118702.94134999999</v>
      </c>
      <c r="U51" s="562"/>
      <c r="V51" s="563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1483.786766875</v>
      </c>
      <c r="U52" s="562"/>
      <c r="V52" s="563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J57" s="318"/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116">
    <mergeCell ref="T47:V47"/>
    <mergeCell ref="T48:V48"/>
    <mergeCell ref="T49:V49"/>
    <mergeCell ref="T50:V50"/>
    <mergeCell ref="T51:V51"/>
    <mergeCell ref="T52:V52"/>
    <mergeCell ref="K41:M41"/>
    <mergeCell ref="N41:P41"/>
    <mergeCell ref="Q41:S41"/>
    <mergeCell ref="T41:V41"/>
    <mergeCell ref="D44:J44"/>
    <mergeCell ref="C46:J46"/>
    <mergeCell ref="T46:V46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C0EA-7D38-2747-84E1-9D67545FDDF6}">
  <sheetPr codeName="Sheet26">
    <tabColor rgb="FF92D050"/>
    <pageSetUpPr fitToPage="1"/>
  </sheetPr>
  <dimension ref="A1:AO78"/>
  <sheetViews>
    <sheetView view="pageBreakPreview" topLeftCell="A4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45.28515625" style="1" customWidth="1"/>
    <col min="27" max="27" width="18.425781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41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4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1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41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</row>
    <row r="5" spans="1:41" s="4" customFormat="1" ht="16.5" customHeight="1" x14ac:dyDescent="0.3">
      <c r="A5" s="6" t="s">
        <v>2</v>
      </c>
      <c r="B5" s="5" t="s">
        <v>3</v>
      </c>
      <c r="C5" s="5"/>
      <c r="D5" s="5"/>
      <c r="E5" s="725" t="s">
        <v>263</v>
      </c>
      <c r="F5" s="725"/>
      <c r="G5" s="605" t="s">
        <v>418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1"/>
      <c r="AA5" s="14"/>
      <c r="AB5" s="301"/>
      <c r="AC5" s="192"/>
      <c r="AD5" s="191"/>
      <c r="AE5" s="191"/>
      <c r="AF5" s="192"/>
      <c r="AG5" s="1"/>
      <c r="AH5" s="1"/>
      <c r="AI5" s="1"/>
      <c r="AJ5" s="1"/>
      <c r="AK5" s="1"/>
      <c r="AL5" s="1"/>
      <c r="AM5" s="1"/>
      <c r="AN5" s="1"/>
      <c r="AO5" s="1"/>
    </row>
    <row r="6" spans="1:41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14"/>
      <c r="AA6" s="14"/>
      <c r="AB6" s="14"/>
      <c r="AC6" s="14"/>
      <c r="AD6" s="14"/>
      <c r="AE6" s="192"/>
      <c r="AF6" s="14"/>
      <c r="AG6" s="1">
        <f>AE6/2</f>
        <v>0</v>
      </c>
    </row>
    <row r="7" spans="1:41" ht="16.5" x14ac:dyDescent="0.3">
      <c r="B7" s="2" t="s">
        <v>9</v>
      </c>
      <c r="C7" s="2"/>
      <c r="D7" s="2"/>
      <c r="E7" s="581">
        <f>1.243*8*Y11</f>
        <v>9.9440000000000008</v>
      </c>
      <c r="F7" s="58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4"/>
      <c r="AA7" s="14"/>
      <c r="AB7" s="14"/>
      <c r="AC7" s="14"/>
      <c r="AD7" s="14"/>
      <c r="AE7" s="302"/>
      <c r="AF7" s="303"/>
      <c r="AG7" s="1">
        <f>AE7/2</f>
        <v>0</v>
      </c>
    </row>
    <row r="8" spans="1:41" ht="16.5" x14ac:dyDescent="0.3">
      <c r="A8" s="8" t="s">
        <v>11</v>
      </c>
      <c r="B8" s="2" t="s">
        <v>12</v>
      </c>
      <c r="C8" s="2"/>
      <c r="D8" s="2"/>
      <c r="E8" s="600">
        <f>'INPUT DATA'!C32</f>
        <v>130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AA8" s="14"/>
      <c r="AB8" s="14"/>
      <c r="AC8" s="14"/>
      <c r="AD8" s="303"/>
      <c r="AE8" s="304"/>
      <c r="AF8" s="303"/>
    </row>
    <row r="9" spans="1:4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AA9" s="14"/>
      <c r="AB9" s="14"/>
      <c r="AC9" s="14"/>
      <c r="AD9" s="303"/>
      <c r="AE9" s="146"/>
      <c r="AF9" s="303"/>
    </row>
    <row r="10" spans="1:41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14"/>
      <c r="AA10" s="14"/>
      <c r="AB10" s="14"/>
      <c r="AC10" s="14"/>
      <c r="AD10" s="303"/>
      <c r="AE10" s="146"/>
      <c r="AF10" s="303"/>
    </row>
    <row r="11" spans="1:41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4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41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13.073209975864842</v>
      </c>
      <c r="O13" s="581"/>
      <c r="P13" s="582"/>
      <c r="Q13" s="599">
        <v>800</v>
      </c>
      <c r="R13" s="600"/>
      <c r="S13" s="601"/>
      <c r="T13" s="583">
        <f t="shared" ref="T13:T15" si="0">K13*N13*Q13</f>
        <v>10458.567980691874</v>
      </c>
      <c r="U13" s="584"/>
      <c r="V13" s="585"/>
      <c r="W13" s="2"/>
      <c r="X13" s="26"/>
      <c r="Y13" s="27"/>
      <c r="Z13" s="28"/>
      <c r="AA13" s="29"/>
      <c r="AB13" s="29"/>
    </row>
    <row r="14" spans="1:41" ht="16.5" x14ac:dyDescent="0.3">
      <c r="B14" s="15"/>
      <c r="C14" s="19" t="s">
        <v>23</v>
      </c>
      <c r="D14" s="20" t="s">
        <v>149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 t="shared" ref="N14:N15" si="1">N13</f>
        <v>13.073209975864842</v>
      </c>
      <c r="O14" s="581"/>
      <c r="P14" s="582"/>
      <c r="Q14" s="599">
        <v>600</v>
      </c>
      <c r="R14" s="600"/>
      <c r="S14" s="601"/>
      <c r="T14" s="583">
        <f t="shared" si="0"/>
        <v>7843.9259855189048</v>
      </c>
      <c r="U14" s="584"/>
      <c r="V14" s="585"/>
      <c r="W14" s="2"/>
      <c r="X14" s="26"/>
      <c r="Y14" s="27"/>
      <c r="Z14" s="28"/>
      <c r="AA14" s="13"/>
      <c r="AB14" s="13"/>
    </row>
    <row r="15" spans="1:41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2</v>
      </c>
      <c r="L15" s="597"/>
      <c r="M15" s="598"/>
      <c r="N15" s="580">
        <f t="shared" si="1"/>
        <v>13.073209975864842</v>
      </c>
      <c r="O15" s="581"/>
      <c r="P15" s="582"/>
      <c r="Q15" s="599">
        <v>400</v>
      </c>
      <c r="R15" s="600"/>
      <c r="S15" s="601"/>
      <c r="T15" s="583">
        <f t="shared" si="0"/>
        <v>10458.567980691874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41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05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9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28761.06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2876.1060000000002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2876.1060000000002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31637.166000000001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s="4" customFormat="1" ht="16.5" x14ac:dyDescent="0.25">
      <c r="B35" s="246"/>
      <c r="C35" s="306" t="s">
        <v>21</v>
      </c>
      <c r="D35" s="720" t="s">
        <v>265</v>
      </c>
      <c r="E35" s="720"/>
      <c r="F35" s="720"/>
      <c r="G35" s="720"/>
      <c r="H35" s="720"/>
      <c r="I35" s="720"/>
      <c r="J35" s="721"/>
      <c r="K35" s="670">
        <f>0.365*E8</f>
        <v>47.449999999999996</v>
      </c>
      <c r="L35" s="671"/>
      <c r="M35" s="672"/>
      <c r="N35" s="708" t="s">
        <v>209</v>
      </c>
      <c r="O35" s="709"/>
      <c r="P35" s="710"/>
      <c r="Q35" s="647">
        <v>420</v>
      </c>
      <c r="R35" s="648"/>
      <c r="S35" s="649"/>
      <c r="T35" s="714">
        <f t="shared" ref="T35:T38" si="2">K35*Q35</f>
        <v>19929</v>
      </c>
      <c r="U35" s="715"/>
      <c r="V35" s="716"/>
      <c r="W35" s="307"/>
      <c r="X35" s="5"/>
      <c r="Y35" s="308"/>
      <c r="Z35" s="309"/>
      <c r="AA35" s="310"/>
      <c r="AB35" s="308"/>
      <c r="AC35" s="308"/>
      <c r="AD35" s="308"/>
      <c r="AE35" s="308"/>
      <c r="AF35" s="308"/>
      <c r="AG35" s="308"/>
      <c r="AH35" s="308"/>
      <c r="AI35" s="308"/>
      <c r="AJ35" s="308"/>
      <c r="AK35" s="311"/>
      <c r="AL35" s="312"/>
      <c r="AM35" s="312">
        <v>4</v>
      </c>
      <c r="AN35" s="5"/>
    </row>
    <row r="36" spans="1:40" ht="16.5" customHeight="1" x14ac:dyDescent="0.3">
      <c r="B36" s="41"/>
      <c r="C36" s="313" t="s">
        <v>23</v>
      </c>
      <c r="D36" s="314" t="s">
        <v>266</v>
      </c>
      <c r="E36" s="296"/>
      <c r="F36" s="296"/>
      <c r="G36" s="296"/>
      <c r="H36" s="296"/>
      <c r="I36" s="296"/>
      <c r="J36" s="297"/>
      <c r="K36" s="703">
        <f>1.131*E8</f>
        <v>147.03</v>
      </c>
      <c r="L36" s="704"/>
      <c r="M36" s="705"/>
      <c r="N36" s="703" t="str">
        <f>IF(K36&gt;1,"bags","bag")</f>
        <v>bags</v>
      </c>
      <c r="O36" s="704"/>
      <c r="P36" s="705"/>
      <c r="Q36" s="647">
        <v>150</v>
      </c>
      <c r="R36" s="648"/>
      <c r="S36" s="649"/>
      <c r="T36" s="722">
        <f t="shared" si="2"/>
        <v>22054.5</v>
      </c>
      <c r="U36" s="723"/>
      <c r="V36" s="724"/>
      <c r="W36" s="18"/>
      <c r="X36" s="2"/>
      <c r="Y36" s="62"/>
      <c r="Z36" s="281"/>
      <c r="AA36" s="28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313" t="s">
        <v>78</v>
      </c>
      <c r="D37" s="315" t="s">
        <v>267</v>
      </c>
      <c r="E37" s="298"/>
      <c r="F37" s="298"/>
      <c r="G37" s="298"/>
      <c r="H37" s="298"/>
      <c r="I37" s="298"/>
      <c r="J37" s="299"/>
      <c r="K37" s="662">
        <f>0.357*E8</f>
        <v>46.41</v>
      </c>
      <c r="L37" s="663"/>
      <c r="M37" s="664"/>
      <c r="N37" s="708" t="s">
        <v>185</v>
      </c>
      <c r="O37" s="709"/>
      <c r="P37" s="710"/>
      <c r="Q37" s="647">
        <v>80</v>
      </c>
      <c r="R37" s="648"/>
      <c r="S37" s="649"/>
      <c r="T37" s="722">
        <f t="shared" si="2"/>
        <v>3712.7999999999997</v>
      </c>
      <c r="U37" s="723"/>
      <c r="V37" s="724"/>
      <c r="W37" s="18"/>
      <c r="X37" s="2"/>
      <c r="Y37" s="95"/>
      <c r="Z37" s="284"/>
      <c r="AA37" s="285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313" t="s">
        <v>94</v>
      </c>
      <c r="D38" s="315" t="s">
        <v>268</v>
      </c>
      <c r="E38" s="298"/>
      <c r="F38" s="298"/>
      <c r="G38" s="298"/>
      <c r="H38" s="298"/>
      <c r="I38" s="298"/>
      <c r="J38" s="299"/>
      <c r="K38" s="662">
        <f>1*E8</f>
        <v>130</v>
      </c>
      <c r="L38" s="663"/>
      <c r="M38" s="664"/>
      <c r="N38" s="708" t="s">
        <v>209</v>
      </c>
      <c r="O38" s="709"/>
      <c r="P38" s="710"/>
      <c r="Q38" s="647">
        <f>280/6</f>
        <v>46.666666666666664</v>
      </c>
      <c r="R38" s="648"/>
      <c r="S38" s="649"/>
      <c r="T38" s="722">
        <f t="shared" si="2"/>
        <v>6066.6666666666661</v>
      </c>
      <c r="U38" s="723"/>
      <c r="V38" s="724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313" t="s">
        <v>95</v>
      </c>
      <c r="D39" s="315" t="s">
        <v>269</v>
      </c>
      <c r="E39" s="245"/>
      <c r="F39" s="245"/>
      <c r="G39" s="122"/>
      <c r="H39" s="122"/>
      <c r="I39" s="122"/>
      <c r="J39" s="17"/>
      <c r="K39" s="662">
        <f>6*E8</f>
        <v>780</v>
      </c>
      <c r="L39" s="663"/>
      <c r="M39" s="664"/>
      <c r="N39" s="708" t="s">
        <v>209</v>
      </c>
      <c r="O39" s="709"/>
      <c r="P39" s="710"/>
      <c r="Q39" s="647">
        <v>90</v>
      </c>
      <c r="R39" s="648"/>
      <c r="S39" s="649"/>
      <c r="T39" s="722">
        <f t="shared" ref="T39:T41" si="3">K39*Q39</f>
        <v>70200</v>
      </c>
      <c r="U39" s="723"/>
      <c r="V39" s="724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313" t="s">
        <v>96</v>
      </c>
      <c r="D40" s="315" t="s">
        <v>270</v>
      </c>
      <c r="E40" s="245"/>
      <c r="F40" s="245"/>
      <c r="G40" s="122"/>
      <c r="H40" s="122"/>
      <c r="I40" s="122"/>
      <c r="J40" s="17"/>
      <c r="K40" s="662">
        <f>0.238*E8</f>
        <v>30.939999999999998</v>
      </c>
      <c r="L40" s="663"/>
      <c r="M40" s="664"/>
      <c r="N40" s="708" t="s">
        <v>209</v>
      </c>
      <c r="O40" s="709"/>
      <c r="P40" s="710"/>
      <c r="Q40" s="647">
        <v>90</v>
      </c>
      <c r="R40" s="648"/>
      <c r="S40" s="649"/>
      <c r="T40" s="722">
        <f t="shared" si="3"/>
        <v>2784.6</v>
      </c>
      <c r="U40" s="723"/>
      <c r="V40" s="724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313" t="s">
        <v>98</v>
      </c>
      <c r="D41" s="283" t="s">
        <v>271</v>
      </c>
      <c r="E41" s="245"/>
      <c r="F41" s="245"/>
      <c r="G41" s="122"/>
      <c r="H41" s="122"/>
      <c r="I41" s="122"/>
      <c r="J41" s="17"/>
      <c r="K41" s="662">
        <f>E8/60</f>
        <v>2.1666666666666665</v>
      </c>
      <c r="L41" s="663"/>
      <c r="M41" s="664"/>
      <c r="N41" s="708" t="s">
        <v>272</v>
      </c>
      <c r="O41" s="709"/>
      <c r="P41" s="710"/>
      <c r="Q41" s="647">
        <v>480</v>
      </c>
      <c r="R41" s="648"/>
      <c r="S41" s="649"/>
      <c r="T41" s="722">
        <f t="shared" si="3"/>
        <v>1040</v>
      </c>
      <c r="U41" s="723"/>
      <c r="V41" s="724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customHeight="1" x14ac:dyDescent="0.3">
      <c r="B42" s="41"/>
      <c r="C42" s="316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317"/>
      <c r="D43" s="93"/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108"/>
      <c r="U43" s="109"/>
      <c r="V43" s="110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706"/>
      <c r="E44" s="706"/>
      <c r="F44" s="706"/>
      <c r="G44" s="706"/>
      <c r="H44" s="706"/>
      <c r="I44" s="706"/>
      <c r="J44" s="707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 t="s">
        <v>51</v>
      </c>
      <c r="B46" s="46"/>
      <c r="C46" s="564" t="s">
        <v>52</v>
      </c>
      <c r="D46" s="565"/>
      <c r="E46" s="565"/>
      <c r="F46" s="565"/>
      <c r="G46" s="565"/>
      <c r="H46" s="565"/>
      <c r="I46" s="565"/>
      <c r="J46" s="56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ROUND(SUM(T35:V45),2)</f>
        <v>125787.57</v>
      </c>
      <c r="U46" s="562"/>
      <c r="V46" s="563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T30+T46</f>
        <v>157424.736</v>
      </c>
      <c r="U47" s="562"/>
      <c r="V47" s="563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7871.2368000000006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15742.473600000001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181038.44640000002</v>
      </c>
      <c r="U51" s="562"/>
      <c r="V51" s="563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1392.6034338461541</v>
      </c>
      <c r="U52" s="562"/>
      <c r="V52" s="563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J57" s="318"/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116">
    <mergeCell ref="T47:V47"/>
    <mergeCell ref="T48:V48"/>
    <mergeCell ref="T49:V49"/>
    <mergeCell ref="T50:V50"/>
    <mergeCell ref="T51:V51"/>
    <mergeCell ref="T52:V52"/>
    <mergeCell ref="K41:M41"/>
    <mergeCell ref="N41:P41"/>
    <mergeCell ref="Q41:S41"/>
    <mergeCell ref="T41:V41"/>
    <mergeCell ref="D44:J44"/>
    <mergeCell ref="C46:J46"/>
    <mergeCell ref="T46:V46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681E-E7F6-F24B-85DC-B80186F3117E}">
  <sheetPr codeName="Sheet27">
    <tabColor rgb="FF92D050"/>
    <pageSetUpPr fitToPage="1"/>
  </sheetPr>
  <dimension ref="A1:AN93"/>
  <sheetViews>
    <sheetView view="pageBreakPreview" topLeftCell="A11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726" t="str">
        <f>'INPUT DATA'!C4</f>
        <v>PROPOSED ONE STOREY TWO BED ROOM RESIDENTIAL BUILDING</v>
      </c>
      <c r="F3" s="726"/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273</v>
      </c>
      <c r="F5" s="578"/>
      <c r="G5" s="605" t="s">
        <v>274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tr">
        <f>G8</f>
        <v>SQ.M.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0.32*8</f>
        <v>2.56</v>
      </c>
      <c r="F7" s="58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DATA'!C33</f>
        <v>5.04</v>
      </c>
      <c r="F8" s="600"/>
      <c r="G8" s="602" t="s">
        <v>8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1.96875</v>
      </c>
      <c r="O13" s="581"/>
      <c r="P13" s="582"/>
      <c r="Q13" s="599">
        <v>800</v>
      </c>
      <c r="R13" s="600"/>
      <c r="S13" s="601"/>
      <c r="T13" s="583">
        <f t="shared" ref="T13:T15" si="0">K13*N13*Q13</f>
        <v>1575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92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 t="shared" ref="N14:N15" si="1">N13</f>
        <v>1.96875</v>
      </c>
      <c r="O14" s="581"/>
      <c r="P14" s="582"/>
      <c r="Q14" s="599">
        <v>600</v>
      </c>
      <c r="R14" s="600"/>
      <c r="S14" s="601"/>
      <c r="T14" s="583">
        <f t="shared" si="0"/>
        <v>1181.25</v>
      </c>
      <c r="U14" s="584"/>
      <c r="V14" s="585"/>
      <c r="W14" s="2"/>
      <c r="X14" s="26"/>
      <c r="Y14" s="27"/>
      <c r="Z14" s="28"/>
      <c r="AA14" s="13"/>
      <c r="AB14" s="13"/>
      <c r="AC14" s="1">
        <f>10/3.281</f>
        <v>3.047851264858275</v>
      </c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 t="shared" si="1"/>
        <v>1.96875</v>
      </c>
      <c r="O15" s="581"/>
      <c r="P15" s="582"/>
      <c r="Q15" s="599">
        <v>400</v>
      </c>
      <c r="R15" s="600"/>
      <c r="S15" s="601"/>
      <c r="T15" s="583">
        <f t="shared" si="0"/>
        <v>787.5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44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3543.75</v>
      </c>
      <c r="U20" s="562"/>
      <c r="V20" s="563"/>
      <c r="X20" s="51"/>
      <c r="Y20" s="44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354.375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57"/>
      <c r="AA26" s="57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ROUND(SUM(T24:V28),2)</f>
        <v>354.38</v>
      </c>
      <c r="U29" s="562"/>
      <c r="V29" s="563"/>
      <c r="W29" s="9"/>
      <c r="X29" s="2"/>
      <c r="Y29" s="56"/>
      <c r="Z29" s="57"/>
      <c r="AA29" s="57"/>
      <c r="AB29" s="57"/>
      <c r="AC29" s="57"/>
      <c r="AD29" s="58"/>
      <c r="AE29" s="59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3898.13</v>
      </c>
      <c r="U30" s="562"/>
      <c r="V30" s="563"/>
      <c r="W30" s="2"/>
      <c r="X30" s="2"/>
      <c r="Y30" s="56"/>
      <c r="Z30" s="57"/>
      <c r="AA30" s="57"/>
      <c r="AB30" s="57"/>
      <c r="AC30" s="57"/>
      <c r="AD30" s="58"/>
      <c r="AE30" s="59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>
        <f>E7</f>
        <v>2.56</v>
      </c>
      <c r="I31" s="56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56"/>
      <c r="Z33" s="57"/>
      <c r="AA33" s="57"/>
      <c r="AB33" s="57"/>
      <c r="AC33" s="57"/>
      <c r="AD33" s="58"/>
      <c r="AE33" s="59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56"/>
      <c r="Z34" s="57"/>
      <c r="AA34" s="57"/>
      <c r="AB34" s="57"/>
      <c r="AC34" s="57"/>
      <c r="AD34" s="58"/>
      <c r="AE34" s="59"/>
      <c r="AF34" s="2"/>
      <c r="AG34" s="2"/>
      <c r="AH34" s="2"/>
      <c r="AI34" s="2"/>
      <c r="AJ34" s="2"/>
      <c r="AK34" s="2"/>
      <c r="AL34" s="2"/>
      <c r="AM34" s="2"/>
      <c r="AN34" s="2"/>
    </row>
    <row r="35" spans="1:40" s="4" customFormat="1" ht="15.95" customHeight="1" x14ac:dyDescent="0.25">
      <c r="B35" s="246"/>
      <c r="C35" s="247" t="s">
        <v>21</v>
      </c>
      <c r="D35" s="727" t="s">
        <v>275</v>
      </c>
      <c r="E35" s="727"/>
      <c r="F35" s="727"/>
      <c r="G35" s="727"/>
      <c r="H35" s="727"/>
      <c r="I35" s="727"/>
      <c r="J35" s="728"/>
      <c r="K35" s="667">
        <f>E8</f>
        <v>5.04</v>
      </c>
      <c r="L35" s="668"/>
      <c r="M35" s="669"/>
      <c r="N35" s="729" t="s">
        <v>153</v>
      </c>
      <c r="O35" s="730" t="str">
        <f t="shared" ref="O35:P35" si="2">IF(L35&gt;1,"bags","bag")</f>
        <v>bag</v>
      </c>
      <c r="P35" s="731" t="str">
        <f t="shared" si="2"/>
        <v>bag</v>
      </c>
      <c r="Q35" s="647">
        <f>3500/(0.8*2.1)</f>
        <v>2083.333333333333</v>
      </c>
      <c r="R35" s="648"/>
      <c r="S35" s="649"/>
      <c r="T35" s="635">
        <f>K35*Q35</f>
        <v>10499.999999999998</v>
      </c>
      <c r="U35" s="636"/>
      <c r="V35" s="637"/>
      <c r="W35" s="307"/>
      <c r="X35" s="5"/>
      <c r="Y35" s="5"/>
      <c r="Z35" s="319"/>
      <c r="AA35" s="319"/>
      <c r="AB35" s="319"/>
      <c r="AC35" s="319"/>
      <c r="AD35" s="319"/>
      <c r="AE35" s="319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647"/>
      <c r="R36" s="648"/>
      <c r="S36" s="649"/>
      <c r="T36" s="635">
        <f>10%*SUM(T34:V35)</f>
        <v>1049.9999999999998</v>
      </c>
      <c r="U36" s="636"/>
      <c r="V36" s="637"/>
      <c r="W36" s="18"/>
      <c r="X36" s="2"/>
      <c r="Y36" s="2"/>
      <c r="Z36" s="57"/>
      <c r="AA36" s="57"/>
      <c r="AB36" s="57"/>
      <c r="AC36" s="57"/>
      <c r="AD36" s="57"/>
      <c r="AE36" s="57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6.5" customHeight="1" x14ac:dyDescent="0.3">
      <c r="B37" s="41"/>
      <c r="C37" s="19"/>
      <c r="D37" s="283"/>
      <c r="E37" s="320"/>
      <c r="F37" s="321"/>
      <c r="G37" s="322"/>
      <c r="H37" s="322"/>
      <c r="I37" s="322"/>
      <c r="J37" s="153"/>
      <c r="K37" s="659"/>
      <c r="L37" s="660"/>
      <c r="M37" s="661"/>
      <c r="N37" s="662"/>
      <c r="O37" s="663"/>
      <c r="P37" s="664"/>
      <c r="Q37" s="647"/>
      <c r="R37" s="648"/>
      <c r="S37" s="649"/>
      <c r="T37" s="635"/>
      <c r="U37" s="636"/>
      <c r="V37" s="637"/>
      <c r="W37" s="18"/>
      <c r="X37" s="2"/>
      <c r="Y37" s="2"/>
      <c r="Z37" s="57"/>
      <c r="AA37" s="57"/>
      <c r="AB37" s="57"/>
      <c r="AC37" s="57"/>
      <c r="AD37" s="57"/>
      <c r="AE37" s="57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6.5" customHeight="1" x14ac:dyDescent="0.3">
      <c r="B38" s="16"/>
      <c r="C38" s="19"/>
      <c r="D38" s="283"/>
      <c r="E38" s="320"/>
      <c r="F38" s="321"/>
      <c r="G38" s="322"/>
      <c r="H38" s="322"/>
      <c r="I38" s="322"/>
      <c r="J38" s="153"/>
      <c r="K38" s="660"/>
      <c r="L38" s="660"/>
      <c r="M38" s="661"/>
      <c r="N38" s="662"/>
      <c r="O38" s="663"/>
      <c r="P38" s="664"/>
      <c r="Q38" s="647"/>
      <c r="R38" s="648"/>
      <c r="S38" s="649"/>
      <c r="T38" s="635"/>
      <c r="U38" s="636"/>
      <c r="V38" s="637"/>
      <c r="W38" s="18"/>
      <c r="X38" s="2"/>
      <c r="Y38" s="2"/>
      <c r="Z38" s="57"/>
      <c r="AA38" s="57"/>
      <c r="AB38" s="57"/>
      <c r="AC38" s="57"/>
      <c r="AD38" s="57"/>
      <c r="AE38" s="57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6.5" customHeight="1" x14ac:dyDescent="0.3">
      <c r="B39" s="16"/>
      <c r="C39" s="323"/>
      <c r="D39" s="325"/>
      <c r="E39" s="320"/>
      <c r="F39" s="321"/>
      <c r="G39" s="322"/>
      <c r="H39" s="322"/>
      <c r="I39" s="322"/>
      <c r="J39" s="153"/>
      <c r="K39" s="668"/>
      <c r="L39" s="668"/>
      <c r="M39" s="669"/>
      <c r="N39" s="735"/>
      <c r="O39" s="736"/>
      <c r="P39" s="737"/>
      <c r="Q39" s="647"/>
      <c r="R39" s="648"/>
      <c r="S39" s="649"/>
      <c r="T39" s="635"/>
      <c r="U39" s="636"/>
      <c r="V39" s="637"/>
      <c r="W39" s="18"/>
      <c r="X39" s="2"/>
      <c r="Y39" s="2"/>
      <c r="Z39" s="57"/>
      <c r="AA39" s="57"/>
      <c r="AB39" s="57"/>
      <c r="AC39" s="57"/>
      <c r="AD39" s="57"/>
      <c r="AE39" s="57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6.5" customHeight="1" x14ac:dyDescent="0.3">
      <c r="B40" s="16"/>
      <c r="C40" s="19"/>
      <c r="D40" s="326"/>
      <c r="E40" s="327"/>
      <c r="F40" s="328"/>
      <c r="G40" s="329"/>
      <c r="H40" s="329"/>
      <c r="I40" s="322"/>
      <c r="J40" s="153"/>
      <c r="K40" s="682"/>
      <c r="L40" s="682"/>
      <c r="M40" s="683"/>
      <c r="N40" s="735"/>
      <c r="O40" s="736"/>
      <c r="P40" s="737"/>
      <c r="Q40" s="647"/>
      <c r="R40" s="648"/>
      <c r="S40" s="649"/>
      <c r="T40" s="635"/>
      <c r="U40" s="636"/>
      <c r="V40" s="637"/>
      <c r="W40" s="18"/>
      <c r="X40" s="2"/>
      <c r="Y40" s="2"/>
      <c r="Z40" s="57"/>
      <c r="AA40" s="57"/>
      <c r="AB40" s="57"/>
      <c r="AC40" s="57"/>
      <c r="AD40" s="57"/>
      <c r="AE40" s="57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 x14ac:dyDescent="0.3">
      <c r="B41" s="16"/>
      <c r="C41" s="19"/>
      <c r="D41" s="283"/>
      <c r="E41" s="320"/>
      <c r="F41" s="321"/>
      <c r="G41" s="322"/>
      <c r="H41" s="322"/>
      <c r="I41" s="322"/>
      <c r="J41" s="153"/>
      <c r="K41" s="668"/>
      <c r="L41" s="668"/>
      <c r="M41" s="669"/>
      <c r="N41" s="735"/>
      <c r="O41" s="736"/>
      <c r="P41" s="737"/>
      <c r="Q41" s="647"/>
      <c r="R41" s="648"/>
      <c r="S41" s="649"/>
      <c r="T41" s="635"/>
      <c r="U41" s="636"/>
      <c r="V41" s="637"/>
      <c r="W41" s="18"/>
      <c r="X41" s="2"/>
      <c r="Y41" s="2"/>
      <c r="Z41" s="2"/>
      <c r="AA41" s="2"/>
      <c r="AB41" s="2"/>
      <c r="AC41" s="2"/>
      <c r="AD41" s="57"/>
      <c r="AE41" s="59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 x14ac:dyDescent="0.3">
      <c r="B42" s="16"/>
      <c r="C42" s="19"/>
      <c r="D42" s="283"/>
      <c r="E42" s="320"/>
      <c r="F42" s="321"/>
      <c r="G42" s="322"/>
      <c r="H42" s="322"/>
      <c r="I42" s="322"/>
      <c r="J42" s="153"/>
      <c r="K42" s="668"/>
      <c r="L42" s="668"/>
      <c r="M42" s="669"/>
      <c r="N42" s="735"/>
      <c r="O42" s="736"/>
      <c r="P42" s="737"/>
      <c r="Q42" s="647"/>
      <c r="R42" s="648"/>
      <c r="S42" s="649"/>
      <c r="T42" s="635"/>
      <c r="U42" s="636"/>
      <c r="V42" s="637"/>
      <c r="W42" s="18"/>
      <c r="X42" s="2"/>
      <c r="Y42" s="2"/>
      <c r="Z42" s="2"/>
      <c r="AA42" s="2"/>
      <c r="AB42" s="2"/>
      <c r="AC42" s="2"/>
      <c r="AD42" s="57"/>
      <c r="AE42" s="59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 x14ac:dyDescent="0.3">
      <c r="B43" s="16"/>
      <c r="C43" s="331"/>
      <c r="D43" s="120"/>
      <c r="F43" s="121"/>
      <c r="G43" s="122"/>
      <c r="H43" s="122"/>
      <c r="I43" s="122"/>
      <c r="J43" s="17"/>
      <c r="K43" s="668"/>
      <c r="L43" s="668"/>
      <c r="M43" s="669"/>
      <c r="N43" s="735"/>
      <c r="O43" s="736"/>
      <c r="P43" s="737"/>
      <c r="Q43" s="647"/>
      <c r="R43" s="648"/>
      <c r="S43" s="649"/>
      <c r="T43" s="635"/>
      <c r="U43" s="636"/>
      <c r="V43" s="637"/>
      <c r="W43" s="18"/>
      <c r="X43" s="2"/>
      <c r="Y43" s="2"/>
      <c r="Z43" s="2"/>
      <c r="AA43" s="2"/>
      <c r="AB43" s="2"/>
      <c r="AC43" s="2"/>
      <c r="AD43" s="57"/>
      <c r="AE43" s="59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 x14ac:dyDescent="0.3">
      <c r="B44" s="16"/>
      <c r="C44" s="331"/>
      <c r="D44" s="120"/>
      <c r="E44" s="28"/>
      <c r="F44" s="121"/>
      <c r="G44" s="122"/>
      <c r="H44" s="330"/>
      <c r="I44" s="122"/>
      <c r="J44" s="17"/>
      <c r="K44" s="124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2"/>
      <c r="Z44" s="2"/>
      <c r="AA44" s="2"/>
      <c r="AB44" s="2"/>
      <c r="AC44" s="2"/>
      <c r="AD44" s="57"/>
      <c r="AE44" s="59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 x14ac:dyDescent="0.3">
      <c r="B45" s="16"/>
      <c r="C45" s="332"/>
      <c r="D45" s="333"/>
      <c r="E45" s="334"/>
      <c r="F45" s="335"/>
      <c r="G45" s="336"/>
      <c r="H45" s="336"/>
      <c r="I45" s="336"/>
      <c r="J45" s="337"/>
      <c r="K45" s="124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2"/>
      <c r="Z45" s="2"/>
      <c r="AA45" s="2"/>
      <c r="AB45" s="2"/>
      <c r="AC45" s="2"/>
      <c r="AD45" s="57"/>
      <c r="AE45" s="59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x14ac:dyDescent="0.3">
      <c r="A46" s="45" t="s">
        <v>51</v>
      </c>
      <c r="B46" s="46"/>
      <c r="C46" s="738" t="s">
        <v>52</v>
      </c>
      <c r="D46" s="739"/>
      <c r="E46" s="739"/>
      <c r="F46" s="739"/>
      <c r="G46" s="739"/>
      <c r="H46" s="739"/>
      <c r="I46" s="739"/>
      <c r="J46" s="740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ROUND(SUM(T35:V45),2)</f>
        <v>11550</v>
      </c>
      <c r="U46" s="562"/>
      <c r="V46" s="563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T30+T46</f>
        <v>15448.130000000001</v>
      </c>
      <c r="U47" s="562"/>
      <c r="V47" s="563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772.40650000000005</v>
      </c>
      <c r="U48" s="568"/>
      <c r="V48" s="569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1544.8130000000001</v>
      </c>
      <c r="U49" s="568"/>
      <c r="V49" s="569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17765.349500000004</v>
      </c>
      <c r="U51" s="562"/>
      <c r="V51" s="563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3524.8709325396835</v>
      </c>
      <c r="U52" s="562"/>
      <c r="V52" s="563"/>
      <c r="W52" s="13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x14ac:dyDescent="0.3">
      <c r="L54" s="2"/>
      <c r="M54" s="2"/>
      <c r="N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" customHeight="1" x14ac:dyDescent="0.3"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" customHeight="1" x14ac:dyDescent="0.3"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" customHeight="1" x14ac:dyDescent="0.3"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" customHeight="1" x14ac:dyDescent="0.3"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" customHeight="1" x14ac:dyDescent="0.3"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" customHeight="1" x14ac:dyDescent="0.3"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" customHeight="1" x14ac:dyDescent="0.3"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" customHeight="1" x14ac:dyDescent="0.3"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5" customHeight="1" x14ac:dyDescent="0.3"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24:40" ht="15" customHeight="1" x14ac:dyDescent="0.3"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24:40" ht="15" customHeight="1" x14ac:dyDescent="0.3"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24:40" ht="15" customHeight="1" x14ac:dyDescent="0.3"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24:40" ht="15" customHeight="1" x14ac:dyDescent="0.3"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24:40" ht="15" customHeight="1" x14ac:dyDescent="0.3"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24:40" ht="15" customHeight="1" x14ac:dyDescent="0.3"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24:40" ht="15" customHeight="1" x14ac:dyDescent="0.3"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24:40" ht="15" customHeight="1" x14ac:dyDescent="0.3"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24:40" ht="15" customHeight="1" x14ac:dyDescent="0.3"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24:40" ht="15" customHeight="1" x14ac:dyDescent="0.3"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24:40" ht="15" customHeight="1" x14ac:dyDescent="0.3"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24:40" ht="15" customHeight="1" x14ac:dyDescent="0.3"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24:40" ht="15" customHeight="1" x14ac:dyDescent="0.3"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24:40" ht="15" customHeight="1" x14ac:dyDescent="0.3">
      <c r="X85" s="2"/>
      <c r="Y85" s="139"/>
      <c r="Z85" s="33"/>
      <c r="AA85" s="140"/>
      <c r="AB85" s="141"/>
      <c r="AC85" s="34"/>
      <c r="AD85" s="34"/>
      <c r="AE85" s="34"/>
      <c r="AF85" s="2"/>
      <c r="AG85" s="2"/>
      <c r="AH85" s="2"/>
      <c r="AI85" s="2"/>
      <c r="AJ85" s="2"/>
      <c r="AK85" s="2"/>
      <c r="AL85" s="2"/>
      <c r="AM85" s="2"/>
      <c r="AN85" s="2"/>
    </row>
    <row r="86" spans="24:40" ht="16.5" x14ac:dyDescent="0.25">
      <c r="Y86" s="142"/>
      <c r="Z86" s="143"/>
      <c r="AA86" s="144"/>
      <c r="AB86" s="144"/>
      <c r="AC86" s="34"/>
      <c r="AD86" s="34"/>
      <c r="AE86" s="34"/>
    </row>
    <row r="87" spans="24:40" ht="16.5" x14ac:dyDescent="0.25">
      <c r="Y87" s="33"/>
      <c r="Z87" s="34"/>
      <c r="AA87" s="140"/>
      <c r="AB87" s="140"/>
      <c r="AC87" s="34"/>
      <c r="AD87" s="34"/>
      <c r="AE87" s="34"/>
    </row>
    <row r="88" spans="24:40" ht="16.5" x14ac:dyDescent="0.25">
      <c r="Y88" s="142"/>
      <c r="Z88" s="142"/>
      <c r="AA88" s="143"/>
      <c r="AB88" s="144"/>
      <c r="AC88" s="34"/>
      <c r="AD88" s="34"/>
      <c r="AE88" s="34"/>
    </row>
    <row r="89" spans="24:40" ht="16.5" x14ac:dyDescent="0.25">
      <c r="Y89" s="33"/>
      <c r="Z89" s="33"/>
      <c r="AA89" s="34"/>
      <c r="AB89" s="33"/>
      <c r="AC89" s="34"/>
      <c r="AD89" s="34"/>
      <c r="AE89" s="34"/>
    </row>
    <row r="90" spans="24:40" ht="16.5" x14ac:dyDescent="0.25">
      <c r="Y90" s="33"/>
      <c r="Z90" s="33"/>
      <c r="AA90" s="34"/>
      <c r="AB90" s="33"/>
      <c r="AC90" s="34"/>
      <c r="AD90" s="34"/>
      <c r="AE90" s="34"/>
    </row>
    <row r="91" spans="24:40" ht="16.5" x14ac:dyDescent="0.25">
      <c r="Y91" s="33"/>
      <c r="Z91" s="33"/>
      <c r="AA91" s="34"/>
      <c r="AB91" s="33"/>
      <c r="AC91" s="34"/>
      <c r="AD91" s="34"/>
      <c r="AE91" s="34"/>
    </row>
    <row r="92" spans="24:40" ht="16.5" x14ac:dyDescent="0.25">
      <c r="Y92" s="33"/>
      <c r="Z92" s="33"/>
      <c r="AA92" s="34"/>
      <c r="AB92" s="33"/>
      <c r="AC92" s="34"/>
      <c r="AD92" s="34"/>
      <c r="AE92" s="34"/>
    </row>
    <row r="93" spans="24:40" ht="16.5" x14ac:dyDescent="0.25">
      <c r="Y93" s="33"/>
      <c r="Z93" s="33"/>
      <c r="AA93" s="34"/>
      <c r="AB93" s="33"/>
      <c r="AC93" s="34"/>
      <c r="AD93" s="34"/>
      <c r="AE93" s="34"/>
    </row>
  </sheetData>
  <mergeCells count="123">
    <mergeCell ref="T47:V47"/>
    <mergeCell ref="T48:V48"/>
    <mergeCell ref="T49:V49"/>
    <mergeCell ref="T50:V50"/>
    <mergeCell ref="T51:V51"/>
    <mergeCell ref="T52:V52"/>
    <mergeCell ref="K43:M43"/>
    <mergeCell ref="N43:P43"/>
    <mergeCell ref="Q43:S43"/>
    <mergeCell ref="T43:V43"/>
    <mergeCell ref="C46:J46"/>
    <mergeCell ref="T46:V46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3FC0-1C5C-E14D-A863-8F60EE998958}">
  <sheetPr codeName="Sheet28">
    <tabColor rgb="FF92D050"/>
    <pageSetUpPr fitToPage="1"/>
  </sheetPr>
  <dimension ref="A1:AN93"/>
  <sheetViews>
    <sheetView view="pageBreakPreview" topLeftCell="A10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154</v>
      </c>
      <c r="F5" s="578"/>
      <c r="G5" s="605" t="s">
        <v>240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tr">
        <f>G8</f>
        <v>SQ.M.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0.36*8</f>
        <v>2.88</v>
      </c>
      <c r="F7" s="58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DATA'!C34</f>
        <v>2.1</v>
      </c>
      <c r="F8" s="600"/>
      <c r="G8" s="602" t="s">
        <v>8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0.72916666666666674</v>
      </c>
      <c r="O13" s="581"/>
      <c r="P13" s="582"/>
      <c r="Q13" s="599">
        <v>800</v>
      </c>
      <c r="R13" s="600"/>
      <c r="S13" s="601"/>
      <c r="T13" s="583">
        <f t="shared" ref="T13:T15" si="0">K13*N13*Q13</f>
        <v>583.33333333333337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 t="shared" ref="N14:N15" si="1">N13</f>
        <v>0.72916666666666674</v>
      </c>
      <c r="O14" s="581"/>
      <c r="P14" s="582"/>
      <c r="Q14" s="599">
        <v>600</v>
      </c>
      <c r="R14" s="600"/>
      <c r="S14" s="601"/>
      <c r="T14" s="583">
        <f t="shared" si="0"/>
        <v>437.50000000000006</v>
      </c>
      <c r="U14" s="584"/>
      <c r="V14" s="585"/>
      <c r="W14" s="2"/>
      <c r="X14" s="26"/>
      <c r="Y14" s="27"/>
      <c r="Z14" s="28"/>
      <c r="AA14" s="13"/>
      <c r="AB14" s="13"/>
      <c r="AC14" s="1">
        <f>10/3.281</f>
        <v>3.047851264858275</v>
      </c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2</v>
      </c>
      <c r="L15" s="597"/>
      <c r="M15" s="598"/>
      <c r="N15" s="580">
        <f t="shared" si="1"/>
        <v>0.72916666666666674</v>
      </c>
      <c r="O15" s="581"/>
      <c r="P15" s="582"/>
      <c r="Q15" s="599">
        <v>400</v>
      </c>
      <c r="R15" s="600"/>
      <c r="S15" s="601"/>
      <c r="T15" s="583">
        <f t="shared" si="0"/>
        <v>583.33333333333337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44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1604.17</v>
      </c>
      <c r="U20" s="562"/>
      <c r="V20" s="563"/>
      <c r="X20" s="51"/>
      <c r="Y20" s="44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160.41700000000003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57"/>
      <c r="AA26" s="57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ROUND(SUM(T24:V28),2)</f>
        <v>160.41999999999999</v>
      </c>
      <c r="U29" s="562"/>
      <c r="V29" s="563"/>
      <c r="W29" s="9"/>
      <c r="X29" s="2"/>
      <c r="Y29" s="56"/>
      <c r="Z29" s="57"/>
      <c r="AA29" s="57"/>
      <c r="AB29" s="57"/>
      <c r="AC29" s="57"/>
      <c r="AD29" s="58"/>
      <c r="AE29" s="59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1764.5900000000001</v>
      </c>
      <c r="U30" s="562"/>
      <c r="V30" s="563"/>
      <c r="W30" s="2"/>
      <c r="X30" s="2"/>
      <c r="Y30" s="56"/>
      <c r="Z30" s="57"/>
      <c r="AA30" s="57"/>
      <c r="AB30" s="57"/>
      <c r="AC30" s="57"/>
      <c r="AD30" s="58"/>
      <c r="AE30" s="59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>
        <f>E7</f>
        <v>2.88</v>
      </c>
      <c r="I31" s="56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56"/>
      <c r="Z33" s="57"/>
      <c r="AA33" s="57"/>
      <c r="AB33" s="57"/>
      <c r="AC33" s="57"/>
      <c r="AD33" s="58"/>
      <c r="AE33" s="59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56"/>
      <c r="Z34" s="57"/>
      <c r="AA34" s="57"/>
      <c r="AB34" s="57"/>
      <c r="AC34" s="57"/>
      <c r="AD34" s="58"/>
      <c r="AE34" s="59"/>
      <c r="AF34" s="2"/>
      <c r="AG34" s="2"/>
      <c r="AH34" s="2"/>
      <c r="AI34" s="2"/>
      <c r="AJ34" s="2"/>
      <c r="AK34" s="2"/>
      <c r="AL34" s="2"/>
      <c r="AM34" s="2"/>
      <c r="AN34" s="2"/>
    </row>
    <row r="35" spans="1:40" s="4" customFormat="1" ht="15.95" customHeight="1" x14ac:dyDescent="0.25">
      <c r="B35" s="246"/>
      <c r="C35" s="247" t="s">
        <v>21</v>
      </c>
      <c r="D35" s="727" t="s">
        <v>155</v>
      </c>
      <c r="E35" s="727"/>
      <c r="F35" s="727"/>
      <c r="G35" s="727"/>
      <c r="H35" s="727"/>
      <c r="I35" s="727"/>
      <c r="J35" s="728"/>
      <c r="K35" s="667">
        <f>E8</f>
        <v>2.1</v>
      </c>
      <c r="L35" s="668"/>
      <c r="M35" s="669"/>
      <c r="N35" s="729" t="s">
        <v>8</v>
      </c>
      <c r="O35" s="730" t="str">
        <f t="shared" ref="O35:P35" si="2">IF(L35&gt;1,"bags","bag")</f>
        <v>bag</v>
      </c>
      <c r="P35" s="731" t="str">
        <f t="shared" si="2"/>
        <v>bag</v>
      </c>
      <c r="Q35" s="647">
        <f>6000/(1*2.1)</f>
        <v>2857.1428571428569</v>
      </c>
      <c r="R35" s="648"/>
      <c r="S35" s="649"/>
      <c r="T35" s="635">
        <f>K35*Q35</f>
        <v>6000</v>
      </c>
      <c r="U35" s="636"/>
      <c r="V35" s="637"/>
      <c r="W35" s="307"/>
      <c r="X35" s="5"/>
      <c r="Y35" s="5"/>
      <c r="Z35" s="319"/>
      <c r="AA35" s="319"/>
      <c r="AB35" s="319"/>
      <c r="AC35" s="319"/>
      <c r="AD35" s="319"/>
      <c r="AE35" s="319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647"/>
      <c r="R36" s="648"/>
      <c r="S36" s="649"/>
      <c r="T36" s="635">
        <f>10%*SUM(T32:V35)</f>
        <v>600</v>
      </c>
      <c r="U36" s="636"/>
      <c r="V36" s="637"/>
      <c r="W36" s="18"/>
      <c r="X36" s="2"/>
      <c r="Y36" s="2"/>
      <c r="Z36" s="57"/>
      <c r="AA36" s="57"/>
      <c r="AB36" s="57"/>
      <c r="AC36" s="57"/>
      <c r="AD36" s="57"/>
      <c r="AE36" s="57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6.5" customHeight="1" x14ac:dyDescent="0.3">
      <c r="B37" s="41"/>
      <c r="C37" s="19"/>
      <c r="D37" s="283"/>
      <c r="E37" s="320"/>
      <c r="F37" s="321"/>
      <c r="G37" s="322"/>
      <c r="H37" s="322"/>
      <c r="I37" s="322"/>
      <c r="J37" s="153"/>
      <c r="K37" s="659"/>
      <c r="L37" s="660"/>
      <c r="M37" s="661"/>
      <c r="N37" s="662"/>
      <c r="O37" s="663"/>
      <c r="P37" s="664"/>
      <c r="Q37" s="647"/>
      <c r="R37" s="648"/>
      <c r="S37" s="649"/>
      <c r="T37" s="635"/>
      <c r="U37" s="636"/>
      <c r="V37" s="637"/>
      <c r="W37" s="18"/>
      <c r="X37" s="2"/>
      <c r="Y37" s="2"/>
      <c r="Z37" s="57"/>
      <c r="AA37" s="57"/>
      <c r="AB37" s="57"/>
      <c r="AC37" s="57"/>
      <c r="AD37" s="57"/>
      <c r="AE37" s="57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6.5" customHeight="1" x14ac:dyDescent="0.3">
      <c r="B38" s="16"/>
      <c r="C38" s="19"/>
      <c r="D38" s="283"/>
      <c r="E38" s="320"/>
      <c r="F38" s="321"/>
      <c r="G38" s="322"/>
      <c r="H38" s="322"/>
      <c r="I38" s="322"/>
      <c r="J38" s="153"/>
      <c r="K38" s="660"/>
      <c r="L38" s="660"/>
      <c r="M38" s="661"/>
      <c r="N38" s="662"/>
      <c r="O38" s="663"/>
      <c r="P38" s="664"/>
      <c r="Q38" s="647"/>
      <c r="R38" s="648"/>
      <c r="S38" s="649"/>
      <c r="T38" s="635"/>
      <c r="U38" s="636"/>
      <c r="V38" s="637"/>
      <c r="W38" s="18"/>
      <c r="X38" s="2"/>
      <c r="Y38" s="2"/>
      <c r="Z38" s="57"/>
      <c r="AA38" s="57"/>
      <c r="AB38" s="57"/>
      <c r="AC38" s="57"/>
      <c r="AD38" s="57"/>
      <c r="AE38" s="57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6.5" customHeight="1" x14ac:dyDescent="0.3">
      <c r="B39" s="16"/>
      <c r="C39" s="323"/>
      <c r="D39" s="325"/>
      <c r="E39" s="320"/>
      <c r="F39" s="321"/>
      <c r="G39" s="322"/>
      <c r="H39" s="322"/>
      <c r="I39" s="322"/>
      <c r="J39" s="153"/>
      <c r="K39" s="668"/>
      <c r="L39" s="668"/>
      <c r="M39" s="669"/>
      <c r="N39" s="735"/>
      <c r="O39" s="736"/>
      <c r="P39" s="737"/>
      <c r="Q39" s="647"/>
      <c r="R39" s="648"/>
      <c r="S39" s="649"/>
      <c r="T39" s="635"/>
      <c r="U39" s="636"/>
      <c r="V39" s="637"/>
      <c r="W39" s="18"/>
      <c r="X39" s="2"/>
      <c r="Y39" s="2"/>
      <c r="Z39" s="57"/>
      <c r="AA39" s="57"/>
      <c r="AB39" s="57"/>
      <c r="AC39" s="57"/>
      <c r="AD39" s="57"/>
      <c r="AE39" s="57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6.5" customHeight="1" x14ac:dyDescent="0.3">
      <c r="B40" s="16"/>
      <c r="C40" s="19"/>
      <c r="D40" s="326"/>
      <c r="E40" s="327"/>
      <c r="F40" s="328"/>
      <c r="G40" s="329"/>
      <c r="H40" s="329"/>
      <c r="I40" s="322"/>
      <c r="J40" s="153"/>
      <c r="K40" s="682"/>
      <c r="L40" s="682"/>
      <c r="M40" s="683"/>
      <c r="N40" s="735"/>
      <c r="O40" s="736"/>
      <c r="P40" s="737"/>
      <c r="Q40" s="647"/>
      <c r="R40" s="648"/>
      <c r="S40" s="649"/>
      <c r="T40" s="635"/>
      <c r="U40" s="636"/>
      <c r="V40" s="637"/>
      <c r="W40" s="18"/>
      <c r="X40" s="2"/>
      <c r="Y40" s="2"/>
      <c r="Z40" s="57"/>
      <c r="AA40" s="57"/>
      <c r="AB40" s="57"/>
      <c r="AC40" s="57"/>
      <c r="AD40" s="57"/>
      <c r="AE40" s="57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 x14ac:dyDescent="0.3">
      <c r="B41" s="16"/>
      <c r="C41" s="19"/>
      <c r="D41" s="283"/>
      <c r="E41" s="320"/>
      <c r="F41" s="321"/>
      <c r="G41" s="322"/>
      <c r="H41" s="322"/>
      <c r="I41" s="322"/>
      <c r="J41" s="153"/>
      <c r="K41" s="668"/>
      <c r="L41" s="668"/>
      <c r="M41" s="669"/>
      <c r="N41" s="735"/>
      <c r="O41" s="736"/>
      <c r="P41" s="737"/>
      <c r="Q41" s="647"/>
      <c r="R41" s="648"/>
      <c r="S41" s="649"/>
      <c r="T41" s="635"/>
      <c r="U41" s="636"/>
      <c r="V41" s="637"/>
      <c r="W41" s="18"/>
      <c r="X41" s="2"/>
      <c r="Y41" s="2"/>
      <c r="Z41" s="2"/>
      <c r="AA41" s="2"/>
      <c r="AB41" s="2"/>
      <c r="AC41" s="2"/>
      <c r="AD41" s="57"/>
      <c r="AE41" s="59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 x14ac:dyDescent="0.3">
      <c r="B42" s="16"/>
      <c r="C42" s="19"/>
      <c r="D42" s="283"/>
      <c r="E42" s="320"/>
      <c r="F42" s="321"/>
      <c r="G42" s="322"/>
      <c r="H42" s="322"/>
      <c r="I42" s="322"/>
      <c r="J42" s="153"/>
      <c r="K42" s="668"/>
      <c r="L42" s="668"/>
      <c r="M42" s="669"/>
      <c r="N42" s="735"/>
      <c r="O42" s="736"/>
      <c r="P42" s="737"/>
      <c r="Q42" s="647"/>
      <c r="R42" s="648"/>
      <c r="S42" s="649"/>
      <c r="T42" s="635"/>
      <c r="U42" s="636"/>
      <c r="V42" s="637"/>
      <c r="W42" s="18"/>
      <c r="X42" s="2"/>
      <c r="Y42" s="2"/>
      <c r="Z42" s="2"/>
      <c r="AA42" s="2"/>
      <c r="AB42" s="2"/>
      <c r="AC42" s="2"/>
      <c r="AD42" s="57"/>
      <c r="AE42" s="59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 x14ac:dyDescent="0.3">
      <c r="B43" s="16"/>
      <c r="C43" s="331"/>
      <c r="D43" s="120"/>
      <c r="F43" s="121"/>
      <c r="G43" s="122"/>
      <c r="H43" s="122"/>
      <c r="I43" s="122"/>
      <c r="J43" s="17"/>
      <c r="K43" s="668"/>
      <c r="L43" s="668"/>
      <c r="M43" s="669"/>
      <c r="N43" s="735"/>
      <c r="O43" s="736"/>
      <c r="P43" s="737"/>
      <c r="Q43" s="647"/>
      <c r="R43" s="648"/>
      <c r="S43" s="649"/>
      <c r="T43" s="635"/>
      <c r="U43" s="636"/>
      <c r="V43" s="637"/>
      <c r="W43" s="18"/>
      <c r="X43" s="2"/>
      <c r="Y43" s="2"/>
      <c r="Z43" s="2"/>
      <c r="AA43" s="2"/>
      <c r="AB43" s="2"/>
      <c r="AC43" s="2"/>
      <c r="AD43" s="57"/>
      <c r="AE43" s="59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 x14ac:dyDescent="0.3">
      <c r="B44" s="16"/>
      <c r="C44" s="331"/>
      <c r="D44" s="120"/>
      <c r="E44" s="28"/>
      <c r="F44" s="121"/>
      <c r="G44" s="122"/>
      <c r="H44" s="330"/>
      <c r="I44" s="122"/>
      <c r="J44" s="17"/>
      <c r="K44" s="124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2"/>
      <c r="Z44" s="2"/>
      <c r="AA44" s="2"/>
      <c r="AB44" s="2"/>
      <c r="AC44" s="2"/>
      <c r="AD44" s="57"/>
      <c r="AE44" s="59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 x14ac:dyDescent="0.3">
      <c r="B45" s="16"/>
      <c r="C45" s="332"/>
      <c r="D45" s="333"/>
      <c r="E45" s="334"/>
      <c r="F45" s="335"/>
      <c r="G45" s="336"/>
      <c r="H45" s="336"/>
      <c r="I45" s="336"/>
      <c r="J45" s="337"/>
      <c r="K45" s="124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2"/>
      <c r="Z45" s="2"/>
      <c r="AA45" s="2"/>
      <c r="AB45" s="2"/>
      <c r="AC45" s="2"/>
      <c r="AD45" s="57"/>
      <c r="AE45" s="59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x14ac:dyDescent="0.3">
      <c r="A46" s="45" t="s">
        <v>51</v>
      </c>
      <c r="B46" s="46"/>
      <c r="C46" s="738" t="s">
        <v>52</v>
      </c>
      <c r="D46" s="739"/>
      <c r="E46" s="739"/>
      <c r="F46" s="739"/>
      <c r="G46" s="739"/>
      <c r="H46" s="739"/>
      <c r="I46" s="739"/>
      <c r="J46" s="740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ROUND(SUM(T35:V45),2)</f>
        <v>6600</v>
      </c>
      <c r="U46" s="562"/>
      <c r="V46" s="563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T30+T46</f>
        <v>8364.59</v>
      </c>
      <c r="U47" s="562"/>
      <c r="V47" s="563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418.22950000000003</v>
      </c>
      <c r="U48" s="568"/>
      <c r="V48" s="569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836.45900000000006</v>
      </c>
      <c r="U49" s="568"/>
      <c r="V49" s="569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9619.2785000000003</v>
      </c>
      <c r="U51" s="562"/>
      <c r="V51" s="563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4580.6088095238092</v>
      </c>
      <c r="U52" s="562"/>
      <c r="V52" s="563"/>
      <c r="W52" s="13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x14ac:dyDescent="0.3">
      <c r="L54" s="2"/>
      <c r="M54" s="2"/>
      <c r="N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" customHeight="1" x14ac:dyDescent="0.3"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" customHeight="1" x14ac:dyDescent="0.3"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" customHeight="1" x14ac:dyDescent="0.3"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" customHeight="1" x14ac:dyDescent="0.3"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" customHeight="1" x14ac:dyDescent="0.3"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" customHeight="1" x14ac:dyDescent="0.3"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" customHeight="1" x14ac:dyDescent="0.3"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" customHeight="1" x14ac:dyDescent="0.3"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5" customHeight="1" x14ac:dyDescent="0.3"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24:40" ht="15" customHeight="1" x14ac:dyDescent="0.3"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24:40" ht="15" customHeight="1" x14ac:dyDescent="0.3"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24:40" ht="15" customHeight="1" x14ac:dyDescent="0.3"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24:40" ht="15" customHeight="1" x14ac:dyDescent="0.3"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24:40" ht="15" customHeight="1" x14ac:dyDescent="0.3"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24:40" ht="15" customHeight="1" x14ac:dyDescent="0.3"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24:40" ht="15" customHeight="1" x14ac:dyDescent="0.3"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24:40" ht="15" customHeight="1" x14ac:dyDescent="0.3"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24:40" ht="15" customHeight="1" x14ac:dyDescent="0.3"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24:40" ht="15" customHeight="1" x14ac:dyDescent="0.3"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24:40" ht="15" customHeight="1" x14ac:dyDescent="0.3"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24:40" ht="15" customHeight="1" x14ac:dyDescent="0.3"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24:40" ht="15" customHeight="1" x14ac:dyDescent="0.3"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24:40" ht="15" customHeight="1" x14ac:dyDescent="0.3">
      <c r="X85" s="2"/>
      <c r="Y85" s="139"/>
      <c r="Z85" s="33"/>
      <c r="AA85" s="140"/>
      <c r="AB85" s="141"/>
      <c r="AC85" s="34"/>
      <c r="AD85" s="34"/>
      <c r="AE85" s="34"/>
      <c r="AF85" s="2"/>
      <c r="AG85" s="2"/>
      <c r="AH85" s="2"/>
      <c r="AI85" s="2"/>
      <c r="AJ85" s="2"/>
      <c r="AK85" s="2"/>
      <c r="AL85" s="2"/>
      <c r="AM85" s="2"/>
      <c r="AN85" s="2"/>
    </row>
    <row r="86" spans="24:40" ht="16.5" x14ac:dyDescent="0.25">
      <c r="Y86" s="142"/>
      <c r="Z86" s="143"/>
      <c r="AA86" s="144"/>
      <c r="AB86" s="144"/>
      <c r="AC86" s="34"/>
      <c r="AD86" s="34"/>
      <c r="AE86" s="34"/>
    </row>
    <row r="87" spans="24:40" ht="16.5" x14ac:dyDescent="0.25">
      <c r="Y87" s="33"/>
      <c r="Z87" s="34"/>
      <c r="AA87" s="140"/>
      <c r="AB87" s="140"/>
      <c r="AC87" s="34"/>
      <c r="AD87" s="34"/>
      <c r="AE87" s="34"/>
    </row>
    <row r="88" spans="24:40" ht="16.5" x14ac:dyDescent="0.25">
      <c r="Y88" s="142"/>
      <c r="Z88" s="142"/>
      <c r="AA88" s="143"/>
      <c r="AB88" s="144"/>
      <c r="AC88" s="34"/>
      <c r="AD88" s="34"/>
      <c r="AE88" s="34"/>
    </row>
    <row r="89" spans="24:40" ht="16.5" x14ac:dyDescent="0.25">
      <c r="Y89" s="33"/>
      <c r="Z89" s="33"/>
      <c r="AA89" s="34"/>
      <c r="AB89" s="33"/>
      <c r="AC89" s="34"/>
      <c r="AD89" s="34"/>
      <c r="AE89" s="34"/>
    </row>
    <row r="90" spans="24:40" ht="16.5" x14ac:dyDescent="0.25">
      <c r="Y90" s="33"/>
      <c r="Z90" s="33"/>
      <c r="AA90" s="34"/>
      <c r="AB90" s="33"/>
      <c r="AC90" s="34"/>
      <c r="AD90" s="34"/>
      <c r="AE90" s="34"/>
    </row>
    <row r="91" spans="24:40" ht="16.5" x14ac:dyDescent="0.25">
      <c r="Y91" s="33"/>
      <c r="Z91" s="33"/>
      <c r="AA91" s="34"/>
      <c r="AB91" s="33"/>
      <c r="AC91" s="34"/>
      <c r="AD91" s="34"/>
      <c r="AE91" s="34"/>
    </row>
    <row r="92" spans="24:40" ht="16.5" x14ac:dyDescent="0.25">
      <c r="Y92" s="33"/>
      <c r="Z92" s="33"/>
      <c r="AA92" s="34"/>
      <c r="AB92" s="33"/>
      <c r="AC92" s="34"/>
      <c r="AD92" s="34"/>
      <c r="AE92" s="34"/>
    </row>
    <row r="93" spans="24:40" ht="16.5" x14ac:dyDescent="0.25">
      <c r="Y93" s="33"/>
      <c r="Z93" s="33"/>
      <c r="AA93" s="34"/>
      <c r="AB93" s="33"/>
      <c r="AC93" s="34"/>
      <c r="AD93" s="34"/>
      <c r="AE93" s="34"/>
    </row>
  </sheetData>
  <mergeCells count="123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C46:J46"/>
    <mergeCell ref="T46:V46"/>
    <mergeCell ref="K41:M41"/>
    <mergeCell ref="N41:P41"/>
    <mergeCell ref="Q41:S41"/>
    <mergeCell ref="T41:V41"/>
    <mergeCell ref="K42:M42"/>
    <mergeCell ref="N42:P42"/>
    <mergeCell ref="Q42:S42"/>
    <mergeCell ref="T42:V42"/>
    <mergeCell ref="T47:V47"/>
    <mergeCell ref="T48:V48"/>
    <mergeCell ref="T49:V49"/>
    <mergeCell ref="T50:V50"/>
    <mergeCell ref="T51:V51"/>
    <mergeCell ref="T52:V52"/>
    <mergeCell ref="K43:M43"/>
    <mergeCell ref="N43:P43"/>
    <mergeCell ref="Q43:S43"/>
    <mergeCell ref="T43:V43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AD66-A168-C14B-84F8-9E7A1C8A4CA9}">
  <sheetPr codeName="Sheet29">
    <tabColor rgb="FF92D050"/>
    <pageSetUpPr fitToPage="1"/>
  </sheetPr>
  <dimension ref="A1:AN92"/>
  <sheetViews>
    <sheetView view="pageBreakPreview" topLeftCell="A19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238</v>
      </c>
      <c r="F5" s="578"/>
      <c r="G5" s="605" t="s">
        <v>239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tr">
        <f>G8</f>
        <v>SQ.M.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0.315*8</f>
        <v>2.52</v>
      </c>
      <c r="F7" s="58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DATA'!C35</f>
        <v>1.26</v>
      </c>
      <c r="F8" s="600"/>
      <c r="G8" s="602" t="s">
        <v>8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0.5</v>
      </c>
      <c r="O13" s="581"/>
      <c r="P13" s="582"/>
      <c r="Q13" s="599">
        <v>800</v>
      </c>
      <c r="R13" s="600"/>
      <c r="S13" s="601"/>
      <c r="T13" s="583">
        <f t="shared" ref="T13:T15" si="0">K13*N13*Q13</f>
        <v>400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92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 t="shared" ref="N14:N15" si="1">N13</f>
        <v>0.5</v>
      </c>
      <c r="O14" s="581"/>
      <c r="P14" s="582"/>
      <c r="Q14" s="599">
        <v>600</v>
      </c>
      <c r="R14" s="600"/>
      <c r="S14" s="601"/>
      <c r="T14" s="583">
        <f t="shared" si="0"/>
        <v>300</v>
      </c>
      <c r="U14" s="584"/>
      <c r="V14" s="585"/>
      <c r="W14" s="2"/>
      <c r="X14" s="26"/>
      <c r="Y14" s="27"/>
      <c r="Z14" s="28"/>
      <c r="AA14" s="13"/>
      <c r="AB14" s="13"/>
      <c r="AC14" s="1">
        <f>10/3.281</f>
        <v>3.047851264858275</v>
      </c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 t="shared" si="1"/>
        <v>0.5</v>
      </c>
      <c r="O15" s="581"/>
      <c r="P15" s="582"/>
      <c r="Q15" s="599">
        <v>400</v>
      </c>
      <c r="R15" s="600"/>
      <c r="S15" s="601"/>
      <c r="T15" s="583">
        <f t="shared" si="0"/>
        <v>200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44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900</v>
      </c>
      <c r="U20" s="562"/>
      <c r="V20" s="563"/>
      <c r="X20" s="51"/>
      <c r="Y20" s="44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90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57"/>
      <c r="AA26" s="57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ROUND(SUM(T24:V28),2)</f>
        <v>90</v>
      </c>
      <c r="U29" s="562"/>
      <c r="V29" s="563"/>
      <c r="W29" s="9"/>
      <c r="X29" s="2"/>
      <c r="Y29" s="56"/>
      <c r="Z29" s="57"/>
      <c r="AA29" s="57"/>
      <c r="AB29" s="57"/>
      <c r="AC29" s="57"/>
      <c r="AD29" s="58"/>
      <c r="AE29" s="59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990</v>
      </c>
      <c r="U30" s="562"/>
      <c r="V30" s="563"/>
      <c r="W30" s="2"/>
      <c r="X30" s="2"/>
      <c r="Y30" s="56"/>
      <c r="Z30" s="57"/>
      <c r="AA30" s="57"/>
      <c r="AB30" s="57"/>
      <c r="AC30" s="57"/>
      <c r="AD30" s="58"/>
      <c r="AE30" s="59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>
        <f>E7</f>
        <v>2.52</v>
      </c>
      <c r="I31" s="56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56"/>
      <c r="Z33" s="57"/>
      <c r="AA33" s="57"/>
      <c r="AB33" s="57"/>
      <c r="AC33" s="57"/>
      <c r="AD33" s="58"/>
      <c r="AE33" s="59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56"/>
      <c r="Z34" s="57"/>
      <c r="AA34" s="57"/>
      <c r="AB34" s="57"/>
      <c r="AC34" s="57"/>
      <c r="AD34" s="58"/>
      <c r="AE34" s="59"/>
      <c r="AF34" s="2"/>
      <c r="AG34" s="2"/>
      <c r="AH34" s="2"/>
      <c r="AI34" s="2"/>
      <c r="AJ34" s="2"/>
      <c r="AK34" s="2"/>
      <c r="AL34" s="2"/>
      <c r="AM34" s="2"/>
      <c r="AN34" s="2"/>
    </row>
    <row r="35" spans="1:40" s="4" customFormat="1" ht="21" customHeight="1" x14ac:dyDescent="0.25">
      <c r="B35" s="246"/>
      <c r="C35" s="247" t="s">
        <v>21</v>
      </c>
      <c r="D35" s="727" t="s">
        <v>155</v>
      </c>
      <c r="E35" s="727"/>
      <c r="F35" s="727"/>
      <c r="G35" s="727"/>
      <c r="H35" s="727"/>
      <c r="I35" s="727"/>
      <c r="J35" s="728"/>
      <c r="K35" s="667">
        <f>E8</f>
        <v>1.26</v>
      </c>
      <c r="L35" s="668"/>
      <c r="M35" s="669"/>
      <c r="N35" s="729" t="s">
        <v>8</v>
      </c>
      <c r="O35" s="730" t="str">
        <f t="shared" ref="O35:P35" si="2">IF(L35&gt;1,"bags","bag")</f>
        <v>bag</v>
      </c>
      <c r="P35" s="731" t="str">
        <f t="shared" si="2"/>
        <v>bag</v>
      </c>
      <c r="Q35" s="647">
        <f>2500/(2.1*0.6)</f>
        <v>1984.1269841269841</v>
      </c>
      <c r="R35" s="648"/>
      <c r="S35" s="649"/>
      <c r="T35" s="635">
        <f>K35*Q35</f>
        <v>2500</v>
      </c>
      <c r="U35" s="636"/>
      <c r="V35" s="637"/>
      <c r="W35" s="307"/>
      <c r="X35" s="5"/>
      <c r="Y35" s="5"/>
      <c r="Z35" s="319"/>
      <c r="AA35" s="319"/>
      <c r="AB35" s="319"/>
      <c r="AC35" s="319"/>
      <c r="AD35" s="319"/>
      <c r="AE35" s="319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16.5" customHeight="1" x14ac:dyDescent="0.3">
      <c r="B36" s="41"/>
      <c r="C36" s="19" t="s">
        <v>23</v>
      </c>
      <c r="D36" s="283" t="s">
        <v>193</v>
      </c>
      <c r="E36" s="320"/>
      <c r="F36" s="321"/>
      <c r="G36" s="322"/>
      <c r="H36" s="322"/>
      <c r="I36" s="322"/>
      <c r="J36" s="153"/>
      <c r="K36" s="659"/>
      <c r="L36" s="660"/>
      <c r="M36" s="661"/>
      <c r="N36" s="662"/>
      <c r="O36" s="663"/>
      <c r="P36" s="664"/>
      <c r="Q36" s="647"/>
      <c r="R36" s="648"/>
      <c r="S36" s="649"/>
      <c r="T36" s="635">
        <f>0.05*SUM(T35:V35)</f>
        <v>125</v>
      </c>
      <c r="U36" s="636"/>
      <c r="V36" s="637"/>
      <c r="W36" s="18"/>
      <c r="X36" s="2"/>
      <c r="Y36" s="2"/>
      <c r="Z36" s="57"/>
      <c r="AA36" s="57"/>
      <c r="AB36" s="57"/>
      <c r="AC36" s="57"/>
      <c r="AD36" s="57"/>
      <c r="AE36" s="57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6.5" customHeight="1" x14ac:dyDescent="0.3">
      <c r="B37" s="16"/>
      <c r="C37" s="19"/>
      <c r="D37" s="283"/>
      <c r="E37" s="320"/>
      <c r="F37" s="321"/>
      <c r="G37" s="322"/>
      <c r="H37" s="322"/>
      <c r="I37" s="322"/>
      <c r="J37" s="153"/>
      <c r="K37" s="659"/>
      <c r="L37" s="660"/>
      <c r="M37" s="661"/>
      <c r="N37" s="662"/>
      <c r="O37" s="663"/>
      <c r="P37" s="664"/>
      <c r="Q37" s="647"/>
      <c r="R37" s="648"/>
      <c r="S37" s="649"/>
      <c r="T37" s="635"/>
      <c r="U37" s="636"/>
      <c r="V37" s="637"/>
      <c r="W37" s="18"/>
      <c r="X37" s="2"/>
      <c r="Y37" s="2"/>
      <c r="Z37" s="57"/>
      <c r="AA37" s="57"/>
      <c r="AB37" s="57"/>
      <c r="AC37" s="57"/>
      <c r="AD37" s="57"/>
      <c r="AE37" s="57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6.5" customHeight="1" x14ac:dyDescent="0.3">
      <c r="B38" s="16"/>
      <c r="C38" s="323"/>
      <c r="D38" s="325"/>
      <c r="E38" s="320"/>
      <c r="F38" s="321"/>
      <c r="G38" s="322"/>
      <c r="H38" s="322"/>
      <c r="I38" s="322"/>
      <c r="J38" s="153"/>
      <c r="K38" s="667"/>
      <c r="L38" s="668"/>
      <c r="M38" s="669"/>
      <c r="N38" s="735"/>
      <c r="O38" s="736"/>
      <c r="P38" s="737"/>
      <c r="Q38" s="647"/>
      <c r="R38" s="648"/>
      <c r="S38" s="649"/>
      <c r="T38" s="635"/>
      <c r="U38" s="636"/>
      <c r="V38" s="637"/>
      <c r="W38" s="18"/>
      <c r="X38" s="2"/>
      <c r="Y38" s="2"/>
      <c r="Z38" s="57"/>
      <c r="AA38" s="57"/>
      <c r="AB38" s="57"/>
      <c r="AC38" s="57"/>
      <c r="AD38" s="57"/>
      <c r="AE38" s="57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6.5" customHeight="1" x14ac:dyDescent="0.3">
      <c r="B39" s="16"/>
      <c r="C39" s="19"/>
      <c r="D39" s="326"/>
      <c r="E39" s="327"/>
      <c r="F39" s="328"/>
      <c r="G39" s="329"/>
      <c r="H39" s="329"/>
      <c r="I39" s="322"/>
      <c r="J39" s="153"/>
      <c r="K39" s="681"/>
      <c r="L39" s="682"/>
      <c r="M39" s="683"/>
      <c r="N39" s="735"/>
      <c r="O39" s="736"/>
      <c r="P39" s="737"/>
      <c r="Q39" s="647"/>
      <c r="R39" s="648"/>
      <c r="S39" s="649"/>
      <c r="T39" s="635"/>
      <c r="U39" s="636"/>
      <c r="V39" s="637"/>
      <c r="W39" s="18"/>
      <c r="X39" s="2"/>
      <c r="Y39" s="2"/>
      <c r="Z39" s="57"/>
      <c r="AA39" s="57"/>
      <c r="AB39" s="57"/>
      <c r="AC39" s="57"/>
      <c r="AD39" s="57"/>
      <c r="AE39" s="57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6.5" customHeight="1" x14ac:dyDescent="0.3">
      <c r="B40" s="16"/>
      <c r="C40" s="19"/>
      <c r="D40" s="283"/>
      <c r="E40" s="320"/>
      <c r="F40" s="321"/>
      <c r="G40" s="322"/>
      <c r="H40" s="322"/>
      <c r="I40" s="322"/>
      <c r="J40" s="153"/>
      <c r="K40" s="667"/>
      <c r="L40" s="668"/>
      <c r="M40" s="669"/>
      <c r="N40" s="735"/>
      <c r="O40" s="736"/>
      <c r="P40" s="737"/>
      <c r="Q40" s="647"/>
      <c r="R40" s="648"/>
      <c r="S40" s="649"/>
      <c r="T40" s="635"/>
      <c r="U40" s="636"/>
      <c r="V40" s="637"/>
      <c r="W40" s="18"/>
      <c r="X40" s="2"/>
      <c r="Y40" s="2"/>
      <c r="Z40" s="2"/>
      <c r="AA40" s="2"/>
      <c r="AB40" s="2"/>
      <c r="AC40" s="2"/>
      <c r="AD40" s="57"/>
      <c r="AE40" s="59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 x14ac:dyDescent="0.3">
      <c r="B41" s="16"/>
      <c r="C41" s="19"/>
      <c r="D41" s="283"/>
      <c r="E41" s="320"/>
      <c r="F41" s="321"/>
      <c r="G41" s="322"/>
      <c r="H41" s="322"/>
      <c r="I41" s="322"/>
      <c r="J41" s="153"/>
      <c r="K41" s="667"/>
      <c r="L41" s="668"/>
      <c r="M41" s="669"/>
      <c r="N41" s="735"/>
      <c r="O41" s="736"/>
      <c r="P41" s="737"/>
      <c r="Q41" s="647"/>
      <c r="R41" s="648"/>
      <c r="S41" s="649"/>
      <c r="T41" s="635"/>
      <c r="U41" s="636"/>
      <c r="V41" s="637"/>
      <c r="W41" s="18"/>
      <c r="X41" s="2"/>
      <c r="Y41" s="2"/>
      <c r="Z41" s="2"/>
      <c r="AA41" s="2"/>
      <c r="AB41" s="2"/>
      <c r="AC41" s="2"/>
      <c r="AD41" s="57"/>
      <c r="AE41" s="59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 x14ac:dyDescent="0.3">
      <c r="B42" s="16"/>
      <c r="C42" s="331"/>
      <c r="D42" s="120"/>
      <c r="F42" s="121"/>
      <c r="G42" s="122"/>
      <c r="H42" s="122"/>
      <c r="I42" s="122"/>
      <c r="J42" s="17"/>
      <c r="K42" s="667"/>
      <c r="L42" s="668"/>
      <c r="M42" s="669"/>
      <c r="N42" s="735"/>
      <c r="O42" s="736"/>
      <c r="P42" s="737"/>
      <c r="Q42" s="647"/>
      <c r="R42" s="648"/>
      <c r="S42" s="649"/>
      <c r="T42" s="635"/>
      <c r="U42" s="636"/>
      <c r="V42" s="637"/>
      <c r="W42" s="18"/>
      <c r="X42" s="2"/>
      <c r="Y42" s="2"/>
      <c r="Z42" s="2"/>
      <c r="AA42" s="2"/>
      <c r="AB42" s="2"/>
      <c r="AC42" s="2"/>
      <c r="AD42" s="57"/>
      <c r="AE42" s="59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 x14ac:dyDescent="0.3">
      <c r="B43" s="16"/>
      <c r="C43" s="331"/>
      <c r="D43" s="120"/>
      <c r="E43" s="28"/>
      <c r="F43" s="121"/>
      <c r="G43" s="122"/>
      <c r="H43" s="330"/>
      <c r="I43" s="122"/>
      <c r="J43" s="17"/>
      <c r="K43" s="123"/>
      <c r="L43" s="124"/>
      <c r="M43" s="125"/>
      <c r="N43" s="126"/>
      <c r="O43" s="127"/>
      <c r="P43" s="128"/>
      <c r="Q43" s="105"/>
      <c r="R43" s="106"/>
      <c r="S43" s="107"/>
      <c r="T43" s="108"/>
      <c r="U43" s="109"/>
      <c r="V43" s="110"/>
      <c r="W43" s="18"/>
      <c r="X43" s="2"/>
      <c r="Y43" s="2"/>
      <c r="Z43" s="2"/>
      <c r="AA43" s="2"/>
      <c r="AB43" s="2"/>
      <c r="AC43" s="2"/>
      <c r="AD43" s="57"/>
      <c r="AE43" s="59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 x14ac:dyDescent="0.3">
      <c r="B44" s="16"/>
      <c r="C44" s="332"/>
      <c r="D44" s="333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2"/>
      <c r="Z44" s="2"/>
      <c r="AA44" s="2"/>
      <c r="AB44" s="2"/>
      <c r="AC44" s="2"/>
      <c r="AD44" s="57"/>
      <c r="AE44" s="59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2625</v>
      </c>
      <c r="U45" s="562"/>
      <c r="V45" s="563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3615</v>
      </c>
      <c r="U46" s="562"/>
      <c r="V46" s="563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180.75</v>
      </c>
      <c r="U47" s="568"/>
      <c r="V47" s="56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361.5</v>
      </c>
      <c r="U48" s="568"/>
      <c r="V48" s="569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4157.25</v>
      </c>
      <c r="U50" s="562"/>
      <c r="V50" s="563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3299.4047619047619</v>
      </c>
      <c r="U51" s="562"/>
      <c r="V51" s="563"/>
      <c r="W51" s="13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x14ac:dyDescent="0.3">
      <c r="L53" s="2"/>
      <c r="M53" s="2"/>
      <c r="N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" customHeight="1" x14ac:dyDescent="0.3"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" customHeight="1" x14ac:dyDescent="0.3"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" customHeight="1" x14ac:dyDescent="0.3"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" customHeight="1" x14ac:dyDescent="0.3"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" customHeight="1" x14ac:dyDescent="0.3"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" customHeight="1" x14ac:dyDescent="0.3"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" customHeight="1" x14ac:dyDescent="0.3"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" customHeight="1" x14ac:dyDescent="0.3"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" customHeight="1" x14ac:dyDescent="0.3"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5" customHeight="1" x14ac:dyDescent="0.3"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24:40" ht="15" customHeight="1" x14ac:dyDescent="0.3"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24:40" ht="15" customHeight="1" x14ac:dyDescent="0.3"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24:40" ht="15" customHeight="1" x14ac:dyDescent="0.3"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24:40" ht="15" customHeight="1" x14ac:dyDescent="0.3"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24:40" ht="15" customHeight="1" x14ac:dyDescent="0.3"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24:40" ht="15" customHeight="1" x14ac:dyDescent="0.3"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24:40" ht="15" customHeight="1" x14ac:dyDescent="0.3"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24:40" ht="15" customHeight="1" x14ac:dyDescent="0.3"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24:40" ht="15" customHeight="1" x14ac:dyDescent="0.3"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24:40" ht="15" customHeight="1" x14ac:dyDescent="0.3"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24:40" ht="15" customHeight="1" x14ac:dyDescent="0.3"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24:40" ht="15" customHeight="1" x14ac:dyDescent="0.3"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24:40" ht="15" customHeight="1" x14ac:dyDescent="0.3">
      <c r="X84" s="2"/>
      <c r="Y84" s="139"/>
      <c r="Z84" s="33"/>
      <c r="AA84" s="140"/>
      <c r="AB84" s="141"/>
      <c r="AC84" s="34"/>
      <c r="AD84" s="34"/>
      <c r="AE84" s="34"/>
      <c r="AF84" s="2"/>
      <c r="AG84" s="2"/>
      <c r="AH84" s="2"/>
      <c r="AI84" s="2"/>
      <c r="AJ84" s="2"/>
      <c r="AK84" s="2"/>
      <c r="AL84" s="2"/>
      <c r="AM84" s="2"/>
      <c r="AN84" s="2"/>
    </row>
    <row r="85" spans="24:40" ht="16.5" x14ac:dyDescent="0.25">
      <c r="Y85" s="142"/>
      <c r="Z85" s="143"/>
      <c r="AA85" s="144"/>
      <c r="AB85" s="144"/>
      <c r="AC85" s="34"/>
      <c r="AD85" s="34"/>
      <c r="AE85" s="34"/>
    </row>
    <row r="86" spans="24:40" ht="16.5" x14ac:dyDescent="0.25">
      <c r="Y86" s="33"/>
      <c r="Z86" s="34"/>
      <c r="AA86" s="140"/>
      <c r="AB86" s="140"/>
      <c r="AC86" s="34"/>
      <c r="AD86" s="34"/>
      <c r="AE86" s="34"/>
    </row>
    <row r="87" spans="24:40" ht="16.5" x14ac:dyDescent="0.25">
      <c r="Y87" s="142"/>
      <c r="Z87" s="142"/>
      <c r="AA87" s="143"/>
      <c r="AB87" s="144"/>
      <c r="AC87" s="34"/>
      <c r="AD87" s="34"/>
      <c r="AE87" s="34"/>
    </row>
    <row r="88" spans="24:40" ht="16.5" x14ac:dyDescent="0.25">
      <c r="Y88" s="33"/>
      <c r="Z88" s="33"/>
      <c r="AA88" s="34"/>
      <c r="AB88" s="33"/>
      <c r="AC88" s="34"/>
      <c r="AD88" s="34"/>
      <c r="AE88" s="34"/>
    </row>
    <row r="89" spans="24:40" ht="16.5" x14ac:dyDescent="0.25">
      <c r="Y89" s="33"/>
      <c r="Z89" s="33"/>
      <c r="AA89" s="34"/>
      <c r="AB89" s="33"/>
      <c r="AC89" s="34"/>
      <c r="AD89" s="34"/>
      <c r="AE89" s="34"/>
    </row>
    <row r="90" spans="24:40" ht="16.5" x14ac:dyDescent="0.25">
      <c r="Y90" s="33"/>
      <c r="Z90" s="33"/>
      <c r="AA90" s="34"/>
      <c r="AB90" s="33"/>
      <c r="AC90" s="34"/>
      <c r="AD90" s="34"/>
      <c r="AE90" s="34"/>
    </row>
    <row r="91" spans="24:40" ht="16.5" x14ac:dyDescent="0.25">
      <c r="Y91" s="33"/>
      <c r="Z91" s="33"/>
      <c r="AA91" s="34"/>
      <c r="AB91" s="33"/>
      <c r="AC91" s="34"/>
      <c r="AD91" s="34"/>
      <c r="AE91" s="34"/>
    </row>
    <row r="92" spans="24:40" ht="16.5" x14ac:dyDescent="0.25">
      <c r="Y92" s="33"/>
      <c r="Z92" s="33"/>
      <c r="AA92" s="34"/>
      <c r="AB92" s="33"/>
      <c r="AC92" s="34"/>
      <c r="AD92" s="34"/>
      <c r="AE92" s="34"/>
    </row>
  </sheetData>
  <mergeCells count="119">
    <mergeCell ref="T46:V46"/>
    <mergeCell ref="T47:V47"/>
    <mergeCell ref="T48:V48"/>
    <mergeCell ref="T49:V49"/>
    <mergeCell ref="T50:V50"/>
    <mergeCell ref="T51:V51"/>
    <mergeCell ref="K42:M42"/>
    <mergeCell ref="N42:P42"/>
    <mergeCell ref="Q42:S42"/>
    <mergeCell ref="T42:V42"/>
    <mergeCell ref="C45:J45"/>
    <mergeCell ref="T45:V45"/>
    <mergeCell ref="K40:M40"/>
    <mergeCell ref="N40:P40"/>
    <mergeCell ref="Q40:S40"/>
    <mergeCell ref="T40:V40"/>
    <mergeCell ref="K41:M41"/>
    <mergeCell ref="N41:P41"/>
    <mergeCell ref="Q41:S41"/>
    <mergeCell ref="T41:V41"/>
    <mergeCell ref="K38:M38"/>
    <mergeCell ref="N38:P38"/>
    <mergeCell ref="Q38:S38"/>
    <mergeCell ref="T38:V38"/>
    <mergeCell ref="K39:M39"/>
    <mergeCell ref="N39:P39"/>
    <mergeCell ref="Q39:S39"/>
    <mergeCell ref="T39:V39"/>
    <mergeCell ref="K36:M36"/>
    <mergeCell ref="N36:P36"/>
    <mergeCell ref="Q36:S36"/>
    <mergeCell ref="T36:V36"/>
    <mergeCell ref="K37:M37"/>
    <mergeCell ref="N37:P37"/>
    <mergeCell ref="Q37:S37"/>
    <mergeCell ref="T37:V37"/>
    <mergeCell ref="D35:J35"/>
    <mergeCell ref="K35:M35"/>
    <mergeCell ref="N35:P35"/>
    <mergeCell ref="Q35:S35"/>
    <mergeCell ref="T35:V35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0105-9448-E441-88E6-5818BB92E902}">
  <sheetPr codeName="Sheet30">
    <tabColor rgb="FF92D050"/>
    <pageSetUpPr fitToPage="1"/>
  </sheetPr>
  <dimension ref="A1:AN78"/>
  <sheetViews>
    <sheetView view="pageBreakPreview" topLeftCell="A8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117</v>
      </c>
      <c r="F5" s="578"/>
      <c r="G5" s="605" t="s">
        <v>118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2.1*8*Y11</f>
        <v>16.8</v>
      </c>
      <c r="F7" s="58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DATA'!C36</f>
        <v>540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32.142857142857139</v>
      </c>
      <c r="O13" s="581"/>
      <c r="P13" s="582"/>
      <c r="Q13" s="599">
        <v>800</v>
      </c>
      <c r="R13" s="600"/>
      <c r="S13" s="601"/>
      <c r="T13" s="583">
        <f t="shared" ref="T13:T15" si="0">K13*N13*Q13</f>
        <v>25714.28571428571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119</v>
      </c>
      <c r="E14" s="2"/>
      <c r="F14" s="2"/>
      <c r="G14" s="2"/>
      <c r="H14" s="2"/>
      <c r="I14" s="2"/>
      <c r="J14" s="17"/>
      <c r="K14" s="596">
        <f>2*Y11</f>
        <v>2</v>
      </c>
      <c r="L14" s="597"/>
      <c r="M14" s="598"/>
      <c r="N14" s="580">
        <f t="shared" ref="N14:N15" si="1">N13</f>
        <v>32.142857142857139</v>
      </c>
      <c r="O14" s="581"/>
      <c r="P14" s="582"/>
      <c r="Q14" s="599">
        <v>600</v>
      </c>
      <c r="R14" s="600"/>
      <c r="S14" s="601"/>
      <c r="T14" s="583">
        <f t="shared" si="0"/>
        <v>38571.428571428565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f>1*Y11</f>
        <v>1</v>
      </c>
      <c r="L15" s="597"/>
      <c r="M15" s="598"/>
      <c r="N15" s="580">
        <f t="shared" si="1"/>
        <v>32.142857142857139</v>
      </c>
      <c r="O15" s="581"/>
      <c r="P15" s="582"/>
      <c r="Q15" s="599">
        <v>400</v>
      </c>
      <c r="R15" s="600"/>
      <c r="S15" s="601"/>
      <c r="T15" s="583">
        <f t="shared" si="0"/>
        <v>12857.142857142855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77142.86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50</v>
      </c>
      <c r="D24" s="60"/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/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/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77142.86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92" t="s">
        <v>21</v>
      </c>
      <c r="D35" s="283" t="s">
        <v>120</v>
      </c>
      <c r="E35" s="245"/>
      <c r="F35" s="245"/>
      <c r="G35" s="122"/>
      <c r="H35" s="122"/>
      <c r="I35" s="122"/>
      <c r="J35" s="17"/>
      <c r="K35" s="662">
        <f>(E8/8)/4</f>
        <v>16.875</v>
      </c>
      <c r="L35" s="663"/>
      <c r="M35" s="664"/>
      <c r="N35" s="741" t="str">
        <f t="shared" ref="N35:P38" si="2">IF(K35&gt;1,"gals.","gal.")</f>
        <v>gals.</v>
      </c>
      <c r="O35" s="742" t="str">
        <f t="shared" si="2"/>
        <v>gal.</v>
      </c>
      <c r="P35" s="743" t="str">
        <f t="shared" si="2"/>
        <v>gal.</v>
      </c>
      <c r="Q35" s="647">
        <v>590</v>
      </c>
      <c r="R35" s="648"/>
      <c r="S35" s="649"/>
      <c r="T35" s="635">
        <f t="shared" ref="T35:T42" si="3">K35*Q35</f>
        <v>9956.25</v>
      </c>
      <c r="U35" s="636"/>
      <c r="V35" s="63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92" t="s">
        <v>23</v>
      </c>
      <c r="D36" s="283" t="s">
        <v>121</v>
      </c>
      <c r="E36" s="245"/>
      <c r="F36" s="245"/>
      <c r="G36" s="122"/>
      <c r="H36" s="122"/>
      <c r="I36" s="122"/>
      <c r="J36" s="17"/>
      <c r="K36" s="662">
        <f>E8/22</f>
        <v>24.545454545454547</v>
      </c>
      <c r="L36" s="663"/>
      <c r="M36" s="664"/>
      <c r="N36" s="741" t="str">
        <f t="shared" si="2"/>
        <v>gals.</v>
      </c>
      <c r="O36" s="742" t="str">
        <f t="shared" si="2"/>
        <v>gal.</v>
      </c>
      <c r="P36" s="743" t="str">
        <f t="shared" si="2"/>
        <v>gal.</v>
      </c>
      <c r="Q36" s="647">
        <v>950</v>
      </c>
      <c r="R36" s="648"/>
      <c r="S36" s="649"/>
      <c r="T36" s="635">
        <f t="shared" si="3"/>
        <v>23318.18181818182</v>
      </c>
      <c r="U36" s="636"/>
      <c r="V36" s="637"/>
      <c r="W36" s="18"/>
      <c r="X36" s="2"/>
      <c r="Y36" s="62"/>
      <c r="Z36" s="281"/>
      <c r="AA36" s="28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 t="s">
        <v>78</v>
      </c>
      <c r="D37" s="283" t="s">
        <v>122</v>
      </c>
      <c r="E37" s="245"/>
      <c r="F37" s="245"/>
      <c r="G37" s="122"/>
      <c r="H37" s="122"/>
      <c r="I37" s="122"/>
      <c r="J37" s="17"/>
      <c r="K37" s="662">
        <f>(E8)*0.1</f>
        <v>54</v>
      </c>
      <c r="L37" s="663"/>
      <c r="M37" s="664"/>
      <c r="N37" s="741" t="str">
        <f>IF(K37&gt;1,"kgs.","kg.")</f>
        <v>kgs.</v>
      </c>
      <c r="O37" s="742" t="str">
        <f>IF(L37&gt;1,"kgs.","kg.")</f>
        <v>kg.</v>
      </c>
      <c r="P37" s="743" t="str">
        <f>IF(M37&gt;1,"kgs.","kg.")</f>
        <v>kg.</v>
      </c>
      <c r="Q37" s="647">
        <v>70</v>
      </c>
      <c r="R37" s="648"/>
      <c r="S37" s="649"/>
      <c r="T37" s="635">
        <f t="shared" si="3"/>
        <v>3780</v>
      </c>
      <c r="U37" s="636"/>
      <c r="V37" s="637"/>
      <c r="W37" s="18"/>
      <c r="X37" s="2"/>
      <c r="Y37" s="95"/>
      <c r="Z37" s="284"/>
      <c r="AA37" s="285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92" t="s">
        <v>94</v>
      </c>
      <c r="D38" s="283" t="s">
        <v>123</v>
      </c>
      <c r="E38" s="245"/>
      <c r="F38" s="245"/>
      <c r="G38" s="122"/>
      <c r="H38" s="122"/>
      <c r="I38" s="122"/>
      <c r="J38" s="17"/>
      <c r="K38" s="684">
        <f>0.05*E8</f>
        <v>27</v>
      </c>
      <c r="L38" s="685"/>
      <c r="M38" s="686"/>
      <c r="N38" s="744" t="str">
        <f t="shared" si="2"/>
        <v>gals.</v>
      </c>
      <c r="O38" s="745" t="str">
        <f t="shared" si="2"/>
        <v>gal.</v>
      </c>
      <c r="P38" s="746" t="str">
        <f t="shared" si="2"/>
        <v>gal.</v>
      </c>
      <c r="Q38" s="647">
        <v>910</v>
      </c>
      <c r="R38" s="648"/>
      <c r="S38" s="649"/>
      <c r="T38" s="635">
        <f t="shared" si="3"/>
        <v>24570</v>
      </c>
      <c r="U38" s="636"/>
      <c r="V38" s="637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 t="s">
        <v>95</v>
      </c>
      <c r="D39" s="283" t="s">
        <v>124</v>
      </c>
      <c r="E39" s="245"/>
      <c r="F39" s="245"/>
      <c r="G39" s="122"/>
      <c r="H39" s="122"/>
      <c r="I39" s="122"/>
      <c r="J39" s="17"/>
      <c r="K39" s="662">
        <f>0.03*E8</f>
        <v>16.2</v>
      </c>
      <c r="L39" s="663"/>
      <c r="M39" s="664"/>
      <c r="N39" s="703" t="str">
        <f t="shared" ref="N39:N41" si="4">IF(AND(K39&lt;1),"pc.",IF(AND(K39&gt;1),"pcs.",IF(AND(K39=1),"pc.")))</f>
        <v>pcs.</v>
      </c>
      <c r="O39" s="704"/>
      <c r="P39" s="705"/>
      <c r="Q39" s="647">
        <v>76</v>
      </c>
      <c r="R39" s="648"/>
      <c r="S39" s="649"/>
      <c r="T39" s="635">
        <f t="shared" si="3"/>
        <v>1231.2</v>
      </c>
      <c r="U39" s="636"/>
      <c r="V39" s="637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 t="s">
        <v>96</v>
      </c>
      <c r="D40" s="283" t="s">
        <v>125</v>
      </c>
      <c r="E40" s="245"/>
      <c r="F40" s="245"/>
      <c r="G40" s="122"/>
      <c r="H40" s="122"/>
      <c r="I40" s="122"/>
      <c r="J40" s="17"/>
      <c r="K40" s="662">
        <f>K39</f>
        <v>16.2</v>
      </c>
      <c r="L40" s="663"/>
      <c r="M40" s="664"/>
      <c r="N40" s="703" t="str">
        <f t="shared" si="4"/>
        <v>pcs.</v>
      </c>
      <c r="O40" s="704"/>
      <c r="P40" s="705"/>
      <c r="Q40" s="647">
        <v>65</v>
      </c>
      <c r="R40" s="648"/>
      <c r="S40" s="649"/>
      <c r="T40" s="635">
        <f t="shared" si="3"/>
        <v>1053</v>
      </c>
      <c r="U40" s="636"/>
      <c r="V40" s="637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 t="s">
        <v>98</v>
      </c>
      <c r="D41" s="283" t="s">
        <v>126</v>
      </c>
      <c r="E41" s="245"/>
      <c r="F41" s="245"/>
      <c r="G41" s="122"/>
      <c r="H41" s="122"/>
      <c r="I41" s="122"/>
      <c r="J41" s="17"/>
      <c r="K41" s="662">
        <f>K40</f>
        <v>16.2</v>
      </c>
      <c r="L41" s="663"/>
      <c r="M41" s="664"/>
      <c r="N41" s="703" t="str">
        <f t="shared" si="4"/>
        <v>pcs.</v>
      </c>
      <c r="O41" s="704"/>
      <c r="P41" s="705"/>
      <c r="Q41" s="647">
        <v>80</v>
      </c>
      <c r="R41" s="648"/>
      <c r="S41" s="649"/>
      <c r="T41" s="635">
        <f t="shared" si="3"/>
        <v>1296</v>
      </c>
      <c r="U41" s="636"/>
      <c r="V41" s="637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customHeight="1" x14ac:dyDescent="0.3">
      <c r="B42" s="41"/>
      <c r="C42" s="92" t="s">
        <v>100</v>
      </c>
      <c r="D42" s="93" t="s">
        <v>127</v>
      </c>
      <c r="E42" s="93"/>
      <c r="F42" s="93"/>
      <c r="G42" s="93"/>
      <c r="H42" s="93"/>
      <c r="I42" s="93"/>
      <c r="J42" s="94"/>
      <c r="K42" s="662">
        <f>E8/60</f>
        <v>9</v>
      </c>
      <c r="L42" s="663"/>
      <c r="M42" s="664"/>
      <c r="N42" s="703" t="s">
        <v>128</v>
      </c>
      <c r="O42" s="704"/>
      <c r="P42" s="705"/>
      <c r="Q42" s="647">
        <v>650</v>
      </c>
      <c r="R42" s="648"/>
      <c r="S42" s="649"/>
      <c r="T42" s="635">
        <f t="shared" si="3"/>
        <v>5850</v>
      </c>
      <c r="U42" s="636"/>
      <c r="V42" s="637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92" t="s">
        <v>129</v>
      </c>
      <c r="D43" s="93" t="s">
        <v>130</v>
      </c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635">
        <f>0.1*SUM(T35:V42)</f>
        <v>7105.4631818181824</v>
      </c>
      <c r="U43" s="636"/>
      <c r="V43" s="637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93"/>
      <c r="E44" s="93"/>
      <c r="F44" s="93"/>
      <c r="G44" s="93"/>
      <c r="H44" s="93"/>
      <c r="I44" s="93"/>
      <c r="J44" s="94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 t="s">
        <v>51</v>
      </c>
      <c r="B46" s="46"/>
      <c r="C46" s="564" t="s">
        <v>52</v>
      </c>
      <c r="D46" s="565"/>
      <c r="E46" s="565"/>
      <c r="F46" s="565"/>
      <c r="G46" s="565"/>
      <c r="H46" s="565"/>
      <c r="I46" s="565"/>
      <c r="J46" s="56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ROUND(SUM(T35:V45),2)</f>
        <v>78160.100000000006</v>
      </c>
      <c r="U46" s="562"/>
      <c r="V46" s="563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T30+T46</f>
        <v>155302.96000000002</v>
      </c>
      <c r="U47" s="562"/>
      <c r="V47" s="563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7765.148000000001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15530.296000000002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178598.40400000001</v>
      </c>
      <c r="U51" s="562"/>
      <c r="V51" s="563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330.7377851851852</v>
      </c>
      <c r="U52" s="562"/>
      <c r="V52" s="563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119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37:M37"/>
    <mergeCell ref="N37:P37"/>
    <mergeCell ref="Q37:S37"/>
    <mergeCell ref="T37:V37"/>
    <mergeCell ref="K38:M38"/>
    <mergeCell ref="N38:P38"/>
    <mergeCell ref="Q38:S38"/>
    <mergeCell ref="T38:V38"/>
    <mergeCell ref="K35:M35"/>
    <mergeCell ref="N35:P35"/>
    <mergeCell ref="Q35:S35"/>
    <mergeCell ref="T35:V35"/>
    <mergeCell ref="K36:M36"/>
    <mergeCell ref="N36:P36"/>
    <mergeCell ref="Q36:S36"/>
    <mergeCell ref="T36:V36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T50:V50"/>
    <mergeCell ref="T51:V51"/>
    <mergeCell ref="T52:V52"/>
    <mergeCell ref="T43:V43"/>
    <mergeCell ref="C46:J46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02C2-9644-FA4B-A9DA-69ED6D0D43E7}">
  <sheetPr codeName="Sheet31">
    <tabColor rgb="FF92D050"/>
    <pageSetUpPr fitToPage="1"/>
  </sheetPr>
  <dimension ref="A1:AN78"/>
  <sheetViews>
    <sheetView view="pageBreakPreview" topLeftCell="A18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/>
      <c r="B5" s="5" t="s">
        <v>3</v>
      </c>
      <c r="C5" s="5"/>
      <c r="D5" s="5"/>
      <c r="E5" s="578" t="s">
        <v>131</v>
      </c>
      <c r="F5" s="578"/>
      <c r="G5" s="605" t="s">
        <v>132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/>
      <c r="B6" s="2" t="s">
        <v>7</v>
      </c>
      <c r="C6" s="2"/>
      <c r="D6" s="2"/>
      <c r="E6" s="578" t="s">
        <v>8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2*8*Y11</f>
        <v>16</v>
      </c>
      <c r="F7" s="58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/>
      <c r="B8" s="2" t="s">
        <v>12</v>
      </c>
      <c r="C8" s="2"/>
      <c r="D8" s="2"/>
      <c r="E8" s="600">
        <f>'INPUT DATA'!C37</f>
        <v>45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/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2.8125</v>
      </c>
      <c r="O13" s="581"/>
      <c r="P13" s="582"/>
      <c r="Q13" s="599">
        <v>800</v>
      </c>
      <c r="R13" s="600"/>
      <c r="S13" s="601"/>
      <c r="T13" s="583">
        <f t="shared" ref="T13:T15" si="0">K13*N13*Q13</f>
        <v>2250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119</v>
      </c>
      <c r="E14" s="2"/>
      <c r="F14" s="2"/>
      <c r="G14" s="2"/>
      <c r="H14" s="2"/>
      <c r="I14" s="2"/>
      <c r="J14" s="17"/>
      <c r="K14" s="596">
        <f>2*Y11</f>
        <v>2</v>
      </c>
      <c r="L14" s="597"/>
      <c r="M14" s="598"/>
      <c r="N14" s="580">
        <f t="shared" ref="N14:N15" si="1">N13</f>
        <v>2.8125</v>
      </c>
      <c r="O14" s="581"/>
      <c r="P14" s="582"/>
      <c r="Q14" s="599">
        <v>600</v>
      </c>
      <c r="R14" s="600"/>
      <c r="S14" s="601"/>
      <c r="T14" s="583">
        <f t="shared" si="0"/>
        <v>3375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f>1*Y11</f>
        <v>1</v>
      </c>
      <c r="L15" s="597"/>
      <c r="M15" s="598"/>
      <c r="N15" s="580">
        <f t="shared" si="1"/>
        <v>2.8125</v>
      </c>
      <c r="O15" s="581"/>
      <c r="P15" s="582"/>
      <c r="Q15" s="599">
        <v>400</v>
      </c>
      <c r="R15" s="600"/>
      <c r="S15" s="601"/>
      <c r="T15" s="583">
        <f t="shared" si="0"/>
        <v>1125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/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6750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50</v>
      </c>
      <c r="D24" s="60"/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/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/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/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6750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141</v>
      </c>
      <c r="E35" s="296"/>
      <c r="F35" s="296"/>
      <c r="G35" s="296"/>
      <c r="H35" s="296"/>
      <c r="I35" s="296"/>
      <c r="J35" s="297"/>
      <c r="K35" s="747">
        <f>0.04*E8</f>
        <v>1.8</v>
      </c>
      <c r="L35" s="748"/>
      <c r="M35" s="749"/>
      <c r="N35" s="708" t="str">
        <f>IF(K35&gt;1,"gals.","gal.")</f>
        <v>gals.</v>
      </c>
      <c r="O35" s="709"/>
      <c r="P35" s="710"/>
      <c r="Q35" s="647">
        <v>550</v>
      </c>
      <c r="R35" s="648"/>
      <c r="S35" s="649"/>
      <c r="T35" s="714">
        <f t="shared" ref="T35:T38" si="2">K35*Q35</f>
        <v>990</v>
      </c>
      <c r="U35" s="715"/>
      <c r="V35" s="716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295" t="s">
        <v>143</v>
      </c>
      <c r="E36" s="296"/>
      <c r="F36" s="296"/>
      <c r="G36" s="296"/>
      <c r="H36" s="296"/>
      <c r="I36" s="296"/>
      <c r="J36" s="297"/>
      <c r="K36" s="747">
        <f>0.1*E8</f>
        <v>4.5</v>
      </c>
      <c r="L36" s="748"/>
      <c r="M36" s="749"/>
      <c r="N36" s="708" t="str">
        <f>IF(K36&gt;1,"gals.","gal.")</f>
        <v>gals.</v>
      </c>
      <c r="O36" s="709"/>
      <c r="P36" s="710"/>
      <c r="Q36" s="647">
        <v>670</v>
      </c>
      <c r="R36" s="648"/>
      <c r="S36" s="649"/>
      <c r="T36" s="714">
        <f t="shared" si="2"/>
        <v>3015</v>
      </c>
      <c r="U36" s="715"/>
      <c r="V36" s="716"/>
      <c r="W36" s="18"/>
      <c r="X36" s="2"/>
      <c r="Y36" s="62"/>
      <c r="Z36" s="281"/>
      <c r="AA36" s="28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194" t="s">
        <v>78</v>
      </c>
      <c r="D37" s="295" t="s">
        <v>144</v>
      </c>
      <c r="E37" s="298"/>
      <c r="F37" s="298"/>
      <c r="G37" s="298"/>
      <c r="H37" s="298"/>
      <c r="I37" s="298"/>
      <c r="J37" s="299"/>
      <c r="K37" s="747">
        <f>E8*0.75</f>
        <v>33.75</v>
      </c>
      <c r="L37" s="748"/>
      <c r="M37" s="749"/>
      <c r="N37" s="708" t="s">
        <v>128</v>
      </c>
      <c r="O37" s="709"/>
      <c r="P37" s="710"/>
      <c r="Q37" s="647">
        <v>469</v>
      </c>
      <c r="R37" s="648"/>
      <c r="S37" s="649"/>
      <c r="T37" s="714">
        <f t="shared" si="2"/>
        <v>15828.75</v>
      </c>
      <c r="U37" s="715"/>
      <c r="V37" s="716"/>
      <c r="W37" s="18"/>
      <c r="X37" s="2"/>
      <c r="Y37" s="95"/>
      <c r="Z37" s="284"/>
      <c r="AA37" s="285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194" t="s">
        <v>94</v>
      </c>
      <c r="D38" s="300" t="s">
        <v>145</v>
      </c>
      <c r="E38" s="298"/>
      <c r="F38" s="298"/>
      <c r="G38" s="298"/>
      <c r="H38" s="298"/>
      <c r="I38" s="298"/>
      <c r="J38" s="299"/>
      <c r="K38" s="747">
        <f>E8*0.1</f>
        <v>4.5</v>
      </c>
      <c r="L38" s="748"/>
      <c r="M38" s="749"/>
      <c r="N38" s="708" t="str">
        <f>IF(K38&gt;1,"pints.","pint.")</f>
        <v>pints.</v>
      </c>
      <c r="O38" s="709"/>
      <c r="P38" s="710"/>
      <c r="Q38" s="647">
        <v>120</v>
      </c>
      <c r="R38" s="648"/>
      <c r="S38" s="649"/>
      <c r="T38" s="717">
        <f t="shared" si="2"/>
        <v>540</v>
      </c>
      <c r="U38" s="718"/>
      <c r="V38" s="719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194" t="s">
        <v>95</v>
      </c>
      <c r="D39" s="5" t="s">
        <v>146</v>
      </c>
      <c r="E39" s="245"/>
      <c r="F39" s="245"/>
      <c r="G39" s="122"/>
      <c r="H39" s="122"/>
      <c r="I39" s="122"/>
      <c r="J39" s="17"/>
      <c r="K39" s="650"/>
      <c r="L39" s="651"/>
      <c r="M39" s="652"/>
      <c r="N39" s="732"/>
      <c r="O39" s="733"/>
      <c r="P39" s="734"/>
      <c r="Q39" s="647"/>
      <c r="R39" s="648"/>
      <c r="S39" s="649"/>
      <c r="T39" s="635">
        <f>10%*SUM(T35:V38)</f>
        <v>2037.375</v>
      </c>
      <c r="U39" s="636"/>
      <c r="V39" s="637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/>
      <c r="D40" s="283"/>
      <c r="E40" s="245"/>
      <c r="F40" s="245"/>
      <c r="G40" s="122"/>
      <c r="H40" s="122"/>
      <c r="I40" s="122"/>
      <c r="J40" s="17"/>
      <c r="K40" s="662"/>
      <c r="L40" s="663"/>
      <c r="M40" s="664"/>
      <c r="N40" s="703"/>
      <c r="O40" s="704"/>
      <c r="P40" s="705"/>
      <c r="Q40" s="647"/>
      <c r="R40" s="648"/>
      <c r="S40" s="649"/>
      <c r="T40" s="635"/>
      <c r="U40" s="636"/>
      <c r="V40" s="637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283"/>
      <c r="E41" s="245"/>
      <c r="F41" s="245"/>
      <c r="G41" s="122"/>
      <c r="H41" s="122"/>
      <c r="I41" s="122"/>
      <c r="J41" s="17"/>
      <c r="K41" s="662"/>
      <c r="L41" s="663"/>
      <c r="M41" s="664"/>
      <c r="N41" s="703"/>
      <c r="O41" s="704"/>
      <c r="P41" s="705"/>
      <c r="Q41" s="647"/>
      <c r="R41" s="648"/>
      <c r="S41" s="649"/>
      <c r="T41" s="635"/>
      <c r="U41" s="636"/>
      <c r="V41" s="637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customHeight="1" x14ac:dyDescent="0.3">
      <c r="B42" s="41"/>
      <c r="C42" s="92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111"/>
      <c r="D43" s="93"/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108"/>
      <c r="U43" s="109"/>
      <c r="V43" s="110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706"/>
      <c r="E44" s="706"/>
      <c r="F44" s="706"/>
      <c r="G44" s="706"/>
      <c r="H44" s="706"/>
      <c r="I44" s="706"/>
      <c r="J44" s="707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/>
      <c r="B46" s="46"/>
      <c r="C46" s="564" t="s">
        <v>52</v>
      </c>
      <c r="D46" s="565"/>
      <c r="E46" s="565"/>
      <c r="F46" s="565"/>
      <c r="G46" s="565"/>
      <c r="H46" s="565"/>
      <c r="I46" s="565"/>
      <c r="J46" s="56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61">
        <f>ROUND(SUM(T35:V45),2)</f>
        <v>22411.13</v>
      </c>
      <c r="U46" s="562"/>
      <c r="V46" s="563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61">
        <f>T30+T46</f>
        <v>29161.13</v>
      </c>
      <c r="U47" s="562"/>
      <c r="V47" s="563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67">
        <f>T47*N48</f>
        <v>1458.0565000000001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67">
        <f>T47*N49</f>
        <v>2916.1130000000003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67">
        <f>(T47+T48+T49)*N50</f>
        <v>0</v>
      </c>
      <c r="U50" s="568"/>
      <c r="V50" s="56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/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61">
        <f>SUM(T47:V50)</f>
        <v>33535.299500000001</v>
      </c>
      <c r="U51" s="562"/>
      <c r="V51" s="563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/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61">
        <f>T51/E8</f>
        <v>745.22887777777783</v>
      </c>
      <c r="U52" s="562"/>
      <c r="V52" s="563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115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37:M37"/>
    <mergeCell ref="N37:P37"/>
    <mergeCell ref="Q37:S37"/>
    <mergeCell ref="T37:V37"/>
    <mergeCell ref="K38:M38"/>
    <mergeCell ref="N38:P38"/>
    <mergeCell ref="Q38:S38"/>
    <mergeCell ref="T38:V38"/>
    <mergeCell ref="K35:M35"/>
    <mergeCell ref="N35:P35"/>
    <mergeCell ref="Q35:S35"/>
    <mergeCell ref="T35:V35"/>
    <mergeCell ref="K36:M36"/>
    <mergeCell ref="N36:P36"/>
    <mergeCell ref="Q36:S36"/>
    <mergeCell ref="T36:V36"/>
    <mergeCell ref="D44:J44"/>
    <mergeCell ref="C46:J46"/>
    <mergeCell ref="T46:V46"/>
    <mergeCell ref="K39:M39"/>
    <mergeCell ref="N39:P39"/>
    <mergeCell ref="Q39:S39"/>
    <mergeCell ref="T39:V39"/>
    <mergeCell ref="K40:M40"/>
    <mergeCell ref="N40:P40"/>
    <mergeCell ref="Q40:S40"/>
    <mergeCell ref="T40:V40"/>
    <mergeCell ref="T47:V47"/>
    <mergeCell ref="T48:V48"/>
    <mergeCell ref="T49:V49"/>
    <mergeCell ref="T50:V50"/>
    <mergeCell ref="T51:V51"/>
    <mergeCell ref="T52:V52"/>
    <mergeCell ref="K41:M41"/>
    <mergeCell ref="N41:P41"/>
    <mergeCell ref="Q41:S41"/>
    <mergeCell ref="T41:V4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D214-8D68-6241-BD65-17F47F2A2B5B}">
  <sheetPr codeName="Sheet32">
    <tabColor rgb="FF92D050"/>
    <pageSetUpPr fitToPage="1"/>
  </sheetPr>
  <dimension ref="A1:AG88"/>
  <sheetViews>
    <sheetView view="pageBreakPreview" topLeftCell="A19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4</v>
      </c>
      <c r="F5" s="578"/>
      <c r="G5" s="605" t="s">
        <v>370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v>12</v>
      </c>
      <c r="F7" s="581"/>
      <c r="G7" s="2" t="str">
        <f>CONCATENATE(E6,"/DAY")</f>
        <v>SQ.M./DAY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DATA'!C38</f>
        <v>11.34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/>
      <c r="D13" s="20" t="s">
        <v>151</v>
      </c>
      <c r="E13" s="2"/>
      <c r="F13" s="2"/>
      <c r="G13" s="2"/>
      <c r="H13" s="2"/>
      <c r="I13" s="2"/>
      <c r="J13" s="17"/>
      <c r="K13" s="596"/>
      <c r="L13" s="597"/>
      <c r="M13" s="598"/>
      <c r="N13" s="580"/>
      <c r="O13" s="581"/>
      <c r="P13" s="582"/>
      <c r="Q13" s="599"/>
      <c r="R13" s="600"/>
      <c r="S13" s="601"/>
      <c r="T13" s="583"/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/>
      <c r="D14" s="20"/>
      <c r="E14" s="2"/>
      <c r="F14" s="2"/>
      <c r="G14" s="2"/>
      <c r="H14" s="2"/>
      <c r="I14" s="2"/>
      <c r="J14" s="17"/>
      <c r="K14" s="596"/>
      <c r="L14" s="597"/>
      <c r="M14" s="598"/>
      <c r="N14" s="580"/>
      <c r="O14" s="581"/>
      <c r="P14" s="582"/>
      <c r="Q14" s="599"/>
      <c r="R14" s="600"/>
      <c r="S14" s="601"/>
      <c r="T14" s="583"/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/>
      <c r="D15" s="20"/>
      <c r="E15" s="2"/>
      <c r="F15" s="2"/>
      <c r="G15" s="2"/>
      <c r="H15" s="2"/>
      <c r="I15" s="2"/>
      <c r="J15" s="17"/>
      <c r="K15" s="596"/>
      <c r="L15" s="597"/>
      <c r="M15" s="598"/>
      <c r="N15" s="580"/>
      <c r="O15" s="581"/>
      <c r="P15" s="582"/>
      <c r="Q15" s="599"/>
      <c r="R15" s="600"/>
      <c r="S15" s="601"/>
      <c r="T15" s="583"/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80"/>
      <c r="O16" s="581"/>
      <c r="P16" s="58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33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33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33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33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25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Y22" s="33"/>
      <c r="Z22" s="33"/>
      <c r="AA22" s="34"/>
      <c r="AB22" s="33"/>
      <c r="AC22" s="33"/>
      <c r="AD22" s="33"/>
      <c r="AE22" s="33"/>
      <c r="AF22" s="33"/>
      <c r="AG22" s="33"/>
    </row>
    <row r="23" spans="1:33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34"/>
      <c r="Z23" s="34"/>
      <c r="AA23" s="34"/>
      <c r="AB23" s="34"/>
      <c r="AC23" s="34"/>
      <c r="AD23" s="34"/>
      <c r="AE23" s="34"/>
      <c r="AF23" s="34"/>
      <c r="AG23" s="34"/>
    </row>
    <row r="24" spans="1:33" ht="16.5" x14ac:dyDescent="0.3">
      <c r="B24" s="15"/>
      <c r="C24" s="19"/>
      <c r="D24" s="20" t="s">
        <v>151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/>
      <c r="U24" s="584"/>
      <c r="V24" s="585"/>
      <c r="W24" s="18"/>
      <c r="X24" s="18"/>
      <c r="Y24" s="139"/>
      <c r="Z24" s="139"/>
      <c r="AA24" s="34"/>
      <c r="AB24" s="34"/>
      <c r="AC24" s="33"/>
      <c r="AD24" s="33"/>
      <c r="AE24" s="33"/>
      <c r="AF24" s="33"/>
      <c r="AG24" s="33"/>
    </row>
    <row r="25" spans="1:33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90"/>
      <c r="O25" s="591"/>
      <c r="P25" s="592"/>
      <c r="Q25" s="580"/>
      <c r="R25" s="581"/>
      <c r="S25" s="582"/>
      <c r="T25" s="583"/>
      <c r="U25" s="584"/>
      <c r="V25" s="585"/>
      <c r="W25" s="18"/>
      <c r="X25" s="18"/>
      <c r="Y25" s="139"/>
      <c r="Z25" s="270"/>
      <c r="AA25" s="39"/>
      <c r="AB25" s="39"/>
      <c r="AC25" s="39"/>
      <c r="AD25" s="140"/>
      <c r="AE25" s="271"/>
      <c r="AF25" s="140"/>
      <c r="AG25" s="140"/>
    </row>
    <row r="26" spans="1:33" ht="16.5" x14ac:dyDescent="0.3">
      <c r="B26" s="41"/>
      <c r="C26" s="60"/>
      <c r="D26" s="40"/>
      <c r="E26" s="2"/>
      <c r="F26" s="2"/>
      <c r="G26" s="2"/>
      <c r="H26" s="2"/>
      <c r="I26" s="2"/>
      <c r="J26" s="17"/>
      <c r="K26" s="577"/>
      <c r="L26" s="578"/>
      <c r="M26" s="579"/>
      <c r="N26" s="659"/>
      <c r="O26" s="660"/>
      <c r="P26" s="661"/>
      <c r="Q26" s="580"/>
      <c r="R26" s="581"/>
      <c r="S26" s="582"/>
      <c r="T26" s="583"/>
      <c r="U26" s="584"/>
      <c r="V26" s="585"/>
      <c r="W26" s="18"/>
      <c r="X26" s="18"/>
      <c r="Y26" s="139"/>
      <c r="Z26" s="270"/>
      <c r="AA26" s="39"/>
      <c r="AB26" s="39"/>
      <c r="AC26" s="39"/>
      <c r="AD26" s="140"/>
      <c r="AE26" s="271"/>
      <c r="AF26" s="140"/>
      <c r="AG26" s="140"/>
    </row>
    <row r="27" spans="1:33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33"/>
      <c r="Z28" s="33"/>
      <c r="AA28" s="34"/>
      <c r="AB28" s="34"/>
      <c r="AC28" s="33"/>
      <c r="AD28" s="33"/>
      <c r="AE28" s="33"/>
      <c r="AF28" s="140"/>
      <c r="AG28" s="140"/>
    </row>
    <row r="29" spans="1:33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ROUND(SUM(T24:V28),2)</f>
        <v>0</v>
      </c>
      <c r="U29" s="562"/>
      <c r="V29" s="563"/>
      <c r="W29" s="9"/>
      <c r="X29" s="2"/>
      <c r="Y29" s="257"/>
      <c r="Z29" s="257"/>
      <c r="AA29" s="272"/>
      <c r="AB29" s="272"/>
      <c r="AC29" s="257"/>
      <c r="AD29" s="257"/>
      <c r="AE29" s="272"/>
      <c r="AF29" s="140"/>
      <c r="AG29" s="140"/>
    </row>
    <row r="30" spans="1:33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0</v>
      </c>
      <c r="U30" s="562"/>
      <c r="V30" s="563"/>
      <c r="W30" s="2"/>
      <c r="X30" s="2"/>
      <c r="Y30" s="33"/>
      <c r="Z30" s="33"/>
      <c r="AA30" s="271"/>
      <c r="AB30" s="271"/>
      <c r="AC30" s="33"/>
      <c r="AD30" s="33"/>
      <c r="AE30" s="271"/>
      <c r="AF30" s="271"/>
      <c r="AG30" s="271"/>
    </row>
    <row r="31" spans="1:33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>
        <f>E7</f>
        <v>12</v>
      </c>
      <c r="I31" s="56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33"/>
      <c r="Z31" s="33"/>
      <c r="AA31" s="39"/>
      <c r="AB31" s="34"/>
      <c r="AC31" s="33"/>
      <c r="AD31" s="33"/>
      <c r="AE31" s="33"/>
      <c r="AF31" s="271"/>
      <c r="AG31" s="271"/>
    </row>
    <row r="32" spans="1:33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33"/>
      <c r="Z32" s="33"/>
      <c r="AA32" s="34"/>
      <c r="AB32" s="34"/>
      <c r="AC32" s="33"/>
      <c r="AD32" s="33"/>
      <c r="AE32" s="33"/>
      <c r="AF32" s="33"/>
      <c r="AG32" s="33"/>
    </row>
    <row r="33" spans="1:33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2"/>
      <c r="Z33" s="2"/>
      <c r="AA33" s="7"/>
      <c r="AB33" s="7"/>
      <c r="AC33" s="192"/>
      <c r="AD33" s="192"/>
      <c r="AE33" s="192"/>
      <c r="AF33" s="192"/>
      <c r="AG33" s="192"/>
    </row>
    <row r="34" spans="1:33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2"/>
      <c r="Z34" s="2"/>
      <c r="AA34" s="7"/>
      <c r="AB34" s="7"/>
      <c r="AC34" s="193"/>
      <c r="AD34" s="193"/>
      <c r="AE34" s="192"/>
      <c r="AF34" s="192"/>
      <c r="AG34" s="193"/>
    </row>
    <row r="35" spans="1:33" ht="33" customHeight="1" x14ac:dyDescent="0.3">
      <c r="B35" s="41"/>
      <c r="C35" s="60" t="s">
        <v>21</v>
      </c>
      <c r="D35" s="695" t="s">
        <v>152</v>
      </c>
      <c r="E35" s="695"/>
      <c r="F35" s="695"/>
      <c r="G35" s="695"/>
      <c r="H35" s="695"/>
      <c r="I35" s="695"/>
      <c r="J35" s="696"/>
      <c r="K35" s="667">
        <f>E8</f>
        <v>11.34</v>
      </c>
      <c r="L35" s="668"/>
      <c r="M35" s="669"/>
      <c r="N35" s="729" t="s">
        <v>153</v>
      </c>
      <c r="O35" s="730" t="str">
        <f t="shared" ref="O35:P35" si="0">IF(L35&gt;1,"bags","bag")</f>
        <v>bag</v>
      </c>
      <c r="P35" s="731" t="str">
        <f t="shared" si="0"/>
        <v>bag</v>
      </c>
      <c r="Q35" s="647">
        <v>4000</v>
      </c>
      <c r="R35" s="648"/>
      <c r="S35" s="649"/>
      <c r="T35" s="635">
        <f>K35*Q35</f>
        <v>45360</v>
      </c>
      <c r="U35" s="636"/>
      <c r="V35" s="637"/>
      <c r="W35" s="18"/>
      <c r="X35" s="149"/>
      <c r="Y35" s="149"/>
      <c r="Z35" s="149"/>
      <c r="AA35" s="149"/>
      <c r="AB35" s="2"/>
    </row>
    <row r="36" spans="1:33" ht="16.5" customHeight="1" x14ac:dyDescent="0.3">
      <c r="B36" s="41"/>
      <c r="C36" s="19"/>
      <c r="D36" s="60"/>
      <c r="F36" s="121"/>
      <c r="G36" s="122"/>
      <c r="H36" s="122"/>
      <c r="I36" s="122"/>
      <c r="J36" s="17"/>
      <c r="K36" s="659"/>
      <c r="L36" s="660"/>
      <c r="M36" s="661"/>
      <c r="N36" s="662"/>
      <c r="O36" s="663"/>
      <c r="P36" s="664"/>
      <c r="Q36" s="647"/>
      <c r="R36" s="648"/>
      <c r="S36" s="649"/>
      <c r="T36" s="635"/>
      <c r="U36" s="636"/>
      <c r="V36" s="637"/>
      <c r="W36" s="132"/>
      <c r="X36" s="149"/>
      <c r="Y36" s="149"/>
      <c r="Z36" s="149"/>
      <c r="AA36" s="149"/>
      <c r="AB36" s="2"/>
    </row>
    <row r="37" spans="1:33" ht="16.5" customHeight="1" x14ac:dyDescent="0.3">
      <c r="B37" s="41"/>
      <c r="C37" s="19"/>
      <c r="D37" s="40" t="s">
        <v>372</v>
      </c>
      <c r="E37" s="121"/>
      <c r="F37" s="121"/>
      <c r="G37" s="122"/>
      <c r="H37" s="122"/>
      <c r="I37" s="122"/>
      <c r="J37" s="17"/>
      <c r="K37" s="659"/>
      <c r="L37" s="660"/>
      <c r="M37" s="661"/>
      <c r="N37" s="690"/>
      <c r="O37" s="691"/>
      <c r="P37" s="692"/>
      <c r="Q37" s="647"/>
      <c r="R37" s="648"/>
      <c r="S37" s="649"/>
      <c r="T37" s="635"/>
      <c r="U37" s="636"/>
      <c r="V37" s="637"/>
      <c r="W37" s="132"/>
      <c r="X37" s="149"/>
      <c r="Y37" s="149"/>
      <c r="Z37" s="149"/>
      <c r="AA37" s="149"/>
      <c r="AB37" s="2"/>
    </row>
    <row r="38" spans="1:33" ht="16.5" customHeight="1" x14ac:dyDescent="0.3">
      <c r="B38" s="41"/>
      <c r="C38" s="19"/>
      <c r="D38" s="240"/>
      <c r="E38" s="121"/>
      <c r="F38" s="121"/>
      <c r="G38" s="122"/>
      <c r="H38" s="122"/>
      <c r="I38" s="122"/>
      <c r="J38" s="17"/>
      <c r="K38" s="659"/>
      <c r="L38" s="660"/>
      <c r="M38" s="661"/>
      <c r="N38" s="662"/>
      <c r="O38" s="663"/>
      <c r="P38" s="664"/>
      <c r="Q38" s="647"/>
      <c r="R38" s="648"/>
      <c r="S38" s="649"/>
      <c r="T38" s="635"/>
      <c r="U38" s="636"/>
      <c r="V38" s="637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/>
      <c r="D39" s="240"/>
      <c r="E39" s="121"/>
      <c r="F39" s="121"/>
      <c r="G39" s="122"/>
      <c r="H39" s="122"/>
      <c r="I39" s="122"/>
      <c r="J39" s="17"/>
      <c r="K39" s="659"/>
      <c r="L39" s="660"/>
      <c r="M39" s="661"/>
      <c r="N39" s="662"/>
      <c r="O39" s="663"/>
      <c r="P39" s="664"/>
      <c r="Q39" s="647"/>
      <c r="R39" s="648"/>
      <c r="S39" s="649"/>
      <c r="T39" s="635"/>
      <c r="U39" s="636"/>
      <c r="V39" s="637"/>
      <c r="W39" s="18"/>
      <c r="X39" s="149"/>
      <c r="Y39" s="149"/>
      <c r="Z39" s="149"/>
      <c r="AA39" s="149"/>
      <c r="AB39" s="2"/>
    </row>
    <row r="40" spans="1:33" ht="16.5" x14ac:dyDescent="0.3">
      <c r="B40" s="41"/>
      <c r="C40" s="19"/>
      <c r="D40" s="40"/>
      <c r="E40" s="245"/>
      <c r="F40" s="245"/>
      <c r="G40" s="122"/>
      <c r="H40" s="122"/>
      <c r="I40" s="122"/>
      <c r="J40" s="17"/>
      <c r="K40" s="659"/>
      <c r="L40" s="660"/>
      <c r="M40" s="661"/>
      <c r="N40" s="662"/>
      <c r="O40" s="663"/>
      <c r="P40" s="664"/>
      <c r="Q40" s="647"/>
      <c r="R40" s="648"/>
      <c r="S40" s="649"/>
      <c r="T40" s="635"/>
      <c r="U40" s="636"/>
      <c r="V40" s="637"/>
      <c r="W40" s="2"/>
      <c r="X40" s="149"/>
      <c r="Y40" s="149"/>
      <c r="Z40" s="149"/>
      <c r="AA40" s="149"/>
      <c r="AB40" s="2"/>
    </row>
    <row r="41" spans="1:33" ht="16.5" x14ac:dyDescent="0.3">
      <c r="B41" s="41"/>
      <c r="C41" s="19"/>
      <c r="D41" s="40"/>
      <c r="E41" s="121"/>
      <c r="F41" s="121"/>
      <c r="G41" s="200"/>
      <c r="H41" s="201"/>
      <c r="I41" s="202"/>
      <c r="J41" s="17"/>
      <c r="K41" s="659"/>
      <c r="L41" s="660"/>
      <c r="M41" s="661"/>
      <c r="N41" s="662"/>
      <c r="O41" s="663"/>
      <c r="P41" s="664"/>
      <c r="Q41" s="647"/>
      <c r="R41" s="648"/>
      <c r="S41" s="649"/>
      <c r="T41" s="635"/>
      <c r="U41" s="636"/>
      <c r="V41" s="637"/>
      <c r="W41" s="2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121"/>
      <c r="F42" s="121"/>
      <c r="G42" s="206"/>
      <c r="H42" s="202"/>
      <c r="I42" s="202"/>
      <c r="J42" s="17"/>
      <c r="K42" s="659"/>
      <c r="L42" s="660"/>
      <c r="M42" s="661"/>
      <c r="N42" s="662"/>
      <c r="O42" s="663"/>
      <c r="P42" s="664"/>
      <c r="Q42" s="647"/>
      <c r="R42" s="648"/>
      <c r="S42" s="649"/>
      <c r="T42" s="635"/>
      <c r="U42" s="636"/>
      <c r="V42" s="637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123"/>
      <c r="L43" s="124"/>
      <c r="M43" s="125"/>
      <c r="N43" s="241"/>
      <c r="O43" s="242"/>
      <c r="P43" s="243"/>
      <c r="Q43" s="105"/>
      <c r="R43" s="106"/>
      <c r="S43" s="107"/>
      <c r="T43" s="213"/>
      <c r="U43" s="214"/>
      <c r="V43" s="215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40"/>
      <c r="D44" s="199"/>
      <c r="E44" s="121"/>
      <c r="F44" s="121"/>
      <c r="G44" s="206"/>
      <c r="H44" s="202"/>
      <c r="I44" s="202"/>
      <c r="J44" s="17"/>
      <c r="K44" s="207"/>
      <c r="L44" s="208"/>
      <c r="M44" s="209"/>
      <c r="N44" s="210"/>
      <c r="O44" s="211"/>
      <c r="P44" s="212"/>
      <c r="Q44" s="89"/>
      <c r="R44" s="90"/>
      <c r="S44" s="91"/>
      <c r="T44" s="213"/>
      <c r="U44" s="214"/>
      <c r="V44" s="215"/>
      <c r="W44" s="2"/>
      <c r="X44" s="149"/>
      <c r="Y44" s="149"/>
      <c r="Z44" s="2"/>
      <c r="AA44" s="2"/>
      <c r="AB44" s="2"/>
    </row>
    <row r="45" spans="1:33" ht="16.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45360</v>
      </c>
      <c r="U45" s="562"/>
      <c r="V45" s="563"/>
      <c r="W45" s="2"/>
      <c r="X45" s="9"/>
      <c r="Y45" s="33"/>
      <c r="Z45" s="33"/>
      <c r="AA45" s="237"/>
      <c r="AB45" s="237"/>
      <c r="AC45" s="34"/>
      <c r="AD45" s="34"/>
      <c r="AE45" s="34"/>
    </row>
    <row r="46" spans="1:33" ht="16.5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45360</v>
      </c>
      <c r="U46" s="562"/>
      <c r="V46" s="563"/>
      <c r="W46" s="2"/>
      <c r="X46" s="2"/>
      <c r="Y46" s="139"/>
      <c r="Z46" s="33"/>
      <c r="AA46" s="34"/>
      <c r="AB46" s="33"/>
      <c r="AC46" s="34"/>
      <c r="AD46" s="34"/>
      <c r="AE46" s="34"/>
    </row>
    <row r="47" spans="1:33" ht="16.5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2268</v>
      </c>
      <c r="U47" s="568"/>
      <c r="V47" s="569"/>
      <c r="W47" s="2"/>
      <c r="X47" s="2"/>
      <c r="Y47" s="33"/>
      <c r="Z47" s="34"/>
      <c r="AA47" s="34"/>
      <c r="AB47" s="34"/>
      <c r="AC47" s="34"/>
      <c r="AD47" s="34"/>
      <c r="AE47" s="33"/>
    </row>
    <row r="48" spans="1:33" ht="16.5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4536</v>
      </c>
      <c r="U48" s="568"/>
      <c r="V48" s="569"/>
      <c r="W48" s="2"/>
      <c r="X48" s="2"/>
      <c r="Y48" s="33"/>
      <c r="Z48" s="34"/>
      <c r="AA48" s="34"/>
      <c r="AB48" s="34"/>
      <c r="AC48" s="34"/>
      <c r="AD48" s="34"/>
      <c r="AE48" s="141"/>
    </row>
    <row r="49" spans="1:31" ht="16.5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244"/>
      <c r="Z49" s="33"/>
      <c r="AA49" s="34"/>
      <c r="AB49" s="33"/>
      <c r="AE49" s="33"/>
    </row>
    <row r="50" spans="1:31" ht="16.5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52164</v>
      </c>
      <c r="U50" s="562"/>
      <c r="V50" s="563"/>
      <c r="W50" s="2"/>
      <c r="X50" s="9"/>
      <c r="Y50" s="238"/>
      <c r="Z50" s="239"/>
      <c r="AA50" s="144"/>
      <c r="AB50" s="144"/>
      <c r="AC50" s="144"/>
      <c r="AD50" s="144"/>
      <c r="AE50" s="33"/>
    </row>
    <row r="51" spans="1:31" ht="16.5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4600</v>
      </c>
      <c r="U51" s="562"/>
      <c r="V51" s="563"/>
      <c r="W51" s="132"/>
      <c r="X51" s="2"/>
      <c r="Y51" s="238"/>
      <c r="Z51" s="239"/>
      <c r="AA51" s="144"/>
      <c r="AB51" s="144"/>
      <c r="AC51" s="144"/>
      <c r="AD51" s="144"/>
      <c r="AE51" s="33"/>
    </row>
    <row r="52" spans="1:31" ht="16.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244"/>
      <c r="Z52" s="273"/>
      <c r="AA52" s="144"/>
      <c r="AB52" s="144"/>
      <c r="AC52" s="144"/>
      <c r="AD52" s="144"/>
      <c r="AE52" s="33"/>
    </row>
    <row r="53" spans="1:31" ht="15" customHeight="1" x14ac:dyDescent="0.3">
      <c r="L53" s="2"/>
      <c r="M53" s="2"/>
      <c r="N53" s="2"/>
      <c r="Y53" s="244"/>
      <c r="Z53" s="239"/>
      <c r="AA53" s="144"/>
      <c r="AB53" s="144"/>
      <c r="AC53" s="144"/>
      <c r="AD53" s="144"/>
      <c r="AE53" s="33"/>
    </row>
    <row r="54" spans="1:31" ht="16.5" x14ac:dyDescent="0.3">
      <c r="Y54" s="238"/>
      <c r="Z54" s="239"/>
      <c r="AA54" s="144"/>
      <c r="AB54" s="144"/>
      <c r="AC54" s="144"/>
      <c r="AD54" s="144"/>
      <c r="AE54" s="33"/>
    </row>
    <row r="55" spans="1:31" ht="16.5" x14ac:dyDescent="0.3">
      <c r="Y55" s="244"/>
      <c r="Z55" s="273"/>
      <c r="AA55" s="144"/>
      <c r="AB55" s="144"/>
      <c r="AC55" s="143"/>
      <c r="AD55" s="144"/>
      <c r="AE55" s="141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74"/>
      <c r="Z57" s="239"/>
      <c r="AA57" s="144"/>
      <c r="AB57" s="144"/>
      <c r="AC57" s="144"/>
      <c r="AD57" s="144"/>
      <c r="AE57" s="33"/>
    </row>
    <row r="58" spans="1:31" ht="16.5" x14ac:dyDescent="0.3">
      <c r="Y58" s="244"/>
      <c r="Z58" s="254"/>
      <c r="AA58" s="144"/>
      <c r="AB58" s="144"/>
      <c r="AC58" s="144"/>
      <c r="AD58" s="144"/>
      <c r="AE58" s="33"/>
    </row>
    <row r="59" spans="1:31" ht="16.5" x14ac:dyDescent="0.3">
      <c r="Y59" s="238"/>
      <c r="Z59" s="239"/>
      <c r="AA59" s="144"/>
      <c r="AB59" s="144"/>
      <c r="AC59" s="144"/>
      <c r="AD59" s="144"/>
      <c r="AE59" s="33"/>
    </row>
    <row r="60" spans="1:31" ht="16.5" x14ac:dyDescent="0.3">
      <c r="Y60" s="139"/>
      <c r="Z60" s="239"/>
      <c r="AA60" s="34"/>
      <c r="AB60" s="33"/>
      <c r="AC60" s="144"/>
      <c r="AD60" s="144"/>
      <c r="AE60" s="33"/>
    </row>
    <row r="61" spans="1:31" ht="16.5" x14ac:dyDescent="0.25">
      <c r="Y61" s="142"/>
      <c r="Z61" s="143"/>
      <c r="AA61" s="144"/>
      <c r="AB61" s="144"/>
      <c r="AC61" s="143"/>
      <c r="AD61" s="144"/>
      <c r="AE61" s="33"/>
    </row>
    <row r="62" spans="1:31" ht="16.5" x14ac:dyDescent="0.25">
      <c r="Y62" s="139"/>
      <c r="Z62" s="33"/>
      <c r="AA62" s="140"/>
      <c r="AB62" s="141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34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3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4"/>
    </row>
    <row r="68" spans="25:31" ht="16.5" x14ac:dyDescent="0.25">
      <c r="Y68" s="275"/>
      <c r="Z68" s="276"/>
      <c r="AA68" s="277"/>
      <c r="AB68" s="277"/>
      <c r="AC68" s="278"/>
      <c r="AD68" s="144"/>
      <c r="AE68" s="33"/>
    </row>
    <row r="69" spans="25:31" ht="16.5" x14ac:dyDescent="0.25">
      <c r="Y69" s="279"/>
      <c r="Z69" s="280"/>
      <c r="AA69" s="278"/>
      <c r="AB69" s="278"/>
      <c r="AC69" s="276"/>
      <c r="AD69" s="276"/>
      <c r="AE69" s="33"/>
    </row>
    <row r="70" spans="25:31" ht="16.5" x14ac:dyDescent="0.25">
      <c r="Y70" s="142"/>
      <c r="Z70" s="143"/>
      <c r="AA70" s="144"/>
      <c r="AB70" s="278"/>
      <c r="AC70" s="34"/>
      <c r="AD70" s="34"/>
      <c r="AE70" s="34"/>
    </row>
    <row r="71" spans="25:31" ht="16.5" x14ac:dyDescent="0.25">
      <c r="Y71" s="33"/>
      <c r="Z71" s="34"/>
      <c r="AA71" s="140"/>
      <c r="AB71" s="140"/>
      <c r="AC71" s="140"/>
      <c r="AD71" s="140"/>
      <c r="AE71" s="34"/>
    </row>
    <row r="72" spans="25:31" ht="16.5" x14ac:dyDescent="0.25">
      <c r="Y72" s="142"/>
      <c r="Z72" s="142"/>
      <c r="AA72" s="143"/>
      <c r="AB72" s="144"/>
      <c r="AC72" s="144"/>
      <c r="AD72" s="144"/>
      <c r="AE72" s="34"/>
    </row>
    <row r="73" spans="25:31" ht="16.5" x14ac:dyDescent="0.25">
      <c r="Y73" s="142"/>
      <c r="Z73" s="142"/>
      <c r="AA73" s="143"/>
      <c r="AB73" s="144"/>
      <c r="AC73" s="144"/>
      <c r="AD73" s="144"/>
      <c r="AE73" s="34"/>
    </row>
    <row r="74" spans="25:31" ht="16.5" x14ac:dyDescent="0.25">
      <c r="Y74" s="33"/>
      <c r="Z74" s="33"/>
      <c r="AA74" s="34"/>
      <c r="AB74" s="33"/>
      <c r="AC74" s="34"/>
      <c r="AD74" s="34"/>
      <c r="AE74" s="34"/>
    </row>
    <row r="75" spans="25:31" ht="16.5" x14ac:dyDescent="0.25">
      <c r="Y75" s="33"/>
      <c r="Z75" s="33"/>
      <c r="AA75" s="34"/>
      <c r="AB75" s="33"/>
      <c r="AC75" s="34"/>
      <c r="AD75" s="34"/>
      <c r="AE75" s="34"/>
    </row>
    <row r="76" spans="25:31" ht="16.5" x14ac:dyDescent="0.25">
      <c r="Y76" s="139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4"/>
      <c r="AA77" s="34"/>
      <c r="AB77" s="34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142"/>
      <c r="Z79" s="143"/>
      <c r="AA79" s="144"/>
      <c r="AB79" s="144"/>
      <c r="AC79" s="34"/>
      <c r="AD79" s="34"/>
      <c r="AE79" s="34"/>
    </row>
    <row r="80" spans="25:31" ht="16.5" x14ac:dyDescent="0.25">
      <c r="Y80" s="139"/>
      <c r="Z80" s="33"/>
      <c r="AA80" s="140"/>
      <c r="AB80" s="141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33"/>
      <c r="Z82" s="34"/>
      <c r="AA82" s="140"/>
      <c r="AB82" s="140"/>
      <c r="AC82" s="34"/>
      <c r="AD82" s="34"/>
      <c r="AE82" s="34"/>
    </row>
    <row r="83" spans="25:31" ht="16.5" x14ac:dyDescent="0.25">
      <c r="Y83" s="142"/>
      <c r="Z83" s="142"/>
      <c r="AA83" s="143"/>
      <c r="AB83" s="144"/>
      <c r="AC83" s="34"/>
      <c r="AD83" s="34"/>
      <c r="AE83" s="34"/>
    </row>
    <row r="84" spans="25:31" ht="16.5" x14ac:dyDescent="0.25">
      <c r="Y84" s="33"/>
      <c r="Z84" s="33"/>
      <c r="AA84" s="34"/>
      <c r="AB84" s="33"/>
      <c r="AC84" s="34"/>
      <c r="AD84" s="34"/>
      <c r="AE84" s="34"/>
    </row>
    <row r="85" spans="25:31" ht="16.5" x14ac:dyDescent="0.25">
      <c r="Y85" s="33"/>
      <c r="Z85" s="33"/>
      <c r="AA85" s="34"/>
      <c r="AB85" s="33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</sheetData>
  <mergeCells count="119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T50:V50"/>
    <mergeCell ref="T51:V51"/>
    <mergeCell ref="C45:J45"/>
    <mergeCell ref="T45:V45"/>
    <mergeCell ref="T46:V46"/>
    <mergeCell ref="T47:V47"/>
    <mergeCell ref="T48:V48"/>
    <mergeCell ref="T49:V49"/>
    <mergeCell ref="K41:M41"/>
    <mergeCell ref="N41:P41"/>
    <mergeCell ref="Q41:S41"/>
    <mergeCell ref="T41:V41"/>
    <mergeCell ref="K42:M42"/>
    <mergeCell ref="N42:P42"/>
    <mergeCell ref="Q42:S42"/>
    <mergeCell ref="T42:V42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11BB-6F3A-1641-8020-79766C28865B}">
  <sheetPr codeName="Sheet33">
    <tabColor rgb="FF92D050"/>
    <pageSetUpPr fitToPage="1"/>
  </sheetPr>
  <dimension ref="A1:AG88"/>
  <sheetViews>
    <sheetView view="pageBreakPreview" topLeftCell="A12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4</v>
      </c>
      <c r="F5" s="578"/>
      <c r="G5" s="605" t="s">
        <v>373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260</v>
      </c>
      <c r="F6" s="578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/>
      <c r="F7" s="581"/>
      <c r="G7" s="2"/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DATA'!C39</f>
        <v>1</v>
      </c>
      <c r="F8" s="600"/>
      <c r="G8" s="750" t="str">
        <f>E6</f>
        <v>L.S.</v>
      </c>
      <c r="H8" s="75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/>
      <c r="E13" s="2"/>
      <c r="F13" s="2"/>
      <c r="G13" s="2"/>
      <c r="H13" s="2"/>
      <c r="I13" s="2"/>
      <c r="J13" s="17"/>
      <c r="K13" s="596"/>
      <c r="L13" s="597"/>
      <c r="M13" s="598"/>
      <c r="N13" s="580"/>
      <c r="O13" s="581"/>
      <c r="P13" s="582"/>
      <c r="Q13" s="599"/>
      <c r="R13" s="600"/>
      <c r="S13" s="601"/>
      <c r="T13" s="583"/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/>
      <c r="E14" s="2"/>
      <c r="F14" s="2"/>
      <c r="G14" s="2"/>
      <c r="H14" s="2"/>
      <c r="I14" s="2"/>
      <c r="J14" s="17"/>
      <c r="K14" s="596"/>
      <c r="L14" s="597"/>
      <c r="M14" s="598"/>
      <c r="N14" s="580"/>
      <c r="O14" s="581"/>
      <c r="P14" s="582"/>
      <c r="Q14" s="599"/>
      <c r="R14" s="600"/>
      <c r="S14" s="601"/>
      <c r="T14" s="583"/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/>
      <c r="E15" s="2"/>
      <c r="F15" s="2"/>
      <c r="G15" s="2"/>
      <c r="H15" s="2"/>
      <c r="I15" s="2"/>
      <c r="J15" s="17"/>
      <c r="K15" s="596"/>
      <c r="L15" s="597"/>
      <c r="M15" s="598"/>
      <c r="N15" s="580"/>
      <c r="O15" s="581"/>
      <c r="P15" s="582"/>
      <c r="Q15" s="599"/>
      <c r="R15" s="600"/>
      <c r="S15" s="601"/>
      <c r="T15" s="583"/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80"/>
      <c r="O16" s="581"/>
      <c r="P16" s="58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33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33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33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33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25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Y22" s="33"/>
      <c r="Z22" s="33"/>
      <c r="AA22" s="34"/>
      <c r="AB22" s="33"/>
      <c r="AC22" s="33"/>
      <c r="AD22" s="33"/>
      <c r="AE22" s="33"/>
      <c r="AF22" s="33"/>
      <c r="AG22" s="33"/>
    </row>
    <row r="23" spans="1:33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34"/>
      <c r="Z23" s="34"/>
      <c r="AA23" s="34"/>
      <c r="AB23" s="34"/>
      <c r="AC23" s="34"/>
      <c r="AD23" s="34"/>
      <c r="AE23" s="34"/>
      <c r="AF23" s="34"/>
      <c r="AG23" s="34"/>
    </row>
    <row r="24" spans="1:33" ht="16.5" x14ac:dyDescent="0.3">
      <c r="B24" s="15"/>
      <c r="C24" s="19" t="s">
        <v>21</v>
      </c>
      <c r="D24" s="20"/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/>
      <c r="U24" s="584"/>
      <c r="V24" s="585"/>
      <c r="W24" s="18"/>
      <c r="X24" s="18"/>
      <c r="Y24" s="139"/>
      <c r="Z24" s="139"/>
      <c r="AA24" s="34"/>
      <c r="AB24" s="34"/>
      <c r="AC24" s="33"/>
      <c r="AD24" s="33"/>
      <c r="AE24" s="33"/>
      <c r="AF24" s="33"/>
      <c r="AG24" s="33"/>
    </row>
    <row r="25" spans="1:33" ht="16.5" x14ac:dyDescent="0.3">
      <c r="B25" s="41"/>
      <c r="C25" s="19" t="s">
        <v>23</v>
      </c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90"/>
      <c r="O25" s="591"/>
      <c r="P25" s="592"/>
      <c r="Q25" s="580"/>
      <c r="R25" s="581"/>
      <c r="S25" s="582"/>
      <c r="T25" s="583"/>
      <c r="U25" s="584"/>
      <c r="V25" s="585"/>
      <c r="W25" s="18"/>
      <c r="X25" s="18"/>
      <c r="Y25" s="139"/>
      <c r="Z25" s="270"/>
      <c r="AA25" s="39"/>
      <c r="AB25" s="39"/>
      <c r="AC25" s="39"/>
      <c r="AD25" s="140"/>
      <c r="AE25" s="271"/>
      <c r="AF25" s="140"/>
      <c r="AG25" s="140"/>
    </row>
    <row r="26" spans="1:33" ht="16.5" x14ac:dyDescent="0.3">
      <c r="B26" s="41"/>
      <c r="C26" s="60" t="s">
        <v>78</v>
      </c>
      <c r="D26" s="40"/>
      <c r="E26" s="2"/>
      <c r="F26" s="2"/>
      <c r="G26" s="2"/>
      <c r="H26" s="2"/>
      <c r="I26" s="2"/>
      <c r="J26" s="17"/>
      <c r="K26" s="577"/>
      <c r="L26" s="578"/>
      <c r="M26" s="579"/>
      <c r="N26" s="659"/>
      <c r="O26" s="660"/>
      <c r="P26" s="661"/>
      <c r="Q26" s="580"/>
      <c r="R26" s="581"/>
      <c r="S26" s="582"/>
      <c r="T26" s="583"/>
      <c r="U26" s="584"/>
      <c r="V26" s="585"/>
      <c r="W26" s="18"/>
      <c r="X26" s="18"/>
      <c r="Y26" s="139"/>
      <c r="Z26" s="270"/>
      <c r="AA26" s="39"/>
      <c r="AB26" s="39"/>
      <c r="AC26" s="39"/>
      <c r="AD26" s="140"/>
      <c r="AE26" s="271"/>
      <c r="AF26" s="140"/>
      <c r="AG26" s="140"/>
    </row>
    <row r="27" spans="1:33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33"/>
      <c r="Z28" s="33"/>
      <c r="AA28" s="34"/>
      <c r="AB28" s="34"/>
      <c r="AC28" s="33"/>
      <c r="AD28" s="33"/>
      <c r="AE28" s="33"/>
      <c r="AF28" s="140"/>
      <c r="AG28" s="140"/>
    </row>
    <row r="29" spans="1:33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ROUND(SUM(T24:V28),2)</f>
        <v>0</v>
      </c>
      <c r="U29" s="562"/>
      <c r="V29" s="563"/>
      <c r="W29" s="9"/>
      <c r="X29" s="2"/>
      <c r="Y29" s="257"/>
      <c r="Z29" s="257"/>
      <c r="AA29" s="272"/>
      <c r="AB29" s="272"/>
      <c r="AC29" s="257"/>
      <c r="AD29" s="257"/>
      <c r="AE29" s="272"/>
      <c r="AF29" s="140"/>
      <c r="AG29" s="140"/>
    </row>
    <row r="30" spans="1:33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0</v>
      </c>
      <c r="U30" s="562"/>
      <c r="V30" s="563"/>
      <c r="W30" s="2"/>
      <c r="X30" s="2"/>
      <c r="Y30" s="33"/>
      <c r="Z30" s="33"/>
      <c r="AA30" s="271"/>
      <c r="AB30" s="271"/>
      <c r="AC30" s="33"/>
      <c r="AD30" s="33"/>
      <c r="AE30" s="271"/>
      <c r="AF30" s="271"/>
      <c r="AG30" s="271"/>
    </row>
    <row r="31" spans="1:33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>
        <f>E7</f>
        <v>0</v>
      </c>
      <c r="I31" s="565"/>
      <c r="J31" s="48">
        <f>G7</f>
        <v>0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33"/>
      <c r="Z31" s="33"/>
      <c r="AA31" s="39"/>
      <c r="AB31" s="34"/>
      <c r="AC31" s="33"/>
      <c r="AD31" s="33"/>
      <c r="AE31" s="33"/>
      <c r="AF31" s="271"/>
      <c r="AG31" s="271"/>
    </row>
    <row r="32" spans="1:33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33"/>
      <c r="Z32" s="33"/>
      <c r="AA32" s="34"/>
      <c r="AB32" s="34"/>
      <c r="AC32" s="33"/>
      <c r="AD32" s="33"/>
      <c r="AE32" s="33"/>
      <c r="AF32" s="33"/>
      <c r="AG32" s="33"/>
    </row>
    <row r="33" spans="1:33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2"/>
      <c r="Z33" s="2"/>
      <c r="AA33" s="7"/>
      <c r="AB33" s="7"/>
      <c r="AC33" s="192"/>
      <c r="AD33" s="192"/>
      <c r="AE33" s="192"/>
      <c r="AF33" s="192"/>
      <c r="AG33" s="192"/>
    </row>
    <row r="34" spans="1:33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2"/>
      <c r="Z34" s="2"/>
      <c r="AA34" s="7"/>
      <c r="AB34" s="7"/>
      <c r="AC34" s="193"/>
      <c r="AD34" s="193"/>
      <c r="AE34" s="192"/>
      <c r="AF34" s="192"/>
      <c r="AG34" s="193"/>
    </row>
    <row r="35" spans="1:33" ht="14.1" customHeight="1" x14ac:dyDescent="0.3">
      <c r="B35" s="41"/>
      <c r="C35" s="60" t="s">
        <v>21</v>
      </c>
      <c r="D35" s="695"/>
      <c r="E35" s="695"/>
      <c r="F35" s="695"/>
      <c r="G35" s="695"/>
      <c r="H35" s="695"/>
      <c r="I35" s="695"/>
      <c r="J35" s="696"/>
      <c r="K35" s="667"/>
      <c r="L35" s="668"/>
      <c r="M35" s="669"/>
      <c r="N35" s="729"/>
      <c r="O35" s="730"/>
      <c r="P35" s="731"/>
      <c r="Q35" s="647"/>
      <c r="R35" s="648"/>
      <c r="S35" s="649"/>
      <c r="T35" s="635"/>
      <c r="U35" s="636"/>
      <c r="V35" s="637"/>
      <c r="W35" s="18"/>
      <c r="X35" s="149"/>
      <c r="Y35" s="149"/>
      <c r="Z35" s="149"/>
      <c r="AA35" s="149"/>
      <c r="AB35" s="2"/>
    </row>
    <row r="36" spans="1:33" ht="16.5" customHeight="1" x14ac:dyDescent="0.3">
      <c r="B36" s="41"/>
      <c r="C36" s="19" t="s">
        <v>23</v>
      </c>
      <c r="D36" s="695"/>
      <c r="E36" s="695"/>
      <c r="F36" s="695"/>
      <c r="G36" s="695"/>
      <c r="H36" s="695"/>
      <c r="I36" s="695"/>
      <c r="J36" s="696"/>
      <c r="K36" s="667"/>
      <c r="L36" s="668"/>
      <c r="M36" s="669"/>
      <c r="N36" s="729"/>
      <c r="O36" s="730"/>
      <c r="P36" s="731"/>
      <c r="Q36" s="647"/>
      <c r="R36" s="648"/>
      <c r="S36" s="649"/>
      <c r="T36" s="635"/>
      <c r="U36" s="636"/>
      <c r="V36" s="637"/>
      <c r="W36" s="132"/>
      <c r="X36" s="149"/>
      <c r="Y36" s="149"/>
      <c r="Z36" s="149"/>
      <c r="AA36" s="149"/>
      <c r="AB36" s="2"/>
    </row>
    <row r="37" spans="1:33" ht="16.5" customHeight="1" x14ac:dyDescent="0.3">
      <c r="B37" s="41"/>
      <c r="C37" s="60" t="s">
        <v>78</v>
      </c>
      <c r="D37" s="695"/>
      <c r="E37" s="695"/>
      <c r="F37" s="695"/>
      <c r="G37" s="695"/>
      <c r="H37" s="695"/>
      <c r="I37" s="695"/>
      <c r="J37" s="696"/>
      <c r="K37" s="667"/>
      <c r="L37" s="668"/>
      <c r="M37" s="669"/>
      <c r="N37" s="729"/>
      <c r="O37" s="730"/>
      <c r="P37" s="731"/>
      <c r="Q37" s="647"/>
      <c r="R37" s="648"/>
      <c r="S37" s="649"/>
      <c r="T37" s="635"/>
      <c r="U37" s="636"/>
      <c r="V37" s="637"/>
      <c r="W37" s="132"/>
      <c r="X37" s="149"/>
      <c r="Y37" s="149"/>
      <c r="Z37" s="149"/>
      <c r="AA37" s="149"/>
      <c r="AB37" s="2"/>
    </row>
    <row r="38" spans="1:33" ht="16.5" customHeight="1" x14ac:dyDescent="0.3">
      <c r="B38" s="41"/>
      <c r="C38" s="19"/>
      <c r="D38" s="695"/>
      <c r="E38" s="695"/>
      <c r="F38" s="695"/>
      <c r="G38" s="695"/>
      <c r="H38" s="695"/>
      <c r="I38" s="695"/>
      <c r="J38" s="696"/>
      <c r="K38" s="667"/>
      <c r="L38" s="668"/>
      <c r="M38" s="669"/>
      <c r="N38" s="729"/>
      <c r="O38" s="730"/>
      <c r="P38" s="731"/>
      <c r="Q38" s="647"/>
      <c r="R38" s="648"/>
      <c r="S38" s="649"/>
      <c r="T38" s="635"/>
      <c r="U38" s="636"/>
      <c r="V38" s="637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/>
      <c r="D39" s="695"/>
      <c r="E39" s="695"/>
      <c r="F39" s="695"/>
      <c r="G39" s="695"/>
      <c r="H39" s="695"/>
      <c r="I39" s="695"/>
      <c r="J39" s="696"/>
      <c r="K39" s="667"/>
      <c r="L39" s="668"/>
      <c r="M39" s="669"/>
      <c r="N39" s="729"/>
      <c r="O39" s="730"/>
      <c r="P39" s="731"/>
      <c r="Q39" s="647"/>
      <c r="R39" s="648"/>
      <c r="S39" s="649"/>
      <c r="T39" s="635"/>
      <c r="U39" s="636"/>
      <c r="V39" s="637"/>
      <c r="W39" s="18"/>
      <c r="X39" s="149"/>
      <c r="Y39" s="149"/>
      <c r="Z39" s="149"/>
      <c r="AA39" s="149"/>
      <c r="AB39" s="2"/>
    </row>
    <row r="40" spans="1:33" ht="16.5" x14ac:dyDescent="0.3">
      <c r="B40" s="41"/>
      <c r="C40" s="19"/>
      <c r="D40" s="695"/>
      <c r="E40" s="695"/>
      <c r="F40" s="695"/>
      <c r="G40" s="695"/>
      <c r="H40" s="695"/>
      <c r="I40" s="695"/>
      <c r="J40" s="696"/>
      <c r="K40" s="667"/>
      <c r="L40" s="668"/>
      <c r="M40" s="669"/>
      <c r="N40" s="729"/>
      <c r="O40" s="730"/>
      <c r="P40" s="731"/>
      <c r="Q40" s="647"/>
      <c r="R40" s="648"/>
      <c r="S40" s="649"/>
      <c r="T40" s="635"/>
      <c r="U40" s="636"/>
      <c r="V40" s="637"/>
      <c r="W40" s="2"/>
      <c r="X40" s="149"/>
      <c r="Y40" s="149"/>
      <c r="Z40" s="149"/>
      <c r="AA40" s="149"/>
      <c r="AB40" s="2"/>
    </row>
    <row r="41" spans="1:33" ht="16.5" x14ac:dyDescent="0.3">
      <c r="B41" s="41"/>
      <c r="C41" s="19"/>
      <c r="D41" s="695"/>
      <c r="E41" s="695"/>
      <c r="F41" s="695"/>
      <c r="G41" s="695"/>
      <c r="H41" s="695"/>
      <c r="I41" s="695"/>
      <c r="J41" s="696"/>
      <c r="K41" s="667"/>
      <c r="L41" s="668"/>
      <c r="M41" s="669"/>
      <c r="N41" s="729"/>
      <c r="O41" s="730"/>
      <c r="P41" s="731"/>
      <c r="Q41" s="647"/>
      <c r="R41" s="648"/>
      <c r="S41" s="649"/>
      <c r="T41" s="635"/>
      <c r="U41" s="636"/>
      <c r="V41" s="637"/>
      <c r="W41" s="2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695"/>
      <c r="E42" s="695"/>
      <c r="F42" s="695"/>
      <c r="G42" s="695"/>
      <c r="H42" s="695"/>
      <c r="I42" s="695"/>
      <c r="J42" s="696"/>
      <c r="K42" s="667"/>
      <c r="L42" s="668"/>
      <c r="M42" s="669"/>
      <c r="N42" s="729"/>
      <c r="O42" s="730"/>
      <c r="P42" s="731"/>
      <c r="Q42" s="647"/>
      <c r="R42" s="648"/>
      <c r="S42" s="649"/>
      <c r="T42" s="635"/>
      <c r="U42" s="636"/>
      <c r="V42" s="637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695"/>
      <c r="E43" s="695"/>
      <c r="F43" s="695"/>
      <c r="G43" s="695"/>
      <c r="H43" s="695"/>
      <c r="I43" s="695"/>
      <c r="J43" s="696"/>
      <c r="K43" s="667"/>
      <c r="L43" s="668"/>
      <c r="M43" s="669"/>
      <c r="N43" s="729"/>
      <c r="O43" s="730"/>
      <c r="P43" s="731"/>
      <c r="Q43" s="647"/>
      <c r="R43" s="648"/>
      <c r="S43" s="649"/>
      <c r="T43" s="635"/>
      <c r="U43" s="636"/>
      <c r="V43" s="637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40"/>
      <c r="D44" s="199"/>
      <c r="E44" s="121"/>
      <c r="F44" s="121"/>
      <c r="G44" s="206"/>
      <c r="H44" s="202"/>
      <c r="I44" s="202"/>
      <c r="J44" s="17"/>
      <c r="K44" s="207"/>
      <c r="L44" s="208"/>
      <c r="M44" s="209"/>
      <c r="N44" s="210"/>
      <c r="O44" s="211"/>
      <c r="P44" s="212"/>
      <c r="Q44" s="89"/>
      <c r="R44" s="90"/>
      <c r="S44" s="91"/>
      <c r="T44" s="213"/>
      <c r="U44" s="214"/>
      <c r="V44" s="215"/>
      <c r="W44" s="2"/>
      <c r="X44" s="149"/>
      <c r="Y44" s="149"/>
      <c r="Z44" s="2"/>
      <c r="AA44" s="2"/>
      <c r="AB44" s="2"/>
    </row>
    <row r="45" spans="1:33" ht="16.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0</v>
      </c>
      <c r="U45" s="562"/>
      <c r="V45" s="563"/>
      <c r="W45" s="2"/>
      <c r="X45" s="9"/>
      <c r="Y45" s="33"/>
      <c r="Z45" s="33"/>
      <c r="AA45" s="237"/>
      <c r="AB45" s="237"/>
      <c r="AC45" s="34"/>
      <c r="AD45" s="34"/>
      <c r="AE45" s="34"/>
    </row>
    <row r="46" spans="1:33" ht="16.5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0</v>
      </c>
      <c r="U46" s="562"/>
      <c r="V46" s="563"/>
      <c r="W46" s="2"/>
      <c r="X46" s="2"/>
      <c r="Y46" s="139"/>
      <c r="Z46" s="33"/>
      <c r="AA46" s="34"/>
      <c r="AB46" s="33"/>
      <c r="AC46" s="34"/>
      <c r="AD46" s="34"/>
      <c r="AE46" s="34"/>
    </row>
    <row r="47" spans="1:33" ht="16.5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0</v>
      </c>
      <c r="U47" s="568"/>
      <c r="V47" s="569"/>
      <c r="W47" s="2"/>
      <c r="X47" s="2"/>
      <c r="Y47" s="33"/>
      <c r="Z47" s="34"/>
      <c r="AA47" s="34"/>
      <c r="AB47" s="34"/>
      <c r="AC47" s="34"/>
      <c r="AD47" s="34"/>
      <c r="AE47" s="33"/>
    </row>
    <row r="48" spans="1:33" ht="16.5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0</v>
      </c>
      <c r="U48" s="568"/>
      <c r="V48" s="569"/>
      <c r="W48" s="2"/>
      <c r="X48" s="2"/>
      <c r="Y48" s="33"/>
      <c r="Z48" s="34"/>
      <c r="AA48" s="34"/>
      <c r="AB48" s="34"/>
      <c r="AC48" s="34"/>
      <c r="AD48" s="34"/>
      <c r="AE48" s="141"/>
    </row>
    <row r="49" spans="1:31" ht="16.5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244"/>
      <c r="Z49" s="33"/>
      <c r="AA49" s="34"/>
      <c r="AB49" s="33"/>
      <c r="AE49" s="33"/>
    </row>
    <row r="50" spans="1:31" ht="16.5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0</v>
      </c>
      <c r="U50" s="562"/>
      <c r="V50" s="563"/>
      <c r="W50" s="2"/>
      <c r="X50" s="9"/>
      <c r="Y50" s="238"/>
      <c r="Z50" s="239"/>
      <c r="AA50" s="144"/>
      <c r="AB50" s="144"/>
      <c r="AC50" s="144"/>
      <c r="AD50" s="144"/>
      <c r="AE50" s="33"/>
    </row>
    <row r="51" spans="1:31" ht="16.5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0</v>
      </c>
      <c r="U51" s="562"/>
      <c r="V51" s="563"/>
      <c r="W51" s="132"/>
      <c r="X51" s="2"/>
      <c r="Y51" s="238"/>
      <c r="Z51" s="239"/>
      <c r="AA51" s="144"/>
      <c r="AB51" s="144"/>
      <c r="AC51" s="144"/>
      <c r="AD51" s="144"/>
      <c r="AE51" s="33"/>
    </row>
    <row r="52" spans="1:31" ht="16.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244"/>
      <c r="Z52" s="273"/>
      <c r="AA52" s="144"/>
      <c r="AB52" s="144"/>
      <c r="AC52" s="144"/>
      <c r="AD52" s="144"/>
      <c r="AE52" s="33"/>
    </row>
    <row r="53" spans="1:31" ht="15" customHeight="1" x14ac:dyDescent="0.3">
      <c r="L53" s="2"/>
      <c r="M53" s="2"/>
      <c r="N53" s="2"/>
      <c r="Y53" s="244"/>
      <c r="Z53" s="239"/>
      <c r="AA53" s="144"/>
      <c r="AB53" s="144"/>
      <c r="AC53" s="144"/>
      <c r="AD53" s="144"/>
      <c r="AE53" s="33"/>
    </row>
    <row r="54" spans="1:31" ht="16.5" x14ac:dyDescent="0.3">
      <c r="Y54" s="238"/>
      <c r="Z54" s="239"/>
      <c r="AA54" s="144"/>
      <c r="AB54" s="144"/>
      <c r="AC54" s="144"/>
      <c r="AD54" s="144"/>
      <c r="AE54" s="33"/>
    </row>
    <row r="55" spans="1:31" ht="16.5" x14ac:dyDescent="0.3">
      <c r="Y55" s="244"/>
      <c r="Z55" s="273"/>
      <c r="AA55" s="144"/>
      <c r="AB55" s="144"/>
      <c r="AC55" s="143"/>
      <c r="AD55" s="144"/>
      <c r="AE55" s="141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74"/>
      <c r="Z57" s="239"/>
      <c r="AA57" s="144"/>
      <c r="AB57" s="144"/>
      <c r="AC57" s="144"/>
      <c r="AD57" s="144"/>
      <c r="AE57" s="33"/>
    </row>
    <row r="58" spans="1:31" ht="16.5" x14ac:dyDescent="0.3">
      <c r="Y58" s="244"/>
      <c r="Z58" s="254"/>
      <c r="AA58" s="144"/>
      <c r="AB58" s="144"/>
      <c r="AC58" s="144"/>
      <c r="AD58" s="144"/>
      <c r="AE58" s="33"/>
    </row>
    <row r="59" spans="1:31" ht="16.5" x14ac:dyDescent="0.3">
      <c r="Y59" s="238"/>
      <c r="Z59" s="239"/>
      <c r="AA59" s="144"/>
      <c r="AB59" s="144"/>
      <c r="AC59" s="144"/>
      <c r="AD59" s="144"/>
      <c r="AE59" s="33"/>
    </row>
    <row r="60" spans="1:31" ht="16.5" x14ac:dyDescent="0.3">
      <c r="Y60" s="139"/>
      <c r="Z60" s="239"/>
      <c r="AA60" s="34"/>
      <c r="AB60" s="33"/>
      <c r="AC60" s="144"/>
      <c r="AD60" s="144"/>
      <c r="AE60" s="33"/>
    </row>
    <row r="61" spans="1:31" ht="16.5" x14ac:dyDescent="0.25">
      <c r="Y61" s="142"/>
      <c r="Z61" s="143"/>
      <c r="AA61" s="144"/>
      <c r="AB61" s="144"/>
      <c r="AC61" s="143"/>
      <c r="AD61" s="144"/>
      <c r="AE61" s="33"/>
    </row>
    <row r="62" spans="1:31" ht="16.5" x14ac:dyDescent="0.25">
      <c r="Y62" s="139"/>
      <c r="Z62" s="33"/>
      <c r="AA62" s="140"/>
      <c r="AB62" s="141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34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3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4"/>
    </row>
    <row r="68" spans="25:31" ht="16.5" x14ac:dyDescent="0.25">
      <c r="Y68" s="275"/>
      <c r="Z68" s="276"/>
      <c r="AA68" s="277"/>
      <c r="AB68" s="277"/>
      <c r="AC68" s="278"/>
      <c r="AD68" s="144"/>
      <c r="AE68" s="33"/>
    </row>
    <row r="69" spans="25:31" ht="16.5" x14ac:dyDescent="0.25">
      <c r="Y69" s="279"/>
      <c r="Z69" s="280"/>
      <c r="AA69" s="278"/>
      <c r="AB69" s="278"/>
      <c r="AC69" s="276"/>
      <c r="AD69" s="276"/>
      <c r="AE69" s="33"/>
    </row>
    <row r="70" spans="25:31" ht="16.5" x14ac:dyDescent="0.25">
      <c r="Y70" s="142"/>
      <c r="Z70" s="143"/>
      <c r="AA70" s="144"/>
      <c r="AB70" s="278"/>
      <c r="AC70" s="34"/>
      <c r="AD70" s="34"/>
      <c r="AE70" s="34"/>
    </row>
    <row r="71" spans="25:31" ht="16.5" x14ac:dyDescent="0.25">
      <c r="Y71" s="33"/>
      <c r="Z71" s="34"/>
      <c r="AA71" s="140"/>
      <c r="AB71" s="140"/>
      <c r="AC71" s="140"/>
      <c r="AD71" s="140"/>
      <c r="AE71" s="34"/>
    </row>
    <row r="72" spans="25:31" ht="16.5" x14ac:dyDescent="0.25">
      <c r="Y72" s="142"/>
      <c r="Z72" s="142"/>
      <c r="AA72" s="143"/>
      <c r="AB72" s="144"/>
      <c r="AC72" s="144"/>
      <c r="AD72" s="144"/>
      <c r="AE72" s="34"/>
    </row>
    <row r="73" spans="25:31" ht="16.5" x14ac:dyDescent="0.25">
      <c r="Y73" s="142"/>
      <c r="Z73" s="142"/>
      <c r="AA73" s="143"/>
      <c r="AB73" s="144"/>
      <c r="AC73" s="144"/>
      <c r="AD73" s="144"/>
      <c r="AE73" s="34"/>
    </row>
    <row r="74" spans="25:31" ht="16.5" x14ac:dyDescent="0.25">
      <c r="Y74" s="33"/>
      <c r="Z74" s="33"/>
      <c r="AA74" s="34"/>
      <c r="AB74" s="33"/>
      <c r="AC74" s="34"/>
      <c r="AD74" s="34"/>
      <c r="AE74" s="34"/>
    </row>
    <row r="75" spans="25:31" ht="16.5" x14ac:dyDescent="0.25">
      <c r="Y75" s="33"/>
      <c r="Z75" s="33"/>
      <c r="AA75" s="34"/>
      <c r="AB75" s="33"/>
      <c r="AC75" s="34"/>
      <c r="AD75" s="34"/>
      <c r="AE75" s="34"/>
    </row>
    <row r="76" spans="25:31" ht="16.5" x14ac:dyDescent="0.25">
      <c r="Y76" s="139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4"/>
      <c r="AA77" s="34"/>
      <c r="AB77" s="34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142"/>
      <c r="Z79" s="143"/>
      <c r="AA79" s="144"/>
      <c r="AB79" s="144"/>
      <c r="AC79" s="34"/>
      <c r="AD79" s="34"/>
      <c r="AE79" s="34"/>
    </row>
    <row r="80" spans="25:31" ht="16.5" x14ac:dyDescent="0.25">
      <c r="Y80" s="139"/>
      <c r="Z80" s="33"/>
      <c r="AA80" s="140"/>
      <c r="AB80" s="141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33"/>
      <c r="Z82" s="34"/>
      <c r="AA82" s="140"/>
      <c r="AB82" s="140"/>
      <c r="AC82" s="34"/>
      <c r="AD82" s="34"/>
      <c r="AE82" s="34"/>
    </row>
    <row r="83" spans="25:31" ht="16.5" x14ac:dyDescent="0.25">
      <c r="Y83" s="142"/>
      <c r="Z83" s="142"/>
      <c r="AA83" s="143"/>
      <c r="AB83" s="144"/>
      <c r="AC83" s="34"/>
      <c r="AD83" s="34"/>
      <c r="AE83" s="34"/>
    </row>
    <row r="84" spans="25:31" ht="16.5" x14ac:dyDescent="0.25">
      <c r="Y84" s="33"/>
      <c r="Z84" s="33"/>
      <c r="AA84" s="34"/>
      <c r="AB84" s="33"/>
      <c r="AC84" s="34"/>
      <c r="AD84" s="34"/>
      <c r="AE84" s="34"/>
    </row>
    <row r="85" spans="25:31" ht="16.5" x14ac:dyDescent="0.25">
      <c r="Y85" s="33"/>
      <c r="Z85" s="33"/>
      <c r="AA85" s="34"/>
      <c r="AB85" s="33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</sheetData>
  <mergeCells count="131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K43:M43"/>
    <mergeCell ref="N43:P43"/>
    <mergeCell ref="Q43:S43"/>
    <mergeCell ref="T43:V43"/>
    <mergeCell ref="T50:V50"/>
    <mergeCell ref="T51:V51"/>
    <mergeCell ref="D36:J36"/>
    <mergeCell ref="D37:J37"/>
    <mergeCell ref="D38:J38"/>
    <mergeCell ref="D39:J39"/>
    <mergeCell ref="D40:J40"/>
    <mergeCell ref="D41:J41"/>
    <mergeCell ref="D42:J42"/>
    <mergeCell ref="D43:J43"/>
    <mergeCell ref="C45:J45"/>
    <mergeCell ref="T45:V45"/>
    <mergeCell ref="T46:V46"/>
    <mergeCell ref="T47:V47"/>
    <mergeCell ref="T48:V48"/>
    <mergeCell ref="T49:V49"/>
    <mergeCell ref="K41:M41"/>
    <mergeCell ref="N41:P41"/>
    <mergeCell ref="Q41:S41"/>
    <mergeCell ref="T41:V4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9471-6E80-0940-841E-8C24A492B0A7}">
  <sheetPr codeName="Sheet34">
    <tabColor theme="5" tint="-0.249977111117893"/>
    <pageSetUpPr fitToPage="1"/>
  </sheetPr>
  <dimension ref="A1:AN77"/>
  <sheetViews>
    <sheetView view="pageBreakPreview" topLeftCell="A3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242</v>
      </c>
      <c r="F5" s="578"/>
      <c r="G5" s="605" t="s">
        <v>243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221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3*8*Y11</f>
        <v>24</v>
      </c>
      <c r="F7" s="581"/>
      <c r="G7" s="2" t="s">
        <v>222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DATA'!C41</f>
        <v>12</v>
      </c>
      <c r="F8" s="600"/>
      <c r="G8" s="602" t="str">
        <f>E6</f>
        <v>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0.5</v>
      </c>
      <c r="O13" s="581"/>
      <c r="P13" s="582"/>
      <c r="Q13" s="599">
        <v>800</v>
      </c>
      <c r="R13" s="600"/>
      <c r="S13" s="601"/>
      <c r="T13" s="583">
        <f t="shared" ref="T13:T15" si="0">K13*N13*Q13</f>
        <v>400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 t="shared" ref="N14:N15" si="1">N13</f>
        <v>0.5</v>
      </c>
      <c r="O14" s="581"/>
      <c r="P14" s="582"/>
      <c r="Q14" s="599">
        <v>600</v>
      </c>
      <c r="R14" s="600"/>
      <c r="S14" s="601"/>
      <c r="T14" s="583">
        <f t="shared" si="0"/>
        <v>300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2</v>
      </c>
      <c r="L15" s="597"/>
      <c r="M15" s="598"/>
      <c r="N15" s="580">
        <f t="shared" si="1"/>
        <v>0.5</v>
      </c>
      <c r="O15" s="581"/>
      <c r="P15" s="582"/>
      <c r="Q15" s="599">
        <v>400</v>
      </c>
      <c r="R15" s="600"/>
      <c r="S15" s="601"/>
      <c r="T15" s="583">
        <f t="shared" si="0"/>
        <v>400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1100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110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7.25" thickBot="1" x14ac:dyDescent="0.35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289" t="s">
        <v>113</v>
      </c>
      <c r="AA26" s="290" t="s">
        <v>114</v>
      </c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291" t="s">
        <v>133</v>
      </c>
      <c r="AA27" s="29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291" t="s">
        <v>134</v>
      </c>
      <c r="AA28" s="29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SUM(T24:V28)</f>
        <v>110</v>
      </c>
      <c r="U29" s="562"/>
      <c r="V29" s="563"/>
      <c r="W29" s="9"/>
      <c r="X29" s="2"/>
      <c r="Y29" s="62"/>
      <c r="Z29" s="291" t="s">
        <v>135</v>
      </c>
      <c r="AA29" s="29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1210</v>
      </c>
      <c r="U30" s="562"/>
      <c r="V30" s="563"/>
      <c r="W30" s="2"/>
      <c r="X30" s="2"/>
      <c r="Y30" s="65"/>
      <c r="Z30" s="291" t="s">
        <v>136</v>
      </c>
      <c r="AA30" s="29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291" t="s">
        <v>137</v>
      </c>
      <c r="AA31" s="292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291" t="s">
        <v>138</v>
      </c>
      <c r="AA32" s="292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93" t="s">
        <v>139</v>
      </c>
      <c r="AA33" s="294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93" t="s">
        <v>140</v>
      </c>
      <c r="AA34" s="294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245</v>
      </c>
      <c r="E35" s="296"/>
      <c r="F35" s="296"/>
      <c r="G35" s="296"/>
      <c r="H35" s="296"/>
      <c r="I35" s="296"/>
      <c r="J35" s="297"/>
      <c r="K35" s="747">
        <f>E8</f>
        <v>12</v>
      </c>
      <c r="L35" s="748"/>
      <c r="M35" s="749"/>
      <c r="N35" s="708" t="s">
        <v>244</v>
      </c>
      <c r="O35" s="709"/>
      <c r="P35" s="710"/>
      <c r="Q35" s="647">
        <f>450/3</f>
        <v>150</v>
      </c>
      <c r="R35" s="648"/>
      <c r="S35" s="649"/>
      <c r="T35" s="714">
        <f t="shared" ref="T35" si="2">K35*Q35</f>
        <v>1800</v>
      </c>
      <c r="U35" s="715"/>
      <c r="V35" s="716"/>
      <c r="W35" s="18"/>
      <c r="X35" s="2"/>
      <c r="Y35" s="72"/>
      <c r="Z35" s="293" t="s">
        <v>142</v>
      </c>
      <c r="AA35" s="294" t="e">
        <f>PI()*0.3*6*#REF!+PI()*0.2*6*#REF!+PI()*0.1*6*#REF!</f>
        <v>#REF!</v>
      </c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647"/>
      <c r="R36" s="648"/>
      <c r="S36" s="649"/>
      <c r="T36" s="635">
        <f>10%*SUM(T35:V35)</f>
        <v>180</v>
      </c>
      <c r="U36" s="636"/>
      <c r="V36" s="637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662"/>
      <c r="L37" s="663"/>
      <c r="M37" s="664"/>
      <c r="N37" s="703"/>
      <c r="O37" s="704"/>
      <c r="P37" s="705"/>
      <c r="Q37" s="647"/>
      <c r="R37" s="648"/>
      <c r="S37" s="649"/>
      <c r="T37" s="635"/>
      <c r="U37" s="636"/>
      <c r="V37" s="637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 t="s">
        <v>276</v>
      </c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/>
      <c r="D40" s="283"/>
      <c r="E40" s="245"/>
      <c r="F40" s="245"/>
      <c r="G40" s="122"/>
      <c r="H40" s="122"/>
      <c r="I40" s="122"/>
      <c r="J40" s="17"/>
      <c r="K40" s="662"/>
      <c r="L40" s="663"/>
      <c r="M40" s="664"/>
      <c r="N40" s="703"/>
      <c r="O40" s="704"/>
      <c r="P40" s="705"/>
      <c r="Q40" s="647"/>
      <c r="R40" s="648"/>
      <c r="S40" s="649"/>
      <c r="T40" s="635"/>
      <c r="U40" s="636"/>
      <c r="V40" s="637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706"/>
      <c r="E43" s="706"/>
      <c r="F43" s="706"/>
      <c r="G43" s="706"/>
      <c r="H43" s="706"/>
      <c r="I43" s="706"/>
      <c r="J43" s="707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1980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3190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159.5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319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3668.5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305.70833333333331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03">
    <mergeCell ref="T46:V46"/>
    <mergeCell ref="T47:V47"/>
    <mergeCell ref="T48:V48"/>
    <mergeCell ref="T49:V49"/>
    <mergeCell ref="T50:V50"/>
    <mergeCell ref="T51:V51"/>
    <mergeCell ref="K40:M40"/>
    <mergeCell ref="N40:P40"/>
    <mergeCell ref="Q40:S40"/>
    <mergeCell ref="T40:V40"/>
    <mergeCell ref="D43:J43"/>
    <mergeCell ref="C45:J45"/>
    <mergeCell ref="T45:V45"/>
    <mergeCell ref="K36:M36"/>
    <mergeCell ref="N36:P36"/>
    <mergeCell ref="Q36:S36"/>
    <mergeCell ref="T36:V36"/>
    <mergeCell ref="K37:M37"/>
    <mergeCell ref="N37:P37"/>
    <mergeCell ref="Q37:S37"/>
    <mergeCell ref="T37:V37"/>
    <mergeCell ref="K35:M35"/>
    <mergeCell ref="N35:P35"/>
    <mergeCell ref="Q35:S35"/>
    <mergeCell ref="T35:V35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C0CB-4F79-E446-84A6-45FDD0700224}">
  <sheetPr codeName="Sheet35">
    <tabColor theme="5" tint="-0.249977111117893"/>
    <pageSetUpPr fitToPage="1"/>
  </sheetPr>
  <dimension ref="A1:AN77"/>
  <sheetViews>
    <sheetView view="pageBreakPreview" topLeftCell="A10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259</v>
      </c>
      <c r="F5" s="578"/>
      <c r="G5" s="605" t="s">
        <v>262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260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/>
      <c r="F7" s="581"/>
      <c r="G7" s="2"/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DATA'!C42</f>
        <v>1</v>
      </c>
      <c r="F8" s="600"/>
      <c r="G8" s="602" t="str">
        <f>E6</f>
        <v>L.S.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v>1</v>
      </c>
      <c r="O13" s="581"/>
      <c r="P13" s="582"/>
      <c r="Q13" s="599">
        <v>800</v>
      </c>
      <c r="R13" s="600"/>
      <c r="S13" s="601"/>
      <c r="T13" s="583">
        <f t="shared" ref="T13:T15" si="0">K13*N13*Q13</f>
        <v>800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1</v>
      </c>
      <c r="O14" s="581"/>
      <c r="P14" s="582"/>
      <c r="Q14" s="599">
        <v>600</v>
      </c>
      <c r="R14" s="600"/>
      <c r="S14" s="601"/>
      <c r="T14" s="583">
        <f t="shared" si="0"/>
        <v>600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2</v>
      </c>
      <c r="L15" s="597"/>
      <c r="M15" s="598"/>
      <c r="N15" s="580">
        <f>N14</f>
        <v>1</v>
      </c>
      <c r="O15" s="581"/>
      <c r="P15" s="582"/>
      <c r="Q15" s="599">
        <v>400</v>
      </c>
      <c r="R15" s="600"/>
      <c r="S15" s="601"/>
      <c r="T15" s="583">
        <f t="shared" si="0"/>
        <v>800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2200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220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7.25" thickBot="1" x14ac:dyDescent="0.35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289" t="s">
        <v>113</v>
      </c>
      <c r="AA26" s="290" t="s">
        <v>114</v>
      </c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291" t="s">
        <v>133</v>
      </c>
      <c r="AA27" s="29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291" t="s">
        <v>134</v>
      </c>
      <c r="AA28" s="29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220</v>
      </c>
      <c r="U29" s="562"/>
      <c r="V29" s="563"/>
      <c r="W29" s="9"/>
      <c r="X29" s="2"/>
      <c r="Y29" s="62"/>
      <c r="Z29" s="291" t="s">
        <v>135</v>
      </c>
      <c r="AA29" s="29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2420</v>
      </c>
      <c r="U30" s="562"/>
      <c r="V30" s="563"/>
      <c r="W30" s="2"/>
      <c r="X30" s="2"/>
      <c r="Y30" s="65"/>
      <c r="Z30" s="291" t="s">
        <v>136</v>
      </c>
      <c r="AA30" s="29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291" t="s">
        <v>137</v>
      </c>
      <c r="AA31" s="292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291" t="s">
        <v>138</v>
      </c>
      <c r="AA32" s="292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93" t="s">
        <v>139</v>
      </c>
      <c r="AA33" s="294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93" t="s">
        <v>140</v>
      </c>
      <c r="AA34" s="294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376</v>
      </c>
      <c r="E35" s="296"/>
      <c r="F35" s="296"/>
      <c r="G35" s="296"/>
      <c r="H35" s="296"/>
      <c r="I35" s="296"/>
      <c r="J35" s="297"/>
      <c r="K35" s="577">
        <v>6</v>
      </c>
      <c r="L35" s="578"/>
      <c r="M35" s="579"/>
      <c r="N35" s="590" t="s">
        <v>209</v>
      </c>
      <c r="O35" s="591"/>
      <c r="P35" s="592"/>
      <c r="Q35" s="593">
        <v>380</v>
      </c>
      <c r="R35" s="594"/>
      <c r="S35" s="595"/>
      <c r="T35" s="583">
        <f>Q35*K35</f>
        <v>2280</v>
      </c>
      <c r="U35" s="584"/>
      <c r="V35" s="585"/>
      <c r="W35" s="18"/>
      <c r="X35" s="2"/>
      <c r="Y35" s="72"/>
      <c r="Z35" s="293" t="s">
        <v>142</v>
      </c>
      <c r="AA35" s="294" t="e">
        <f>PI()*0.3*6*#REF!+PI()*0.2*6*#REF!+PI()*0.1*6*#REF!</f>
        <v>#REF!</v>
      </c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295" t="s">
        <v>378</v>
      </c>
      <c r="K36" s="577">
        <v>1</v>
      </c>
      <c r="L36" s="578"/>
      <c r="M36" s="579"/>
      <c r="N36" s="590" t="s">
        <v>377</v>
      </c>
      <c r="O36" s="591"/>
      <c r="P36" s="592"/>
      <c r="Q36" s="593">
        <v>500</v>
      </c>
      <c r="R36" s="594"/>
      <c r="S36" s="595"/>
      <c r="T36" s="583">
        <f>Q36*K36</f>
        <v>500</v>
      </c>
      <c r="U36" s="584"/>
      <c r="V36" s="585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K37" s="577"/>
      <c r="L37" s="578"/>
      <c r="M37" s="579"/>
      <c r="N37" s="590"/>
      <c r="O37" s="591"/>
      <c r="P37" s="592"/>
      <c r="Q37" s="593"/>
      <c r="R37" s="594"/>
      <c r="S37" s="595"/>
      <c r="T37" s="583"/>
      <c r="U37" s="584"/>
      <c r="V37" s="585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K38" s="577"/>
      <c r="L38" s="578"/>
      <c r="M38" s="579"/>
      <c r="N38" s="590"/>
      <c r="O38" s="591"/>
      <c r="P38" s="592"/>
      <c r="Q38" s="593"/>
      <c r="R38" s="594"/>
      <c r="S38" s="595"/>
      <c r="T38" s="583"/>
      <c r="U38" s="584"/>
      <c r="V38" s="585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577"/>
      <c r="L39" s="578"/>
      <c r="M39" s="579"/>
      <c r="N39" s="590"/>
      <c r="O39" s="591"/>
      <c r="P39" s="592"/>
      <c r="Q39" s="593"/>
      <c r="R39" s="594"/>
      <c r="S39" s="595"/>
      <c r="T39" s="583"/>
      <c r="U39" s="584"/>
      <c r="V39" s="585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/>
      <c r="D40" s="5" t="s">
        <v>261</v>
      </c>
      <c r="E40" s="245"/>
      <c r="F40" s="245"/>
      <c r="G40" s="122"/>
      <c r="H40" s="122"/>
      <c r="I40" s="122"/>
      <c r="J40" s="17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751" t="s">
        <v>375</v>
      </c>
      <c r="E41" s="751"/>
      <c r="F41" s="751"/>
      <c r="G41" s="751"/>
      <c r="H41" s="751"/>
      <c r="I41" s="751"/>
      <c r="J41" s="752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751"/>
      <c r="E42" s="751"/>
      <c r="F42" s="751"/>
      <c r="G42" s="751"/>
      <c r="H42" s="751"/>
      <c r="I42" s="751"/>
      <c r="J42" s="752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2780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5200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260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520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5980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5980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07">
    <mergeCell ref="T49:V49"/>
    <mergeCell ref="T50:V50"/>
    <mergeCell ref="T51:V51"/>
    <mergeCell ref="D41:J42"/>
    <mergeCell ref="C45:J45"/>
    <mergeCell ref="T45:V45"/>
    <mergeCell ref="T46:V46"/>
    <mergeCell ref="T47:V47"/>
    <mergeCell ref="T48:V48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E7:F7"/>
    <mergeCell ref="K35:M35"/>
    <mergeCell ref="N35:P35"/>
    <mergeCell ref="Q35:S35"/>
    <mergeCell ref="T35:V35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K38:M38"/>
    <mergeCell ref="N38:P38"/>
    <mergeCell ref="Q38:S38"/>
    <mergeCell ref="T38:V38"/>
    <mergeCell ref="K39:M39"/>
    <mergeCell ref="N39:P39"/>
    <mergeCell ref="Q39:S39"/>
    <mergeCell ref="T39:V39"/>
    <mergeCell ref="K36:M36"/>
    <mergeCell ref="N36:P36"/>
    <mergeCell ref="Q36:S36"/>
    <mergeCell ref="T36:V36"/>
    <mergeCell ref="K37:M37"/>
    <mergeCell ref="N37:P37"/>
    <mergeCell ref="Q37:S37"/>
    <mergeCell ref="T37:V3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39A1-C6B1-4641-A1E2-6EA31258962A}">
  <sheetPr codeName="Sheet36">
    <tabColor theme="5" tint="-0.249977111117893"/>
    <pageSetUpPr fitToPage="1"/>
  </sheetPr>
  <dimension ref="A1:AN77"/>
  <sheetViews>
    <sheetView view="pageBreakPreview" topLeftCell="A16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256</v>
      </c>
      <c r="F5" s="578"/>
      <c r="G5" s="605" t="s">
        <v>246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247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v>4</v>
      </c>
      <c r="F7" s="581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DATA'!C43</f>
        <v>1</v>
      </c>
      <c r="F8" s="600"/>
      <c r="G8" s="602" t="str">
        <f>E6</f>
        <v>SET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0.25</v>
      </c>
      <c r="O13" s="581"/>
      <c r="P13" s="582"/>
      <c r="Q13" s="599">
        <v>800</v>
      </c>
      <c r="R13" s="600"/>
      <c r="S13" s="601"/>
      <c r="T13" s="583">
        <f t="shared" ref="T13:T15" si="0">K13*N13*Q13</f>
        <v>200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0.25</v>
      </c>
      <c r="O14" s="581"/>
      <c r="P14" s="582"/>
      <c r="Q14" s="599">
        <v>600</v>
      </c>
      <c r="R14" s="600"/>
      <c r="S14" s="601"/>
      <c r="T14" s="583">
        <f t="shared" si="0"/>
        <v>150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0.25</v>
      </c>
      <c r="O15" s="581"/>
      <c r="P15" s="582"/>
      <c r="Q15" s="599">
        <v>400</v>
      </c>
      <c r="R15" s="600"/>
      <c r="S15" s="601"/>
      <c r="T15" s="583">
        <f t="shared" si="0"/>
        <v>100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450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45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SUM(T24:V28)</f>
        <v>45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495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341"/>
      <c r="R34" s="342"/>
      <c r="S34" s="343"/>
      <c r="T34" s="341"/>
      <c r="U34" s="342"/>
      <c r="V34" s="343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249</v>
      </c>
      <c r="E35" s="296"/>
      <c r="F35" s="296"/>
      <c r="G35" s="296"/>
      <c r="H35" s="296"/>
      <c r="I35" s="296"/>
      <c r="J35" s="297"/>
      <c r="K35" s="747">
        <f>E8</f>
        <v>1</v>
      </c>
      <c r="L35" s="748"/>
      <c r="M35" s="749"/>
      <c r="N35" s="747" t="s">
        <v>250</v>
      </c>
      <c r="O35" s="748"/>
      <c r="P35" s="749"/>
      <c r="Q35" s="753">
        <v>6000</v>
      </c>
      <c r="R35" s="754"/>
      <c r="S35" s="755"/>
      <c r="T35" s="753">
        <f>Q35*K35</f>
        <v>6000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600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344"/>
      <c r="R37" s="345"/>
      <c r="S37" s="346"/>
      <c r="T37" s="347"/>
      <c r="U37" s="348"/>
      <c r="V37" s="349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3"/>
      <c r="D40" s="354"/>
      <c r="E40" s="354"/>
      <c r="F40" s="354"/>
      <c r="G40" s="354"/>
      <c r="H40" s="354"/>
      <c r="I40" s="354"/>
      <c r="J40" s="355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6600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7095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354.75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709.5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8159.25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8159.25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49:V49"/>
    <mergeCell ref="T50:V50"/>
    <mergeCell ref="T51:V51"/>
    <mergeCell ref="C45:J45"/>
    <mergeCell ref="T45:V45"/>
    <mergeCell ref="T46:V46"/>
    <mergeCell ref="T47:V47"/>
    <mergeCell ref="T48:V48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6ACF-65E7-C64A-9E0A-81F14BFA5D97}">
  <sheetPr codeName="Sheet37">
    <tabColor theme="5" tint="-0.249977111117893"/>
    <pageSetUpPr fitToPage="1"/>
  </sheetPr>
  <dimension ref="A1:AN77"/>
  <sheetViews>
    <sheetView view="pageBreakPreview" topLeftCell="A16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256</v>
      </c>
      <c r="F5" s="578"/>
      <c r="G5" s="605" t="s">
        <v>251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247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v>4</v>
      </c>
      <c r="F7" s="581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DATA'!C44</f>
        <v>1</v>
      </c>
      <c r="F8" s="600"/>
      <c r="G8" s="602" t="str">
        <f>E6</f>
        <v>SET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0.25</v>
      </c>
      <c r="O13" s="581"/>
      <c r="P13" s="582"/>
      <c r="Q13" s="599">
        <v>800</v>
      </c>
      <c r="R13" s="600"/>
      <c r="S13" s="601"/>
      <c r="T13" s="583">
        <f t="shared" ref="T13:T15" si="0">K13*N13*Q13</f>
        <v>200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0.25</v>
      </c>
      <c r="O14" s="581"/>
      <c r="P14" s="582"/>
      <c r="Q14" s="599">
        <v>600</v>
      </c>
      <c r="R14" s="600"/>
      <c r="S14" s="601"/>
      <c r="T14" s="583">
        <f t="shared" si="0"/>
        <v>150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0.25</v>
      </c>
      <c r="O15" s="581"/>
      <c r="P15" s="582"/>
      <c r="Q15" s="599">
        <v>400</v>
      </c>
      <c r="R15" s="600"/>
      <c r="S15" s="601"/>
      <c r="T15" s="583">
        <f t="shared" si="0"/>
        <v>100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450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45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45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495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252</v>
      </c>
      <c r="E35" s="296"/>
      <c r="F35" s="296"/>
      <c r="G35" s="296"/>
      <c r="H35" s="296"/>
      <c r="I35" s="296"/>
      <c r="J35" s="297"/>
      <c r="K35" s="747">
        <f>E8</f>
        <v>1</v>
      </c>
      <c r="L35" s="748"/>
      <c r="M35" s="749"/>
      <c r="N35" s="747" t="s">
        <v>250</v>
      </c>
      <c r="O35" s="748"/>
      <c r="P35" s="749"/>
      <c r="Q35" s="753">
        <v>4500</v>
      </c>
      <c r="R35" s="754"/>
      <c r="S35" s="755"/>
      <c r="T35" s="753">
        <f>Q35*K35</f>
        <v>4500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450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3"/>
      <c r="D40" s="354"/>
      <c r="E40" s="354"/>
      <c r="F40" s="354"/>
      <c r="G40" s="354"/>
      <c r="H40" s="354"/>
      <c r="I40" s="354"/>
      <c r="J40" s="355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4950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5445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272.25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544.5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6261.75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6261.75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50:V50"/>
    <mergeCell ref="T51:V51"/>
    <mergeCell ref="K35:M35"/>
    <mergeCell ref="N35:P35"/>
    <mergeCell ref="Q35:S35"/>
    <mergeCell ref="T35:V35"/>
    <mergeCell ref="T36:V36"/>
    <mergeCell ref="T46:V46"/>
    <mergeCell ref="T47:V47"/>
    <mergeCell ref="T48:V48"/>
    <mergeCell ref="T49:V49"/>
    <mergeCell ref="C45:J45"/>
    <mergeCell ref="T45:V45"/>
    <mergeCell ref="K36:M36"/>
    <mergeCell ref="N36:P36"/>
    <mergeCell ref="Q36:S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CB4F-7D39-3043-A276-FA1B926565A5}">
  <sheetPr codeName="Sheet38">
    <tabColor theme="5" tint="-0.249977111117893"/>
    <pageSetUpPr fitToPage="1"/>
  </sheetPr>
  <dimension ref="A1:AN77"/>
  <sheetViews>
    <sheetView view="pageBreakPreview" topLeftCell="A17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256</v>
      </c>
      <c r="F5" s="578"/>
      <c r="G5" s="605" t="s">
        <v>253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247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v>4</v>
      </c>
      <c r="F7" s="581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DATA'!C45</f>
        <v>1</v>
      </c>
      <c r="F8" s="600"/>
      <c r="G8" s="602" t="str">
        <f>E6</f>
        <v>SET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0.25</v>
      </c>
      <c r="O13" s="581"/>
      <c r="P13" s="582"/>
      <c r="Q13" s="599">
        <v>800</v>
      </c>
      <c r="R13" s="600"/>
      <c r="S13" s="601"/>
      <c r="T13" s="583">
        <f t="shared" ref="T13:T15" si="0">K13*N13*Q13</f>
        <v>200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0.25</v>
      </c>
      <c r="O14" s="581"/>
      <c r="P14" s="582"/>
      <c r="Q14" s="599">
        <v>600</v>
      </c>
      <c r="R14" s="600"/>
      <c r="S14" s="601"/>
      <c r="T14" s="583">
        <f t="shared" si="0"/>
        <v>150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0.25</v>
      </c>
      <c r="O15" s="581"/>
      <c r="P15" s="582"/>
      <c r="Q15" s="599">
        <v>400</v>
      </c>
      <c r="R15" s="600"/>
      <c r="S15" s="601"/>
      <c r="T15" s="583">
        <f t="shared" si="0"/>
        <v>100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450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45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SUM(T24:V28)</f>
        <v>45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495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383</v>
      </c>
      <c r="E35" s="296"/>
      <c r="F35" s="296"/>
      <c r="G35" s="296"/>
      <c r="H35" s="296"/>
      <c r="I35" s="296"/>
      <c r="J35" s="297"/>
      <c r="K35" s="747">
        <f>E8</f>
        <v>1</v>
      </c>
      <c r="L35" s="748"/>
      <c r="M35" s="749"/>
      <c r="N35" s="747" t="s">
        <v>250</v>
      </c>
      <c r="O35" s="748"/>
      <c r="P35" s="749"/>
      <c r="Q35" s="753">
        <v>3500</v>
      </c>
      <c r="R35" s="754"/>
      <c r="S35" s="755"/>
      <c r="T35" s="753">
        <f>Q35*K35</f>
        <v>3500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350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3850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4345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217.25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434.5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4996.75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4996.75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49:V49"/>
    <mergeCell ref="T50:V50"/>
    <mergeCell ref="T51:V51"/>
    <mergeCell ref="C45:J45"/>
    <mergeCell ref="T45:V45"/>
    <mergeCell ref="T46:V46"/>
    <mergeCell ref="T47:V47"/>
    <mergeCell ref="T48:V48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E500-BA04-2D42-863C-C2EB90932115}">
  <sheetPr codeName="Sheet39">
    <tabColor theme="5" tint="-0.249977111117893"/>
    <pageSetUpPr fitToPage="1"/>
  </sheetPr>
  <dimension ref="A1:AN77"/>
  <sheetViews>
    <sheetView view="pageBreakPreview" topLeftCell="A17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256</v>
      </c>
      <c r="F5" s="578"/>
      <c r="G5" s="605" t="s">
        <v>254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247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v>20</v>
      </c>
      <c r="F7" s="581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DATA'!C46</f>
        <v>2</v>
      </c>
      <c r="F8" s="600"/>
      <c r="G8" s="602" t="str">
        <f>E6</f>
        <v>SET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0.1</v>
      </c>
      <c r="O13" s="581"/>
      <c r="P13" s="582"/>
      <c r="Q13" s="599">
        <v>800</v>
      </c>
      <c r="R13" s="600"/>
      <c r="S13" s="601"/>
      <c r="T13" s="583">
        <f t="shared" ref="T13:T15" si="0">K13*N13*Q13</f>
        <v>80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0.1</v>
      </c>
      <c r="O14" s="581"/>
      <c r="P14" s="582"/>
      <c r="Q14" s="599">
        <v>600</v>
      </c>
      <c r="R14" s="600"/>
      <c r="S14" s="601"/>
      <c r="T14" s="583">
        <f t="shared" si="0"/>
        <v>60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0.1</v>
      </c>
      <c r="O15" s="581"/>
      <c r="P15" s="582"/>
      <c r="Q15" s="599">
        <v>400</v>
      </c>
      <c r="R15" s="600"/>
      <c r="S15" s="601"/>
      <c r="T15" s="583">
        <f t="shared" si="0"/>
        <v>40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180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18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SUM(T24:V28)</f>
        <v>18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198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255</v>
      </c>
      <c r="E35" s="296"/>
      <c r="F35" s="296"/>
      <c r="G35" s="296"/>
      <c r="H35" s="296"/>
      <c r="I35" s="296"/>
      <c r="J35" s="297"/>
      <c r="K35" s="747">
        <f>E8</f>
        <v>2</v>
      </c>
      <c r="L35" s="748"/>
      <c r="M35" s="749"/>
      <c r="N35" s="747" t="s">
        <v>250</v>
      </c>
      <c r="O35" s="748"/>
      <c r="P35" s="749"/>
      <c r="Q35" s="753">
        <v>350</v>
      </c>
      <c r="R35" s="754"/>
      <c r="S35" s="755"/>
      <c r="T35" s="753">
        <f>Q35*K35</f>
        <v>700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70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770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968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48.400000000000006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96.800000000000011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1113.2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556.6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50:V50"/>
    <mergeCell ref="T51:V51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DD42-2A11-7A4B-8140-1A393AF4E218}">
  <sheetPr codeName="Sheet40">
    <tabColor theme="5" tint="-0.249977111117893"/>
    <pageSetUpPr fitToPage="1"/>
  </sheetPr>
  <dimension ref="A1:AN77"/>
  <sheetViews>
    <sheetView view="pageBreakPreview" topLeftCell="A13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256</v>
      </c>
      <c r="F5" s="578"/>
      <c r="G5" s="605" t="s">
        <v>386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247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(1/(0.75/8))</f>
        <v>10.666666666666666</v>
      </c>
      <c r="F7" s="581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DATA'!C47</f>
        <v>1</v>
      </c>
      <c r="F8" s="600"/>
      <c r="G8" s="602" t="str">
        <f>E6</f>
        <v>SET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9.375E-2</v>
      </c>
      <c r="O13" s="581"/>
      <c r="P13" s="582"/>
      <c r="Q13" s="599">
        <v>800</v>
      </c>
      <c r="R13" s="600"/>
      <c r="S13" s="601"/>
      <c r="T13" s="583">
        <f t="shared" ref="T13:T15" si="0">K13*N13*Q13</f>
        <v>75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9.375E-2</v>
      </c>
      <c r="O14" s="581"/>
      <c r="P14" s="582"/>
      <c r="Q14" s="599">
        <v>600</v>
      </c>
      <c r="R14" s="600"/>
      <c r="S14" s="601"/>
      <c r="T14" s="583">
        <f t="shared" si="0"/>
        <v>56.25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9.375E-2</v>
      </c>
      <c r="O15" s="581"/>
      <c r="P15" s="582"/>
      <c r="Q15" s="599">
        <v>400</v>
      </c>
      <c r="R15" s="600"/>
      <c r="S15" s="601"/>
      <c r="T15" s="583">
        <f t="shared" si="0"/>
        <v>37.5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168.75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16.875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SUM(T24:V28)</f>
        <v>16.875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185.625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387</v>
      </c>
      <c r="E35" s="296"/>
      <c r="F35" s="296"/>
      <c r="G35" s="296"/>
      <c r="H35" s="296"/>
      <c r="I35" s="296"/>
      <c r="J35" s="297"/>
      <c r="K35" s="747">
        <f>E8</f>
        <v>1</v>
      </c>
      <c r="L35" s="748"/>
      <c r="M35" s="749"/>
      <c r="N35" s="747" t="s">
        <v>250</v>
      </c>
      <c r="O35" s="748"/>
      <c r="P35" s="749"/>
      <c r="Q35" s="753">
        <v>350</v>
      </c>
      <c r="R35" s="754"/>
      <c r="S35" s="755"/>
      <c r="T35" s="753">
        <f>Q35*K35</f>
        <v>350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35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385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570.625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28.53125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57.0625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656.21875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656.21875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50:V50"/>
    <mergeCell ref="T51:V51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D91-F305-2F42-90BD-7A92A7068F62}">
  <sheetPr codeName="Sheet41">
    <tabColor theme="5" tint="-0.249977111117893"/>
    <pageSetUpPr fitToPage="1"/>
  </sheetPr>
  <dimension ref="A1:AN77"/>
  <sheetViews>
    <sheetView view="pageBreakPreview" topLeftCell="A14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256</v>
      </c>
      <c r="F5" s="578"/>
      <c r="G5" s="605" t="s">
        <v>385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247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(1/(1/8))</f>
        <v>8</v>
      </c>
      <c r="F7" s="581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DATA'!C47</f>
        <v>1</v>
      </c>
      <c r="F8" s="600"/>
      <c r="G8" s="602" t="str">
        <f>E6</f>
        <v>SET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0.125</v>
      </c>
      <c r="O13" s="581"/>
      <c r="P13" s="582"/>
      <c r="Q13" s="599">
        <v>800</v>
      </c>
      <c r="R13" s="600"/>
      <c r="S13" s="601"/>
      <c r="T13" s="583">
        <f t="shared" ref="T13:T15" si="0">K13*N13*Q13</f>
        <v>100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0.125</v>
      </c>
      <c r="O14" s="581"/>
      <c r="P14" s="582"/>
      <c r="Q14" s="599">
        <v>600</v>
      </c>
      <c r="R14" s="600"/>
      <c r="S14" s="601"/>
      <c r="T14" s="583">
        <f t="shared" si="0"/>
        <v>75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0.125</v>
      </c>
      <c r="O15" s="581"/>
      <c r="P15" s="582"/>
      <c r="Q15" s="599">
        <v>400</v>
      </c>
      <c r="R15" s="600"/>
      <c r="S15" s="601"/>
      <c r="T15" s="583">
        <f t="shared" si="0"/>
        <v>50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225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22.5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/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225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257</v>
      </c>
      <c r="E35" s="296"/>
      <c r="F35" s="296"/>
      <c r="G35" s="296"/>
      <c r="H35" s="296"/>
      <c r="I35" s="296"/>
      <c r="J35" s="297"/>
      <c r="K35" s="747">
        <f>E8</f>
        <v>1</v>
      </c>
      <c r="L35" s="748"/>
      <c r="M35" s="749"/>
      <c r="N35" s="747" t="s">
        <v>250</v>
      </c>
      <c r="O35" s="748"/>
      <c r="P35" s="749"/>
      <c r="Q35" s="753">
        <v>2600</v>
      </c>
      <c r="R35" s="754"/>
      <c r="S35" s="755"/>
      <c r="T35" s="753">
        <f>Q35*K35</f>
        <v>2600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260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2860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3085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154.25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308.5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3547.75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3547.75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50:V50"/>
    <mergeCell ref="T51:V51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E510-F51E-C849-B118-193D2D6D9760}">
  <sheetPr codeName="Sheet42">
    <tabColor theme="5" tint="-0.249977111117893"/>
    <pageSetUpPr fitToPage="1"/>
  </sheetPr>
  <dimension ref="A1:AN77"/>
  <sheetViews>
    <sheetView view="pageBreakPreview" topLeftCell="A21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388</v>
      </c>
      <c r="F5" s="578"/>
      <c r="G5" s="605" t="s">
        <v>389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8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0.4*8</f>
        <v>3.2</v>
      </c>
      <c r="F7" s="581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DATA'!C48</f>
        <v>0.5</v>
      </c>
      <c r="F8" s="600"/>
      <c r="G8" s="602" t="str">
        <f>E6</f>
        <v>SQ.M.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0.15625</v>
      </c>
      <c r="O13" s="581"/>
      <c r="P13" s="582"/>
      <c r="Q13" s="599">
        <v>800</v>
      </c>
      <c r="R13" s="600"/>
      <c r="S13" s="601"/>
      <c r="T13" s="583">
        <f t="shared" ref="T13:T15" si="0">K13*N13*Q13</f>
        <v>125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0.15625</v>
      </c>
      <c r="O14" s="581"/>
      <c r="P14" s="582"/>
      <c r="Q14" s="599">
        <v>600</v>
      </c>
      <c r="R14" s="600"/>
      <c r="S14" s="601"/>
      <c r="T14" s="583">
        <f t="shared" si="0"/>
        <v>93.75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0.15625</v>
      </c>
      <c r="O15" s="581"/>
      <c r="P15" s="582"/>
      <c r="Q15" s="599">
        <v>400</v>
      </c>
      <c r="R15" s="600"/>
      <c r="S15" s="601"/>
      <c r="T15" s="583">
        <f t="shared" si="0"/>
        <v>62.5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281.25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28.125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SUM(T24:V28)</f>
        <v>28.125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309.375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258</v>
      </c>
      <c r="E35" s="296"/>
      <c r="F35" s="296"/>
      <c r="G35" s="296"/>
      <c r="H35" s="296"/>
      <c r="I35" s="296"/>
      <c r="J35" s="297"/>
      <c r="K35" s="747">
        <f>E8</f>
        <v>0.5</v>
      </c>
      <c r="L35" s="748"/>
      <c r="M35" s="749"/>
      <c r="N35" s="747" t="s">
        <v>153</v>
      </c>
      <c r="O35" s="748"/>
      <c r="P35" s="749"/>
      <c r="Q35" s="753">
        <v>900</v>
      </c>
      <c r="R35" s="754"/>
      <c r="S35" s="755"/>
      <c r="T35" s="753">
        <f>Q35*K35</f>
        <v>450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45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495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804.375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40.21875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80.4375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925.03125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1850.0625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50:V50"/>
    <mergeCell ref="T51:V51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B06D-168E-9D45-A87A-9AFA7CD21865}">
  <sheetPr codeName="Sheet43">
    <tabColor theme="5" tint="-0.249977111117893"/>
    <pageSetUpPr fitToPage="1"/>
  </sheetPr>
  <dimension ref="A1:AN77"/>
  <sheetViews>
    <sheetView view="pageBreakPreview" topLeftCell="A12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392</v>
      </c>
      <c r="F5" s="578"/>
      <c r="G5" s="605" t="s">
        <v>391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260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/>
      <c r="F7" s="581"/>
      <c r="G7" s="2"/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DATA'!C49</f>
        <v>1</v>
      </c>
      <c r="F8" s="600"/>
      <c r="G8" s="602" t="str">
        <f>E6</f>
        <v>L.S.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/>
      <c r="L13" s="597"/>
      <c r="M13" s="598"/>
      <c r="N13" s="580"/>
      <c r="O13" s="581"/>
      <c r="P13" s="582"/>
      <c r="Q13" s="599">
        <v>800</v>
      </c>
      <c r="R13" s="600"/>
      <c r="S13" s="601"/>
      <c r="T13" s="583">
        <f t="shared" ref="T13:T15" si="0">K13*N13*Q13</f>
        <v>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/>
      <c r="L14" s="597"/>
      <c r="M14" s="598"/>
      <c r="N14" s="580"/>
      <c r="O14" s="581"/>
      <c r="P14" s="582"/>
      <c r="Q14" s="599">
        <v>600</v>
      </c>
      <c r="R14" s="600"/>
      <c r="S14" s="601"/>
      <c r="T14" s="583">
        <f t="shared" si="0"/>
        <v>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/>
      <c r="L15" s="597"/>
      <c r="M15" s="598"/>
      <c r="N15" s="580"/>
      <c r="O15" s="581"/>
      <c r="P15" s="582"/>
      <c r="Q15" s="599">
        <v>400</v>
      </c>
      <c r="R15" s="600"/>
      <c r="S15" s="601"/>
      <c r="T15" s="583">
        <f t="shared" si="0"/>
        <v>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0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SUM(T24:V28)</f>
        <v>0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0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762"/>
      <c r="E35" s="762"/>
      <c r="F35" s="762"/>
      <c r="G35" s="762"/>
      <c r="H35" s="762"/>
      <c r="I35" s="762"/>
      <c r="J35" s="763"/>
      <c r="K35" s="747"/>
      <c r="L35" s="748"/>
      <c r="M35" s="749"/>
      <c r="N35" s="747"/>
      <c r="O35" s="748"/>
      <c r="P35" s="749"/>
      <c r="Q35" s="753"/>
      <c r="R35" s="754"/>
      <c r="S35" s="755"/>
      <c r="T35" s="753"/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762"/>
      <c r="E36" s="762"/>
      <c r="F36" s="762"/>
      <c r="G36" s="762"/>
      <c r="H36" s="762"/>
      <c r="I36" s="762"/>
      <c r="J36" s="763"/>
      <c r="K36" s="650"/>
      <c r="L36" s="651"/>
      <c r="M36" s="652"/>
      <c r="N36" s="732"/>
      <c r="O36" s="733"/>
      <c r="P36" s="734"/>
      <c r="Q36" s="756"/>
      <c r="R36" s="757"/>
      <c r="S36" s="758"/>
      <c r="T36" s="759"/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762"/>
      <c r="E37" s="762"/>
      <c r="F37" s="762"/>
      <c r="G37" s="762"/>
      <c r="H37" s="762"/>
      <c r="I37" s="762"/>
      <c r="J37" s="763"/>
      <c r="K37" s="650"/>
      <c r="L37" s="651"/>
      <c r="M37" s="652"/>
      <c r="N37" s="732"/>
      <c r="O37" s="733"/>
      <c r="P37" s="734"/>
      <c r="Q37" s="756"/>
      <c r="R37" s="757"/>
      <c r="S37" s="758"/>
      <c r="T37" s="759"/>
      <c r="U37" s="760"/>
      <c r="V37" s="76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762"/>
      <c r="E38" s="762"/>
      <c r="F38" s="762"/>
      <c r="G38" s="762"/>
      <c r="H38" s="762"/>
      <c r="I38" s="762"/>
      <c r="J38" s="763"/>
      <c r="K38" s="650"/>
      <c r="L38" s="651"/>
      <c r="M38" s="652"/>
      <c r="N38" s="732"/>
      <c r="O38" s="733"/>
      <c r="P38" s="734"/>
      <c r="Q38" s="756"/>
      <c r="R38" s="757"/>
      <c r="S38" s="758"/>
      <c r="T38" s="759"/>
      <c r="U38" s="760"/>
      <c r="V38" s="761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762"/>
      <c r="E39" s="762"/>
      <c r="F39" s="762"/>
      <c r="G39" s="762"/>
      <c r="H39" s="762"/>
      <c r="I39" s="762"/>
      <c r="J39" s="763"/>
      <c r="K39" s="650"/>
      <c r="L39" s="651"/>
      <c r="M39" s="652"/>
      <c r="N39" s="732"/>
      <c r="O39" s="733"/>
      <c r="P39" s="734"/>
      <c r="Q39" s="756"/>
      <c r="R39" s="757"/>
      <c r="S39" s="758"/>
      <c r="T39" s="759"/>
      <c r="U39" s="760"/>
      <c r="V39" s="761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7.100000000000001" customHeight="1" x14ac:dyDescent="0.3">
      <c r="B40" s="41"/>
      <c r="C40" s="350"/>
      <c r="D40" s="762"/>
      <c r="E40" s="762"/>
      <c r="F40" s="762"/>
      <c r="G40" s="762"/>
      <c r="H40" s="762"/>
      <c r="I40" s="762"/>
      <c r="J40" s="763"/>
      <c r="K40" s="650"/>
      <c r="L40" s="651"/>
      <c r="M40" s="652"/>
      <c r="N40" s="732"/>
      <c r="O40" s="733"/>
      <c r="P40" s="734"/>
      <c r="Q40" s="756"/>
      <c r="R40" s="757"/>
      <c r="S40" s="758"/>
      <c r="T40" s="759"/>
      <c r="U40" s="760"/>
      <c r="V40" s="76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762"/>
      <c r="E41" s="762"/>
      <c r="F41" s="762"/>
      <c r="G41" s="762"/>
      <c r="H41" s="762"/>
      <c r="I41" s="762"/>
      <c r="J41" s="763"/>
      <c r="K41" s="650"/>
      <c r="L41" s="651"/>
      <c r="M41" s="652"/>
      <c r="N41" s="732"/>
      <c r="O41" s="733"/>
      <c r="P41" s="734"/>
      <c r="Q41" s="756"/>
      <c r="R41" s="757"/>
      <c r="S41" s="758"/>
      <c r="T41" s="759"/>
      <c r="U41" s="760"/>
      <c r="V41" s="76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650"/>
      <c r="L42" s="651"/>
      <c r="M42" s="652"/>
      <c r="N42" s="732"/>
      <c r="O42" s="733"/>
      <c r="P42" s="734"/>
      <c r="Q42" s="756"/>
      <c r="R42" s="757"/>
      <c r="S42" s="758"/>
      <c r="T42" s="759"/>
      <c r="U42" s="760"/>
      <c r="V42" s="76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0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0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0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0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0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25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D41:J41"/>
    <mergeCell ref="D35:J35"/>
    <mergeCell ref="D36:J36"/>
    <mergeCell ref="D37:J37"/>
    <mergeCell ref="D38:J38"/>
    <mergeCell ref="D39:J39"/>
    <mergeCell ref="D40:J40"/>
    <mergeCell ref="K41:M41"/>
    <mergeCell ref="N41:P41"/>
    <mergeCell ref="T50:V50"/>
    <mergeCell ref="T51:V51"/>
    <mergeCell ref="K37:M37"/>
    <mergeCell ref="N37:P37"/>
    <mergeCell ref="Q37:S37"/>
    <mergeCell ref="T37:V37"/>
    <mergeCell ref="K38:M38"/>
    <mergeCell ref="N38:P38"/>
    <mergeCell ref="Q38:S38"/>
    <mergeCell ref="T38:V38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C52D-D1C7-5948-B9F5-1C132CA57020}">
  <sheetPr codeName="Sheet44">
    <tabColor theme="9" tint="-0.499984740745262"/>
    <pageSetUpPr fitToPage="1"/>
  </sheetPr>
  <dimension ref="A1:AN77"/>
  <sheetViews>
    <sheetView view="pageBreakPreview" topLeftCell="A13" zoomScale="85" zoomScaleNormal="85" zoomScaleSheetLayoutView="85" workbookViewId="0">
      <selection activeCell="Q34" sqref="Q34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256</v>
      </c>
      <c r="F5" s="578"/>
      <c r="G5" s="605" t="s">
        <v>277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221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3.534*8</f>
        <v>28.271999999999998</v>
      </c>
      <c r="F7" s="581"/>
      <c r="G7" s="2" t="s">
        <v>222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DATA'!C51</f>
        <v>200</v>
      </c>
      <c r="F8" s="600"/>
      <c r="G8" s="602" t="str">
        <f>E6</f>
        <v>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7.074136955291455</v>
      </c>
      <c r="O13" s="581"/>
      <c r="P13" s="582"/>
      <c r="Q13" s="599">
        <v>800</v>
      </c>
      <c r="R13" s="600"/>
      <c r="S13" s="601"/>
      <c r="T13" s="583">
        <f t="shared" ref="T13:T15" si="0">K13*N13*Q13</f>
        <v>5659.3095642331637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7.074136955291455</v>
      </c>
      <c r="O14" s="581"/>
      <c r="P14" s="582"/>
      <c r="Q14" s="599">
        <v>600</v>
      </c>
      <c r="R14" s="600"/>
      <c r="S14" s="601"/>
      <c r="T14" s="583">
        <f t="shared" si="0"/>
        <v>4244.4821731748734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7.074136955291455</v>
      </c>
      <c r="O15" s="581"/>
      <c r="P15" s="582"/>
      <c r="Q15" s="599">
        <v>400</v>
      </c>
      <c r="R15" s="600"/>
      <c r="S15" s="601"/>
      <c r="T15" s="583">
        <f t="shared" si="0"/>
        <v>2829.6547821165818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12733.45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1273.3450000000003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1273.3450000000003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14006.795000000002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278</v>
      </c>
      <c r="E35" s="296"/>
      <c r="F35" s="296"/>
      <c r="G35" s="296"/>
      <c r="H35" s="296"/>
      <c r="I35" s="296"/>
      <c r="J35" s="297"/>
      <c r="K35" s="747">
        <f>E8</f>
        <v>200</v>
      </c>
      <c r="L35" s="748"/>
      <c r="M35" s="749"/>
      <c r="N35" s="747" t="s">
        <v>244</v>
      </c>
      <c r="O35" s="748"/>
      <c r="P35" s="749"/>
      <c r="Q35" s="753">
        <v>15</v>
      </c>
      <c r="R35" s="754"/>
      <c r="S35" s="755"/>
      <c r="T35" s="753">
        <f>Q35*K35</f>
        <v>3000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300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 t="s">
        <v>279</v>
      </c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3300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17306.795000000002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865.33975000000009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1730.6795000000002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19902.814250000003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99.514071250000015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50:V50"/>
    <mergeCell ref="T51:V51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DF9D-74AA-9E4A-88B2-E5B4BC7CECFA}">
  <sheetPr codeName="Sheet45">
    <tabColor theme="9" tint="-0.499984740745262"/>
    <pageSetUpPr fitToPage="1"/>
  </sheetPr>
  <dimension ref="A1:AN77"/>
  <sheetViews>
    <sheetView view="pageBreakPreview" topLeftCell="A19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>
        <v>1100</v>
      </c>
      <c r="F5" s="578"/>
      <c r="G5" s="605" t="s">
        <v>280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264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1/(0.4/8)</f>
        <v>20</v>
      </c>
      <c r="F7" s="581"/>
      <c r="G7" s="2" t="s">
        <v>284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DATA'!C52</f>
        <v>33</v>
      </c>
      <c r="F8" s="600"/>
      <c r="G8" s="602" t="str">
        <f>E6</f>
        <v>PC.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1.65</v>
      </c>
      <c r="O13" s="581"/>
      <c r="P13" s="582"/>
      <c r="Q13" s="599">
        <v>800</v>
      </c>
      <c r="R13" s="600"/>
      <c r="S13" s="601"/>
      <c r="T13" s="583">
        <f t="shared" ref="T13:T15" si="0">K13*N13*Q13</f>
        <v>1320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1.65</v>
      </c>
      <c r="O14" s="581"/>
      <c r="P14" s="582"/>
      <c r="Q14" s="599">
        <v>600</v>
      </c>
      <c r="R14" s="600"/>
      <c r="S14" s="601"/>
      <c r="T14" s="583">
        <f t="shared" si="0"/>
        <v>990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1.65</v>
      </c>
      <c r="O15" s="581"/>
      <c r="P15" s="582"/>
      <c r="Q15" s="599">
        <v>400</v>
      </c>
      <c r="R15" s="600"/>
      <c r="S15" s="601"/>
      <c r="T15" s="583">
        <f t="shared" si="0"/>
        <v>660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2970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297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297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3267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281</v>
      </c>
      <c r="E35" s="296"/>
      <c r="F35" s="296"/>
      <c r="G35" s="296"/>
      <c r="H35" s="296"/>
      <c r="I35" s="296"/>
      <c r="J35" s="297"/>
      <c r="K35" s="747">
        <f>E8</f>
        <v>33</v>
      </c>
      <c r="L35" s="748"/>
      <c r="M35" s="749"/>
      <c r="N35" s="747" t="s">
        <v>209</v>
      </c>
      <c r="O35" s="748"/>
      <c r="P35" s="749"/>
      <c r="Q35" s="753">
        <v>45</v>
      </c>
      <c r="R35" s="754"/>
      <c r="S35" s="755"/>
      <c r="T35" s="753">
        <f>Q35*K35</f>
        <v>1485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148.5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1633.5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4900.5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245.02500000000001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490.05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5635.5749999999998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170.77500000000001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50:V50"/>
    <mergeCell ref="T51:V51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AEF2-E0BA-EF43-BF91-A47A26FF6C26}">
  <sheetPr codeName="Sheet46">
    <tabColor theme="9" tint="-0.499984740745262"/>
    <pageSetUpPr fitToPage="1"/>
  </sheetPr>
  <dimension ref="A1:AN77"/>
  <sheetViews>
    <sheetView view="pageBreakPreview" topLeftCell="A13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282</v>
      </c>
      <c r="F5" s="578"/>
      <c r="G5" s="605" t="s">
        <v>283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221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25*8</f>
        <v>200</v>
      </c>
      <c r="F7" s="581"/>
      <c r="G7" s="2" t="s">
        <v>222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DATA'!C53</f>
        <v>600</v>
      </c>
      <c r="F8" s="600"/>
      <c r="G8" s="602" t="str">
        <f>E6</f>
        <v>M.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3</v>
      </c>
      <c r="O13" s="581"/>
      <c r="P13" s="582"/>
      <c r="Q13" s="599">
        <v>800</v>
      </c>
      <c r="R13" s="600"/>
      <c r="S13" s="601"/>
      <c r="T13" s="583">
        <f t="shared" ref="T13:T15" si="0">K13*N13*Q13</f>
        <v>2400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3</v>
      </c>
      <c r="O14" s="581"/>
      <c r="P14" s="582"/>
      <c r="Q14" s="599">
        <v>600</v>
      </c>
      <c r="R14" s="600"/>
      <c r="S14" s="601"/>
      <c r="T14" s="583">
        <f t="shared" si="0"/>
        <v>1800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3</v>
      </c>
      <c r="O15" s="581"/>
      <c r="P15" s="582"/>
      <c r="Q15" s="599">
        <v>400</v>
      </c>
      <c r="R15" s="600"/>
      <c r="S15" s="601"/>
      <c r="T15" s="583">
        <f t="shared" si="0"/>
        <v>1200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5400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540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764"/>
      <c r="U28" s="765"/>
      <c r="V28" s="766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540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5940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285</v>
      </c>
      <c r="E35" s="296"/>
      <c r="F35" s="296"/>
      <c r="G35" s="296"/>
      <c r="H35" s="296"/>
      <c r="I35" s="296"/>
      <c r="J35" s="297"/>
      <c r="K35" s="747">
        <f>E8</f>
        <v>600</v>
      </c>
      <c r="L35" s="748"/>
      <c r="M35" s="749"/>
      <c r="N35" s="747" t="s">
        <v>244</v>
      </c>
      <c r="O35" s="748"/>
      <c r="P35" s="749"/>
      <c r="Q35" s="753">
        <v>29</v>
      </c>
      <c r="R35" s="754"/>
      <c r="S35" s="755"/>
      <c r="T35" s="753">
        <f>Q35*K35</f>
        <v>17400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1740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 t="s">
        <v>398</v>
      </c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19140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25080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1254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2508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28842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48.07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50:V50"/>
    <mergeCell ref="T51:V51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2109-CF8C-A44D-8000-160AE9826147}">
  <sheetPr codeName="Sheet47">
    <tabColor theme="9" tint="-0.499984740745262"/>
    <pageSetUpPr fitToPage="1"/>
  </sheetPr>
  <dimension ref="A1:AN77"/>
  <sheetViews>
    <sheetView view="pageBreakPreview" topLeftCell="A20" zoomScale="85" zoomScaleNormal="85" zoomScaleSheetLayoutView="85" workbookViewId="0">
      <selection activeCell="S46" sqref="S46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>
        <v>1101</v>
      </c>
      <c r="F5" s="578"/>
      <c r="G5" s="605" t="s">
        <v>286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247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(1/(0.25/8))</f>
        <v>32</v>
      </c>
      <c r="F7" s="581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DATA'!C54</f>
        <v>13</v>
      </c>
      <c r="F8" s="600"/>
      <c r="G8" s="602" t="str">
        <f>E6</f>
        <v>SET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0.40625</v>
      </c>
      <c r="O13" s="581"/>
      <c r="P13" s="582"/>
      <c r="Q13" s="599">
        <v>800</v>
      </c>
      <c r="R13" s="600"/>
      <c r="S13" s="601"/>
      <c r="T13" s="583">
        <f t="shared" ref="T13:T15" si="0">K13*N13*Q13</f>
        <v>325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0.40625</v>
      </c>
      <c r="O14" s="581"/>
      <c r="P14" s="582"/>
      <c r="Q14" s="599">
        <v>600</v>
      </c>
      <c r="R14" s="600"/>
      <c r="S14" s="601"/>
      <c r="T14" s="583">
        <f t="shared" si="0"/>
        <v>243.75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0.40625</v>
      </c>
      <c r="O15" s="581"/>
      <c r="P15" s="582"/>
      <c r="Q15" s="599">
        <v>400</v>
      </c>
      <c r="R15" s="600"/>
      <c r="S15" s="601"/>
      <c r="T15" s="583">
        <f t="shared" si="0"/>
        <v>162.5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731.25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/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/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0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731.25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287</v>
      </c>
      <c r="E35" s="296"/>
      <c r="F35" s="296"/>
      <c r="G35" s="296"/>
      <c r="H35" s="296"/>
      <c r="I35" s="296"/>
      <c r="J35" s="297"/>
      <c r="K35" s="747">
        <f>E8</f>
        <v>13</v>
      </c>
      <c r="L35" s="748"/>
      <c r="M35" s="749"/>
      <c r="N35" s="747" t="s">
        <v>250</v>
      </c>
      <c r="O35" s="748"/>
      <c r="P35" s="749"/>
      <c r="Q35" s="753">
        <v>180</v>
      </c>
      <c r="R35" s="754"/>
      <c r="S35" s="755"/>
      <c r="T35" s="753">
        <f>Q35*K35</f>
        <v>2340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/>
      <c r="D36" s="5"/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234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2574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3305.25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165.26250000000002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330.52500000000003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3801.0374999999999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292.38749999999999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50:V50"/>
    <mergeCell ref="T51:V51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CEBB-F280-C648-A70B-E9F1BB965616}">
  <sheetPr codeName="Sheet48">
    <tabColor theme="9" tint="-0.499984740745262"/>
    <pageSetUpPr fitToPage="1"/>
  </sheetPr>
  <dimension ref="A1:AN77"/>
  <sheetViews>
    <sheetView view="pageBreakPreview" topLeftCell="A19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>
        <v>1101</v>
      </c>
      <c r="F5" s="578"/>
      <c r="G5" s="605" t="s">
        <v>288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247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(1/(0.3/8))</f>
        <v>26.666666666666668</v>
      </c>
      <c r="F7" s="581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DATA'!C55</f>
        <v>10</v>
      </c>
      <c r="F8" s="600"/>
      <c r="G8" s="602" t="str">
        <f>E6</f>
        <v>SET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0.375</v>
      </c>
      <c r="O13" s="581"/>
      <c r="P13" s="582"/>
      <c r="Q13" s="599">
        <v>800</v>
      </c>
      <c r="R13" s="600"/>
      <c r="S13" s="601"/>
      <c r="T13" s="583">
        <f t="shared" ref="T13:T15" si="0">K13*N13*Q13</f>
        <v>300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0.375</v>
      </c>
      <c r="O14" s="581"/>
      <c r="P14" s="582"/>
      <c r="Q14" s="599">
        <v>600</v>
      </c>
      <c r="R14" s="600"/>
      <c r="S14" s="601"/>
      <c r="T14" s="583">
        <f t="shared" si="0"/>
        <v>225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0.375</v>
      </c>
      <c r="O15" s="581"/>
      <c r="P15" s="582"/>
      <c r="Q15" s="599">
        <v>400</v>
      </c>
      <c r="R15" s="600"/>
      <c r="S15" s="601"/>
      <c r="T15" s="583">
        <f t="shared" si="0"/>
        <v>150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675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/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/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0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675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289</v>
      </c>
      <c r="E35" s="296"/>
      <c r="F35" s="296"/>
      <c r="G35" s="296"/>
      <c r="H35" s="296"/>
      <c r="I35" s="296"/>
      <c r="J35" s="297"/>
      <c r="K35" s="747">
        <f>E8</f>
        <v>10</v>
      </c>
      <c r="L35" s="748"/>
      <c r="M35" s="749"/>
      <c r="N35" s="747" t="s">
        <v>250</v>
      </c>
      <c r="O35" s="748"/>
      <c r="P35" s="749"/>
      <c r="Q35" s="753">
        <v>230</v>
      </c>
      <c r="R35" s="754"/>
      <c r="S35" s="755"/>
      <c r="T35" s="753">
        <f>Q35*K35</f>
        <v>2300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/>
      <c r="D36" s="5"/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230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2530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3205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160.25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320.5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3685.75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368.57499999999999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T50:V50"/>
    <mergeCell ref="T51:V51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FBCE-540F-F14D-AF33-E841B730D965}">
  <sheetPr codeName="Sheet49">
    <tabColor theme="9" tint="-0.499984740745262"/>
    <pageSetUpPr fitToPage="1"/>
  </sheetPr>
  <dimension ref="A1:AN77"/>
  <sheetViews>
    <sheetView view="pageBreakPreview" topLeftCell="A13" zoomScale="85" zoomScaleNormal="85" zoomScaleSheetLayoutView="85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>
        <v>1102</v>
      </c>
      <c r="F5" s="578"/>
      <c r="G5" s="605" t="s">
        <v>290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247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f>(1/(5.5/8))</f>
        <v>1.4545454545454546</v>
      </c>
      <c r="F7" s="581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DATA'!C56</f>
        <v>1</v>
      </c>
      <c r="F8" s="600"/>
      <c r="G8" s="602" t="str">
        <f>E6</f>
        <v>SET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0.6875</v>
      </c>
      <c r="O13" s="581"/>
      <c r="P13" s="582"/>
      <c r="Q13" s="599">
        <v>800</v>
      </c>
      <c r="R13" s="600"/>
      <c r="S13" s="601"/>
      <c r="T13" s="583">
        <f t="shared" ref="T13:T15" si="0">K13*N13*Q13</f>
        <v>550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0.6875</v>
      </c>
      <c r="O14" s="581"/>
      <c r="P14" s="582"/>
      <c r="Q14" s="599">
        <v>600</v>
      </c>
      <c r="R14" s="600"/>
      <c r="S14" s="601"/>
      <c r="T14" s="583">
        <f t="shared" si="0"/>
        <v>412.5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2</v>
      </c>
      <c r="L15" s="597"/>
      <c r="M15" s="598"/>
      <c r="N15" s="580">
        <f>N14</f>
        <v>0.6875</v>
      </c>
      <c r="O15" s="581"/>
      <c r="P15" s="582"/>
      <c r="Q15" s="599">
        <v>400</v>
      </c>
      <c r="R15" s="600"/>
      <c r="S15" s="601"/>
      <c r="T15" s="583">
        <f t="shared" si="0"/>
        <v>550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1512.5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/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/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0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1512.5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291</v>
      </c>
      <c r="E35" s="296"/>
      <c r="F35" s="296"/>
      <c r="G35" s="296"/>
      <c r="H35" s="296"/>
      <c r="I35" s="296"/>
      <c r="J35" s="297"/>
      <c r="K35" s="747">
        <f>E8</f>
        <v>1</v>
      </c>
      <c r="L35" s="748"/>
      <c r="M35" s="749"/>
      <c r="N35" s="747" t="s">
        <v>250</v>
      </c>
      <c r="O35" s="748"/>
      <c r="P35" s="749"/>
      <c r="Q35" s="753">
        <v>4000</v>
      </c>
      <c r="R35" s="754"/>
      <c r="S35" s="755"/>
      <c r="T35" s="753">
        <f>Q35*K35</f>
        <v>4000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400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 t="s">
        <v>292</v>
      </c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 t="s">
        <v>78</v>
      </c>
      <c r="D38" s="283" t="s">
        <v>293</v>
      </c>
      <c r="E38" s="245"/>
      <c r="F38" s="245"/>
      <c r="G38" s="122"/>
      <c r="H38" s="122"/>
      <c r="I38" s="122"/>
      <c r="J38" s="17"/>
      <c r="K38" s="747">
        <v>1</v>
      </c>
      <c r="L38" s="748"/>
      <c r="M38" s="749"/>
      <c r="N38" s="747" t="s">
        <v>250</v>
      </c>
      <c r="O38" s="748"/>
      <c r="P38" s="749"/>
      <c r="Q38" s="753">
        <v>450</v>
      </c>
      <c r="R38" s="754"/>
      <c r="S38" s="755"/>
      <c r="T38" s="753">
        <f t="shared" ref="T38:T40" si="1">Q38*K38</f>
        <v>450</v>
      </c>
      <c r="U38" s="754"/>
      <c r="V38" s="755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 t="s">
        <v>94</v>
      </c>
      <c r="D39" s="283" t="s">
        <v>293</v>
      </c>
      <c r="E39" s="245"/>
      <c r="F39" s="245"/>
      <c r="G39" s="122"/>
      <c r="H39" s="122"/>
      <c r="I39" s="122"/>
      <c r="J39" s="17"/>
      <c r="K39" s="747">
        <v>2</v>
      </c>
      <c r="L39" s="748"/>
      <c r="M39" s="749"/>
      <c r="N39" s="747" t="s">
        <v>250</v>
      </c>
      <c r="O39" s="748"/>
      <c r="P39" s="749"/>
      <c r="Q39" s="753">
        <v>451</v>
      </c>
      <c r="R39" s="754"/>
      <c r="S39" s="755"/>
      <c r="T39" s="753">
        <f t="shared" si="1"/>
        <v>902</v>
      </c>
      <c r="U39" s="754"/>
      <c r="V39" s="755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8" customHeight="1" x14ac:dyDescent="0.3">
      <c r="B40" s="41"/>
      <c r="C40" s="350" t="s">
        <v>95</v>
      </c>
      <c r="D40" s="283" t="s">
        <v>293</v>
      </c>
      <c r="E40" s="351"/>
      <c r="F40" s="351"/>
      <c r="G40" s="351"/>
      <c r="H40" s="351"/>
      <c r="I40" s="351"/>
      <c r="J40" s="352"/>
      <c r="K40" s="747">
        <v>2</v>
      </c>
      <c r="L40" s="748"/>
      <c r="M40" s="749"/>
      <c r="N40" s="747" t="s">
        <v>250</v>
      </c>
      <c r="O40" s="748"/>
      <c r="P40" s="749"/>
      <c r="Q40" s="753">
        <v>452</v>
      </c>
      <c r="R40" s="754"/>
      <c r="S40" s="755"/>
      <c r="T40" s="753">
        <f t="shared" si="1"/>
        <v>904</v>
      </c>
      <c r="U40" s="754"/>
      <c r="V40" s="755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6656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8168.5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408.42500000000001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816.85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9393.7749999999996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9393.7749999999996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06">
    <mergeCell ref="T50:V50"/>
    <mergeCell ref="T51:V51"/>
    <mergeCell ref="K38:M38"/>
    <mergeCell ref="N38:P38"/>
    <mergeCell ref="Q38:S38"/>
    <mergeCell ref="T38:V38"/>
    <mergeCell ref="K39:M39"/>
    <mergeCell ref="N39:P39"/>
    <mergeCell ref="Q39:S39"/>
    <mergeCell ref="T39:V39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K40:M40"/>
    <mergeCell ref="N40:P40"/>
    <mergeCell ref="Q40:S40"/>
    <mergeCell ref="T40:V40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2C6C-FDB9-424A-A7FC-9EB9FC5391F2}">
  <sheetPr codeName="Sheet50">
    <tabColor theme="9" tint="-0.499984740745262"/>
    <pageSetUpPr fitToPage="1"/>
  </sheetPr>
  <dimension ref="A1:AN77"/>
  <sheetViews>
    <sheetView view="pageBreakPreview" topLeftCell="A20" zoomScaleNormal="85" zoomScaleSheetLayoutView="100" workbookViewId="0">
      <selection activeCell="X57" sqref="X5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294</v>
      </c>
      <c r="F5" s="578"/>
      <c r="G5" s="605" t="s">
        <v>295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247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>
        <v>8</v>
      </c>
      <c r="F7" s="581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DATA'!C57</f>
        <v>40</v>
      </c>
      <c r="F8" s="600"/>
      <c r="G8" s="602" t="str">
        <f>E6</f>
        <v>SET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>
        <f>E8/E7</f>
        <v>5</v>
      </c>
      <c r="O13" s="581"/>
      <c r="P13" s="582"/>
      <c r="Q13" s="599">
        <v>800</v>
      </c>
      <c r="R13" s="600"/>
      <c r="S13" s="601"/>
      <c r="T13" s="583">
        <f t="shared" ref="T13:T15" si="0">K13*N13*Q13</f>
        <v>4000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>
        <f>N13</f>
        <v>5</v>
      </c>
      <c r="O14" s="581"/>
      <c r="P14" s="582"/>
      <c r="Q14" s="599">
        <v>600</v>
      </c>
      <c r="R14" s="600"/>
      <c r="S14" s="601"/>
      <c r="T14" s="583">
        <f t="shared" si="0"/>
        <v>3000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>
        <f>N14</f>
        <v>5</v>
      </c>
      <c r="O15" s="581"/>
      <c r="P15" s="582"/>
      <c r="Q15" s="599">
        <v>400</v>
      </c>
      <c r="R15" s="600"/>
      <c r="S15" s="601"/>
      <c r="T15" s="583">
        <f t="shared" si="0"/>
        <v>2000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9000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900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900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9900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296</v>
      </c>
      <c r="E35" s="296"/>
      <c r="F35" s="296"/>
      <c r="G35" s="296"/>
      <c r="H35" s="296"/>
      <c r="I35" s="296"/>
      <c r="J35" s="297"/>
      <c r="K35" s="747">
        <f>E8</f>
        <v>40</v>
      </c>
      <c r="L35" s="748"/>
      <c r="M35" s="749"/>
      <c r="N35" s="747" t="s">
        <v>250</v>
      </c>
      <c r="O35" s="748"/>
      <c r="P35" s="749"/>
      <c r="Q35" s="753">
        <v>180</v>
      </c>
      <c r="R35" s="754"/>
      <c r="S35" s="755"/>
      <c r="T35" s="753">
        <f>Q35*K35</f>
        <v>7200</v>
      </c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/>
      <c r="D36" s="5"/>
      <c r="E36" s="245"/>
      <c r="F36" s="245"/>
      <c r="G36" s="122"/>
      <c r="H36" s="122"/>
      <c r="I36" s="122"/>
      <c r="J36" s="17"/>
      <c r="K36" s="650"/>
      <c r="L36" s="651"/>
      <c r="M36" s="652"/>
      <c r="N36" s="732"/>
      <c r="O36" s="733"/>
      <c r="P36" s="734"/>
      <c r="Q36" s="756"/>
      <c r="R36" s="757"/>
      <c r="S36" s="758"/>
      <c r="T36" s="759">
        <f>10%*SUM(T35:V35)</f>
        <v>720</v>
      </c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650"/>
      <c r="L38" s="651"/>
      <c r="M38" s="652"/>
      <c r="N38" s="732"/>
      <c r="O38" s="733"/>
      <c r="P38" s="734"/>
      <c r="Q38" s="756"/>
      <c r="R38" s="757"/>
      <c r="S38" s="758"/>
      <c r="T38" s="759"/>
      <c r="U38" s="760"/>
      <c r="V38" s="761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650"/>
      <c r="L39" s="651"/>
      <c r="M39" s="652"/>
      <c r="N39" s="732"/>
      <c r="O39" s="733"/>
      <c r="P39" s="734"/>
      <c r="Q39" s="756"/>
      <c r="R39" s="757"/>
      <c r="S39" s="758"/>
      <c r="T39" s="759"/>
      <c r="U39" s="760"/>
      <c r="V39" s="761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8" customHeight="1" x14ac:dyDescent="0.3">
      <c r="B40" s="41"/>
      <c r="C40" s="350"/>
      <c r="D40" s="283"/>
      <c r="E40" s="351"/>
      <c r="F40" s="351"/>
      <c r="G40" s="351"/>
      <c r="H40" s="351"/>
      <c r="I40" s="351"/>
      <c r="J40" s="352"/>
      <c r="K40" s="650"/>
      <c r="L40" s="651"/>
      <c r="M40" s="652"/>
      <c r="N40" s="732"/>
      <c r="O40" s="733"/>
      <c r="P40" s="734"/>
      <c r="Q40" s="756"/>
      <c r="R40" s="757"/>
      <c r="S40" s="758"/>
      <c r="T40" s="759"/>
      <c r="U40" s="760"/>
      <c r="V40" s="76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7920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17820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891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1782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20493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512.32500000000005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06">
    <mergeCell ref="T46:V46"/>
    <mergeCell ref="T47:V47"/>
    <mergeCell ref="T48:V48"/>
    <mergeCell ref="T49:V49"/>
    <mergeCell ref="T50:V50"/>
    <mergeCell ref="T51:V51"/>
    <mergeCell ref="K40:M40"/>
    <mergeCell ref="N40:P40"/>
    <mergeCell ref="Q40:S40"/>
    <mergeCell ref="T40:V40"/>
    <mergeCell ref="C45:J45"/>
    <mergeCell ref="T45:V45"/>
    <mergeCell ref="K38:M38"/>
    <mergeCell ref="N38:P38"/>
    <mergeCell ref="Q38:S38"/>
    <mergeCell ref="T38:V38"/>
    <mergeCell ref="K39:M39"/>
    <mergeCell ref="N39:P39"/>
    <mergeCell ref="Q39:S39"/>
    <mergeCell ref="T39:V39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6D2A-1AF9-ED4A-9403-DA5FD35FBD5D}">
  <sheetPr codeName="Sheet51">
    <tabColor theme="9" tint="-0.499984740745262"/>
    <pageSetUpPr fitToPage="1"/>
  </sheetPr>
  <dimension ref="A1:AN77"/>
  <sheetViews>
    <sheetView view="pageBreakPreview" topLeftCell="A15" zoomScale="126" zoomScaleNormal="85" zoomScaleSheetLayoutView="126" workbookViewId="0">
      <selection activeCell="A33" sqref="A33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603" t="s">
        <v>0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604" t="str">
        <f>'INPUT DATA'!C4</f>
        <v>PROPOSED ONE STOREY TWO BED ROOM RESIDENTIAL BUILDING</v>
      </c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78" t="s">
        <v>392</v>
      </c>
      <c r="F5" s="578"/>
      <c r="G5" s="605" t="s">
        <v>404</v>
      </c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78" t="s">
        <v>260</v>
      </c>
      <c r="F6" s="578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1"/>
      <c r="F7" s="581"/>
      <c r="G7" s="2"/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600">
        <f>'INPUT DATA'!C58</f>
        <v>1</v>
      </c>
      <c r="F8" s="600"/>
      <c r="G8" s="602" t="str">
        <f>E6</f>
        <v>L.S.</v>
      </c>
      <c r="H8" s="60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1" t="s">
        <v>13</v>
      </c>
      <c r="C10" s="572"/>
      <c r="D10" s="572"/>
      <c r="E10" s="572"/>
      <c r="F10" s="572"/>
      <c r="G10" s="572"/>
      <c r="H10" s="572"/>
      <c r="I10" s="572"/>
      <c r="J10" s="573"/>
      <c r="K10" s="571" t="s">
        <v>14</v>
      </c>
      <c r="L10" s="572"/>
      <c r="M10" s="573"/>
      <c r="N10" s="571" t="s">
        <v>15</v>
      </c>
      <c r="O10" s="572"/>
      <c r="P10" s="573"/>
      <c r="Q10" s="571" t="s">
        <v>16</v>
      </c>
      <c r="R10" s="572"/>
      <c r="S10" s="573"/>
      <c r="T10" s="571" t="s">
        <v>17</v>
      </c>
      <c r="U10" s="572"/>
      <c r="V10" s="573"/>
      <c r="W10" s="2"/>
      <c r="X10" s="2"/>
      <c r="Y10" s="13"/>
      <c r="Z10" s="2"/>
      <c r="AA10" s="2"/>
      <c r="AB10" s="10"/>
    </row>
    <row r="11" spans="1:33" ht="16.5" x14ac:dyDescent="0.3">
      <c r="B11" s="574"/>
      <c r="C11" s="575"/>
      <c r="D11" s="575"/>
      <c r="E11" s="575"/>
      <c r="F11" s="575"/>
      <c r="G11" s="575"/>
      <c r="H11" s="575"/>
      <c r="I11" s="575"/>
      <c r="J11" s="576"/>
      <c r="K11" s="574"/>
      <c r="L11" s="575"/>
      <c r="M11" s="576"/>
      <c r="N11" s="574"/>
      <c r="O11" s="575"/>
      <c r="P11" s="576"/>
      <c r="Q11" s="574"/>
      <c r="R11" s="575"/>
      <c r="S11" s="576"/>
      <c r="T11" s="574"/>
      <c r="U11" s="575"/>
      <c r="V11" s="576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96">
        <v>1</v>
      </c>
      <c r="L13" s="597"/>
      <c r="M13" s="598"/>
      <c r="N13" s="580"/>
      <c r="O13" s="581"/>
      <c r="P13" s="582"/>
      <c r="Q13" s="599">
        <v>800</v>
      </c>
      <c r="R13" s="600"/>
      <c r="S13" s="601"/>
      <c r="T13" s="583">
        <f t="shared" ref="T13:T15" si="0">K13*N13*Q13</f>
        <v>0</v>
      </c>
      <c r="U13" s="584"/>
      <c r="V13" s="585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96">
        <v>1</v>
      </c>
      <c r="L14" s="597"/>
      <c r="M14" s="598"/>
      <c r="N14" s="580"/>
      <c r="O14" s="581"/>
      <c r="P14" s="582"/>
      <c r="Q14" s="599">
        <v>600</v>
      </c>
      <c r="R14" s="600"/>
      <c r="S14" s="601"/>
      <c r="T14" s="583">
        <f t="shared" si="0"/>
        <v>0</v>
      </c>
      <c r="U14" s="584"/>
      <c r="V14" s="585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96">
        <v>1</v>
      </c>
      <c r="L15" s="597"/>
      <c r="M15" s="598"/>
      <c r="N15" s="580"/>
      <c r="O15" s="581"/>
      <c r="P15" s="582"/>
      <c r="Q15" s="599">
        <v>400</v>
      </c>
      <c r="R15" s="600"/>
      <c r="S15" s="601"/>
      <c r="T15" s="583">
        <f t="shared" si="0"/>
        <v>0</v>
      </c>
      <c r="U15" s="584"/>
      <c r="V15" s="585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7"/>
      <c r="L16" s="578"/>
      <c r="M16" s="579"/>
      <c r="N16" s="590"/>
      <c r="O16" s="591"/>
      <c r="P16" s="592"/>
      <c r="Q16" s="593"/>
      <c r="R16" s="594"/>
      <c r="S16" s="595"/>
      <c r="T16" s="583"/>
      <c r="U16" s="584"/>
      <c r="V16" s="585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7"/>
      <c r="L17" s="578"/>
      <c r="M17" s="579"/>
      <c r="N17" s="590"/>
      <c r="O17" s="591"/>
      <c r="P17" s="592"/>
      <c r="Q17" s="593"/>
      <c r="R17" s="594"/>
      <c r="S17" s="595"/>
      <c r="T17" s="583"/>
      <c r="U17" s="584"/>
      <c r="V17" s="585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7"/>
      <c r="L18" s="578"/>
      <c r="M18" s="579"/>
      <c r="N18" s="590"/>
      <c r="O18" s="591"/>
      <c r="P18" s="592"/>
      <c r="Q18" s="593"/>
      <c r="R18" s="594"/>
      <c r="S18" s="595"/>
      <c r="T18" s="583"/>
      <c r="U18" s="584"/>
      <c r="V18" s="585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7"/>
      <c r="L19" s="578"/>
      <c r="M19" s="579"/>
      <c r="N19" s="580"/>
      <c r="O19" s="578"/>
      <c r="P19" s="579"/>
      <c r="Q19" s="589"/>
      <c r="R19" s="578"/>
      <c r="S19" s="579"/>
      <c r="T19" s="583"/>
      <c r="U19" s="584"/>
      <c r="V19" s="585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64" t="s">
        <v>27</v>
      </c>
      <c r="D20" s="565"/>
      <c r="E20" s="565"/>
      <c r="F20" s="565"/>
      <c r="G20" s="565"/>
      <c r="H20" s="565"/>
      <c r="I20" s="565"/>
      <c r="J20" s="56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61">
        <f>ROUND(SUM(T13:V18),2)</f>
        <v>0</v>
      </c>
      <c r="U20" s="562"/>
      <c r="V20" s="563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1" t="s">
        <v>29</v>
      </c>
      <c r="C21" s="572"/>
      <c r="D21" s="572"/>
      <c r="E21" s="572"/>
      <c r="F21" s="572"/>
      <c r="G21" s="572"/>
      <c r="H21" s="572"/>
      <c r="I21" s="572"/>
      <c r="J21" s="573"/>
      <c r="K21" s="571" t="s">
        <v>30</v>
      </c>
      <c r="L21" s="572"/>
      <c r="M21" s="573"/>
      <c r="N21" s="571" t="s">
        <v>15</v>
      </c>
      <c r="O21" s="572"/>
      <c r="P21" s="573"/>
      <c r="Q21" s="571" t="s">
        <v>16</v>
      </c>
      <c r="R21" s="572"/>
      <c r="S21" s="573"/>
      <c r="T21" s="571" t="s">
        <v>17</v>
      </c>
      <c r="U21" s="572"/>
      <c r="V21" s="573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4"/>
      <c r="C22" s="575"/>
      <c r="D22" s="575"/>
      <c r="E22" s="575"/>
      <c r="F22" s="575"/>
      <c r="G22" s="575"/>
      <c r="H22" s="575"/>
      <c r="I22" s="575"/>
      <c r="J22" s="576"/>
      <c r="K22" s="574"/>
      <c r="L22" s="575"/>
      <c r="M22" s="576"/>
      <c r="N22" s="574"/>
      <c r="O22" s="575"/>
      <c r="P22" s="576"/>
      <c r="Q22" s="574"/>
      <c r="R22" s="575"/>
      <c r="S22" s="576"/>
      <c r="T22" s="574"/>
      <c r="U22" s="575"/>
      <c r="V22" s="57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7"/>
      <c r="L24" s="578"/>
      <c r="M24" s="579"/>
      <c r="N24" s="590"/>
      <c r="O24" s="591"/>
      <c r="P24" s="592"/>
      <c r="Q24" s="580"/>
      <c r="R24" s="581"/>
      <c r="S24" s="582"/>
      <c r="T24" s="583">
        <f>10%*T20</f>
        <v>0</v>
      </c>
      <c r="U24" s="584"/>
      <c r="V24" s="585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7"/>
      <c r="L25" s="578"/>
      <c r="M25" s="579"/>
      <c r="N25" s="580"/>
      <c r="O25" s="581"/>
      <c r="P25" s="582"/>
      <c r="Q25" s="580"/>
      <c r="R25" s="581"/>
      <c r="S25" s="582"/>
      <c r="T25" s="583"/>
      <c r="U25" s="584"/>
      <c r="V25" s="585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7"/>
      <c r="L26" s="578"/>
      <c r="M26" s="579"/>
      <c r="N26" s="580"/>
      <c r="O26" s="581"/>
      <c r="P26" s="582"/>
      <c r="Q26" s="580"/>
      <c r="R26" s="581"/>
      <c r="S26" s="582"/>
      <c r="T26" s="583"/>
      <c r="U26" s="584"/>
      <c r="V26" s="585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7"/>
      <c r="L27" s="578"/>
      <c r="M27" s="579"/>
      <c r="N27" s="580"/>
      <c r="O27" s="581"/>
      <c r="P27" s="582"/>
      <c r="Q27" s="580"/>
      <c r="R27" s="581"/>
      <c r="S27" s="582"/>
      <c r="T27" s="583"/>
      <c r="U27" s="584"/>
      <c r="V27" s="585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7"/>
      <c r="L28" s="578"/>
      <c r="M28" s="579"/>
      <c r="N28" s="580"/>
      <c r="O28" s="578"/>
      <c r="P28" s="579"/>
      <c r="Q28" s="580"/>
      <c r="R28" s="581"/>
      <c r="S28" s="582"/>
      <c r="T28" s="583"/>
      <c r="U28" s="584"/>
      <c r="V28" s="585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64" t="s">
        <v>35</v>
      </c>
      <c r="D29" s="565"/>
      <c r="E29" s="565"/>
      <c r="F29" s="565"/>
      <c r="G29" s="565"/>
      <c r="H29" s="565"/>
      <c r="I29" s="565"/>
      <c r="J29" s="56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61">
        <f>SUM(T23:V28)</f>
        <v>0</v>
      </c>
      <c r="U29" s="562"/>
      <c r="V29" s="563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64" t="s">
        <v>37</v>
      </c>
      <c r="D30" s="565"/>
      <c r="E30" s="565"/>
      <c r="F30" s="565"/>
      <c r="G30" s="565"/>
      <c r="H30" s="565"/>
      <c r="I30" s="565"/>
      <c r="J30" s="565"/>
      <c r="K30" s="48"/>
      <c r="L30" s="48"/>
      <c r="M30" s="48"/>
      <c r="N30" s="48"/>
      <c r="O30" s="48"/>
      <c r="P30" s="48"/>
      <c r="Q30" s="48"/>
      <c r="R30" s="48"/>
      <c r="S30" s="48"/>
      <c r="T30" s="562">
        <f>T20+T29</f>
        <v>0</v>
      </c>
      <c r="U30" s="562"/>
      <c r="V30" s="563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70"/>
      <c r="I31" s="56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1" t="s">
        <v>44</v>
      </c>
      <c r="C32" s="572"/>
      <c r="D32" s="572"/>
      <c r="E32" s="572"/>
      <c r="F32" s="572"/>
      <c r="G32" s="572"/>
      <c r="H32" s="572"/>
      <c r="I32" s="572"/>
      <c r="J32" s="573"/>
      <c r="K32" s="571" t="s">
        <v>45</v>
      </c>
      <c r="L32" s="572"/>
      <c r="M32" s="573"/>
      <c r="N32" s="571" t="s">
        <v>46</v>
      </c>
      <c r="O32" s="572"/>
      <c r="P32" s="573"/>
      <c r="Q32" s="571" t="s">
        <v>47</v>
      </c>
      <c r="R32" s="572"/>
      <c r="S32" s="573"/>
      <c r="T32" s="571" t="s">
        <v>17</v>
      </c>
      <c r="U32" s="572"/>
      <c r="V32" s="573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4"/>
      <c r="C33" s="575"/>
      <c r="D33" s="575"/>
      <c r="E33" s="575"/>
      <c r="F33" s="575"/>
      <c r="G33" s="575"/>
      <c r="H33" s="575"/>
      <c r="I33" s="575"/>
      <c r="J33" s="576"/>
      <c r="K33" s="574"/>
      <c r="L33" s="575"/>
      <c r="M33" s="576"/>
      <c r="N33" s="574"/>
      <c r="O33" s="575"/>
      <c r="P33" s="576"/>
      <c r="Q33" s="574"/>
      <c r="R33" s="575"/>
      <c r="S33" s="576"/>
      <c r="T33" s="574"/>
      <c r="U33" s="575"/>
      <c r="V33" s="576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762"/>
      <c r="E35" s="762"/>
      <c r="F35" s="762"/>
      <c r="G35" s="762"/>
      <c r="H35" s="762"/>
      <c r="I35" s="762"/>
      <c r="J35" s="763"/>
      <c r="K35" s="747"/>
      <c r="L35" s="748"/>
      <c r="M35" s="749"/>
      <c r="N35" s="747"/>
      <c r="O35" s="748"/>
      <c r="P35" s="749"/>
      <c r="Q35" s="753"/>
      <c r="R35" s="754"/>
      <c r="S35" s="755"/>
      <c r="T35" s="753"/>
      <c r="U35" s="754"/>
      <c r="V35" s="755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/>
      <c r="D36" s="762"/>
      <c r="E36" s="762"/>
      <c r="F36" s="762"/>
      <c r="G36" s="762"/>
      <c r="H36" s="762"/>
      <c r="I36" s="762"/>
      <c r="J36" s="763"/>
      <c r="K36" s="650"/>
      <c r="L36" s="651"/>
      <c r="M36" s="652"/>
      <c r="N36" s="732"/>
      <c r="O36" s="733"/>
      <c r="P36" s="734"/>
      <c r="Q36" s="756"/>
      <c r="R36" s="757"/>
      <c r="S36" s="758"/>
      <c r="T36" s="759"/>
      <c r="U36" s="760"/>
      <c r="V36" s="76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762"/>
      <c r="E37" s="762"/>
      <c r="F37" s="762"/>
      <c r="G37" s="762"/>
      <c r="H37" s="762"/>
      <c r="I37" s="762"/>
      <c r="J37" s="763"/>
      <c r="K37" s="650"/>
      <c r="L37" s="651"/>
      <c r="M37" s="652"/>
      <c r="N37" s="732"/>
      <c r="O37" s="733"/>
      <c r="P37" s="734"/>
      <c r="Q37" s="756"/>
      <c r="R37" s="757"/>
      <c r="S37" s="758"/>
      <c r="T37" s="759"/>
      <c r="U37" s="760"/>
      <c r="V37" s="76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762"/>
      <c r="E38" s="762"/>
      <c r="F38" s="762"/>
      <c r="G38" s="762"/>
      <c r="H38" s="762"/>
      <c r="I38" s="762"/>
      <c r="J38" s="763"/>
      <c r="K38" s="650"/>
      <c r="L38" s="651"/>
      <c r="M38" s="652"/>
      <c r="N38" s="732"/>
      <c r="O38" s="733"/>
      <c r="P38" s="734"/>
      <c r="Q38" s="756"/>
      <c r="R38" s="757"/>
      <c r="S38" s="758"/>
      <c r="T38" s="759"/>
      <c r="U38" s="760"/>
      <c r="V38" s="761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762"/>
      <c r="E39" s="762"/>
      <c r="F39" s="762"/>
      <c r="G39" s="762"/>
      <c r="H39" s="762"/>
      <c r="I39" s="762"/>
      <c r="J39" s="763"/>
      <c r="K39" s="650"/>
      <c r="L39" s="651"/>
      <c r="M39" s="652"/>
      <c r="N39" s="732"/>
      <c r="O39" s="733"/>
      <c r="P39" s="734"/>
      <c r="Q39" s="756"/>
      <c r="R39" s="757"/>
      <c r="S39" s="758"/>
      <c r="T39" s="759"/>
      <c r="U39" s="760"/>
      <c r="V39" s="761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8" customHeight="1" x14ac:dyDescent="0.3">
      <c r="B40" s="41"/>
      <c r="C40" s="350"/>
      <c r="D40" s="762"/>
      <c r="E40" s="762"/>
      <c r="F40" s="762"/>
      <c r="G40" s="762"/>
      <c r="H40" s="762"/>
      <c r="I40" s="762"/>
      <c r="J40" s="763"/>
      <c r="K40" s="650"/>
      <c r="L40" s="651"/>
      <c r="M40" s="652"/>
      <c r="N40" s="732"/>
      <c r="O40" s="733"/>
      <c r="P40" s="734"/>
      <c r="Q40" s="756"/>
      <c r="R40" s="757"/>
      <c r="S40" s="758"/>
      <c r="T40" s="759"/>
      <c r="U40" s="760"/>
      <c r="V40" s="76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762"/>
      <c r="E41" s="762"/>
      <c r="F41" s="762"/>
      <c r="G41" s="762"/>
      <c r="H41" s="762"/>
      <c r="I41" s="762"/>
      <c r="J41" s="763"/>
      <c r="K41" s="650"/>
      <c r="L41" s="651"/>
      <c r="M41" s="652"/>
      <c r="N41" s="732"/>
      <c r="O41" s="733"/>
      <c r="P41" s="734"/>
      <c r="Q41" s="756"/>
      <c r="R41" s="757"/>
      <c r="S41" s="758"/>
      <c r="T41" s="759"/>
      <c r="U41" s="760"/>
      <c r="V41" s="76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762"/>
      <c r="E42" s="762"/>
      <c r="F42" s="762"/>
      <c r="G42" s="762"/>
      <c r="H42" s="762"/>
      <c r="I42" s="762"/>
      <c r="J42" s="763"/>
      <c r="K42" s="650"/>
      <c r="L42" s="651"/>
      <c r="M42" s="652"/>
      <c r="N42" s="732"/>
      <c r="O42" s="733"/>
      <c r="P42" s="734"/>
      <c r="Q42" s="756"/>
      <c r="R42" s="757"/>
      <c r="S42" s="758"/>
      <c r="T42" s="759"/>
      <c r="U42" s="760"/>
      <c r="V42" s="76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762"/>
      <c r="E43" s="762"/>
      <c r="F43" s="762"/>
      <c r="G43" s="762"/>
      <c r="H43" s="762"/>
      <c r="I43" s="762"/>
      <c r="J43" s="763"/>
      <c r="K43" s="650"/>
      <c r="L43" s="651"/>
      <c r="M43" s="652"/>
      <c r="N43" s="732"/>
      <c r="O43" s="733"/>
      <c r="P43" s="734"/>
      <c r="Q43" s="756"/>
      <c r="R43" s="757"/>
      <c r="S43" s="758"/>
      <c r="T43" s="759"/>
      <c r="U43" s="760"/>
      <c r="V43" s="76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64" t="s">
        <v>52</v>
      </c>
      <c r="D45" s="565"/>
      <c r="E45" s="565"/>
      <c r="F45" s="565"/>
      <c r="G45" s="565"/>
      <c r="H45" s="565"/>
      <c r="I45" s="565"/>
      <c r="J45" s="56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61">
        <f>ROUND(SUM(T35:V44),2)</f>
        <v>0</v>
      </c>
      <c r="U45" s="562"/>
      <c r="V45" s="563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61">
        <f>T30+T45</f>
        <v>0</v>
      </c>
      <c r="U46" s="562"/>
      <c r="V46" s="563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67">
        <f>T46*N47</f>
        <v>0</v>
      </c>
      <c r="U47" s="568"/>
      <c r="V47" s="56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67">
        <f>T46*N48</f>
        <v>0</v>
      </c>
      <c r="U48" s="568"/>
      <c r="V48" s="56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67">
        <f>(T46+T47+T48)*N49</f>
        <v>0</v>
      </c>
      <c r="U49" s="568"/>
      <c r="V49" s="569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61">
        <f>SUM(T46:V49)</f>
        <v>0</v>
      </c>
      <c r="U50" s="562"/>
      <c r="V50" s="563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61">
        <f>T50/E8</f>
        <v>0</v>
      </c>
      <c r="U51" s="562"/>
      <c r="V51" s="563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31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D35:J35"/>
    <mergeCell ref="D36:J36"/>
    <mergeCell ref="K35:M35"/>
    <mergeCell ref="N35:P35"/>
    <mergeCell ref="Q35:S35"/>
    <mergeCell ref="T35:V35"/>
    <mergeCell ref="K36:M36"/>
    <mergeCell ref="N36:P36"/>
    <mergeCell ref="Q36:S36"/>
    <mergeCell ref="C45:J45"/>
    <mergeCell ref="T45:V45"/>
    <mergeCell ref="D41:J41"/>
    <mergeCell ref="D42:J42"/>
    <mergeCell ref="D43:J43"/>
    <mergeCell ref="K42:M42"/>
    <mergeCell ref="T46:V46"/>
    <mergeCell ref="T47:V47"/>
    <mergeCell ref="T48:V48"/>
    <mergeCell ref="K43:M43"/>
    <mergeCell ref="N43:P43"/>
    <mergeCell ref="Q43:S43"/>
    <mergeCell ref="T43:V43"/>
    <mergeCell ref="N42:P42"/>
    <mergeCell ref="Q42:S42"/>
    <mergeCell ref="T42:V42"/>
    <mergeCell ref="T49:V49"/>
    <mergeCell ref="T50:V50"/>
    <mergeCell ref="T51:V51"/>
    <mergeCell ref="K40:M40"/>
    <mergeCell ref="N40:P40"/>
    <mergeCell ref="Q40:S40"/>
    <mergeCell ref="T40:V40"/>
    <mergeCell ref="Q37:S37"/>
    <mergeCell ref="T37:V37"/>
    <mergeCell ref="K41:M41"/>
    <mergeCell ref="N41:P41"/>
    <mergeCell ref="Q41:S41"/>
    <mergeCell ref="T41:V41"/>
    <mergeCell ref="T38:V38"/>
    <mergeCell ref="T39:V39"/>
    <mergeCell ref="D37:J37"/>
    <mergeCell ref="D38:J38"/>
    <mergeCell ref="D39:J39"/>
    <mergeCell ref="D40:J40"/>
    <mergeCell ref="K37:M37"/>
    <mergeCell ref="N37:P37"/>
    <mergeCell ref="K38:M38"/>
    <mergeCell ref="N38:P38"/>
    <mergeCell ref="Q38:S38"/>
    <mergeCell ref="K39:M39"/>
    <mergeCell ref="N39:P39"/>
    <mergeCell ref="Q39:S3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50</vt:i4>
      </vt:variant>
    </vt:vector>
  </HeadingPairs>
  <TitlesOfParts>
    <vt:vector size="101" baseType="lpstr">
      <vt:lpstr>INPUT DATA</vt:lpstr>
      <vt:lpstr>BOE</vt:lpstr>
      <vt:lpstr>ABC</vt:lpstr>
      <vt:lpstr>800(1) Clearing &amp; Grab</vt:lpstr>
      <vt:lpstr>800(3)a Ind Remov of Trees</vt:lpstr>
      <vt:lpstr>803(1)a-Struc Exca Common Soil</vt:lpstr>
      <vt:lpstr>803(1)a-Struc Exca Soft Rock</vt:lpstr>
      <vt:lpstr>804(4) Gravel Bedding</vt:lpstr>
      <vt:lpstr>902(1)-Reinforced S for 1Storey</vt:lpstr>
      <vt:lpstr>902(1)-Rein St for 2-5storey</vt:lpstr>
      <vt:lpstr>900(1)c2 Struc Con for footing</vt:lpstr>
      <vt:lpstr>900(1)Struc Con for beam col su</vt:lpstr>
      <vt:lpstr>903(2) Formworks for 1-storey</vt:lpstr>
      <vt:lpstr>1046 4"CHB</vt:lpstr>
      <vt:lpstr>1046 6" CHB</vt:lpstr>
      <vt:lpstr>1027-Plaster</vt:lpstr>
      <vt:lpstr>1047(2)b Struc Steel Truss</vt:lpstr>
      <vt:lpstr>1047(2)C Struc Steel Purlins</vt:lpstr>
      <vt:lpstr>1013(1) Corr Metal Roofing</vt:lpstr>
      <vt:lpstr>1013(2) Roof ridge flash valley</vt:lpstr>
      <vt:lpstr>1013(2) Metal Roof Acc (Gutter</vt:lpstr>
      <vt:lpstr>1014 Prepainted Met Sheets-Roof</vt:lpstr>
      <vt:lpstr>1014 Prepainted Met Sheets RIB</vt:lpstr>
      <vt:lpstr>1016-Waterproof Cement</vt:lpstr>
      <vt:lpstr>1018- Tiles</vt:lpstr>
      <vt:lpstr>1003(1) Ceiling</vt:lpstr>
      <vt:lpstr>1010(2) Hollow Flush Door</vt:lpstr>
      <vt:lpstr>1010(2) Panel Door</vt:lpstr>
      <vt:lpstr>1043(1) PVC Door</vt:lpstr>
      <vt:lpstr>1032-Paint Concrete</vt:lpstr>
      <vt:lpstr>1032-Paint Metal</vt:lpstr>
      <vt:lpstr>Sliding Glass</vt:lpstr>
      <vt:lpstr>Other item-Civil Works</vt:lpstr>
      <vt:lpstr>1001(1)a 2" -4" San PVC Pipe</vt:lpstr>
      <vt:lpstr>1002(6) Waterline Pipes fitting</vt:lpstr>
      <vt:lpstr>1002(5) W Closet w acc</vt:lpstr>
      <vt:lpstr>1002(5) Kitch SInk</vt:lpstr>
      <vt:lpstr>1002(5) Counter Lavatory</vt:lpstr>
      <vt:lpstr>1002(5) h Floor Drain</vt:lpstr>
      <vt:lpstr>1002(5) Soap Holder</vt:lpstr>
      <vt:lpstr>1002(5)a Shower Head valve</vt:lpstr>
      <vt:lpstr>1002(5)p Facial Mirror</vt:lpstr>
      <vt:lpstr>Other item-Plumbing</vt:lpstr>
      <vt:lpstr>1100(1) Conduit</vt:lpstr>
      <vt:lpstr>1100 Junc Utility Box</vt:lpstr>
      <vt:lpstr>1101(2) 1.6-5.5 mm2 Elec Wire</vt:lpstr>
      <vt:lpstr>1101 Single C Outlet</vt:lpstr>
      <vt:lpstr>1101 Duplex C Outlet</vt:lpstr>
      <vt:lpstr>1102 Panel Board</vt:lpstr>
      <vt:lpstr>1103(2) Lighting Fixtures</vt:lpstr>
      <vt:lpstr>Other item-Electrical</vt:lpstr>
      <vt:lpstr>'1001(1)a 2" -4" San PVC Pipe'!Print_Area</vt:lpstr>
      <vt:lpstr>'1002(5) Counter Lavatory'!Print_Area</vt:lpstr>
      <vt:lpstr>'1002(5) h Floor Drain'!Print_Area</vt:lpstr>
      <vt:lpstr>'1002(5) Kitch SInk'!Print_Area</vt:lpstr>
      <vt:lpstr>'1002(5) Soap Holder'!Print_Area</vt:lpstr>
      <vt:lpstr>'1002(5) W Closet w acc'!Print_Area</vt:lpstr>
      <vt:lpstr>'1002(5)a Shower Head valve'!Print_Area</vt:lpstr>
      <vt:lpstr>'1002(5)p Facial Mirror'!Print_Area</vt:lpstr>
      <vt:lpstr>'1002(6) Waterline Pipes fitting'!Print_Area</vt:lpstr>
      <vt:lpstr>'1003(1) Ceiling'!Print_Area</vt:lpstr>
      <vt:lpstr>'1010(2) Hollow Flush Door'!Print_Area</vt:lpstr>
      <vt:lpstr>'1010(2) Panel Door'!Print_Area</vt:lpstr>
      <vt:lpstr>'1013(1) Corr Metal Roofing'!Print_Area</vt:lpstr>
      <vt:lpstr>'1013(2) Metal Roof Acc (Gutter'!Print_Area</vt:lpstr>
      <vt:lpstr>'1013(2) Roof ridge flash valley'!Print_Area</vt:lpstr>
      <vt:lpstr>'1014 Prepainted Met Sheets RIB'!Print_Area</vt:lpstr>
      <vt:lpstr>'1014 Prepainted Met Sheets-Roof'!Print_Area</vt:lpstr>
      <vt:lpstr>'1016-Waterproof Cement'!Print_Area</vt:lpstr>
      <vt:lpstr>'1018- Tiles'!Print_Area</vt:lpstr>
      <vt:lpstr>'1027-Plaster'!Print_Area</vt:lpstr>
      <vt:lpstr>'1032-Paint Concrete'!Print_Area</vt:lpstr>
      <vt:lpstr>'1032-Paint Metal'!Print_Area</vt:lpstr>
      <vt:lpstr>'1043(1) PVC Door'!Print_Area</vt:lpstr>
      <vt:lpstr>'1046 4"CHB'!Print_Area</vt:lpstr>
      <vt:lpstr>'1046 6" CHB'!Print_Area</vt:lpstr>
      <vt:lpstr>'1047(2)b Struc Steel Truss'!Print_Area</vt:lpstr>
      <vt:lpstr>'1047(2)C Struc Steel Purlins'!Print_Area</vt:lpstr>
      <vt:lpstr>'1100 Junc Utility Box'!Print_Area</vt:lpstr>
      <vt:lpstr>'1100(1) Conduit'!Print_Area</vt:lpstr>
      <vt:lpstr>'1101 Duplex C Outlet'!Print_Area</vt:lpstr>
      <vt:lpstr>'1101 Single C Outlet'!Print_Area</vt:lpstr>
      <vt:lpstr>'1101(2) 1.6-5.5 mm2 Elec Wire'!Print_Area</vt:lpstr>
      <vt:lpstr>'1102 Panel Board'!Print_Area</vt:lpstr>
      <vt:lpstr>'1103(2) Lighting Fixtures'!Print_Area</vt:lpstr>
      <vt:lpstr>'800(1) Clearing &amp; Grab'!Print_Area</vt:lpstr>
      <vt:lpstr>'800(3)a Ind Remov of Trees'!Print_Area</vt:lpstr>
      <vt:lpstr>'803(1)a-Struc Exca Common Soil'!Print_Area</vt:lpstr>
      <vt:lpstr>'803(1)a-Struc Exca Soft Rock'!Print_Area</vt:lpstr>
      <vt:lpstr>'804(4) Gravel Bedding'!Print_Area</vt:lpstr>
      <vt:lpstr>'900(1)c2 Struc Con for footing'!Print_Area</vt:lpstr>
      <vt:lpstr>'900(1)Struc Con for beam col su'!Print_Area</vt:lpstr>
      <vt:lpstr>'902(1)-Rein St for 2-5storey'!Print_Area</vt:lpstr>
      <vt:lpstr>'902(1)-Reinforced S for 1Storey'!Print_Area</vt:lpstr>
      <vt:lpstr>'903(2) Formworks for 1-storey'!Print_Area</vt:lpstr>
      <vt:lpstr>ABC!Print_Area</vt:lpstr>
      <vt:lpstr>BOE!Print_Area</vt:lpstr>
      <vt:lpstr>'Other item-Civil Works'!Print_Area</vt:lpstr>
      <vt:lpstr>'Other item-Electrical'!Print_Area</vt:lpstr>
      <vt:lpstr>'Other item-Plumbing'!Print_Area</vt:lpstr>
      <vt:lpstr>'Sliding Glass'!Print_Area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25625</dc:creator>
  <cp:lastModifiedBy>Richard Gonzaga</cp:lastModifiedBy>
  <dcterms:created xsi:type="dcterms:W3CDTF">2023-03-23T06:47:43Z</dcterms:created>
  <dcterms:modified xsi:type="dcterms:W3CDTF">2023-04-29T07:18:58Z</dcterms:modified>
</cp:coreProperties>
</file>